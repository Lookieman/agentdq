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I317161\Downloads\"/>
    </mc:Choice>
  </mc:AlternateContent>
  <xr:revisionPtr revIDLastSave="0" documentId="8_{52517A7A-D588-4209-9FE2-8853EEA1C490}" xr6:coauthVersionLast="47" xr6:coauthVersionMax="47" xr10:uidLastSave="{00000000-0000-0000-0000-000000000000}"/>
  <bookViews>
    <workbookView xWindow="-23148" yWindow="-108" windowWidth="23256" windowHeight="13896" tabRatio="601" xr2:uid="{00000000-000D-0000-FFFF-FFFF00000000}"/>
  </bookViews>
  <sheets>
    <sheet name="IS_Rules" sheetId="6" r:id="rId1"/>
    <sheet name="IS_Binding_Rule_to_Views" sheetId="7" r:id="rId2"/>
    <sheet name="IS_Views" sheetId="3" r:id="rId3"/>
    <sheet name="Consolidated" sheetId="8" r:id="rId4"/>
    <sheet name="Table_to_BRG" sheetId="10" r:id="rId5"/>
    <sheet name="Sheet1" sheetId="9" r:id="rId6"/>
  </sheets>
  <definedNames>
    <definedName name="_xlnm._FilterDatabase" localSheetId="3" hidden="1">Consolidated!$U$1008:$AA$1009</definedName>
    <definedName name="_xlnm._FilterDatabase" localSheetId="4" hidden="1">Table_to_BRG!$A$1:$D$31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B1015" i="8" l="1"/>
  <c r="AB1014" i="8"/>
  <c r="AB367" i="8"/>
  <c r="AB366" i="8"/>
  <c r="AB360" i="8"/>
  <c r="AB355" i="8"/>
  <c r="AB352" i="8"/>
  <c r="AB342" i="8"/>
  <c r="AB340" i="8"/>
  <c r="AB327" i="8"/>
  <c r="AB324" i="8"/>
  <c r="AB321" i="8"/>
  <c r="AB317" i="8"/>
  <c r="AB304" i="8"/>
  <c r="AB294" i="8"/>
  <c r="AB292" i="8"/>
  <c r="AB291" i="8"/>
  <c r="AB290" i="8"/>
  <c r="AB285" i="8"/>
  <c r="AB284" i="8"/>
  <c r="AB278" i="8"/>
  <c r="AB275" i="8"/>
  <c r="AB261" i="8"/>
  <c r="AB257" i="8"/>
  <c r="AB256" i="8"/>
  <c r="AB254" i="8"/>
  <c r="AB253" i="8"/>
  <c r="AB243" i="8"/>
  <c r="AB232" i="8"/>
  <c r="AB222" i="8"/>
  <c r="AB220" i="8"/>
  <c r="AB218" i="8"/>
  <c r="AB215" i="8"/>
  <c r="AB213" i="8"/>
  <c r="AB210" i="8"/>
  <c r="AB201" i="8"/>
  <c r="AB197" i="8"/>
  <c r="AB194" i="8"/>
  <c r="AB192" i="8"/>
  <c r="AB191" i="8"/>
  <c r="AB190" i="8"/>
  <c r="AB186" i="8"/>
  <c r="AB185" i="8"/>
  <c r="AB184" i="8"/>
  <c r="AB178" i="8"/>
  <c r="AB175" i="8"/>
  <c r="AB173" i="8"/>
  <c r="AB170" i="8"/>
  <c r="AB168" i="8"/>
  <c r="AB166" i="8"/>
  <c r="AB163" i="8"/>
  <c r="AB161" i="8"/>
  <c r="AB154" i="8"/>
  <c r="AB150" i="8"/>
  <c r="AB147" i="8"/>
  <c r="AB141" i="8"/>
  <c r="AB136" i="8"/>
  <c r="AB134" i="8"/>
  <c r="AB132" i="8"/>
  <c r="AB120" i="8"/>
  <c r="AB119" i="8"/>
  <c r="AB114" i="8"/>
  <c r="AB110" i="8"/>
  <c r="AB109" i="8"/>
  <c r="AB102" i="8"/>
  <c r="AB100" i="8"/>
  <c r="AB94" i="8"/>
  <c r="AB93" i="8"/>
  <c r="AB85" i="8"/>
  <c r="AB84" i="8"/>
  <c r="AB79" i="8"/>
  <c r="AB78" i="8"/>
  <c r="AB76" i="8"/>
  <c r="AB69" i="8"/>
  <c r="AB66" i="8"/>
  <c r="AB62" i="8"/>
  <c r="AB57" i="8"/>
  <c r="AB52" i="8"/>
  <c r="AB48" i="8"/>
  <c r="AB36" i="8"/>
  <c r="AB31" i="8"/>
  <c r="AB30" i="8"/>
  <c r="AB29" i="8"/>
  <c r="AB28" i="8"/>
  <c r="AB27" i="8"/>
  <c r="AB23" i="8"/>
  <c r="AB22" i="8"/>
  <c r="AB18" i="8"/>
  <c r="AB14" i="8"/>
  <c r="AB6" i="8"/>
  <c r="AB3" i="8"/>
  <c r="AB88" i="8"/>
  <c r="AB87" i="8"/>
  <c r="AB374" i="8" l="1"/>
  <c r="AB371" i="8"/>
  <c r="AB369" i="8"/>
  <c r="AB362" i="8"/>
  <c r="AB361" i="8"/>
  <c r="AB353" i="8"/>
  <c r="AB350" i="8"/>
  <c r="AB349" i="8"/>
  <c r="AB348" i="8"/>
  <c r="AB346" i="8"/>
  <c r="AB343" i="8"/>
  <c r="AB341" i="8"/>
  <c r="AB332" i="8"/>
  <c r="AB331" i="8"/>
  <c r="AB325" i="8"/>
  <c r="AB310" i="8"/>
  <c r="AB309" i="8"/>
  <c r="AB308" i="8"/>
  <c r="AB301" i="8"/>
  <c r="AB300" i="8"/>
  <c r="AB299" i="8"/>
  <c r="AB297" i="8"/>
  <c r="AB295" i="8"/>
  <c r="AB279" i="8"/>
  <c r="AB277" i="8"/>
  <c r="AB266" i="8"/>
  <c r="AB255" i="8"/>
  <c r="AB246" i="8"/>
  <c r="AB242" i="8"/>
  <c r="AB239" i="8"/>
  <c r="AB238" i="8"/>
  <c r="AB236" i="8"/>
  <c r="AB229" i="8"/>
  <c r="AB202" i="8"/>
  <c r="AB195" i="8"/>
  <c r="AB193" i="8"/>
  <c r="AB188" i="8"/>
  <c r="AB183" i="8"/>
  <c r="AB181" i="8"/>
  <c r="AB172" i="8"/>
  <c r="AB171" i="8"/>
  <c r="AB165" i="8"/>
  <c r="AB164" i="8"/>
  <c r="AB162" i="8"/>
  <c r="AB151" i="8"/>
  <c r="AB146" i="8"/>
  <c r="AB143" i="8"/>
  <c r="AB139" i="8"/>
  <c r="AB137" i="8"/>
  <c r="AB131" i="8"/>
  <c r="AB126" i="8"/>
  <c r="AB121" i="8"/>
  <c r="AB104" i="8"/>
  <c r="AB103" i="8"/>
  <c r="AB91" i="8"/>
  <c r="AB86" i="8"/>
  <c r="AB77" i="8"/>
  <c r="AB63" i="8"/>
  <c r="AB61" i="8"/>
  <c r="AB44" i="8"/>
  <c r="AB43" i="8"/>
  <c r="AB42" i="8"/>
  <c r="AB35" i="8"/>
  <c r="AB34" i="8"/>
  <c r="AB33" i="8"/>
  <c r="AB26" i="8"/>
  <c r="AB25" i="8"/>
  <c r="AB24" i="8"/>
  <c r="AB180" i="8"/>
  <c r="AB108" i="8"/>
  <c r="AB1003" i="8"/>
  <c r="AB358" i="8"/>
  <c r="AB306" i="8"/>
  <c r="AB265" i="8"/>
  <c r="AB233" i="8"/>
  <c r="AB156" i="8"/>
  <c r="AB71" i="8"/>
  <c r="AB59" i="8"/>
  <c r="AB54" i="8"/>
  <c r="AB21" i="8"/>
  <c r="AB20" i="8"/>
  <c r="AB7" i="8"/>
  <c r="AB4" i="8"/>
  <c r="AB363" i="8" l="1"/>
  <c r="AB356" i="8"/>
  <c r="AB354" i="8"/>
  <c r="AB323" i="8"/>
  <c r="AB312" i="8"/>
  <c r="AB307" i="8"/>
  <c r="AB286" i="8"/>
  <c r="AB272" i="8"/>
  <c r="AB260" i="8"/>
  <c r="AB250" i="8"/>
  <c r="AB149" i="8"/>
  <c r="AB105" i="8"/>
  <c r="AB96" i="8"/>
  <c r="AB60" i="8"/>
  <c r="AB55" i="8"/>
  <c r="AB47" i="8"/>
  <c r="AB45" i="8"/>
  <c r="AB5" i="8"/>
  <c r="AB370" i="8"/>
  <c r="AB347" i="8"/>
  <c r="AB345" i="8"/>
  <c r="AB263" i="8"/>
  <c r="AB226" i="8"/>
  <c r="AB145" i="8"/>
  <c r="Q55" i="8"/>
  <c r="Q118" i="8"/>
  <c r="Q175" i="8" l="1"/>
  <c r="AE244" i="8" l="1"/>
  <c r="Q244" i="8"/>
  <c r="AF244" i="8" s="1"/>
  <c r="Q153" i="8"/>
  <c r="AF153" i="8" s="1"/>
  <c r="Q142" i="8"/>
  <c r="AF142" i="8" s="1"/>
  <c r="AE153" i="8"/>
  <c r="Q997" i="8"/>
  <c r="O372" i="8" l="1"/>
  <c r="Q995" i="8"/>
  <c r="AF995" i="8" s="1"/>
  <c r="AA1015" i="8" l="1"/>
  <c r="AA1014" i="8"/>
  <c r="AA1005" i="8"/>
  <c r="AA1004" i="8"/>
  <c r="AA906" i="8"/>
  <c r="AA904" i="8"/>
  <c r="AA902" i="8"/>
  <c r="AA899" i="8"/>
  <c r="AA896" i="8"/>
  <c r="AA895" i="8"/>
  <c r="AA890" i="8"/>
  <c r="AA889" i="8"/>
  <c r="AA888" i="8"/>
  <c r="AA885" i="8"/>
  <c r="AA881" i="8"/>
  <c r="AA880" i="8"/>
  <c r="AA879" i="8"/>
  <c r="AA878" i="8"/>
  <c r="AA877" i="8"/>
  <c r="AA876" i="8"/>
  <c r="AA875" i="8"/>
  <c r="AA874" i="8"/>
  <c r="AA873" i="8"/>
  <c r="AA872" i="8"/>
  <c r="AA869" i="8"/>
  <c r="AA865" i="8"/>
  <c r="AA862" i="8"/>
  <c r="AA861" i="8"/>
  <c r="AA860" i="8"/>
  <c r="AA858" i="8"/>
  <c r="AA856" i="8"/>
  <c r="AA855" i="8"/>
  <c r="AA847" i="8"/>
  <c r="AA846" i="8"/>
  <c r="AA844" i="8"/>
  <c r="AA843" i="8"/>
  <c r="AA841" i="8"/>
  <c r="AA840" i="8"/>
  <c r="AA837" i="8"/>
  <c r="AA835" i="8"/>
  <c r="AA834" i="8"/>
  <c r="AA833" i="8"/>
  <c r="AA831" i="8"/>
  <c r="AA830" i="8"/>
  <c r="AA829" i="8"/>
  <c r="AA828" i="8"/>
  <c r="AA824" i="8"/>
  <c r="AA818" i="8"/>
  <c r="AA816" i="8"/>
  <c r="AA813" i="8"/>
  <c r="AA811" i="8"/>
  <c r="AA810" i="8"/>
  <c r="AA803" i="8"/>
  <c r="AA729" i="8"/>
  <c r="AA727" i="8"/>
  <c r="AA720" i="8"/>
  <c r="AA716" i="8"/>
  <c r="AA708" i="8"/>
  <c r="AA704" i="8"/>
  <c r="AA703" i="8"/>
  <c r="AA689" i="8"/>
  <c r="AA683" i="8"/>
  <c r="AA681" i="8"/>
  <c r="AA679" i="8"/>
  <c r="AA674" i="8"/>
  <c r="AA668" i="8"/>
  <c r="AA665" i="8"/>
  <c r="AA660" i="8"/>
  <c r="AA658" i="8"/>
  <c r="AA656" i="8"/>
  <c r="AA655" i="8"/>
  <c r="AA654" i="8"/>
  <c r="AA653" i="8"/>
  <c r="AA652" i="8"/>
  <c r="AA651" i="8"/>
  <c r="AA649" i="8"/>
  <c r="AA648" i="8"/>
  <c r="AA647" i="8"/>
  <c r="AA646" i="8"/>
  <c r="AA645" i="8"/>
  <c r="AA644" i="8"/>
  <c r="AA643" i="8"/>
  <c r="AA642" i="8"/>
  <c r="AA640" i="8"/>
  <c r="AA639" i="8"/>
  <c r="AA638" i="8"/>
  <c r="AA637" i="8"/>
  <c r="AA633" i="8"/>
  <c r="AA632" i="8"/>
  <c r="AA631" i="8"/>
  <c r="AA630" i="8"/>
  <c r="AA629" i="8"/>
  <c r="AA628" i="8"/>
  <c r="AA627" i="8"/>
  <c r="AA626" i="8"/>
  <c r="AA625" i="8"/>
  <c r="AA624" i="8"/>
  <c r="AA621" i="8"/>
  <c r="AA617" i="8"/>
  <c r="AA615" i="8"/>
  <c r="AA614" i="8"/>
  <c r="AA569" i="8"/>
  <c r="AA530" i="8"/>
  <c r="AA525" i="8"/>
  <c r="AA511" i="8"/>
  <c r="AA506" i="8"/>
  <c r="AA503" i="8"/>
  <c r="AA476" i="8"/>
  <c r="AA471" i="8"/>
  <c r="AA469" i="8"/>
  <c r="AA467" i="8"/>
  <c r="AA466" i="8"/>
  <c r="AA465" i="8"/>
  <c r="AA464" i="8"/>
  <c r="AA462" i="8"/>
  <c r="AA461" i="8"/>
  <c r="AA458" i="8"/>
  <c r="AA457" i="8"/>
  <c r="AA456" i="8"/>
  <c r="AA454" i="8"/>
  <c r="AA452" i="8"/>
  <c r="AA451" i="8"/>
  <c r="AA447" i="8"/>
  <c r="AA445" i="8"/>
  <c r="AA444" i="8"/>
  <c r="AA443" i="8"/>
  <c r="AA442" i="8"/>
  <c r="AA440" i="8"/>
  <c r="AA439" i="8"/>
  <c r="AA438" i="8"/>
  <c r="AA436" i="8"/>
  <c r="AA434" i="8"/>
  <c r="AA432" i="8"/>
  <c r="AA431" i="8"/>
  <c r="AA430" i="8"/>
  <c r="AA429" i="8"/>
  <c r="AA428" i="8"/>
  <c r="AA426" i="8"/>
  <c r="AA425" i="8"/>
  <c r="AA424" i="8"/>
  <c r="AA418" i="8"/>
  <c r="AA416" i="8"/>
  <c r="AA415" i="8"/>
  <c r="AA413" i="8"/>
  <c r="AA409" i="8"/>
  <c r="AA407" i="8"/>
  <c r="AA405" i="8"/>
  <c r="AA403" i="8"/>
  <c r="AA401" i="8"/>
  <c r="AA400" i="8"/>
  <c r="AA398" i="8"/>
  <c r="AA393" i="8"/>
  <c r="AA392" i="8"/>
  <c r="AA391" i="8"/>
  <c r="AA390" i="8"/>
  <c r="AA389" i="8"/>
  <c r="AA386" i="8"/>
  <c r="AA385" i="8"/>
  <c r="AA384" i="8"/>
  <c r="AA383" i="8"/>
  <c r="AA382" i="8"/>
  <c r="AA381" i="8"/>
  <c r="AA380" i="8"/>
  <c r="AA378" i="8"/>
  <c r="AA377" i="8"/>
  <c r="AA376" i="8"/>
  <c r="AA374" i="8"/>
  <c r="AA373" i="8"/>
  <c r="AA371" i="8"/>
  <c r="AA369" i="8"/>
  <c r="AA368" i="8"/>
  <c r="AA367" i="8"/>
  <c r="AA366" i="8"/>
  <c r="AA362" i="8"/>
  <c r="AA361" i="8"/>
  <c r="AA360" i="8"/>
  <c r="AA359" i="8"/>
  <c r="AA357" i="8"/>
  <c r="AA355" i="8"/>
  <c r="AA353" i="8"/>
  <c r="AA352" i="8"/>
  <c r="AA351" i="8"/>
  <c r="AA350" i="8"/>
  <c r="AA349" i="8"/>
  <c r="AA348" i="8"/>
  <c r="AA346" i="8"/>
  <c r="AA343" i="8"/>
  <c r="AA342" i="8"/>
  <c r="AA341" i="8"/>
  <c r="AA340" i="8"/>
  <c r="AA338" i="8"/>
  <c r="AA336" i="8"/>
  <c r="AA335" i="8"/>
  <c r="AA334" i="8"/>
  <c r="AA333" i="8"/>
  <c r="AA332" i="8"/>
  <c r="AA331" i="8"/>
  <c r="AA330" i="8"/>
  <c r="AA329" i="8"/>
  <c r="AA328" i="8"/>
  <c r="AA327" i="8"/>
  <c r="AA326" i="8"/>
  <c r="AA324" i="8"/>
  <c r="AA322" i="8"/>
  <c r="AA321" i="8"/>
  <c r="AA320" i="8"/>
  <c r="AA319" i="8"/>
  <c r="AA317" i="8"/>
  <c r="AA315" i="8"/>
  <c r="AA311" i="8"/>
  <c r="AA310" i="8"/>
  <c r="AA309" i="8"/>
  <c r="AA308" i="8"/>
  <c r="AA304" i="8"/>
  <c r="AA302" i="8"/>
  <c r="AA301" i="8"/>
  <c r="AA300" i="8"/>
  <c r="AA299" i="8"/>
  <c r="AA297" i="8"/>
  <c r="AA295" i="8"/>
  <c r="AA294" i="8"/>
  <c r="AA293" i="8"/>
  <c r="AA292" i="8"/>
  <c r="AA291" i="8"/>
  <c r="AA290" i="8"/>
  <c r="AA289" i="8"/>
  <c r="AA288" i="8"/>
  <c r="AA285" i="8"/>
  <c r="AA284" i="8"/>
  <c r="AA279" i="8"/>
  <c r="AA278" i="8"/>
  <c r="AA277" i="8"/>
  <c r="AA276" i="8"/>
  <c r="AA275" i="8"/>
  <c r="AA271" i="8"/>
  <c r="AA266" i="8"/>
  <c r="AA261" i="8"/>
  <c r="AA257" i="8"/>
  <c r="AA256" i="8"/>
  <c r="AA255" i="8"/>
  <c r="AA254" i="8"/>
  <c r="AA253" i="8"/>
  <c r="AA248" i="8"/>
  <c r="AA246" i="8"/>
  <c r="AA245" i="8"/>
  <c r="AA244" i="8"/>
  <c r="AA243" i="8"/>
  <c r="AA242" i="8"/>
  <c r="AA239" i="8"/>
  <c r="AA238" i="8"/>
  <c r="AA236" i="8"/>
  <c r="AA235" i="8"/>
  <c r="AA234" i="8"/>
  <c r="AA232" i="8"/>
  <c r="AA229" i="8"/>
  <c r="AA224" i="8"/>
  <c r="AA222" i="8"/>
  <c r="AA220" i="8"/>
  <c r="AA218" i="8"/>
  <c r="AA215" i="8"/>
  <c r="AA213" i="8"/>
  <c r="AA210" i="8"/>
  <c r="AA209" i="8"/>
  <c r="AA204" i="8"/>
  <c r="AA203" i="8"/>
  <c r="AA202" i="8"/>
  <c r="AA201" i="8"/>
  <c r="AA198" i="8"/>
  <c r="AA197" i="8"/>
  <c r="AA195" i="8"/>
  <c r="AA194" i="8"/>
  <c r="AA193" i="8"/>
  <c r="AA192" i="8"/>
  <c r="AA191" i="8"/>
  <c r="AA190" i="8"/>
  <c r="AA189" i="8"/>
  <c r="AA188" i="8"/>
  <c r="AA187" i="8"/>
  <c r="AA186" i="8"/>
  <c r="AA185" i="8"/>
  <c r="AA184" i="8"/>
  <c r="AA183" i="8"/>
  <c r="AA181" i="8"/>
  <c r="AA178" i="8"/>
  <c r="AA175" i="8"/>
  <c r="AA173" i="8"/>
  <c r="AA172" i="8"/>
  <c r="AA171" i="8"/>
  <c r="AA170" i="8"/>
  <c r="AA168" i="8"/>
  <c r="AA166" i="8"/>
  <c r="AA165" i="8"/>
  <c r="AA164" i="8"/>
  <c r="AA163" i="8"/>
  <c r="AA162" i="8"/>
  <c r="AA161" i="8"/>
  <c r="AA159" i="8"/>
  <c r="AA158" i="8"/>
  <c r="AA154" i="8"/>
  <c r="AA153" i="8"/>
  <c r="AA151" i="8"/>
  <c r="AA150" i="8"/>
  <c r="AA148" i="8"/>
  <c r="AA147" i="8"/>
  <c r="AA146" i="8"/>
  <c r="AA144" i="8"/>
  <c r="AA143" i="8"/>
  <c r="AA142" i="8"/>
  <c r="AA141" i="8"/>
  <c r="AA139" i="8"/>
  <c r="AA137" i="8"/>
  <c r="AA136" i="8"/>
  <c r="AA134" i="8"/>
  <c r="AA133" i="8"/>
  <c r="AA132" i="8"/>
  <c r="AA131" i="8"/>
  <c r="AA127" i="8"/>
  <c r="AA126" i="8"/>
  <c r="AA124" i="8"/>
  <c r="AA121" i="8"/>
  <c r="AA120" i="8"/>
  <c r="AA119" i="8"/>
  <c r="AA117" i="8"/>
  <c r="AA114" i="8"/>
  <c r="AA112" i="8"/>
  <c r="AA111" i="8"/>
  <c r="AA110" i="8"/>
  <c r="AA109" i="8"/>
  <c r="AA107" i="8"/>
  <c r="AA104" i="8"/>
  <c r="AA103" i="8"/>
  <c r="AA102" i="8"/>
  <c r="AA100" i="8"/>
  <c r="AA94" i="8"/>
  <c r="AA93" i="8"/>
  <c r="AA91" i="8"/>
  <c r="AA86" i="8"/>
  <c r="AA85" i="8"/>
  <c r="AA84" i="8"/>
  <c r="AA83" i="8"/>
  <c r="AA82" i="8"/>
  <c r="AA79" i="8"/>
  <c r="AA78" i="8"/>
  <c r="AA77" i="8"/>
  <c r="AA76" i="8"/>
  <c r="AA75" i="8"/>
  <c r="AA73" i="8"/>
  <c r="AA69" i="8"/>
  <c r="AA66" i="8"/>
  <c r="AA64" i="8"/>
  <c r="AA63" i="8"/>
  <c r="AA62" i="8"/>
  <c r="AA61" i="8"/>
  <c r="AA58" i="8"/>
  <c r="AA57" i="8"/>
  <c r="AA53" i="8"/>
  <c r="AA52" i="8"/>
  <c r="AA49" i="8"/>
  <c r="AA48" i="8"/>
  <c r="AA46" i="8"/>
  <c r="AA44" i="8"/>
  <c r="AA43" i="8"/>
  <c r="AA42" i="8"/>
  <c r="AA40" i="8"/>
  <c r="AA36" i="8"/>
  <c r="AA35" i="8"/>
  <c r="AA34" i="8"/>
  <c r="AA33" i="8"/>
  <c r="AA31" i="8"/>
  <c r="AA30" i="8"/>
  <c r="AA29" i="8"/>
  <c r="AA28" i="8"/>
  <c r="AA27" i="8"/>
  <c r="AA26" i="8"/>
  <c r="AA25" i="8"/>
  <c r="AA24" i="8"/>
  <c r="AA23" i="8"/>
  <c r="AA22" i="8"/>
  <c r="AA18" i="8"/>
  <c r="AA14" i="8"/>
  <c r="AA12" i="8"/>
  <c r="AA11" i="8"/>
  <c r="AA7" i="8"/>
  <c r="AA6" i="8"/>
  <c r="AA3" i="8"/>
  <c r="O116" i="8"/>
  <c r="Q998" i="8"/>
  <c r="AF998" i="8" s="1"/>
  <c r="J998" i="8"/>
  <c r="K998" i="8"/>
  <c r="J999" i="8"/>
  <c r="K999" i="8"/>
  <c r="Q999" i="8"/>
  <c r="AF999" i="8" s="1"/>
  <c r="AG999" i="8" s="1"/>
  <c r="AE999" i="8"/>
  <c r="AH999" i="8"/>
  <c r="J1000" i="8"/>
  <c r="K1000" i="8"/>
  <c r="Q1000" i="8"/>
  <c r="AF1000" i="8" s="1"/>
  <c r="AG1000" i="8" s="1"/>
  <c r="AE1000" i="8"/>
  <c r="AH1000" i="8"/>
  <c r="J1001" i="8"/>
  <c r="K1001" i="8"/>
  <c r="Q1001" i="8"/>
  <c r="AF1001" i="8" s="1"/>
  <c r="AG1001" i="8" s="1"/>
  <c r="J1002" i="8"/>
  <c r="K1002" i="8"/>
  <c r="Q1002" i="8"/>
  <c r="AF1002" i="8" s="1"/>
  <c r="J1003" i="8"/>
  <c r="K1003" i="8"/>
  <c r="Q1003" i="8"/>
  <c r="AF1003" i="8" s="1"/>
  <c r="AG1003" i="8" s="1"/>
  <c r="AE1003" i="8"/>
  <c r="J1004" i="8"/>
  <c r="K1004" i="8"/>
  <c r="Q1004" i="8"/>
  <c r="AF1004" i="8" s="1"/>
  <c r="AG1004" i="8" s="1"/>
  <c r="J1005" i="8"/>
  <c r="K1005" i="8"/>
  <c r="Q1005" i="8"/>
  <c r="AF1005" i="8" s="1"/>
  <c r="AG1005" i="8" s="1"/>
  <c r="AE1005" i="8"/>
  <c r="J1006" i="8"/>
  <c r="K1006" i="8"/>
  <c r="Q1006" i="8"/>
  <c r="AF1006" i="8" s="1"/>
  <c r="AG1006" i="8" s="1"/>
  <c r="J1007" i="8"/>
  <c r="K1007" i="8"/>
  <c r="Q1007" i="8"/>
  <c r="AF1007" i="8" s="1"/>
  <c r="J1008" i="8"/>
  <c r="K1008" i="8"/>
  <c r="Q1008" i="8"/>
  <c r="AF1008" i="8" s="1"/>
  <c r="AG1008" i="8" s="1"/>
  <c r="AE1008" i="8"/>
  <c r="J1009" i="8"/>
  <c r="K1009" i="8"/>
  <c r="Q1009" i="8"/>
  <c r="AF1009" i="8" s="1"/>
  <c r="AG1009" i="8" s="1"/>
  <c r="AE1009" i="8"/>
  <c r="J1010" i="8"/>
  <c r="K1010" i="8"/>
  <c r="Q1010" i="8"/>
  <c r="AF1010" i="8" s="1"/>
  <c r="AG1010" i="8" s="1"/>
  <c r="J1011" i="8"/>
  <c r="K1011" i="8"/>
  <c r="Q1011" i="8"/>
  <c r="AF1011" i="8" s="1"/>
  <c r="J1012" i="8"/>
  <c r="K1012" i="8"/>
  <c r="Q1012" i="8"/>
  <c r="AF1012" i="8" s="1"/>
  <c r="AG1012" i="8" s="1"/>
  <c r="AE1012" i="8"/>
  <c r="J1013" i="8"/>
  <c r="K1013" i="8"/>
  <c r="Q1013" i="8"/>
  <c r="AF1013" i="8" s="1"/>
  <c r="AG1013" i="8" s="1"/>
  <c r="AE1013" i="8"/>
  <c r="J1014" i="8"/>
  <c r="K1014" i="8"/>
  <c r="Q1014" i="8"/>
  <c r="AF1014" i="8" s="1"/>
  <c r="AG1014" i="8" s="1"/>
  <c r="AE1014" i="8"/>
  <c r="J1015" i="8"/>
  <c r="K1015" i="8"/>
  <c r="Q1015" i="8"/>
  <c r="AF1015" i="8" s="1"/>
  <c r="AG1015" i="8" s="1"/>
  <c r="AE1015" i="8"/>
  <c r="J1016" i="8"/>
  <c r="K1016" i="8"/>
  <c r="Q1016" i="8"/>
  <c r="AF1016" i="8" s="1"/>
  <c r="AG1016" i="8" s="1"/>
  <c r="J1017" i="8"/>
  <c r="K1017" i="8"/>
  <c r="Q1017" i="8"/>
  <c r="AF1017" i="8" s="1"/>
  <c r="AG1017" i="8" s="1"/>
  <c r="J1018" i="8"/>
  <c r="K1018" i="8"/>
  <c r="Q1018" i="8"/>
  <c r="AF1018" i="8" s="1"/>
  <c r="J1019" i="8"/>
  <c r="K1019" i="8"/>
  <c r="Q1019" i="8"/>
  <c r="AF1019" i="8" s="1"/>
  <c r="AH995" i="8"/>
  <c r="AH176" i="8"/>
  <c r="AH996" i="8"/>
  <c r="O996" i="8"/>
  <c r="Q996" i="8"/>
  <c r="O259" i="8"/>
  <c r="AE325" i="8" l="1"/>
  <c r="AE306" i="8"/>
  <c r="AE74" i="8"/>
  <c r="Q325" i="8"/>
  <c r="AF325" i="8" s="1"/>
  <c r="Q214" i="8"/>
  <c r="O92" i="8"/>
  <c r="Q306" i="8"/>
  <c r="AF306" i="8" s="1"/>
  <c r="O159" i="8"/>
  <c r="Q266" i="8"/>
  <c r="AF266" i="8" s="1"/>
  <c r="AE236" i="8" l="1"/>
  <c r="AE238" i="8"/>
  <c r="Q238" i="8"/>
  <c r="AF238" i="8" s="1"/>
  <c r="Q74" i="8"/>
  <c r="AF74" i="8" s="1"/>
  <c r="O152" i="8" l="1"/>
  <c r="Q164" i="8"/>
  <c r="Q376" i="8" l="1"/>
  <c r="Q375" i="8"/>
  <c r="Q372" i="8"/>
  <c r="Q359" i="8"/>
  <c r="Q357" i="8"/>
  <c r="Q338" i="8"/>
  <c r="Q336" i="8"/>
  <c r="Q335" i="8"/>
  <c r="Q334" i="8"/>
  <c r="Q333" i="8"/>
  <c r="Q330" i="8"/>
  <c r="Q329" i="8"/>
  <c r="Q328" i="8"/>
  <c r="Q326" i="8"/>
  <c r="Q319" i="8"/>
  <c r="Q311" i="8"/>
  <c r="Q303" i="8"/>
  <c r="Q302" i="8"/>
  <c r="Q296" i="8"/>
  <c r="Q293" i="8"/>
  <c r="Q288" i="8"/>
  <c r="Q282" i="8"/>
  <c r="Q281" i="8"/>
  <c r="Q276" i="8"/>
  <c r="Q271" i="8"/>
  <c r="Q262" i="8"/>
  <c r="Q249" i="8"/>
  <c r="AF249" i="8" s="1"/>
  <c r="Q248" i="8"/>
  <c r="Q245" i="8"/>
  <c r="Q235" i="8"/>
  <c r="Q234" i="8"/>
  <c r="Q231" i="8"/>
  <c r="Q228" i="8"/>
  <c r="Q224" i="8"/>
  <c r="Q209" i="8"/>
  <c r="Q207" i="8"/>
  <c r="Q204" i="8"/>
  <c r="Q200" i="8"/>
  <c r="Q199" i="8"/>
  <c r="Q198" i="8"/>
  <c r="Q189" i="8"/>
  <c r="Q174" i="8"/>
  <c r="Q158" i="8"/>
  <c r="Q148" i="8"/>
  <c r="Q144" i="8"/>
  <c r="Q138" i="8"/>
  <c r="Q133" i="8"/>
  <c r="Q127" i="8"/>
  <c r="Q124" i="8"/>
  <c r="Q122" i="8"/>
  <c r="Q117" i="8"/>
  <c r="Q116" i="8"/>
  <c r="Q113" i="8"/>
  <c r="Q112" i="8"/>
  <c r="Q111" i="8"/>
  <c r="Q107" i="8"/>
  <c r="Q98" i="8"/>
  <c r="Q95" i="8"/>
  <c r="Q90" i="8"/>
  <c r="Q83" i="8"/>
  <c r="Q82" i="8"/>
  <c r="Q80" i="8"/>
  <c r="Q75" i="8"/>
  <c r="Q73" i="8"/>
  <c r="Q72" i="8"/>
  <c r="Q64" i="8"/>
  <c r="Q58" i="8"/>
  <c r="Q53" i="8"/>
  <c r="Q50" i="8"/>
  <c r="Q46" i="8"/>
  <c r="Q40" i="8"/>
  <c r="Q374" i="8"/>
  <c r="Q371" i="8"/>
  <c r="Q369" i="8"/>
  <c r="Q364" i="8"/>
  <c r="Q362" i="8"/>
  <c r="Q361" i="8"/>
  <c r="Q358" i="8"/>
  <c r="Q353" i="8"/>
  <c r="Q350" i="8"/>
  <c r="Q349" i="8"/>
  <c r="Q348" i="8"/>
  <c r="Q346" i="8"/>
  <c r="Q343" i="8"/>
  <c r="Q341" i="8"/>
  <c r="Q339" i="8"/>
  <c r="Q332" i="8"/>
  <c r="Q331" i="8"/>
  <c r="Q318" i="8"/>
  <c r="Q316" i="8"/>
  <c r="Q313" i="8"/>
  <c r="Q310" i="8"/>
  <c r="Q309" i="8"/>
  <c r="Q308" i="8"/>
  <c r="Q301" i="8"/>
  <c r="Q300" i="8"/>
  <c r="Q299" i="8"/>
  <c r="Q297" i="8"/>
  <c r="Q295" i="8"/>
  <c r="Q287" i="8"/>
  <c r="Q283" i="8"/>
  <c r="Q280" i="8"/>
  <c r="Q279" i="8"/>
  <c r="Q277" i="8"/>
  <c r="Q273" i="8"/>
  <c r="Q265" i="8"/>
  <c r="Q255" i="8"/>
  <c r="Q252" i="8"/>
  <c r="Q246" i="8"/>
  <c r="Q242" i="8"/>
  <c r="Q239" i="8"/>
  <c r="Q236" i="8"/>
  <c r="Q233" i="8"/>
  <c r="Q229" i="8"/>
  <c r="Q211" i="8"/>
  <c r="Q208" i="8"/>
  <c r="Q206" i="8"/>
  <c r="Q202" i="8"/>
  <c r="Q195" i="8"/>
  <c r="Q193" i="8"/>
  <c r="Q188" i="8"/>
  <c r="Q183" i="8"/>
  <c r="Q182" i="8"/>
  <c r="Q181" i="8"/>
  <c r="Q180" i="8"/>
  <c r="Q179" i="8"/>
  <c r="Q177" i="8"/>
  <c r="Q176" i="8"/>
  <c r="Q172" i="8"/>
  <c r="Q171" i="8"/>
  <c r="Q165" i="8"/>
  <c r="Q162" i="8"/>
  <c r="Q160" i="8"/>
  <c r="Q156" i="8"/>
  <c r="Q155" i="8"/>
  <c r="Q152" i="8"/>
  <c r="Q151" i="8"/>
  <c r="Q146" i="8"/>
  <c r="Q143" i="8"/>
  <c r="Q139" i="8"/>
  <c r="Q137" i="8"/>
  <c r="Q135" i="8"/>
  <c r="Q131" i="8"/>
  <c r="Q126" i="8"/>
  <c r="Q125" i="8"/>
  <c r="Q121" i="8"/>
  <c r="Q115" i="8"/>
  <c r="Q108" i="8"/>
  <c r="Q104" i="8"/>
  <c r="Q103" i="8"/>
  <c r="Q101" i="8"/>
  <c r="AF101" i="8" s="1"/>
  <c r="Q97" i="8"/>
  <c r="Q91" i="8"/>
  <c r="Q86" i="8"/>
  <c r="Q81" i="8"/>
  <c r="Q77" i="8"/>
  <c r="Q71" i="8"/>
  <c r="Q70" i="8"/>
  <c r="Q67" i="8"/>
  <c r="AF67" i="8" s="1"/>
  <c r="Q63" i="8"/>
  <c r="Q61" i="8"/>
  <c r="Q59" i="8"/>
  <c r="Q56" i="8"/>
  <c r="Q54" i="8"/>
  <c r="Q51" i="8"/>
  <c r="Q44" i="8"/>
  <c r="Q43" i="8"/>
  <c r="Q42" i="8"/>
  <c r="Q35" i="8"/>
  <c r="Q34" i="8"/>
  <c r="Q33" i="8"/>
  <c r="Q26" i="8"/>
  <c r="Q25" i="8"/>
  <c r="Q24" i="8"/>
  <c r="Q21" i="8"/>
  <c r="Q20" i="8"/>
  <c r="Q16" i="8"/>
  <c r="Q15" i="8"/>
  <c r="Q13" i="8"/>
  <c r="Q9" i="8"/>
  <c r="Q7" i="8"/>
  <c r="Q32" i="8"/>
  <c r="Q4" i="8"/>
  <c r="Q170" i="8" l="1"/>
  <c r="AF170" i="8" s="1"/>
  <c r="AE170" i="8"/>
  <c r="Q79" i="8" l="1"/>
  <c r="AF79" i="8" s="1"/>
  <c r="Q14" i="8" l="1"/>
  <c r="Q370" i="8" l="1"/>
  <c r="AF370" i="8" s="1"/>
  <c r="Q367" i="8"/>
  <c r="AF367" i="8" s="1"/>
  <c r="Q366" i="8"/>
  <c r="AF366" i="8" s="1"/>
  <c r="Q363" i="8"/>
  <c r="AF363" i="8" s="1"/>
  <c r="Q360" i="8"/>
  <c r="AF360" i="8" s="1"/>
  <c r="Q356" i="8"/>
  <c r="AF356" i="8" s="1"/>
  <c r="Q355" i="8"/>
  <c r="AF355" i="8" s="1"/>
  <c r="Q354" i="8"/>
  <c r="AF354" i="8" s="1"/>
  <c r="Q352" i="8"/>
  <c r="AF352" i="8" s="1"/>
  <c r="Q347" i="8"/>
  <c r="AF347" i="8" s="1"/>
  <c r="Q345" i="8"/>
  <c r="AF345" i="8" s="1"/>
  <c r="Q344" i="8"/>
  <c r="AF344" i="8" s="1"/>
  <c r="Q342" i="8"/>
  <c r="AF342" i="8" s="1"/>
  <c r="Q340" i="8"/>
  <c r="AF340" i="8" s="1"/>
  <c r="Q337" i="8"/>
  <c r="AF337" i="8" s="1"/>
  <c r="Q327" i="8"/>
  <c r="AF327" i="8" s="1"/>
  <c r="Q324" i="8"/>
  <c r="AF324" i="8" s="1"/>
  <c r="Q323" i="8"/>
  <c r="AF323" i="8" s="1"/>
  <c r="Q321" i="8"/>
  <c r="AF321" i="8" s="1"/>
  <c r="Q317" i="8"/>
  <c r="AF317" i="8" s="1"/>
  <c r="Q314" i="8"/>
  <c r="AF314" i="8" s="1"/>
  <c r="Q312" i="8"/>
  <c r="AF312" i="8" s="1"/>
  <c r="Q307" i="8"/>
  <c r="AF307" i="8" s="1"/>
  <c r="Q304" i="8"/>
  <c r="AF304" i="8" s="1"/>
  <c r="Q294" i="8"/>
  <c r="AF294" i="8" s="1"/>
  <c r="Q292" i="8"/>
  <c r="AF292" i="8" s="1"/>
  <c r="Q291" i="8"/>
  <c r="AF291" i="8" s="1"/>
  <c r="Q290" i="8"/>
  <c r="AF290" i="8" s="1"/>
  <c r="Q286" i="8"/>
  <c r="AF286" i="8" s="1"/>
  <c r="Q285" i="8"/>
  <c r="AF285" i="8" s="1"/>
  <c r="AF284" i="8"/>
  <c r="Q278" i="8"/>
  <c r="AF278" i="8" s="1"/>
  <c r="Q275" i="8"/>
  <c r="AF275" i="8" s="1"/>
  <c r="Q274" i="8"/>
  <c r="AF274" i="8" s="1"/>
  <c r="Q272" i="8"/>
  <c r="AF272" i="8" s="1"/>
  <c r="Q263" i="8"/>
  <c r="AF263" i="8" s="1"/>
  <c r="Q261" i="8"/>
  <c r="AF261" i="8" s="1"/>
  <c r="Q260" i="8"/>
  <c r="AF260" i="8" s="1"/>
  <c r="Q257" i="8"/>
  <c r="AF257" i="8" s="1"/>
  <c r="AG257" i="8" s="1"/>
  <c r="Q256" i="8"/>
  <c r="AF256" i="8" s="1"/>
  <c r="Q254" i="8"/>
  <c r="AF254" i="8" s="1"/>
  <c r="Q253" i="8"/>
  <c r="AF253" i="8" s="1"/>
  <c r="Q250" i="8"/>
  <c r="AF250" i="8" s="1"/>
  <c r="AG250" i="8" s="1"/>
  <c r="Q247" i="8"/>
  <c r="AF247" i="8" s="1"/>
  <c r="AG247" i="8" s="1"/>
  <c r="AF243" i="8"/>
  <c r="Q240" i="8"/>
  <c r="AF240" i="8" s="1"/>
  <c r="AG240" i="8" s="1"/>
  <c r="Q232" i="8"/>
  <c r="AF232" i="8" s="1"/>
  <c r="Q226" i="8"/>
  <c r="AF226" i="8" s="1"/>
  <c r="AG226" i="8" s="1"/>
  <c r="AF225" i="8"/>
  <c r="Q222" i="8"/>
  <c r="AF222" i="8" s="1"/>
  <c r="Q221" i="8"/>
  <c r="AF221" i="8" s="1"/>
  <c r="Q220" i="8"/>
  <c r="AF220" i="8" s="1"/>
  <c r="Q218" i="8"/>
  <c r="AF218" i="8" s="1"/>
  <c r="Q215" i="8"/>
  <c r="AF215" i="8" s="1"/>
  <c r="AG215" i="8" s="1"/>
  <c r="Q213" i="8"/>
  <c r="AF213" i="8" s="1"/>
  <c r="Q210" i="8"/>
  <c r="AF210" i="8" s="1"/>
  <c r="Q205" i="8"/>
  <c r="AF205" i="8" s="1"/>
  <c r="Q201" i="8"/>
  <c r="AF201" i="8" s="1"/>
  <c r="Q197" i="8"/>
  <c r="AF197" i="8" s="1"/>
  <c r="AG197" i="8" s="1"/>
  <c r="Q194" i="8"/>
  <c r="AF194" i="8" s="1"/>
  <c r="Q192" i="8"/>
  <c r="AF192" i="8" s="1"/>
  <c r="AG192" i="8" s="1"/>
  <c r="Q191" i="8"/>
  <c r="AF191" i="8" s="1"/>
  <c r="Q190" i="8"/>
  <c r="AF190" i="8" s="1"/>
  <c r="AG190" i="8" s="1"/>
  <c r="Q186" i="8"/>
  <c r="AF186" i="8" s="1"/>
  <c r="Q185" i="8"/>
  <c r="AF185" i="8" s="1"/>
  <c r="AG185" i="8" s="1"/>
  <c r="Q184" i="8"/>
  <c r="AF184" i="8" s="1"/>
  <c r="Q178" i="8"/>
  <c r="AF178" i="8" s="1"/>
  <c r="AF175" i="8"/>
  <c r="Q173" i="8"/>
  <c r="AF173" i="8" s="1"/>
  <c r="AG173" i="8" s="1"/>
  <c r="Q169" i="8"/>
  <c r="AF169" i="8" s="1"/>
  <c r="Q168" i="8"/>
  <c r="AF168" i="8" s="1"/>
  <c r="Q167" i="8"/>
  <c r="AF167" i="8" s="1"/>
  <c r="AG167" i="8" s="1"/>
  <c r="Q166" i="8"/>
  <c r="AF166" i="8" s="1"/>
  <c r="AG166" i="8" s="1"/>
  <c r="Q163" i="8"/>
  <c r="AF163" i="8" s="1"/>
  <c r="AG163" i="8" s="1"/>
  <c r="Q161" i="8"/>
  <c r="AF161" i="8" s="1"/>
  <c r="AG161" i="8" s="1"/>
  <c r="Q154" i="8"/>
  <c r="AF154" i="8" s="1"/>
  <c r="AG154" i="8" s="1"/>
  <c r="Q150" i="8"/>
  <c r="AF150" i="8" s="1"/>
  <c r="AG150" i="8" s="1"/>
  <c r="Q149" i="8"/>
  <c r="AF149" i="8" s="1"/>
  <c r="Q147" i="8"/>
  <c r="AF147" i="8" s="1"/>
  <c r="Q145" i="8"/>
  <c r="AF145" i="8" s="1"/>
  <c r="Q141" i="8"/>
  <c r="AF141" i="8" s="1"/>
  <c r="AG141" i="8" s="1"/>
  <c r="Q140" i="8"/>
  <c r="AF140" i="8" s="1"/>
  <c r="Q136" i="8"/>
  <c r="AF136" i="8" s="1"/>
  <c r="AG136" i="8" s="1"/>
  <c r="Q134" i="8"/>
  <c r="AF134" i="8" s="1"/>
  <c r="Q132" i="8"/>
  <c r="AF132" i="8" s="1"/>
  <c r="Q120" i="8"/>
  <c r="AF120" i="8" s="1"/>
  <c r="Q119" i="8"/>
  <c r="AF119" i="8" s="1"/>
  <c r="AG119" i="8" s="1"/>
  <c r="AF118" i="8"/>
  <c r="Q114" i="8"/>
  <c r="AF114" i="8" s="1"/>
  <c r="Q110" i="8"/>
  <c r="AF110" i="8" s="1"/>
  <c r="Q109" i="8"/>
  <c r="AF109" i="8" s="1"/>
  <c r="Q105" i="8"/>
  <c r="AF105" i="8" s="1"/>
  <c r="AG105" i="8" s="1"/>
  <c r="Q102" i="8"/>
  <c r="AF102" i="8" s="1"/>
  <c r="Q100" i="8"/>
  <c r="AF100" i="8" s="1"/>
  <c r="Q96" i="8"/>
  <c r="AF96" i="8" s="1"/>
  <c r="AG96" i="8" s="1"/>
  <c r="Q94" i="8"/>
  <c r="AF94" i="8" s="1"/>
  <c r="Q93" i="8"/>
  <c r="AF93" i="8" s="1"/>
  <c r="Q89" i="8"/>
  <c r="AF89" i="8" s="1"/>
  <c r="Q88" i="8"/>
  <c r="AF88" i="8" s="1"/>
  <c r="AG88" i="8" s="1"/>
  <c r="Q87" i="8"/>
  <c r="AF87" i="8" s="1"/>
  <c r="Q85" i="8"/>
  <c r="AF85" i="8" s="1"/>
  <c r="Q84" i="8"/>
  <c r="AF84" i="8" s="1"/>
  <c r="Q78" i="8"/>
  <c r="AF78" i="8" s="1"/>
  <c r="Q76" i="8"/>
  <c r="AF76" i="8" s="1"/>
  <c r="AG76" i="8" s="1"/>
  <c r="Q69" i="8"/>
  <c r="AF69" i="8" s="1"/>
  <c r="Q66" i="8"/>
  <c r="AF66" i="8" s="1"/>
  <c r="AG66" i="8" s="1"/>
  <c r="Q65" i="8"/>
  <c r="AF65" i="8" s="1"/>
  <c r="Q62" i="8"/>
  <c r="AF62" i="8" s="1"/>
  <c r="Q60" i="8"/>
  <c r="AF60" i="8" s="1"/>
  <c r="AG60" i="8" s="1"/>
  <c r="Q57" i="8"/>
  <c r="AF57" i="8" s="1"/>
  <c r="AG57" i="8" s="1"/>
  <c r="Q52" i="8"/>
  <c r="AF52" i="8" s="1"/>
  <c r="AG52" i="8" s="1"/>
  <c r="Q48" i="8"/>
  <c r="AF48" i="8" s="1"/>
  <c r="Q47" i="8"/>
  <c r="AF47" i="8" s="1"/>
  <c r="Q45" i="8"/>
  <c r="AF45" i="8" s="1"/>
  <c r="Q41" i="8"/>
  <c r="AF41" i="8" s="1"/>
  <c r="AG41" i="8" s="1"/>
  <c r="Q39" i="8"/>
  <c r="AF39" i="8" s="1"/>
  <c r="Q38" i="8"/>
  <c r="AF38" i="8" s="1"/>
  <c r="AG38" i="8" s="1"/>
  <c r="Q36" i="8"/>
  <c r="AF36" i="8" s="1"/>
  <c r="Q31" i="8"/>
  <c r="AF31" i="8" s="1"/>
  <c r="Q30" i="8"/>
  <c r="AF30" i="8" s="1"/>
  <c r="AG30" i="8" s="1"/>
  <c r="Q29" i="8"/>
  <c r="AF29" i="8" s="1"/>
  <c r="Q28" i="8"/>
  <c r="AF28" i="8" s="1"/>
  <c r="AG28" i="8" s="1"/>
  <c r="Q27" i="8"/>
  <c r="AF27" i="8" s="1"/>
  <c r="AG27" i="8" s="1"/>
  <c r="Q23" i="8"/>
  <c r="AF23" i="8" s="1"/>
  <c r="AG23" i="8" s="1"/>
  <c r="Q22" i="8"/>
  <c r="AF22" i="8" s="1"/>
  <c r="Q19" i="8"/>
  <c r="AF19" i="8" s="1"/>
  <c r="Q18" i="8"/>
  <c r="AF18" i="8" s="1"/>
  <c r="Q17" i="8"/>
  <c r="AF17" i="8" s="1"/>
  <c r="AF14" i="8"/>
  <c r="Q10" i="8"/>
  <c r="AF10" i="8" s="1"/>
  <c r="Q6" i="8"/>
  <c r="AF6" i="8" s="1"/>
  <c r="Q5" i="8"/>
  <c r="AF5" i="8" s="1"/>
  <c r="AG5" i="8" s="1"/>
  <c r="Q3" i="8"/>
  <c r="AF3" i="8" s="1"/>
  <c r="AF997" i="8"/>
  <c r="AF996" i="8"/>
  <c r="AF376" i="8"/>
  <c r="AF375" i="8"/>
  <c r="AF374" i="8"/>
  <c r="AF372" i="8"/>
  <c r="AF371" i="8"/>
  <c r="AF369" i="8"/>
  <c r="AF364" i="8"/>
  <c r="AF362" i="8"/>
  <c r="AF361" i="8"/>
  <c r="AF359" i="8"/>
  <c r="AF358" i="8"/>
  <c r="AF357" i="8"/>
  <c r="AF353" i="8"/>
  <c r="AF350" i="8"/>
  <c r="AF349" i="8"/>
  <c r="AF348" i="8"/>
  <c r="AF346" i="8"/>
  <c r="AF343" i="8"/>
  <c r="AF341" i="8"/>
  <c r="AF339" i="8"/>
  <c r="AF338" i="8"/>
  <c r="AF336" i="8"/>
  <c r="AF335" i="8"/>
  <c r="AF334" i="8"/>
  <c r="AF333" i="8"/>
  <c r="AF332" i="8"/>
  <c r="AF331" i="8"/>
  <c r="AF330" i="8"/>
  <c r="AF329" i="8"/>
  <c r="AF328" i="8"/>
  <c r="AF326" i="8"/>
  <c r="AF319" i="8"/>
  <c r="AF318" i="8"/>
  <c r="AF316" i="8"/>
  <c r="AF313" i="8"/>
  <c r="AF311" i="8"/>
  <c r="AF310" i="8"/>
  <c r="AF309" i="8"/>
  <c r="AF308" i="8"/>
  <c r="AF303" i="8"/>
  <c r="AF302" i="8"/>
  <c r="AF301" i="8"/>
  <c r="AF300" i="8"/>
  <c r="AF299" i="8"/>
  <c r="AF297" i="8"/>
  <c r="AF296" i="8"/>
  <c r="AF295" i="8"/>
  <c r="AF293" i="8"/>
  <c r="AF288" i="8"/>
  <c r="AF287" i="8"/>
  <c r="AF283" i="8"/>
  <c r="AF282" i="8"/>
  <c r="AF281" i="8"/>
  <c r="AF280" i="8"/>
  <c r="AF279" i="8"/>
  <c r="AF277" i="8"/>
  <c r="AF276" i="8"/>
  <c r="AF273" i="8"/>
  <c r="AF271" i="8"/>
  <c r="AF265" i="8"/>
  <c r="AF262" i="8"/>
  <c r="AF255" i="8"/>
  <c r="AF252" i="8"/>
  <c r="AF248" i="8"/>
  <c r="AF246" i="8"/>
  <c r="AF245" i="8"/>
  <c r="AF242" i="8"/>
  <c r="AF239" i="8"/>
  <c r="AF236" i="8"/>
  <c r="AG236" i="8" s="1"/>
  <c r="AF235" i="8"/>
  <c r="AF234" i="8"/>
  <c r="AF233" i="8"/>
  <c r="AF231" i="8"/>
  <c r="AF229" i="8"/>
  <c r="AF228" i="8"/>
  <c r="AF224" i="8"/>
  <c r="AF211" i="8"/>
  <c r="AF209" i="8"/>
  <c r="AF208" i="8"/>
  <c r="AF207" i="8"/>
  <c r="AF206" i="8"/>
  <c r="AF204" i="8"/>
  <c r="AF202" i="8"/>
  <c r="AF200" i="8"/>
  <c r="AF199" i="8"/>
  <c r="AF198" i="8"/>
  <c r="AF195" i="8"/>
  <c r="AF193" i="8"/>
  <c r="AF189" i="8"/>
  <c r="AF188" i="8"/>
  <c r="AF183" i="8"/>
  <c r="AF182" i="8"/>
  <c r="AF181" i="8"/>
  <c r="AF180" i="8"/>
  <c r="AF179" i="8"/>
  <c r="AF177" i="8"/>
  <c r="AF176" i="8"/>
  <c r="AF174" i="8"/>
  <c r="AF172" i="8"/>
  <c r="AF171" i="8"/>
  <c r="AF165" i="8"/>
  <c r="AF164" i="8"/>
  <c r="AF162" i="8"/>
  <c r="AF160" i="8"/>
  <c r="AF158" i="8"/>
  <c r="AF156" i="8"/>
  <c r="AF155" i="8"/>
  <c r="AF152" i="8"/>
  <c r="AF151" i="8"/>
  <c r="AF148" i="8"/>
  <c r="AF146" i="8"/>
  <c r="AF144" i="8"/>
  <c r="AF143" i="8"/>
  <c r="AF139" i="8"/>
  <c r="AF138" i="8"/>
  <c r="AF137" i="8"/>
  <c r="AF135" i="8"/>
  <c r="AF133" i="8"/>
  <c r="AF131" i="8"/>
  <c r="AF127" i="8"/>
  <c r="AF126" i="8"/>
  <c r="AF125" i="8"/>
  <c r="AF124" i="8"/>
  <c r="AF122" i="8"/>
  <c r="AF121" i="8"/>
  <c r="AF117" i="8"/>
  <c r="AF116" i="8"/>
  <c r="AF115" i="8"/>
  <c r="AF113" i="8"/>
  <c r="AF112" i="8"/>
  <c r="AF111" i="8"/>
  <c r="AF108" i="8"/>
  <c r="AF107" i="8"/>
  <c r="AF104" i="8"/>
  <c r="AF103" i="8"/>
  <c r="AF98" i="8"/>
  <c r="AF97" i="8"/>
  <c r="AF95" i="8"/>
  <c r="AF91" i="8"/>
  <c r="AF90" i="8"/>
  <c r="AF86" i="8"/>
  <c r="AF83" i="8"/>
  <c r="AF82" i="8"/>
  <c r="AF81" i="8"/>
  <c r="AF80" i="8"/>
  <c r="AF77" i="8"/>
  <c r="AF75" i="8"/>
  <c r="AF73" i="8"/>
  <c r="AF72" i="8"/>
  <c r="AF71" i="8"/>
  <c r="AF70" i="8"/>
  <c r="AF64" i="8"/>
  <c r="AF63" i="8"/>
  <c r="AF61" i="8"/>
  <c r="AF59" i="8"/>
  <c r="AF58" i="8"/>
  <c r="AF56" i="8"/>
  <c r="AF55" i="8"/>
  <c r="AF54" i="8"/>
  <c r="AF53" i="8"/>
  <c r="AF51" i="8"/>
  <c r="AF50" i="8"/>
  <c r="AF46" i="8"/>
  <c r="AF44" i="8"/>
  <c r="AF43" i="8"/>
  <c r="AF42" i="8"/>
  <c r="AF40" i="8"/>
  <c r="AF35" i="8"/>
  <c r="AF34" i="8"/>
  <c r="AF33" i="8"/>
  <c r="AF32" i="8"/>
  <c r="AF26" i="8"/>
  <c r="AF25" i="8"/>
  <c r="AF24" i="8"/>
  <c r="AF21" i="8"/>
  <c r="AF20" i="8"/>
  <c r="AF16" i="8"/>
  <c r="AF15" i="8"/>
  <c r="AF13" i="8"/>
  <c r="AF9" i="8"/>
  <c r="AF7" i="8"/>
  <c r="AF4" i="8"/>
  <c r="J1622" i="8"/>
  <c r="K1622" i="8"/>
  <c r="J1621" i="8"/>
  <c r="K1621" i="8"/>
  <c r="J1620" i="8"/>
  <c r="K1620" i="8"/>
  <c r="J1619" i="8"/>
  <c r="K1619" i="8"/>
  <c r="J1618" i="8"/>
  <c r="K1618" i="8"/>
  <c r="J1617" i="8"/>
  <c r="K1617" i="8"/>
  <c r="O449" i="8" l="1"/>
  <c r="O442" i="8"/>
  <c r="AG3" i="8"/>
  <c r="AG17" i="8"/>
  <c r="AG18" i="8"/>
  <c r="AG19" i="8"/>
  <c r="AG20" i="8"/>
  <c r="AG22"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AH3" i="8"/>
  <c r="AH6" i="8"/>
  <c r="AH7" i="8"/>
  <c r="J249" i="8" l="1"/>
  <c r="AE167" i="8" l="1"/>
  <c r="AE136" i="8"/>
  <c r="AE376" i="8"/>
  <c r="AE334" i="8"/>
  <c r="AE40" i="8"/>
  <c r="AE13" i="8"/>
  <c r="AG225" i="8"/>
  <c r="AE225" i="8"/>
  <c r="AE205" i="8"/>
  <c r="AG205" i="8"/>
  <c r="AG347" i="8"/>
  <c r="AE347" i="8"/>
  <c r="AG145" i="8"/>
  <c r="AE145" i="8"/>
  <c r="AG314" i="8"/>
  <c r="AE314" i="8"/>
  <c r="AG221" i="8"/>
  <c r="AE221" i="8"/>
  <c r="AG169" i="8"/>
  <c r="AE169" i="8"/>
  <c r="AE380" i="8"/>
  <c r="AG380" i="8"/>
  <c r="AG359" i="8"/>
  <c r="AE359" i="8"/>
  <c r="AG330" i="8"/>
  <c r="AE330" i="8"/>
  <c r="AG326" i="8"/>
  <c r="AE326" i="8"/>
  <c r="AG319" i="8"/>
  <c r="AE319" i="8"/>
  <c r="AG293" i="8"/>
  <c r="AE293" i="8"/>
  <c r="AG235" i="8"/>
  <c r="AE235" i="8"/>
  <c r="AG234" i="8"/>
  <c r="AE234" i="8"/>
  <c r="AG224" i="8"/>
  <c r="AE224" i="8"/>
  <c r="AG98" i="8"/>
  <c r="AE98" i="8"/>
  <c r="AG117" i="8"/>
  <c r="AE117" i="8"/>
  <c r="AG113" i="8"/>
  <c r="AE113" i="8"/>
  <c r="AG107" i="8"/>
  <c r="AE107" i="8"/>
  <c r="AE72" i="8"/>
  <c r="AE83" i="8"/>
  <c r="AE95" i="8"/>
  <c r="AG174" i="8"/>
  <c r="AE174" i="8"/>
  <c r="AG122" i="8"/>
  <c r="AE122" i="8"/>
  <c r="AG72" i="8"/>
  <c r="AG95" i="8"/>
  <c r="AG333" i="8"/>
  <c r="AE333" i="8"/>
  <c r="AG328" i="8"/>
  <c r="AE328" i="8"/>
  <c r="AG311" i="8"/>
  <c r="AE311" i="8"/>
  <c r="AG288" i="8"/>
  <c r="AE288" i="8"/>
  <c r="AG209" i="8"/>
  <c r="AE209" i="8"/>
  <c r="AG189" i="8"/>
  <c r="AE189" i="8"/>
  <c r="AG158" i="8"/>
  <c r="AE158" i="8"/>
  <c r="AG144" i="8"/>
  <c r="AE144" i="8"/>
  <c r="AG133" i="8"/>
  <c r="AE133" i="8"/>
  <c r="AG124" i="8"/>
  <c r="AE124" i="8"/>
  <c r="AG111" i="8"/>
  <c r="AE111" i="8"/>
  <c r="AG73" i="8"/>
  <c r="AE73" i="8"/>
  <c r="AE46" i="8"/>
  <c r="AE199" i="8"/>
  <c r="AG199" i="8"/>
  <c r="AE282" i="8"/>
  <c r="AG282" i="8"/>
  <c r="AG80" i="8"/>
  <c r="AE80" i="8"/>
  <c r="AG89" i="8"/>
  <c r="AE89" i="8"/>
  <c r="AG65" i="8"/>
  <c r="AE65" i="8"/>
  <c r="AG50" i="8"/>
  <c r="AG47" i="8"/>
  <c r="AE47" i="8"/>
  <c r="AE87" i="8"/>
  <c r="AG87" i="8"/>
  <c r="AE39" i="8"/>
  <c r="AG39" i="8"/>
  <c r="AG243" i="8"/>
  <c r="AE243" i="8"/>
  <c r="AG168" i="8"/>
  <c r="AE168" i="8"/>
  <c r="AG344" i="8"/>
  <c r="AE344" i="8"/>
  <c r="AG274" i="8"/>
  <c r="AE274" i="8"/>
  <c r="AG337" i="8"/>
  <c r="AE337" i="8"/>
  <c r="AG45" i="8"/>
  <c r="AE45" i="8"/>
  <c r="AG363" i="8"/>
  <c r="AE363" i="8"/>
  <c r="AG149" i="8"/>
  <c r="AE149" i="8"/>
  <c r="AG140" i="8"/>
  <c r="AE140" i="8"/>
  <c r="AG118" i="8"/>
  <c r="AE118" i="8"/>
  <c r="AE132" i="8"/>
  <c r="AG132" i="8"/>
  <c r="AE17" i="8"/>
  <c r="AE163" i="8" l="1"/>
  <c r="AG408" i="8"/>
  <c r="AE408" i="8"/>
  <c r="AG345" i="8"/>
  <c r="AE345" i="8"/>
  <c r="AG312" i="8"/>
  <c r="AE312" i="8"/>
  <c r="AE60" i="8"/>
  <c r="AG260" i="8"/>
  <c r="AE260" i="8"/>
  <c r="AG370" i="8"/>
  <c r="AE370" i="8"/>
  <c r="AE105" i="8"/>
  <c r="AG356" i="8"/>
  <c r="AE356" i="8"/>
  <c r="AG263" i="8"/>
  <c r="AE263" i="8"/>
  <c r="AG55" i="8"/>
  <c r="AE55" i="8"/>
  <c r="AE290" i="8"/>
  <c r="AG290" i="8"/>
  <c r="AE96" i="8"/>
  <c r="AE250" i="8"/>
  <c r="AE88" i="8"/>
  <c r="AE226" i="8"/>
  <c r="AG272" i="8"/>
  <c r="AE272" i="8"/>
  <c r="AE247" i="8"/>
  <c r="AE240" i="8"/>
  <c r="AG323" i="8"/>
  <c r="AE323" i="8"/>
  <c r="AE5" i="8"/>
  <c r="AG354" i="8"/>
  <c r="AE354" i="8"/>
  <c r="AG286" i="8"/>
  <c r="AE286" i="8"/>
  <c r="AG307" i="8"/>
  <c r="AE307" i="8"/>
  <c r="AE41" i="8"/>
  <c r="AE38" i="8"/>
  <c r="AE19" i="8"/>
  <c r="AG10" i="8"/>
  <c r="AE10" i="8"/>
  <c r="AG375" i="8" l="1"/>
  <c r="AE375" i="8"/>
  <c r="AG372" i="8"/>
  <c r="AE372" i="8"/>
  <c r="AG303" i="8"/>
  <c r="AE303" i="8"/>
  <c r="AG296" i="8"/>
  <c r="AE296" i="8"/>
  <c r="AG281" i="8"/>
  <c r="AE281" i="8"/>
  <c r="AG262" i="8"/>
  <c r="AE262" i="8"/>
  <c r="AG230" i="8"/>
  <c r="AE230" i="8"/>
  <c r="AG231" i="8"/>
  <c r="AE231" i="8"/>
  <c r="AG228" i="8"/>
  <c r="AE228" i="8"/>
  <c r="AG200" i="8"/>
  <c r="AE200" i="8"/>
  <c r="AG116" i="8"/>
  <c r="AE116" i="8"/>
  <c r="AG138" i="8"/>
  <c r="AE138" i="8"/>
  <c r="AG207" i="8"/>
  <c r="AE207" i="8"/>
  <c r="AG90" i="8"/>
  <c r="AE90" i="8"/>
  <c r="AG32" i="8"/>
  <c r="AE32" i="8"/>
  <c r="AG316" i="8"/>
  <c r="AG313" i="8"/>
  <c r="AG179" i="8"/>
  <c r="AG135" i="8"/>
  <c r="AG233" i="8"/>
  <c r="AG56" i="8"/>
  <c r="AG16" i="8"/>
  <c r="AG364" i="8"/>
  <c r="AG339" i="8"/>
  <c r="AG180" i="8"/>
  <c r="AG108" i="8"/>
  <c r="AG318" i="8"/>
  <c r="AG156" i="8"/>
  <c r="AG15" i="8"/>
  <c r="AH54" i="8"/>
  <c r="AH71" i="8"/>
  <c r="AH59" i="8"/>
  <c r="AG71" i="8"/>
  <c r="AG59" i="8"/>
  <c r="AG54" i="8"/>
  <c r="AE287" i="8"/>
  <c r="AE280" i="8"/>
  <c r="AE97" i="8"/>
  <c r="AG287" i="8"/>
  <c r="AG280" i="8"/>
  <c r="AG97" i="8"/>
  <c r="AG208" i="8"/>
  <c r="AE208" i="8"/>
  <c r="AG177" i="8"/>
  <c r="AE177" i="8"/>
  <c r="AG81" i="8"/>
  <c r="AE81" i="8"/>
  <c r="AG21" i="8"/>
  <c r="AE21" i="8"/>
  <c r="AG13" i="8"/>
  <c r="AG996" i="8"/>
  <c r="AG283" i="8"/>
  <c r="AG273" i="8"/>
  <c r="AG252" i="8"/>
  <c r="AG211" i="8"/>
  <c r="AG206" i="8"/>
  <c r="AG182" i="8"/>
  <c r="AG176" i="8"/>
  <c r="AG160" i="8"/>
  <c r="AG155" i="8"/>
  <c r="AG152" i="8"/>
  <c r="AG125" i="8"/>
  <c r="AG115" i="8"/>
  <c r="AG70" i="8"/>
  <c r="AG51" i="8"/>
  <c r="AG358" i="8"/>
  <c r="AG265" i="8"/>
  <c r="AG9" i="8"/>
  <c r="AG343" i="8"/>
  <c r="AE343" i="8"/>
  <c r="AG239" i="8"/>
  <c r="AE239" i="8"/>
  <c r="AG94" i="8"/>
  <c r="AG93" i="8"/>
  <c r="AE93" i="8"/>
  <c r="AG327" i="8"/>
  <c r="AE327" i="8"/>
  <c r="AG324" i="8"/>
  <c r="AE324" i="8"/>
  <c r="AG285" i="8"/>
  <c r="AE285" i="8"/>
  <c r="AG213" i="8"/>
  <c r="AE213" i="8"/>
  <c r="AG210" i="8"/>
  <c r="AE210" i="8"/>
  <c r="AG114" i="8"/>
  <c r="AE114" i="8"/>
  <c r="AG100" i="8"/>
  <c r="AE100" i="8"/>
  <c r="AG84" i="8"/>
  <c r="AE84" i="8"/>
  <c r="AG78" i="8"/>
  <c r="AE78" i="8"/>
  <c r="AG69" i="8"/>
  <c r="AE69" i="8"/>
  <c r="AG62" i="8"/>
  <c r="AE62" i="8"/>
  <c r="AE36" i="8"/>
  <c r="AG36" i="8"/>
  <c r="AG278" i="8"/>
  <c r="AE278" i="8"/>
  <c r="AG261" i="8"/>
  <c r="AE261" i="8"/>
  <c r="AG201" i="8"/>
  <c r="AE201" i="8"/>
  <c r="AG110" i="8"/>
  <c r="AE110" i="8"/>
  <c r="AE48" i="8"/>
  <c r="AE120" i="8"/>
  <c r="AG120" i="8"/>
  <c r="AG175" i="8"/>
  <c r="AE175" i="8"/>
  <c r="AG256" i="8"/>
  <c r="AE382" i="8"/>
  <c r="AE253" i="8"/>
  <c r="AE232" i="8"/>
  <c r="AG284" i="8"/>
  <c r="AE284" i="8"/>
  <c r="AG382" i="8"/>
  <c r="AG253" i="8"/>
  <c r="AG232" i="8"/>
  <c r="AE454" i="8"/>
  <c r="AG83" i="8"/>
  <c r="AG376" i="8"/>
  <c r="AG334" i="8"/>
  <c r="AG357" i="8" l="1"/>
  <c r="AG336" i="8"/>
  <c r="AG335" i="8"/>
  <c r="AG329" i="8"/>
  <c r="AG302" i="8"/>
  <c r="AG271" i="8"/>
  <c r="AG248" i="8"/>
  <c r="AG245" i="8"/>
  <c r="AG204" i="8"/>
  <c r="AG198" i="8"/>
  <c r="AG148" i="8"/>
  <c r="AG75" i="8"/>
  <c r="AG64" i="8"/>
  <c r="AG193" i="8"/>
  <c r="AG362" i="8"/>
  <c r="AE362" i="8"/>
  <c r="AG361" i="8"/>
  <c r="AE361" i="8"/>
  <c r="AG348" i="8"/>
  <c r="AE348" i="8"/>
  <c r="AG346" i="8"/>
  <c r="AE346" i="8"/>
  <c r="AG332" i="8"/>
  <c r="AE332" i="8"/>
  <c r="AG301" i="8"/>
  <c r="AE301" i="8"/>
  <c r="AG246" i="8"/>
  <c r="AE246" i="8"/>
  <c r="AG242" i="8"/>
  <c r="AE242" i="8"/>
  <c r="AG183" i="8"/>
  <c r="AE183" i="8"/>
  <c r="AG146" i="8"/>
  <c r="AE146" i="8"/>
  <c r="AG104" i="8"/>
  <c r="AE104" i="8"/>
  <c r="AG91" i="8"/>
  <c r="AE91" i="8"/>
  <c r="AG86" i="8"/>
  <c r="AE86" i="8"/>
  <c r="AG44" i="8"/>
  <c r="AE44" i="8"/>
  <c r="AG33" i="8"/>
  <c r="AE33" i="8"/>
  <c r="AE25" i="8"/>
  <c r="AG369" i="8"/>
  <c r="AE369" i="8"/>
  <c r="AE112" i="8"/>
  <c r="AG276" i="8"/>
  <c r="AG127" i="8"/>
  <c r="AG112" i="8"/>
  <c r="AG121" i="8"/>
  <c r="AG82" i="8"/>
  <c r="AG310" i="8"/>
  <c r="AG331" i="8"/>
  <c r="AG277" i="8"/>
  <c r="AG103" i="8" l="1"/>
  <c r="AG374" i="8"/>
  <c r="AE374" i="8"/>
  <c r="AG349" i="8"/>
  <c r="AE349" i="8"/>
  <c r="AG341" i="8"/>
  <c r="AE341" i="8"/>
  <c r="AG308" i="8"/>
  <c r="AE308" i="8"/>
  <c r="AG299" i="8"/>
  <c r="AE299" i="8"/>
  <c r="AG297" i="8"/>
  <c r="AE297" i="8"/>
  <c r="AG295" i="8"/>
  <c r="AE295" i="8"/>
  <c r="AG255" i="8"/>
  <c r="AE255" i="8"/>
  <c r="AG195" i="8"/>
  <c r="AE195" i="8"/>
  <c r="AG188" i="8"/>
  <c r="AE188" i="8"/>
  <c r="AG165" i="8"/>
  <c r="AE165" i="8"/>
  <c r="AG151" i="8"/>
  <c r="AE151" i="8"/>
  <c r="AG139" i="8"/>
  <c r="AE139" i="8"/>
  <c r="AG131" i="8"/>
  <c r="AE131" i="8"/>
  <c r="AG61" i="8"/>
  <c r="AE61" i="8"/>
  <c r="AG172" i="8"/>
  <c r="AE172" i="8"/>
  <c r="AG371" i="8"/>
  <c r="AG353" i="8"/>
  <c r="AG350" i="8"/>
  <c r="AG309" i="8"/>
  <c r="AG300" i="8"/>
  <c r="AG279" i="8"/>
  <c r="AG229" i="8"/>
  <c r="AG202" i="8"/>
  <c r="AG181" i="8"/>
  <c r="AG171" i="8"/>
  <c r="AG164" i="8"/>
  <c r="AG143" i="8"/>
  <c r="AG137" i="8"/>
  <c r="AG126" i="8"/>
  <c r="AG77" i="8"/>
  <c r="AG63" i="8"/>
  <c r="AE429" i="8"/>
  <c r="AE367" i="8"/>
  <c r="AE366" i="8"/>
  <c r="AE360" i="8"/>
  <c r="AE355" i="8"/>
  <c r="AE352" i="8"/>
  <c r="AE342" i="8"/>
  <c r="AE340" i="8"/>
  <c r="AE321" i="8"/>
  <c r="AE317" i="8"/>
  <c r="AE257" i="8"/>
  <c r="AE215" i="8"/>
  <c r="AE197" i="8"/>
  <c r="AE192" i="8"/>
  <c r="AE190" i="8"/>
  <c r="AE185" i="8"/>
  <c r="AE173" i="8"/>
  <c r="AE166" i="8"/>
  <c r="AE161" i="8"/>
  <c r="AE154" i="8"/>
  <c r="AE150" i="8"/>
  <c r="AE141" i="8"/>
  <c r="AE119" i="8"/>
  <c r="AE76" i="8"/>
  <c r="AE66" i="8"/>
  <c r="AE57" i="8"/>
  <c r="AE52" i="8"/>
  <c r="AE30" i="8"/>
  <c r="AE28" i="8"/>
  <c r="AE27" i="8"/>
  <c r="AE23" i="8"/>
  <c r="AE22" i="8"/>
  <c r="AE18" i="8"/>
  <c r="AE14" i="8"/>
  <c r="AE6" i="8"/>
  <c r="AE3" i="8"/>
  <c r="AG454" i="8"/>
  <c r="AG429" i="8"/>
  <c r="AG367" i="8"/>
  <c r="AG366" i="8"/>
  <c r="AG360" i="8"/>
  <c r="AG355" i="8"/>
  <c r="AG352" i="8"/>
  <c r="AG342" i="8"/>
  <c r="AG340" i="8"/>
  <c r="AG321" i="8"/>
  <c r="AG317" i="8"/>
  <c r="AG14" i="8"/>
  <c r="AG6" i="8"/>
  <c r="AG304" i="8"/>
  <c r="AG294" i="8"/>
  <c r="AG292" i="8"/>
  <c r="AG291" i="8"/>
  <c r="AG254" i="8"/>
  <c r="AG275" i="8"/>
  <c r="AG222" i="8"/>
  <c r="AG220" i="8"/>
  <c r="AG218" i="8"/>
  <c r="AG194" i="8"/>
  <c r="AG191" i="8"/>
  <c r="AG186" i="8"/>
  <c r="AG184" i="8"/>
  <c r="AG178" i="8"/>
  <c r="AG147" i="8"/>
  <c r="AG134" i="8"/>
  <c r="AG109" i="8"/>
  <c r="AG102" i="8"/>
  <c r="AG85" i="8"/>
  <c r="AG58" i="8"/>
  <c r="AG53" i="8"/>
  <c r="AG49" i="8"/>
  <c r="AG48" i="8"/>
  <c r="AG35" i="8"/>
  <c r="AG34" i="8"/>
  <c r="AG46" i="8"/>
  <c r="AG43" i="8"/>
  <c r="AG40" i="8"/>
  <c r="AG42" i="8"/>
  <c r="AG31" i="8"/>
  <c r="AG29" i="8"/>
  <c r="AG26" i="8"/>
  <c r="AG25" i="8"/>
  <c r="AG24" i="8"/>
  <c r="AG11" i="8"/>
  <c r="AG7" i="8"/>
  <c r="AE24" i="8"/>
  <c r="AG4" i="8"/>
  <c r="AE194" i="8" l="1"/>
  <c r="AG162" i="8"/>
  <c r="AG142" i="8"/>
  <c r="AE357" i="8"/>
  <c r="AE336" i="8"/>
  <c r="AE335" i="8"/>
  <c r="AE329" i="8"/>
  <c r="AE302" i="8"/>
  <c r="AE271" i="8"/>
  <c r="AE204" i="8"/>
  <c r="AE142" i="8"/>
  <c r="AE94" i="8"/>
  <c r="AE75" i="8"/>
  <c r="AE58" i="8"/>
  <c r="AE49" i="8"/>
  <c r="AE11" i="8"/>
  <c r="O456" i="8"/>
  <c r="AG266" i="8" l="1"/>
  <c r="AE318" i="8"/>
  <c r="AE266" i="8"/>
  <c r="AE156" i="8"/>
  <c r="AE276" i="8"/>
  <c r="AE127" i="8"/>
  <c r="AE59" i="8"/>
  <c r="AE34" i="8" l="1"/>
  <c r="AE35" i="8"/>
  <c r="AE71" i="8"/>
  <c r="AE54" i="8"/>
  <c r="AE331" i="8"/>
  <c r="AE277" i="8"/>
  <c r="AE103" i="8"/>
  <c r="AE364" i="8"/>
  <c r="AE339" i="8"/>
  <c r="AE180" i="8"/>
  <c r="AE108" i="8"/>
  <c r="AE101" i="8"/>
  <c r="AE316" i="8"/>
  <c r="AE79" i="8"/>
  <c r="AE155" i="8"/>
  <c r="AE304" i="8"/>
  <c r="AE294" i="8"/>
  <c r="AE292" i="8"/>
  <c r="AE291" i="8"/>
  <c r="AE275" i="8"/>
  <c r="AE254" i="8"/>
  <c r="AE222" i="8"/>
  <c r="AE220" i="8"/>
  <c r="AE218" i="8"/>
  <c r="AE191" i="8"/>
  <c r="AE186" i="8"/>
  <c r="AE184" i="8"/>
  <c r="AE178" i="8"/>
  <c r="AE147" i="8"/>
  <c r="AE134" i="8"/>
  <c r="AE109" i="8"/>
  <c r="AE102" i="8"/>
  <c r="AE85" i="8"/>
  <c r="AE31" i="8"/>
  <c r="AE29" i="8"/>
  <c r="AE248" i="8"/>
  <c r="AE245" i="8"/>
  <c r="AE198" i="8"/>
  <c r="AE148" i="8"/>
  <c r="AE64" i="8"/>
  <c r="AE53" i="8"/>
  <c r="AE15" i="8" l="1"/>
  <c r="AE121" i="8" l="1"/>
  <c r="AE42" i="8"/>
  <c r="AE371" i="8" l="1"/>
  <c r="AG159" i="8"/>
  <c r="AE159" i="8"/>
  <c r="AE26" i="8"/>
  <c r="AE4" i="8"/>
  <c r="AE283" i="8"/>
  <c r="AE273" i="8"/>
  <c r="AE252" i="8"/>
  <c r="AE211" i="8"/>
  <c r="AE206" i="8"/>
  <c r="AE182" i="8"/>
  <c r="AE176" i="8"/>
  <c r="AE160" i="8"/>
  <c r="AE152" i="8"/>
  <c r="AE125" i="8"/>
  <c r="AE115" i="8"/>
  <c r="AE70" i="8"/>
  <c r="AE51" i="8"/>
  <c r="AE358" i="8"/>
  <c r="AE265" i="8"/>
  <c r="AE20" i="8"/>
  <c r="AE9" i="8"/>
  <c r="AE353" i="8"/>
  <c r="AE350" i="8"/>
  <c r="AE309" i="8"/>
  <c r="AE300" i="8"/>
  <c r="AE279" i="8"/>
  <c r="AE229" i="8"/>
  <c r="AE181" i="8"/>
  <c r="AE171" i="8"/>
  <c r="AE164" i="8"/>
  <c r="AE143" i="8"/>
  <c r="AE137" i="8"/>
  <c r="AE126" i="8"/>
  <c r="AE77" i="8"/>
  <c r="AE63" i="8"/>
  <c r="AE43" i="8"/>
  <c r="AE7" i="8" l="1"/>
  <c r="O381" i="8" l="1"/>
  <c r="O289" i="8"/>
  <c r="O436" i="8"/>
  <c r="O462" i="8"/>
  <c r="O761" i="8" l="1"/>
  <c r="O955" i="8"/>
  <c r="O128" i="8"/>
  <c r="O993" i="8"/>
  <c r="O992" i="8"/>
  <c r="O991" i="8"/>
  <c r="O990" i="8"/>
  <c r="O989" i="8"/>
  <c r="O988" i="8"/>
  <c r="O987" i="8"/>
  <c r="O986" i="8"/>
  <c r="O985" i="8"/>
  <c r="O984" i="8"/>
  <c r="O983" i="8"/>
  <c r="O982" i="8"/>
  <c r="O981" i="8"/>
  <c r="O980" i="8"/>
  <c r="O979" i="8"/>
  <c r="O978" i="8"/>
  <c r="O977" i="8"/>
  <c r="O976" i="8"/>
  <c r="O975" i="8"/>
  <c r="O974" i="8"/>
  <c r="O973" i="8"/>
  <c r="O972" i="8"/>
  <c r="O971" i="8"/>
  <c r="O970" i="8"/>
  <c r="O954" i="8"/>
  <c r="O953" i="8"/>
  <c r="O952" i="8"/>
  <c r="O951" i="8"/>
  <c r="O950" i="8"/>
  <c r="O949" i="8"/>
  <c r="O948" i="8"/>
  <c r="O947" i="8"/>
  <c r="O946" i="8"/>
  <c r="O945" i="8"/>
  <c r="O944" i="8"/>
  <c r="O943" i="8"/>
  <c r="O942" i="8"/>
  <c r="O469" i="8"/>
  <c r="O426" i="8"/>
  <c r="O410" i="8"/>
  <c r="O378" i="8"/>
  <c r="O377" i="8"/>
  <c r="O365" i="8"/>
  <c r="O298" i="8"/>
  <c r="O270" i="8"/>
  <c r="O269" i="8"/>
  <c r="O268" i="8"/>
  <c r="O267" i="8"/>
  <c r="O264" i="8"/>
  <c r="O258" i="8"/>
  <c r="O241" i="8"/>
  <c r="O237" i="8"/>
  <c r="O227" i="8"/>
  <c r="O217" i="8"/>
  <c r="O216" i="8"/>
  <c r="O212" i="8"/>
  <c r="O187" i="8"/>
  <c r="O157" i="8"/>
  <c r="O130" i="8"/>
  <c r="O129" i="8"/>
  <c r="O123" i="8"/>
  <c r="O99" i="8"/>
  <c r="O68" i="8"/>
  <c r="O37" i="8"/>
  <c r="K3" i="8" l="1"/>
  <c r="K5" i="8"/>
  <c r="K6" i="8"/>
  <c r="K7" i="8"/>
  <c r="K9" i="8"/>
  <c r="K8" i="8"/>
  <c r="K10" i="8"/>
  <c r="K13" i="8"/>
  <c r="K11" i="8"/>
  <c r="K12" i="8"/>
  <c r="K14" i="8"/>
  <c r="K15" i="8"/>
  <c r="K16" i="8"/>
  <c r="K17" i="8"/>
  <c r="K18" i="8"/>
  <c r="K19" i="8"/>
  <c r="K21" i="8"/>
  <c r="K22" i="8"/>
  <c r="K23" i="8"/>
  <c r="K24" i="8"/>
  <c r="K25" i="8"/>
  <c r="K26" i="8"/>
  <c r="K27" i="8"/>
  <c r="K28" i="8"/>
  <c r="K29" i="8"/>
  <c r="K30" i="8"/>
  <c r="K31" i="8"/>
  <c r="K32" i="8"/>
  <c r="K33" i="8"/>
  <c r="K34" i="8"/>
  <c r="K35" i="8"/>
  <c r="K36" i="8"/>
  <c r="K38" i="8"/>
  <c r="K39" i="8"/>
  <c r="K37" i="8"/>
  <c r="K40" i="8"/>
  <c r="K41" i="8"/>
  <c r="K42" i="8"/>
  <c r="K43" i="8"/>
  <c r="K44" i="8"/>
  <c r="K45" i="8"/>
  <c r="K46" i="8"/>
  <c r="K47" i="8"/>
  <c r="K48" i="8"/>
  <c r="K50" i="8"/>
  <c r="K51" i="8"/>
  <c r="K49" i="8"/>
  <c r="K52" i="8"/>
  <c r="K53" i="8"/>
  <c r="K55" i="8"/>
  <c r="K56" i="8"/>
  <c r="K57" i="8"/>
  <c r="K58" i="8"/>
  <c r="K60" i="8"/>
  <c r="K61" i="8"/>
  <c r="K62" i="8"/>
  <c r="K63" i="8"/>
  <c r="K64" i="8"/>
  <c r="K65" i="8"/>
  <c r="K66" i="8"/>
  <c r="K67" i="8"/>
  <c r="K69" i="8"/>
  <c r="K70" i="8"/>
  <c r="K72" i="8"/>
  <c r="K73" i="8"/>
  <c r="K68" i="8"/>
  <c r="K75" i="8"/>
  <c r="K76" i="8"/>
  <c r="K77" i="8"/>
  <c r="K78" i="8"/>
  <c r="K80" i="8"/>
  <c r="K74" i="8"/>
  <c r="K81" i="8"/>
  <c r="K82" i="8"/>
  <c r="K83" i="8"/>
  <c r="K84" i="8"/>
  <c r="K79" i="8"/>
  <c r="K85" i="8"/>
  <c r="K86" i="8"/>
  <c r="K87" i="8"/>
  <c r="K88" i="8"/>
  <c r="K89" i="8"/>
  <c r="K54" i="8"/>
  <c r="K90" i="8"/>
  <c r="K91" i="8"/>
  <c r="K93" i="8"/>
  <c r="K94" i="8"/>
  <c r="K95" i="8"/>
  <c r="K96" i="8"/>
  <c r="K92" i="8"/>
  <c r="K97" i="8"/>
  <c r="K98" i="8"/>
  <c r="K100" i="8"/>
  <c r="K101" i="8"/>
  <c r="K102" i="8"/>
  <c r="K103" i="8"/>
  <c r="K99" i="8"/>
  <c r="K104" i="8"/>
  <c r="K105" i="8"/>
  <c r="K107" i="8"/>
  <c r="K108" i="8"/>
  <c r="K109" i="8"/>
  <c r="K110" i="8"/>
  <c r="K106" i="8"/>
  <c r="K111" i="8"/>
  <c r="K112" i="8"/>
  <c r="K113" i="8"/>
  <c r="K114" i="8"/>
  <c r="K115" i="8"/>
  <c r="K116" i="8"/>
  <c r="K117" i="8"/>
  <c r="K118" i="8"/>
  <c r="K119" i="8"/>
  <c r="K120" i="8"/>
  <c r="K121" i="8"/>
  <c r="K122" i="8"/>
  <c r="K124" i="8"/>
  <c r="K125" i="8"/>
  <c r="K126" i="8"/>
  <c r="K127" i="8"/>
  <c r="K123" i="8"/>
  <c r="K131" i="8"/>
  <c r="K132" i="8"/>
  <c r="K133" i="8"/>
  <c r="K134" i="8"/>
  <c r="K128" i="8"/>
  <c r="K129" i="8"/>
  <c r="K130" i="8"/>
  <c r="K135" i="8"/>
  <c r="K136" i="8"/>
  <c r="K137" i="8"/>
  <c r="K138" i="8"/>
  <c r="K139" i="8"/>
  <c r="K140" i="8"/>
  <c r="K141" i="8"/>
  <c r="K143" i="8"/>
  <c r="K144" i="8"/>
  <c r="K145" i="8"/>
  <c r="K146" i="8"/>
  <c r="K142" i="8"/>
  <c r="K147" i="8"/>
  <c r="K148" i="8"/>
  <c r="K149" i="8"/>
  <c r="K150" i="8"/>
  <c r="K151" i="8"/>
  <c r="K152" i="8"/>
  <c r="K154" i="8"/>
  <c r="K155" i="8"/>
  <c r="K156" i="8"/>
  <c r="K158" i="8"/>
  <c r="K153" i="8"/>
  <c r="K160" i="8"/>
  <c r="K161" i="8"/>
  <c r="K162" i="8"/>
  <c r="K157" i="8"/>
  <c r="K163" i="8"/>
  <c r="K159" i="8"/>
  <c r="K164" i="8"/>
  <c r="K165" i="8"/>
  <c r="K166" i="8"/>
  <c r="K167" i="8"/>
  <c r="K168" i="8"/>
  <c r="K169" i="8"/>
  <c r="K171" i="8"/>
  <c r="K172" i="8"/>
  <c r="K173" i="8"/>
  <c r="K174" i="8"/>
  <c r="K170" i="8"/>
  <c r="K175" i="8"/>
  <c r="K176" i="8"/>
  <c r="K177" i="8"/>
  <c r="K178" i="8"/>
  <c r="K179" i="8"/>
  <c r="K180" i="8"/>
  <c r="K181" i="8"/>
  <c r="K182" i="8"/>
  <c r="K183" i="8"/>
  <c r="K184" i="8"/>
  <c r="K185" i="8"/>
  <c r="K186" i="8"/>
  <c r="K188" i="8"/>
  <c r="K189" i="8"/>
  <c r="K190" i="8"/>
  <c r="K191" i="8"/>
  <c r="K187" i="8"/>
  <c r="K20" i="8"/>
  <c r="K192" i="8"/>
  <c r="K193" i="8"/>
  <c r="K194" i="8"/>
  <c r="K195" i="8"/>
  <c r="K197" i="8"/>
  <c r="K198" i="8"/>
  <c r="K199" i="8"/>
  <c r="K196" i="8"/>
  <c r="K200" i="8"/>
  <c r="K201" i="8"/>
  <c r="K202" i="8"/>
  <c r="K204" i="8"/>
  <c r="K205" i="8"/>
  <c r="K206" i="8"/>
  <c r="K203" i="8"/>
  <c r="K207" i="8"/>
  <c r="K208" i="8"/>
  <c r="K209" i="8"/>
  <c r="K210" i="8"/>
  <c r="K211" i="8"/>
  <c r="K213" i="8"/>
  <c r="K215" i="8"/>
  <c r="K218" i="8"/>
  <c r="K212" i="8"/>
  <c r="K220" i="8"/>
  <c r="K214" i="8"/>
  <c r="K221" i="8"/>
  <c r="K216" i="8"/>
  <c r="K217" i="8"/>
  <c r="K222" i="8"/>
  <c r="K219" i="8"/>
  <c r="K224" i="8"/>
  <c r="K4" i="8"/>
  <c r="K225" i="8"/>
  <c r="K223" i="8"/>
  <c r="K226" i="8"/>
  <c r="K228" i="8"/>
  <c r="K229" i="8"/>
  <c r="K227" i="8"/>
  <c r="K231" i="8"/>
  <c r="K232" i="8"/>
  <c r="K230" i="8"/>
  <c r="K233" i="8"/>
  <c r="K234" i="8"/>
  <c r="K235" i="8"/>
  <c r="K236" i="8"/>
  <c r="K239" i="8"/>
  <c r="K240" i="8"/>
  <c r="K237" i="8"/>
  <c r="K238" i="8"/>
  <c r="K242" i="8"/>
  <c r="K243" i="8"/>
  <c r="K241" i="8"/>
  <c r="K245" i="8"/>
  <c r="K246" i="8"/>
  <c r="K244" i="8"/>
  <c r="K247" i="8"/>
  <c r="K248" i="8"/>
  <c r="K249" i="8"/>
  <c r="K250" i="8"/>
  <c r="K252" i="8"/>
  <c r="K253" i="8"/>
  <c r="K251" i="8"/>
  <c r="K254" i="8"/>
  <c r="K255" i="8"/>
  <c r="K256" i="8"/>
  <c r="K257" i="8"/>
  <c r="K260" i="8"/>
  <c r="K261" i="8"/>
  <c r="K258" i="8"/>
  <c r="K259" i="8"/>
  <c r="K262" i="8"/>
  <c r="K263" i="8"/>
  <c r="K265" i="8"/>
  <c r="K271" i="8"/>
  <c r="K264" i="8"/>
  <c r="K272" i="8"/>
  <c r="K266" i="8"/>
  <c r="K267" i="8"/>
  <c r="K268" i="8"/>
  <c r="K269" i="8"/>
  <c r="K270" i="8"/>
  <c r="K273" i="8"/>
  <c r="K274" i="8"/>
  <c r="K275" i="8"/>
  <c r="K276" i="8"/>
  <c r="K277" i="8"/>
  <c r="K278" i="8"/>
  <c r="K279" i="8"/>
  <c r="K280" i="8"/>
  <c r="K281" i="8"/>
  <c r="K282" i="8"/>
  <c r="K283" i="8"/>
  <c r="K284" i="8"/>
  <c r="K285" i="8"/>
  <c r="K286" i="8"/>
  <c r="K287" i="8"/>
  <c r="K288" i="8"/>
  <c r="K290" i="8"/>
  <c r="K291" i="8"/>
  <c r="K289" i="8"/>
  <c r="K292" i="8"/>
  <c r="K59" i="8"/>
  <c r="K293" i="8"/>
  <c r="K294" i="8"/>
  <c r="K295" i="8"/>
  <c r="K296" i="8"/>
  <c r="K297" i="8"/>
  <c r="K299" i="8"/>
  <c r="K298" i="8"/>
  <c r="K300" i="8"/>
  <c r="K301" i="8"/>
  <c r="K302" i="8"/>
  <c r="K303" i="8"/>
  <c r="K304" i="8"/>
  <c r="K307" i="8"/>
  <c r="K305" i="8"/>
  <c r="K306" i="8"/>
  <c r="K308" i="8"/>
  <c r="K309" i="8"/>
  <c r="K310" i="8"/>
  <c r="K311" i="8"/>
  <c r="K312" i="8"/>
  <c r="K313" i="8"/>
  <c r="K314" i="8"/>
  <c r="K316" i="8"/>
  <c r="K315" i="8"/>
  <c r="K317" i="8"/>
  <c r="K318" i="8"/>
  <c r="K319" i="8"/>
  <c r="K321" i="8"/>
  <c r="K320" i="8"/>
  <c r="K323" i="8"/>
  <c r="K322" i="8"/>
  <c r="K324" i="8"/>
  <c r="K326" i="8"/>
  <c r="K325" i="8"/>
  <c r="K327" i="8"/>
  <c r="K71"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J3" i="8"/>
  <c r="J5" i="8"/>
  <c r="J6" i="8"/>
  <c r="J7" i="8"/>
  <c r="J9" i="8"/>
  <c r="J8" i="8"/>
  <c r="J10" i="8"/>
  <c r="J13" i="8"/>
  <c r="J11" i="8"/>
  <c r="J12" i="8"/>
  <c r="J14" i="8"/>
  <c r="J15" i="8"/>
  <c r="J16" i="8"/>
  <c r="J17" i="8"/>
  <c r="J18" i="8"/>
  <c r="J19" i="8"/>
  <c r="J21" i="8"/>
  <c r="J22" i="8"/>
  <c r="J23" i="8"/>
  <c r="J24" i="8"/>
  <c r="J25" i="8"/>
  <c r="J26" i="8"/>
  <c r="J27" i="8"/>
  <c r="J28" i="8"/>
  <c r="J29" i="8"/>
  <c r="J30" i="8"/>
  <c r="J31" i="8"/>
  <c r="J32" i="8"/>
  <c r="J33" i="8"/>
  <c r="J34" i="8"/>
  <c r="J35" i="8"/>
  <c r="J36" i="8"/>
  <c r="J38" i="8"/>
  <c r="J39" i="8"/>
  <c r="J37" i="8"/>
  <c r="J40" i="8"/>
  <c r="J41" i="8"/>
  <c r="J42" i="8"/>
  <c r="J43" i="8"/>
  <c r="J44" i="8"/>
  <c r="J45" i="8"/>
  <c r="J46" i="8"/>
  <c r="J47" i="8"/>
  <c r="J48" i="8"/>
  <c r="J50" i="8"/>
  <c r="J51" i="8"/>
  <c r="J49" i="8"/>
  <c r="J52" i="8"/>
  <c r="J53" i="8"/>
  <c r="J55" i="8"/>
  <c r="J56" i="8"/>
  <c r="J57" i="8"/>
  <c r="J58" i="8"/>
  <c r="J60" i="8"/>
  <c r="J61" i="8"/>
  <c r="J62" i="8"/>
  <c r="J63" i="8"/>
  <c r="J64" i="8"/>
  <c r="J65" i="8"/>
  <c r="J66" i="8"/>
  <c r="J67" i="8"/>
  <c r="J69" i="8"/>
  <c r="J70" i="8"/>
  <c r="J72" i="8"/>
  <c r="J73" i="8"/>
  <c r="J68" i="8"/>
  <c r="J75" i="8"/>
  <c r="J76" i="8"/>
  <c r="J77" i="8"/>
  <c r="J78" i="8"/>
  <c r="J80" i="8"/>
  <c r="J74" i="8"/>
  <c r="J81" i="8"/>
  <c r="J82" i="8"/>
  <c r="J83" i="8"/>
  <c r="J84" i="8"/>
  <c r="J79" i="8"/>
  <c r="J85" i="8"/>
  <c r="J86" i="8"/>
  <c r="J87" i="8"/>
  <c r="J88" i="8"/>
  <c r="J89" i="8"/>
  <c r="J54" i="8"/>
  <c r="J90" i="8"/>
  <c r="J91" i="8"/>
  <c r="J93" i="8"/>
  <c r="J94" i="8"/>
  <c r="J95" i="8"/>
  <c r="J96" i="8"/>
  <c r="J92" i="8"/>
  <c r="J97" i="8"/>
  <c r="J98" i="8"/>
  <c r="J100" i="8"/>
  <c r="J101" i="8"/>
  <c r="J102" i="8"/>
  <c r="J103" i="8"/>
  <c r="J99" i="8"/>
  <c r="J104" i="8"/>
  <c r="J105" i="8"/>
  <c r="J107" i="8"/>
  <c r="J108" i="8"/>
  <c r="J109" i="8"/>
  <c r="J110" i="8"/>
  <c r="J106" i="8"/>
  <c r="J111" i="8"/>
  <c r="J112" i="8"/>
  <c r="J113" i="8"/>
  <c r="J114" i="8"/>
  <c r="J115" i="8"/>
  <c r="J116" i="8"/>
  <c r="J117" i="8"/>
  <c r="J118" i="8"/>
  <c r="J119" i="8"/>
  <c r="J120" i="8"/>
  <c r="J121" i="8"/>
  <c r="J122" i="8"/>
  <c r="J124" i="8"/>
  <c r="J125" i="8"/>
  <c r="J126" i="8"/>
  <c r="J127" i="8"/>
  <c r="J123" i="8"/>
  <c r="J131" i="8"/>
  <c r="J132" i="8"/>
  <c r="J133" i="8"/>
  <c r="J134" i="8"/>
  <c r="J128" i="8"/>
  <c r="J129" i="8"/>
  <c r="J130" i="8"/>
  <c r="J135" i="8"/>
  <c r="J136" i="8"/>
  <c r="J137" i="8"/>
  <c r="J138" i="8"/>
  <c r="J139" i="8"/>
  <c r="J140" i="8"/>
  <c r="J141" i="8"/>
  <c r="J143" i="8"/>
  <c r="J144" i="8"/>
  <c r="J145" i="8"/>
  <c r="J146" i="8"/>
  <c r="J142" i="8"/>
  <c r="J147" i="8"/>
  <c r="J148" i="8"/>
  <c r="J149" i="8"/>
  <c r="J150" i="8"/>
  <c r="J151" i="8"/>
  <c r="J152" i="8"/>
  <c r="J154" i="8"/>
  <c r="J155" i="8"/>
  <c r="J156" i="8"/>
  <c r="J158" i="8"/>
  <c r="J153" i="8"/>
  <c r="J160" i="8"/>
  <c r="J161" i="8"/>
  <c r="J162" i="8"/>
  <c r="J157" i="8"/>
  <c r="J163" i="8"/>
  <c r="J159" i="8"/>
  <c r="J164" i="8"/>
  <c r="J165" i="8"/>
  <c r="J166" i="8"/>
  <c r="J167" i="8"/>
  <c r="J168" i="8"/>
  <c r="J169" i="8"/>
  <c r="J171" i="8"/>
  <c r="J172" i="8"/>
  <c r="J173" i="8"/>
  <c r="J174" i="8"/>
  <c r="J170" i="8"/>
  <c r="J175" i="8"/>
  <c r="J176" i="8"/>
  <c r="J177" i="8"/>
  <c r="J178" i="8"/>
  <c r="J179" i="8"/>
  <c r="J180" i="8"/>
  <c r="J181" i="8"/>
  <c r="J182" i="8"/>
  <c r="J183" i="8"/>
  <c r="J184" i="8"/>
  <c r="J185" i="8"/>
  <c r="J186" i="8"/>
  <c r="J188" i="8"/>
  <c r="J189" i="8"/>
  <c r="J190" i="8"/>
  <c r="J191" i="8"/>
  <c r="J187" i="8"/>
  <c r="J20" i="8"/>
  <c r="J192" i="8"/>
  <c r="J193" i="8"/>
  <c r="J194" i="8"/>
  <c r="J195" i="8"/>
  <c r="J197" i="8"/>
  <c r="J198" i="8"/>
  <c r="J199" i="8"/>
  <c r="J196" i="8"/>
  <c r="J200" i="8"/>
  <c r="J201" i="8"/>
  <c r="J202" i="8"/>
  <c r="J204" i="8"/>
  <c r="J205" i="8"/>
  <c r="J206" i="8"/>
  <c r="J203" i="8"/>
  <c r="J207" i="8"/>
  <c r="J208" i="8"/>
  <c r="J209" i="8"/>
  <c r="J210" i="8"/>
  <c r="J211" i="8"/>
  <c r="J213" i="8"/>
  <c r="J215" i="8"/>
  <c r="J218" i="8"/>
  <c r="J212" i="8"/>
  <c r="J220" i="8"/>
  <c r="J214" i="8"/>
  <c r="J221" i="8"/>
  <c r="J216" i="8"/>
  <c r="J217" i="8"/>
  <c r="J222" i="8"/>
  <c r="J219" i="8"/>
  <c r="J224" i="8"/>
  <c r="J4" i="8"/>
  <c r="J225" i="8"/>
  <c r="J223" i="8"/>
  <c r="J226" i="8"/>
  <c r="J228" i="8"/>
  <c r="J229" i="8"/>
  <c r="J227" i="8"/>
  <c r="J231" i="8"/>
  <c r="J232" i="8"/>
  <c r="J230" i="8"/>
  <c r="J233" i="8"/>
  <c r="J234" i="8"/>
  <c r="J235" i="8"/>
  <c r="J236" i="8"/>
  <c r="J239" i="8"/>
  <c r="J240" i="8"/>
  <c r="J237" i="8"/>
  <c r="J238" i="8"/>
  <c r="J242" i="8"/>
  <c r="J243" i="8"/>
  <c r="J241" i="8"/>
  <c r="J245" i="8"/>
  <c r="J246" i="8"/>
  <c r="J244" i="8"/>
  <c r="J247" i="8"/>
  <c r="J248" i="8"/>
  <c r="J250" i="8"/>
  <c r="J252" i="8"/>
  <c r="J253" i="8"/>
  <c r="J251" i="8"/>
  <c r="J254" i="8"/>
  <c r="J255" i="8"/>
  <c r="J256" i="8"/>
  <c r="J257" i="8"/>
  <c r="J260" i="8"/>
  <c r="J261" i="8"/>
  <c r="J258" i="8"/>
  <c r="J259" i="8"/>
  <c r="J262" i="8"/>
  <c r="J263" i="8"/>
  <c r="J265" i="8"/>
  <c r="J271" i="8"/>
  <c r="J264" i="8"/>
  <c r="J272" i="8"/>
  <c r="J266" i="8"/>
  <c r="J267" i="8"/>
  <c r="J268" i="8"/>
  <c r="J269" i="8"/>
  <c r="J270" i="8"/>
  <c r="J273" i="8"/>
  <c r="J274" i="8"/>
  <c r="J275" i="8"/>
  <c r="J276" i="8"/>
  <c r="J277" i="8"/>
  <c r="J278" i="8"/>
  <c r="J279" i="8"/>
  <c r="J280" i="8"/>
  <c r="J281" i="8"/>
  <c r="J282" i="8"/>
  <c r="J283" i="8"/>
  <c r="J284" i="8"/>
  <c r="J285" i="8"/>
  <c r="J286" i="8"/>
  <c r="J287" i="8"/>
  <c r="J288" i="8"/>
  <c r="J290" i="8"/>
  <c r="J291" i="8"/>
  <c r="J289" i="8"/>
  <c r="J292" i="8"/>
  <c r="J59" i="8"/>
  <c r="J293" i="8"/>
  <c r="J294" i="8"/>
  <c r="J295" i="8"/>
  <c r="J296" i="8"/>
  <c r="J297" i="8"/>
  <c r="J299" i="8"/>
  <c r="J298" i="8"/>
  <c r="J300" i="8"/>
  <c r="J301" i="8"/>
  <c r="J302" i="8"/>
  <c r="J303" i="8"/>
  <c r="J304" i="8"/>
  <c r="J307" i="8"/>
  <c r="J305" i="8"/>
  <c r="J306" i="8"/>
  <c r="J308" i="8"/>
  <c r="J309" i="8"/>
  <c r="J310" i="8"/>
  <c r="J311" i="8"/>
  <c r="J312" i="8"/>
  <c r="J313" i="8"/>
  <c r="J314" i="8"/>
  <c r="J316" i="8"/>
  <c r="J315" i="8"/>
  <c r="J317" i="8"/>
  <c r="J318" i="8"/>
  <c r="J319" i="8"/>
  <c r="J321" i="8"/>
  <c r="J320" i="8"/>
  <c r="J323" i="8"/>
  <c r="J322" i="8"/>
  <c r="J324" i="8"/>
  <c r="J326" i="8"/>
  <c r="J325" i="8"/>
  <c r="J327" i="8"/>
  <c r="J71"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tc={3F35CEAB-E9C0-4DE1-8D30-1CADBEC0D873}</author>
    <author>tc={FEC1C84C-02B2-4CCF-954D-283F7641DA58}</author>
    <author>tc={7957722B-D467-4F75-ADBF-3AFE8014D4E3}</author>
  </authors>
  <commentList>
    <comment ref="Y63" authorId="0" shapeId="0" xr:uid="{3F35CEAB-E9C0-4DE1-8D30-1CADBEC0D873}">
      <text>
        <t>[Threaded comment]
Your version of Excel allows you to read this threaded comment; however, any edits to it will get removed if the file is opened in a newer version of Excel. Learn more: https://go.microsoft.com/fwlink/?linkid=870924
Comment:
    Changed from M_DEBID (=View)</t>
      </text>
    </comment>
    <comment ref="AA67" authorId="1" shapeId="0" xr:uid="{FEC1C84C-02B2-4CCF-954D-283F7641DA58}">
      <text>
        <t>[Threaded comment]
Your version of Excel allows you to read this threaded comment; however, any edits to it will get removed if the file is opened in a newer version of Excel. Learn more: https://go.microsoft.com/fwlink/?linkid=870924
Comment:
    This rule is messed up. It SHOULD do the following: If there is an address number in KNA1, check if it exists in ADR6. If so, check that SMTP_ADDR is not empty.</t>
      </text>
    </comment>
    <comment ref="Y271" authorId="2" shapeId="0" xr:uid="{7957722B-D467-4F75-ADBF-3AFE8014D4E3}">
      <text>
        <t>[Threaded comment]
Your version of Excel allows you to read this threaded comment; however, any edits to it will get removed if the file is opened in a newer version of Excel. Learn more: https://go.microsoft.com/fwlink/?linkid=870924
Comment:
    Changed from M_DEBID</t>
      </text>
    </comment>
  </commentList>
</comments>
</file>

<file path=xl/sharedStrings.xml><?xml version="1.0" encoding="utf-8"?>
<sst xmlns="http://schemas.openxmlformats.org/spreadsheetml/2006/main" count="31702" uniqueCount="8648">
  <si>
    <t>ZB_G13_MATNR_TargetQMSystemReference</t>
  </si>
  <si>
    <t>Rule to check if Target QM System value for Material master data is valid according to the available values in the appropriate reference table in a standard SAP ECC 6.0 system.</t>
  </si>
  <si>
    <t>Consistency</t>
  </si>
  <si>
    <t>Material</t>
  </si>
  <si>
    <t>$P_I_TargetQMSystem</t>
  </si>
  <si>
    <t>varchar</t>
  </si>
  <si>
    <t>BEGIN
   RETURN exists('SAP', 'TQ02', 'QSSYS', $P_I_TargetQMSystem);
END</t>
  </si>
  <si>
    <t>ZB_G13_MATNR_FairShareRuleDomainReference</t>
  </si>
  <si>
    <t>Rule to check if Fair Share Rule value for a Material master is valid according to the appropriate reference domain or value range for a standard SAP ECC 6.0 system.</t>
  </si>
  <si>
    <t>BEGIN RETURN
$P_I_FairShare_Rule IS NULL
OR length($P_I_FairShare_Rule) = 0
OR $P_I_FairShare_Rule IN ('A', 'B', 'X');
END</t>
  </si>
  <si>
    <t>ZB_G13_MATNR_TaskListTypeReference</t>
  </si>
  <si>
    <t>Rule to check if Task List Type value for Material master data is valid according to the available values in the appropriate reference table in a standard SAP ECC 6.0 system.</t>
  </si>
  <si>
    <t>$P_I_TaskListType</t>
  </si>
  <si>
    <t>BEGIN
   RETURN exists('SAP', 'H_TCA01', 'PLNTY', $P_I_TaskListType);
END</t>
  </si>
  <si>
    <t>ZB_G14_CUST_TradingPartnerReference</t>
  </si>
  <si>
    <t>Rule to check if Trading Partner value for  Business Partner /  Customer / Vendor  master data is valid according to the available values in the appropriate reference table in a standard SAP ECC 6.0 system.</t>
  </si>
  <si>
    <t>Customer</t>
  </si>
  <si>
    <t>$P_I_TradingPartner</t>
  </si>
  <si>
    <t>BEGIN
   RETURN exists('SAP', 'T880', 'RCOMP', $P_I_TradingPartner);
END</t>
  </si>
  <si>
    <t>ZB_G14_CUST_SalesCurrencyExists</t>
  </si>
  <si>
    <t>Rule to validate if Customer Sales Currency is set</t>
  </si>
  <si>
    <t>Completeness</t>
  </si>
  <si>
    <t>$P_I_Currency</t>
  </si>
  <si>
    <t>Currency</t>
  </si>
  <si>
    <t>BEGIN RETURN
$P_I_Currency IS NOT NULL
AND $P_I_Currency != '';
END</t>
  </si>
  <si>
    <t>ZB_G15_VNDR_LicensevalidToDateExists</t>
  </si>
  <si>
    <t>Rule to check if the License valid to date for Business Partner / Customer / Vendor exists</t>
  </si>
  <si>
    <t>$P_I_LicenseValidToDate</t>
  </si>
  <si>
    <t>date</t>
  </si>
  <si>
    <t>BEGIN RETURN
$P_I_LicenseValidToDate IS NOT NULL
AND $P_I_LicenseValidToDate != to_date('', 'yyyy.mm.dd');
END</t>
  </si>
  <si>
    <t>ZB_G13_MATNR_AvailabilityCheckExists</t>
  </si>
  <si>
    <t>Rule to check for existence of Availability check in Material master data for a standard SAP ECC 6.0 system</t>
  </si>
  <si>
    <t>$P_I_AvailabilityCheck</t>
  </si>
  <si>
    <t>BEGIN RETURN
$P_I_AvailabilityCheck IS NOT NULL
AND $P_I_AvailabilityCheck != '';
END</t>
  </si>
  <si>
    <t>ZB_G14_CUST_CompanyCodeExists</t>
  </si>
  <si>
    <t>Rule to check if Company code exists for Business Partner / Customer / Vendor master data for a standard SAP ECC 6.0 system</t>
  </si>
  <si>
    <t>$P_I_CompanyCode</t>
  </si>
  <si>
    <t>BEGIN RETURN
$P_I_CompanyCode IS NOT NULL
AND $P_I_CompanyCode != '';
END</t>
  </si>
  <si>
    <t>ZB_G15_VNDR_StatisticeGroupReference</t>
  </si>
  <si>
    <t>Rule to check if Statistics Group value for Business Partner / Customer / Vendor master data is valid according to the available values in the appropriate reference table in a standard SAP ECC 6.0 system.</t>
  </si>
  <si>
    <t>$P_I_StatisticsGroup</t>
  </si>
  <si>
    <t>BEGIN
   RETURN exists('SAP', 'TVSD', 'STGKU', $P_I_StatisticsGroup);
END</t>
  </si>
  <si>
    <t>ZB_G15_VNDR_TaxNumberReference</t>
  </si>
  <si>
    <t>Rule to check if Tax Number value for Vendor master data is valid according to the available values in the appropriate reference table in a standard SAP ECC 6.0 system.</t>
  </si>
  <si>
    <t>$P_I_TaxNumber</t>
  </si>
  <si>
    <t>BEGIN
    RETURN exists('SAP', 'M_KREDA', 'LIFNR', $P_I_TaxNumber);
END</t>
  </si>
  <si>
    <t>ZB_G13_MATNR_MRPTypeReference</t>
  </si>
  <si>
    <t>Rule to check if MRP Type value for Material master data is valid according to the available values in the appropriate reference table in a standard SAP ECC 6.0 system.</t>
  </si>
  <si>
    <t>$P_I_MRPType</t>
  </si>
  <si>
    <t>BEGIN
  RETURN exists('SAP', 'T438A', 'DISMM', $P_I_MRPType);
END</t>
  </si>
  <si>
    <t>ZB_G14_CUST_TaxClassificationExists</t>
  </si>
  <si>
    <t>Rule to check if Tax classification exists for Customer master data for a standard SAP ECC 6.0 system</t>
  </si>
  <si>
    <t>$P_I_TaxClassification</t>
  </si>
  <si>
    <t>BEGIN RETURN
$P_I_TaxClassification IS NOT NULL
AND $P_I_TaxClassification != '';
END</t>
  </si>
  <si>
    <t>ZB_G14_CUST_DivisionExists</t>
  </si>
  <si>
    <t>Rule to check if Division exists for Customer master data for a standard SAP ECC 6.0 system</t>
  </si>
  <si>
    <t>$P_I_Division</t>
  </si>
  <si>
    <t>BEGIN RETURN
$P_I_Division IS NOT NULL
AND $P_I_Division != '';
END</t>
  </si>
  <si>
    <t>ZB_G13_MATNR_TransportationGroupExists</t>
  </si>
  <si>
    <t>Rule to check for existence of Transportation Group in Material master data for a standard SAP ECC 6.0 system</t>
  </si>
  <si>
    <t>$P_I_TransportationGroup</t>
  </si>
  <si>
    <t>BEGIN RETURN
$P_I_TransportationGroup IS NOT NULL
AND $P_I_TransportationGroup != '';
END</t>
  </si>
  <si>
    <t>ZB_G13_MATNR_SchedulingMarginKeyReference</t>
  </si>
  <si>
    <t>Rule to check if Scheduling Margin Key value for Material master data is valid according to the available values in the appropriate reference table in a standard SAP ECC 6.0 system.</t>
  </si>
  <si>
    <t>$P_I_SchedulingMarginKey</t>
  </si>
  <si>
    <t>BEGIN
   RETURN exists('SAP', 'T436A', 'FHORI', $P_I_SchedulingMarginKey);
END</t>
  </si>
  <si>
    <t>ZB_G13_MATNR_LoadingGroupExists</t>
  </si>
  <si>
    <t>Rule to check for existence of Loading Group in Material master data for a standard SAP ECC 6.0 system</t>
  </si>
  <si>
    <t>$P_I_LoadingGroup</t>
  </si>
  <si>
    <t>BEGIN RETURN
$P_I_LoadingGroup IS NOT NULL
AND $P_I_LoadingGroup != '';
END</t>
  </si>
  <si>
    <t>ZB_G14_CUST_InterestCycleDomainReference</t>
  </si>
  <si>
    <t>Rule to check if Interest Cycle value for a Business Partner / Customer / Vendor is valid according to the appropriate reference domain or value range for a standard SAP ECC 6.0 system.</t>
  </si>
  <si>
    <t>$P_I_InterestCycle</t>
  </si>
  <si>
    <t>BEGIN RETURN
$P_I_InterestCycle IS NULL
OR length($P_I_InterestCycle) = 0
OR $P_I_InterestCycle IN ('01', '02', '03', '04', '05', '06', '07', '08', '09', '10', '11', '12');
END</t>
  </si>
  <si>
    <t>ZB_G13_MATNR_BOMUsagereference</t>
  </si>
  <si>
    <t>Rule to check if BOM Usage value for Material master data is valid according to the available values in the appropriate reference table in a standard SAP ECC 6.0 system.</t>
  </si>
  <si>
    <t>BEGIN
   RETURN exists('SAP', 'T416', 'STLAN', $P_I_BOMUsage);
END</t>
  </si>
  <si>
    <t>ZB_G13_MATNR_FIYearVariantReference</t>
  </si>
  <si>
    <t>Rule to check if Fiscal Year Variant value for Material master data is valid according to the available values in the appropriate reference table in a standard SAP ECC 6.0 system.</t>
  </si>
  <si>
    <t>$P_I_FIYearVariant</t>
  </si>
  <si>
    <t>BEGIN
   RETURN exists('SAP', 'T009', 'PERIV', $P_I_FIYearVariant);
END</t>
  </si>
  <si>
    <t>ZB_G14_CUST_IndustryReference</t>
  </si>
  <si>
    <t>Rule to check if Industry value for Business Partner / Customer / Vendor master data is valid according to the available values in the appropriate reference table in a standard SAP ECC 6.0 system.</t>
  </si>
  <si>
    <t>$P_I_Industry</t>
  </si>
  <si>
    <t>BEGIN
   RETURN exists('SAP', 'T016', 'BRSCH', $P_I_Industry);
END</t>
  </si>
  <si>
    <t>ZB_G14_CUST_ProductProposalProcedureReference</t>
  </si>
  <si>
    <t>Rule to check if Product Proposal Procedure value for Customer master data is valid according to the available values in the appropriate reference table in a standard SAP ECC 6.0 system.</t>
  </si>
  <si>
    <t>$P_I_ProductProposalProc</t>
  </si>
  <si>
    <t>BEGIN
  RETURN exists('SAP', 'TPVD', 'PVKSM', $P_I_ProductProposalProc);
END</t>
  </si>
  <si>
    <t>ZB_G14_CUST_SalesOrganizationReference</t>
  </si>
  <si>
    <t>Rule to check if Sales Organization value for Customer master data is valid according to the available values in the appropriate reference table in a standard SAP ECC 6.0 system.</t>
  </si>
  <si>
    <t>$P_I_SalesOrg</t>
  </si>
  <si>
    <t>BEGIN
   RETURN exists('SAP', 'TVKO', 'VKORG', $P_I_SalesOrg);
END</t>
  </si>
  <si>
    <t>ZB_G13_MATNR_CCPhysicalInventoryIndicatorReference</t>
  </si>
  <si>
    <t>Rule to check if CC Physical Inventory Indicator value for Material master data is valid according to the available values in the appropriate reference table in a standard SAP ECC 6.0 system.</t>
  </si>
  <si>
    <t>$P_I_CCPhyInvIndicator</t>
  </si>
  <si>
    <t>BEGIN
   RETURN exists('SAP', 'MARC', 'ABCIN', $P_I_CCPhyInvIndicator);
END</t>
  </si>
  <si>
    <t>ZB_G13_MATNR_UnitofMeasureGroupReference</t>
  </si>
  <si>
    <t>Rule to check if Unit of Measure Group value for Material master data is valid according to the available values in the appropriate reference table in a standard SAP ECC 6.0 system.</t>
  </si>
  <si>
    <t>$P_I_UnitOfMeasureGroup</t>
  </si>
  <si>
    <t>BEGIN
   RETURN exists('SAP', 'TWMEG', 'MEGRU', $P_I_UnitOfMeasureGroup);
END</t>
  </si>
  <si>
    <t>ZB_G13_MATNR_StorageConditionReference</t>
  </si>
  <si>
    <t>Rule to check if Storage Condition value for Material master data is valid according to the available values in the appropriate reference table in a standard SAP ECC 6.0 system.</t>
  </si>
  <si>
    <t>$P_I_StorageCondition</t>
  </si>
  <si>
    <t>BEGIN
   RETURN exists('SAP', 'T142', 'RAUBE', $P_I_StorageCondition);
END</t>
  </si>
  <si>
    <t>ZB_G13_MATNR_AvailabilityCheckReference</t>
  </si>
  <si>
    <t>Rule to check if Availability Check value for Material master data is valid according to the available values in the appropriate reference table in a standard SAP ECC 6.0 system.</t>
  </si>
  <si>
    <t>$P_I_Availability_check</t>
  </si>
  <si>
    <t>BEGIN
   RETURN exists('SAP', 'TMVF', 'MTVFP', $P_I_Availability_check);
END</t>
  </si>
  <si>
    <t>ZB_G13_MATNR_CatalogProfileReference</t>
  </si>
  <si>
    <t>Rule to check if Catalog profile value for Material master data is valid according to the available values in the appropriate reference table in a standard SAP ECC 6.0 system.</t>
  </si>
  <si>
    <t>$P_I_CatalogProfile</t>
  </si>
  <si>
    <t>BEGIN
   RETURN exists('SAP', 'T352B', 'RBNR', $P_I_CatalogProfile);
END</t>
  </si>
  <si>
    <t>ZB_G15_VNDR_DMEIndicatorReference</t>
  </si>
  <si>
    <t>Rule to check if DME Indicator value for Vendor master data is valid according to the available values in the appropriate reference table in a standard SAP ECC 6.0 system.</t>
  </si>
  <si>
    <t>$P_I_DMEIndicator</t>
  </si>
  <si>
    <t>BEGIN RETURN
$P_I_DMEIndicator IS NULL
OR length($P_I_DMEIndicator) = 0
OR $P_I_DMEIndicator IN ('0', '1');
END</t>
  </si>
  <si>
    <t>ZB_G14_CUST_StatisticeGroupReference</t>
  </si>
  <si>
    <t>ZB_G14_CUST_PaymentCardCategoryReference</t>
  </si>
  <si>
    <t>Rule to check if Payment Card Category value for Customer master data is valid according to the available values in the appropriate reference table in a standard SAP ECC 6.0 system.</t>
  </si>
  <si>
    <t>BEGIN
    RETURN exists('SAP', 'TVCTY', 'CCTYP', $P_I_PaymentCardCategory);
END</t>
  </si>
  <si>
    <t>ZB_G14_CUST_PaymentMethodReference</t>
  </si>
  <si>
    <t>Rule to check if Payment Method value for Business Partner / Customer / Vendor master data is valid according to the available values in the appropriate reference table in a standard SAP ECC 6.0 system.</t>
  </si>
  <si>
    <t>$P_I_PaymentMethod</t>
  </si>
  <si>
    <t>BEGIN
   RETURN exists('SAP', 'T042Z', 'ZLSCH', $P_I_PaymentMethod);
END</t>
  </si>
  <si>
    <t>ZB_G13_MATNR_CommissionGroupReference</t>
  </si>
  <si>
    <t>Rule to check if Commision Group value for Material master data is valid according to the available values in the appropriate reference table in a standard SAP ECC 6.0 system.</t>
  </si>
  <si>
    <t>$P_I_CommissionGroup</t>
  </si>
  <si>
    <t>BEGIN
   RETURN exists('SAP', 'TVPR', 'PROVG', $P_I_CommissionGroup);
END</t>
  </si>
  <si>
    <t>ZB_G13_MATNR_PurchasingGroupExists</t>
  </si>
  <si>
    <t>Rule to check for existence of Purchasing group in Material master data for a standard SAP ECC 6.0 system</t>
  </si>
  <si>
    <t>$P_I_PurchasingGroup</t>
  </si>
  <si>
    <t>BEGIN RETURN
$P_I_PurchasingGroup IS NOT NULL
AND $P_I_PurchasingGroup != '';
END</t>
  </si>
  <si>
    <t>ZB_G13_MATNR_WarehouseNumberExists</t>
  </si>
  <si>
    <t>Rule to check if the Warehouse number exists for Material Master data in a standard SAP ECC 6.0 system</t>
  </si>
  <si>
    <t>$P_I_WarehouseNumber</t>
  </si>
  <si>
    <t>BEGIN RETURN
$P_I_WarehouseNumber IS NOT NULL
AND $P_I_WarehouseNumber != '';
END</t>
  </si>
  <si>
    <t>ZB_G14_CUST_USPhoneNumberFormat</t>
  </si>
  <si>
    <t>Rule to check if a US phone or fax number is in the valid format if it exists.</t>
  </si>
  <si>
    <t>Conformity</t>
  </si>
  <si>
    <t>$P_I_Country</t>
  </si>
  <si>
    <t>BEGIN RETURN
match_pattern($P_I_PhoneNumber, '9999999999')
OR match_pattern($P_I_PhoneNumber, '999-999-9999')
OR match_pattern($P_I_PhoneNumber, '(999)-999-9999')
OR match_pattern($P_I_PhoneNumber, '1-999-999-9999')
OR match_pattern($P_I_PhoneNumber, '1-(999)-999-9999')
OR match_pattern($P_I_PhoneNumber, '19999999999')
OR match_pattern($P_I_PhoneNumber, '+1-999-999-9999')
OR match_pattern($P_I_PhoneNumber, '+1-(999)-999-9999')
OR match_pattern($P_I_PhoneNumber, '+19999999999');
END</t>
  </si>
  <si>
    <t>ZB_G15_VNDR_DunningClerkReference</t>
  </si>
  <si>
    <t>Rule to check if Dunning Clerk value for Business Partner / Customer / Vendor master data is valid according to the available values in the appropriate reference table in a standard SAP ECC 6.0 system.</t>
  </si>
  <si>
    <t>$P_I_DunningClerk</t>
  </si>
  <si>
    <t>BEGIN
   RETURN exists('SAP', 'T001S', 'BUSAB', $P_I_DunningClerk);
END</t>
  </si>
  <si>
    <t>ZB_G13_MATNR_SchedMarginExists</t>
  </si>
  <si>
    <t>Rule to check for existence of Scheduling Margin key for floats in Material master data for a standard SAP ECC 6.0 system</t>
  </si>
  <si>
    <t>BEGIN RETURN
$P_I_SchedKey IS NOT NULL
AND $P_I_SchedKey != '';
END</t>
  </si>
  <si>
    <t>ZB_G14_CUST_AccountingClerkReference</t>
  </si>
  <si>
    <t>Rule to check if Accounting Clerk value for Business Partner / Customer / Vendor master data is valid according to the available values in the appropriate reference table in a standard SAP ECC 6.0 system.</t>
  </si>
  <si>
    <t>$P_I_AccountingClerk</t>
  </si>
  <si>
    <t>BEGIN
   RETURN exists('SAP', 'T001S', 'BUSAB', $P_I_AccountingClerk);
END</t>
  </si>
  <si>
    <t>ZB_G14_CUST_IndustryCodeReference</t>
  </si>
  <si>
    <t>Rule to check if Industry Code reference value for Business Partner / Customer / Vendor master data is valid according to the available values in the appropriate reference table in a standard SAP ECC 6.0 system.</t>
  </si>
  <si>
    <t>$P_I_IndustryCode</t>
  </si>
  <si>
    <t>BEGIN
     RETURN exists('SAP', 'TBRC', 'BRACO', $P_I_IndustryCode);
END</t>
  </si>
  <si>
    <t>ZB_G14_CUST_SalesOfficeReference</t>
  </si>
  <si>
    <t>Rule to check if Sales Office value for Customer master data is valid according to the available values in the appropriate reference table in a standard SAP ECC 6.0 system.</t>
  </si>
  <si>
    <t>$P_I_SalesOffice</t>
  </si>
  <si>
    <t>BEGIN
   RETURN exists('SAP', 'TVKBT', 'VKBUR', $P_I_SalesOffice);
END</t>
  </si>
  <si>
    <t>ZB_G13_MATNR_SerialNoLevelDomainReference</t>
  </si>
  <si>
    <t>Rule to check if Serial No Level value for a Material master is valid according to the appropriate reference domain or value range for a standard SAP ECC 6.0 system.</t>
  </si>
  <si>
    <t>$P_I_SerialNoDomain</t>
  </si>
  <si>
    <t>BEGIN RETURN
$P_I_SerialNoDomain IS NULL
OR length($P_I_SerialNoDomain) = 0
OR $P_I_SerialNoDomain IN ('1');
END</t>
  </si>
  <si>
    <t>ZB_G15_VNDR_BankStatementIndicatorReference</t>
  </si>
  <si>
    <t>Rule to check if Bank Statement Indicator value for Business Partner / Customer / Vendor master data is valid according to the available values in the appropriate reference table in a standard SAP ECC 6.0 system.</t>
  </si>
  <si>
    <t>$P_I_BankStmtInd</t>
  </si>
  <si>
    <t>BEGIN
   RETURN exists('SAP', 'T048K', 'XAUSZ', $P_I_BankStmtInd);
END</t>
  </si>
  <si>
    <t>ZB_G13_MATNR_ProposedUOMfromMatDomainReference</t>
  </si>
  <si>
    <t>Rule to check if Proposed UoM from Material value for a Material master is valid according to the appropriate reference domain or value range for a standard SAP ECC 6.0 system.</t>
  </si>
  <si>
    <t>$P_I_ProposedUOM</t>
  </si>
  <si>
    <t>BEGIN RETURN
$P_I_ProposedUOM IS NULL
OR length($P_I_ProposedUOM) = 0
OR $P_I_ProposedUOM IN ('A','B', 'K', 'L', 'M', 'N');
END</t>
  </si>
  <si>
    <t>ZB_G13_MATNR_SpecialMovementReference</t>
  </si>
  <si>
    <t>Rule to check if Special Movement value for Material master data is valid according to the available values in the appropriate reference table in a standard SAP ECC 6.0 system.</t>
  </si>
  <si>
    <t>$P_I_SpecialMovement</t>
  </si>
  <si>
    <t>BEGIN
   RETURN exists('SAP', 'T306', 'BSSKZ', $P_I_SpecialMovement);
END</t>
  </si>
  <si>
    <t>ZB_G15_VNDR_PartnerFunctionExists</t>
  </si>
  <si>
    <t>Rule to check if Partner Function exists for Business Partner / Customer / Vendor master data for a standard SAP ECC 6.0 system</t>
  </si>
  <si>
    <t>$P_I_PartnerFunction</t>
  </si>
  <si>
    <t>BEGIN RETURN
$P_I_PartnerFunction IS NOT NULL
AND $P_I_PartnerFunction != '';
END</t>
  </si>
  <si>
    <t>ZB_G14_CUST_TaxJurisdictionExists</t>
  </si>
  <si>
    <t>Rule to validate if Customer Tax Jurisdiction exists.</t>
  </si>
  <si>
    <t>Tax jurisdiction</t>
  </si>
  <si>
    <t>BEGIN RETURN
$P_I_TaxJurisdiction IS NOT NULL
AND $P_I_TaxJurisdiction != '';
END</t>
  </si>
  <si>
    <t>ZB_G15_VNDR_ExchangeRateTypeReference</t>
  </si>
  <si>
    <t>Rule to check if Exchange Rate Type value for Business Partner / Customer / Vendor master data is valid according to the available values in the appropriate reference table in a standard SAP ECC 6.0 system.</t>
  </si>
  <si>
    <t>$P_I_ExchRateType</t>
  </si>
  <si>
    <t>BEGIN
  RETURN exists('SAP', 'TCURV', 'KURST', $P_I_ExchRateType);
END</t>
  </si>
  <si>
    <t>ZB_G13_MATNR_CommodityorImportCodeReference</t>
  </si>
  <si>
    <t>Rule to check if Commodity or Import Code value for Material master data is valid according to the available values in the appropriate reference table in a standard SAP ECC 6.0 system.</t>
  </si>
  <si>
    <t>$P_I_CommImportCode</t>
  </si>
  <si>
    <t>BEGIN
   RETURN exists('SAP', 'T604', 'STAWN', $P_I_CommImportCode);
END</t>
  </si>
  <si>
    <t>ZB_G15_VNDR_GroupingKeyReference</t>
  </si>
  <si>
    <t>Rule to check if Grouping Key value for Business Partner / Customer / Vendor master data is valid according to the available values in the appropriate reference table in a standard SAP ECC 6.0 system.</t>
  </si>
  <si>
    <t>$P_I_GroupingKey</t>
  </si>
  <si>
    <t>BEGIN
   RETURN exists('SAP', 'TZGR', 'ZGRUP', $P_I_GroupingKey);
END</t>
  </si>
  <si>
    <t>ZB_G13_MATNR_SlocMRPIndicatorDomainReference</t>
  </si>
  <si>
    <t>Rule to check if Storage location MRP Indicator value for a Material master is valid according to the appropriate reference domain or value range for a standard SAP ECC 6.0 system.</t>
  </si>
  <si>
    <t>$P_I_StorageLocMRP_ind</t>
  </si>
  <si>
    <t>BEGIN RETURN
$P_I_StorageLocMRP_ind IS NULL
OR length($P_I_StorageLocMRP_ind) = 0
OR $P_I_StorageLocMRP_ind IN ('1', '2');
END</t>
  </si>
  <si>
    <t>ZB_G14_CUST_PricingProcedureExists</t>
  </si>
  <si>
    <t>Rule to check if Pricing procedure exists for Customer master data for a standard SAP ECC 6.0 system</t>
  </si>
  <si>
    <t>$P_I_PricingProcedure</t>
  </si>
  <si>
    <t>BEGIN RETURN
$P_I_PricingProcedure IS NOT NULL
AND $P_I_PricingProcedure != '';
END</t>
  </si>
  <si>
    <t>ZB_G13_MATNR_MaterialFrieghtGroupReference</t>
  </si>
  <si>
    <t>Rule to check if Material Freight Group value for Material master data is valid according to the available values in the appropriate reference table in a standard SAP ECC 6.0 system.</t>
  </si>
  <si>
    <t>$P_I_FreightGroup</t>
  </si>
  <si>
    <t>BEGIN
    RETURN exists('SAP', 'TMFG', 'MFRGR', $P_I_FreightGroup);
END</t>
  </si>
  <si>
    <t>ZB_G15_VNDR_CountryReference</t>
  </si>
  <si>
    <t>Rule to check if Country value for Business Partner / Customer / Vendor master data is valid according to the available values in the appropriate reference table in a standard SAP ECC 6.0 system.</t>
  </si>
  <si>
    <t>BEGIN
     RETURN exists('SAP', 'T005', 'LAND1', $P_I_Country);
END</t>
  </si>
  <si>
    <t>ZB_G13_MATNR_SafetyTimeIndicatorDomainReference</t>
  </si>
  <si>
    <t>Rule to check if Safety Time Indicator value for a Material master is valid according to the appropriate reference domain or value range for a standard SAP ECC 6.0 system.</t>
  </si>
  <si>
    <t>$P_I_SafetyTimeInd</t>
  </si>
  <si>
    <t>BEGIN RETURN
$P_I_SafetyTimeInd IS NULL
OR length($P_I_SafetyTimeInd) = 0
OR $P_I_SafetyTimeInd IN ('1','2');
END</t>
  </si>
  <si>
    <t>ZB_G14_CUST_TermsOfPaymentReference</t>
  </si>
  <si>
    <t>Rule to check if Terms of Payment key value for  Business Partner /  Customer / Vendor  master data is valid according to the available values in the appropriate reference table in a standard SAP ECC 6.0 system.</t>
  </si>
  <si>
    <t>$P_I_TermsOfPayment</t>
  </si>
  <si>
    <t>BEGIN
   RETURN exists('SAP', 'T052', 'ZTERM', $P_I_TermsOfPayment);
END</t>
  </si>
  <si>
    <t>ZB_G13_MATNR_MaterialGroup3Reference</t>
  </si>
  <si>
    <t>Rule to check if Material Group 3 value for Material master data is valid according to the available values in the appropriate reference table in a standard SAP ECC 6.0 system.</t>
  </si>
  <si>
    <t>$P_I_MatGroup3</t>
  </si>
  <si>
    <t>BEGIN
  RETURN exists('SAP', 'TVM3', 'MVGR3', $P_I_MatGroup3);
END</t>
  </si>
  <si>
    <t>ZB_G14_CUST_NextPayeeReference</t>
  </si>
  <si>
    <t>Rule to check if Next Payee value for Business Partner / Customer / Vendor master data is valid according to the available values in the appropriate reference table in a standard SAP ECC 6.0 system.</t>
  </si>
  <si>
    <t>$P_I_NextPayee</t>
  </si>
  <si>
    <t>BEGIN
   RETURN exists('SAP', 'M_DEBID', 'KUNNR', $P_I_NextPayee);
END</t>
  </si>
  <si>
    <t>ZB_G15_VNDR_TransportationZoneReference</t>
  </si>
  <si>
    <t>Rule to check if Transportation Zone value for  Business Partner /  Customer / Vendor  master data is valid according to the available values in the appropriate reference table in a standard SAP ECC 6.0 system.</t>
  </si>
  <si>
    <t>$P_I_TransportationZone</t>
  </si>
  <si>
    <t>BEGIN
   RETURN exists('SAP', 'TZONE', 'ZONE1', $P_I_TransportationZone);
END</t>
  </si>
  <si>
    <t>ZB_G13_MATNR_SalesOrgExists</t>
  </si>
  <si>
    <t>Rule to check for existence of Sales Organization in Material master data for a standard SAP ECC 6.0 system</t>
  </si>
  <si>
    <t>BEGIN RETURN
$P_I_SalesOrg IS NOT NULL
AND $P_I_SalesOrg != '';
END</t>
  </si>
  <si>
    <t>ZB_G13_MATNR_CountryReference</t>
  </si>
  <si>
    <t>Rule to check if Country value for Material master data is valid according to the available values in the appropriate reference table in a standard SAP ECC 6.0 system.</t>
  </si>
  <si>
    <t>BEGIN
   RETURN exists('SAP', 'T005', 'LAND1', $P_I_Country);
END</t>
  </si>
  <si>
    <t>ZB_G14_CUST_EmailAddressExists</t>
  </si>
  <si>
    <t>Rule to validate if Business Partner / Customer / Vendor E-Mail Address exists</t>
  </si>
  <si>
    <t>BEGIN RETURN
$P_I_EmailAddress IS NOT NULL
AND $P_I_EmailAddress != '';
END</t>
  </si>
  <si>
    <t>ZB_G13_MATNR_MaterialStatisticsGroupReference</t>
  </si>
  <si>
    <t>Rule to check if Material Statistics Group value for Material master data is valid according to the available values in the appropriate reference table in a standard SAP ECC 6.0 system.</t>
  </si>
  <si>
    <t>$P_I_MatStatsGroups</t>
  </si>
  <si>
    <t>BEGIN
   RETURN exists('SAP', 'TVSM', 'STGMA', $P_I_MatStatsGroups);
END</t>
  </si>
  <si>
    <t>ZB_G14_CUST_CountryCodeExists</t>
  </si>
  <si>
    <t>Rule to validate if Business Partner / Customer / Vendor Country Code exists.</t>
  </si>
  <si>
    <t>$P_I_CountryCode</t>
  </si>
  <si>
    <t>BEGIN RETURN
$P_I_CountryCode IS NOT NULL
AND $P_I_CountryCode != '';
END</t>
  </si>
  <si>
    <t>ZB_G15_VNDR_ExcemptionAuthorityDomainReference</t>
  </si>
  <si>
    <t>Rule to check if Exemption Authority value for a Vendor master is valid according to the appropriate reference domain or value range for a standard SAP ECC 6.0 system.</t>
  </si>
  <si>
    <t>$P_I_ExcemptionAuthority</t>
  </si>
  <si>
    <t>BEGIN RETURN
$P_I_ExcemptionAuthority IS NULL
OR $P_I_ExcemptionAuthority IN ('0','1', '2', '3','4','5');
END</t>
  </si>
  <si>
    <t>ZB_G15_VNDR_WitholdingTaxReference</t>
  </si>
  <si>
    <t>Rule to check if Withholding Tax Code value for Vendor master data is valid according to the available values in the appropriate reference table in a standard SAP ECC 6.0 system.</t>
  </si>
  <si>
    <t>$P_I_WithholdingTaxCode</t>
  </si>
  <si>
    <t>BEGIN
   RETURN exists('SAP', 'T059Q', 'QSSKZ', $P_I_WithholdingTaxCode);
END</t>
  </si>
  <si>
    <t>ZB_G14_CUST_USFaxNumberFormat</t>
  </si>
  <si>
    <t>Rule to check if a US FAX number is in the valid format</t>
  </si>
  <si>
    <t>ZB_G15_VNDR_InstructionKeyReference</t>
  </si>
  <si>
    <t>Rule to check if Instruction Key value for Vendor master data is valid according to the available values in the appropriate reference table in a standard SAP ECC 6.0 system.</t>
  </si>
  <si>
    <t>$P_I_InstructionKey</t>
  </si>
  <si>
    <t>BEGIN
   RETURN exists('SAP', 'T015W', 'DTAWS', $P_I_InstructionKey);
END</t>
  </si>
  <si>
    <t>ZB_G13_MATNR_RegionReference</t>
  </si>
  <si>
    <t>Rule to check if Region value for Material master data is valid according to the available values in the appropriate reference table in a standard SAP ECC 6.0 system.</t>
  </si>
  <si>
    <t>$P_I_Region</t>
  </si>
  <si>
    <t>BEGIN
   RETURN exists('SAP', 'T005S', 'BLAND', $P_I_Region);
END</t>
  </si>
  <si>
    <t>ZB_G14_CUST_NielsenIDReference</t>
  </si>
  <si>
    <t>Rule to check if Nielsen ID value for Customer master data is valid according to the available values in the appropriate reference table in a standard SAP ECC 6.0 system.</t>
  </si>
  <si>
    <t>$P_I_NielsenID</t>
  </si>
  <si>
    <t>BEGIN
   RETURN exists('SAP', 'TNLS', 'NIELS', $P_I_NielsenID);
END</t>
  </si>
  <si>
    <t>ZB_G13_MATNR_AccountAssignmentGroupReference</t>
  </si>
  <si>
    <t>Rule to check if Account Assignment Group value for Material master data is valid according to the available values in the appropriate reference table in a standard SAP ECC 6.0 system.</t>
  </si>
  <si>
    <t>$P_I_AcctAssgnGroup</t>
  </si>
  <si>
    <t>BEGIN
   RETURN exists('SAP', 'TVKM', 'KTGRM', $P_I_AcctAssgnGroup);
END</t>
  </si>
  <si>
    <t>ZB_G15_VNDR_BankAccountNumberExists</t>
  </si>
  <si>
    <t>Rule to check if Bank account number exists for Business Partner / Customer / Vendor master data for a standard SAP ECC 6.0 system</t>
  </si>
  <si>
    <t>$P_I_BankAccount</t>
  </si>
  <si>
    <t>BEGIN RETURN
$P_I_BankAccount IS NOT NULL
AND $P_I_BankAccount != '';
END</t>
  </si>
  <si>
    <t>ZB_G14_CUST_TaxDepartureCountryExists</t>
  </si>
  <si>
    <t>Rule to check if departure country (taxes) exists for Customer master data for a standard SAP ECC 6.0 system</t>
  </si>
  <si>
    <t>BEGIN RETURN
$P_I_Country IS NOT NULL
AND $P_I_Country != '';
END</t>
  </si>
  <si>
    <t>ZB_G14_CUST_TermsOfPaymentExists</t>
  </si>
  <si>
    <t>Rule to check if Terms of payment key exists for Customer master data for a standard SAP ECC 6.0 system</t>
  </si>
  <si>
    <t>BEGIN RETURN
$P_I_TermsOfPayment IS NOT NULL
AND $P_I_TermsOfPayment != '';
END</t>
  </si>
  <si>
    <t>ZB_G15_VNDR_SelectionRuleReference</t>
  </si>
  <si>
    <t>Rule to check if Selection Rule value for Business Partner / Customer / Vendor master data is valid according to the available values in the appropriate reference table in a standard SAP ECC 6.0 system.</t>
  </si>
  <si>
    <t>$P_I_SelectionRule</t>
  </si>
  <si>
    <t>BEGIN
   RETURN exists('SAP', 'T053A', 'SREGL', $P_I_SelectionRule);
END</t>
  </si>
  <si>
    <t>ZB_G15_VNDR_PriceMarkingAgreedReference</t>
  </si>
  <si>
    <t>Rule to check if Price Marking Agreed value for Vendor master data is valid according to the available values in the appropriate reference table in a standard SAP ECC 6.0 system.</t>
  </si>
  <si>
    <t>$P_I_PriceMarkingAgreed</t>
  </si>
  <si>
    <t>BEGIN
   RETURN exists('SAP', 'TWYAZ', 'LIPRE', $P_I_PriceMarkingAgreed);
END</t>
  </si>
  <si>
    <t>ZB_G13_MATNR_MaterialPricingGroupReference</t>
  </si>
  <si>
    <t>Rule to check if Material Pricing Group value for Material master data is valid according to the available values in the appropriate reference table in a standard SAP ECC 6.0 system.</t>
  </si>
  <si>
    <t>$P_I_MaterialPricingGroup</t>
  </si>
  <si>
    <t>BEGIN
  RETURN exists('SAP', 'T178', 'KONDM', $P_I_MaterialPricingGroup);
END</t>
  </si>
  <si>
    <t>ZB_G13_MATNR_CrossPlantCMReference</t>
  </si>
  <si>
    <t>Rule to check if Cross Plant CM value for Material master data is valid according to the available values in the appropriate reference table in a standard SAP ECC 6.0 system.</t>
  </si>
  <si>
    <t>$P_I_XPlantCM</t>
  </si>
  <si>
    <t>BEGIN
   RETURN exists('SAP', 'M_MAT1M', 'MATNR', $P_I_XPlantCM);
END</t>
  </si>
  <si>
    <t>ZB_G13_MATNR_IndustrySectorReference</t>
  </si>
  <si>
    <t>Rule to check if Industry Sector value for Material master data is valid according to the available values in the appropriate reference table in a standard SAP ECC 6.0 system.</t>
  </si>
  <si>
    <t>$P_I_IndustrySector</t>
  </si>
  <si>
    <t>BEGIN
  RETURN exists('SAP', 'T137', 'MBRSH', $P_I_IndustrySector);
END</t>
  </si>
  <si>
    <t>ZB_G14_CUST_CustomerGroupReference</t>
  </si>
  <si>
    <t>Rule to check if Customer group value for Customer master data is valid according to the available values in the appropriate reference table in a standard SAP ECC 6.0 system.</t>
  </si>
  <si>
    <t>$P_I_CustomerGroup</t>
  </si>
  <si>
    <t>BEGIN
   RETURN exists('SAP', 'T151', 'KDGRP', $P_I_CustomerGroup);
END</t>
  </si>
  <si>
    <t>ZB_G13_MATNR_2StepPickingDomainReference</t>
  </si>
  <si>
    <t>Rule to check if  2 Step picking value for a Material master is valid according to the appropriate reference domain or value range for a standard SAP ECC 6.0 system.</t>
  </si>
  <si>
    <t>BEGIN RETURN
$P_I_2StepPicking IS NULL
OR length($P_I_2StepPicking) = 0
OR $P_I_2StepPicking IN ('2');
END</t>
  </si>
  <si>
    <t>ZB_G13_MATNR_RequirementsGroupDomainReference</t>
  </si>
  <si>
    <t>Rule to check if Requirements Group value for a Material master is valid according to the appropriate reference domain or value range for a standard SAP ECC 6.0 system.</t>
  </si>
  <si>
    <t>$P_I_RequirementGroup</t>
  </si>
  <si>
    <t>BEGIN RETURN
$P_I_RequirementGroup IS NULL
OR $P_I_RequirementGroup IN ('T', '0');
END</t>
  </si>
  <si>
    <t>ZB_G13_MATNR_DistributionChannelExists</t>
  </si>
  <si>
    <t>Rule to check for existence of Distribution Channel in Material master data for a standard SAP ECC 6.0 system</t>
  </si>
  <si>
    <t>$P_I_DistrChannel</t>
  </si>
  <si>
    <t>BEGIN RETURN
$P_I_DistrChannel IS NOT NULL
AND $P_I_DistrChannel != '';
END</t>
  </si>
  <si>
    <t>ZB_G14_CUST_SDN_BoycottListDomainReference</t>
  </si>
  <si>
    <t>Rule to check if Boycott list value for a Business Partner / Customer / Vendor is valid according to the appropriate reference domain or value range for a standard SAP ECC 6.0 system.</t>
  </si>
  <si>
    <t>$P_I_BoycottList</t>
  </si>
  <si>
    <t>BEGIN RETURN
$P_I_BoycottList IS NULL
OR length($P_I_BoycottList) = 0
OR $P_I_BoycottList = 'X';
END</t>
  </si>
  <si>
    <t>ZB_G15_VNDR_CityExists</t>
  </si>
  <si>
    <t>Rule to validate if City for a Business Partner / Customer / Vendor exists</t>
  </si>
  <si>
    <t>$P_I_City</t>
  </si>
  <si>
    <t>BEGIN RETURN
$P_I_City IS NOT NULL
AND $P_I_City != '';
END</t>
  </si>
  <si>
    <t>ZB_G14_CUST_UnitOfMeasureGroupReference</t>
  </si>
  <si>
    <t>Rule to check if Unit of Measure Group value for Business Partner /  Customer / Vendor master data is valid according to the available values in the appropriate reference table in a standard SAP ECC 6.0 system.</t>
  </si>
  <si>
    <t>$P_I_UOMGroup</t>
  </si>
  <si>
    <t>BEGIN
   RETURN exists('SAP', 'TWMEG', 'MEGRU', $P_I_UOMGroup);
END</t>
  </si>
  <si>
    <t>ZB_G13_MATNR_DistributionChannelReference</t>
  </si>
  <si>
    <t>Rule to check if Distribution Channel value for Material master data is valid according to the available values in the appropriate reference table in a standard SAP ECC 6.0 system.</t>
  </si>
  <si>
    <t>BEGIN
   RETURN exists('SAP', 'TVTW', 'VTWEG', $P_I_DistrChannel);
END</t>
  </si>
  <si>
    <t>ZB_G13_MATNR_SalesOrganizationReference</t>
  </si>
  <si>
    <t>Rule to check if Sales Organization value for Material master data is valid according to the available values in the appropriate reference table in a standard SAP ECC 6.0 system.</t>
  </si>
  <si>
    <t>BEGIN
  RETURN exists('SAP', 'TVKO', 'VKORG', $P_I_SalesOrg);
END</t>
  </si>
  <si>
    <t>ZB_G15_VNDR_CompanyCodeExists</t>
  </si>
  <si>
    <t>ZB_G13_MATNR_CrossProjectDomainReference</t>
  </si>
  <si>
    <t>Rule to check if Cross Project value for a Material master is valid according to the appropriate reference domain or value range for a standard SAP ECC 6.0 system.</t>
  </si>
  <si>
    <t>$P_I_CrossProjectDomain</t>
  </si>
  <si>
    <t>BEGIN RETURN
$P_I_CrossProjectDomain IS NULL
OR length($P_I_CrossProjectDomain) = 0
OR $P_I_CrossProjectDomain IN ('1');
END</t>
  </si>
  <si>
    <t>ZB_G14_CUST_SexDomainReference</t>
  </si>
  <si>
    <t>Rule to check if Sex value for a Business Partner / Customer / Vendor is valid according to the appropriate reference domain or value range for a standard SAP ECC 6.0 system.</t>
  </si>
  <si>
    <t>$P_I_PODRelevant</t>
  </si>
  <si>
    <t>BEGIN RETURN
$P_I_PODRelevant IS NULL
OR $P_I_PODRelevant IN ('1', '2');
END</t>
  </si>
  <si>
    <t>ZB_G14_CUST_BankCountryKeyExists</t>
  </si>
  <si>
    <t>Rule to check if Bank country key exists for Business Partner / Customer / Vendor master data for a standard SAP ECC 6.0 system</t>
  </si>
  <si>
    <t>$P_I_BankCountryKey</t>
  </si>
  <si>
    <t>BEGIN RETURN
$P_I_BankCountryKey IS NOT NULL
AND $P_I_BankCountryKey != '';
END</t>
  </si>
  <si>
    <t>ZB_G15_VNDR_PricingDateControlDomainReference</t>
  </si>
  <si>
    <t>Rule to check if Pricing Date Control value for a Vendor master is valid according to the appropriate reference domain or value range for a standard SAP ECC 6.0 system.</t>
  </si>
  <si>
    <t>$P_I_PricingDateControl</t>
  </si>
  <si>
    <t>BEGIN RETURN
$P_I_PricingDateControl IS NOT NULL
OR length($P_I_PricingDateControl) = 0
OR $P_I_PricingDateControl IN ('1', '2', '3', '4', '5');
END</t>
  </si>
  <si>
    <t>ZB_G13_MATNR_MaterialGroup5Reference</t>
  </si>
  <si>
    <t>Rule to check if Material Group 5 value for Material master data is valid according to the available values in the appropriate reference table in a standard SAP ECC 6.0 system.</t>
  </si>
  <si>
    <t>$P_I_MatGroup5</t>
  </si>
  <si>
    <t>BEGIN
  RETURN exists('SAP', 'TVM5', 'MVGR5', $P_I_MatGroup5);
END</t>
  </si>
  <si>
    <t>ZB_G14_CUST_TaxCategoryExists</t>
  </si>
  <si>
    <t>Rule to check if Tax category exists for Customer master data for a standard SAP ECC 6.0 system</t>
  </si>
  <si>
    <t>$P_I_TaxCategory</t>
  </si>
  <si>
    <t>BEGIN RETURN
$P_I_TaxCategory IS NOT NULL
AND $P_I_TaxCategory != '';
END</t>
  </si>
  <si>
    <t>ZB_G13_MATNR_LaboratoryOfficeReference</t>
  </si>
  <si>
    <t>Rule to check if Laboratory / Office value for Material master data is valid according to the available values in the appropriate reference table in a standard SAP ECC 6.0 system.</t>
  </si>
  <si>
    <t>$P_I_LabOffice</t>
  </si>
  <si>
    <t>BEGIN
   RETURN exists('SAP', 'T024L', 'LABOR', $P_I_LabOffice);
END</t>
  </si>
  <si>
    <t>ZB_G14_CUST_DunningClerkReference</t>
  </si>
  <si>
    <t>ZB_G14_CUST_DEPostalCodeFormat</t>
  </si>
  <si>
    <t>Rule to check if a DE ZIP code is in the valid format</t>
  </si>
  <si>
    <t>BEGIN RETURN
match_pattern($P_I_ZIP, '99999');
END</t>
  </si>
  <si>
    <t>ZB_G14_CUST_SalesDistrictReference</t>
  </si>
  <si>
    <t>Rule to check if Sales District value for Customer master data is valid according to the available values in the appropriate reference table in a standard SAP ECC 6.0 system.</t>
  </si>
  <si>
    <t>$P_I_SalesDistrict</t>
  </si>
  <si>
    <t>BEGIN
   RETURN exists('SAP', 'T171', 'BZIRK', $P_I_SalesDistrict);
END</t>
  </si>
  <si>
    <t>ZB_G13_MATNR_ExemptionCertificateDomainReference</t>
  </si>
  <si>
    <t>Rule to check if Exemption Certificate value for a Material master is valid according to the appropriate reference domain or value range for a standard SAP ECC 6.0 system.</t>
  </si>
  <si>
    <t>$P_I_ExcemptionCertificate</t>
  </si>
  <si>
    <t>BEGIN RETURN
$P_I_ExcemptionCertificate IS NULL
OR length($P_I_ExcemptionCertificate) = 0
OR $P_I_ExcemptionCertificate IN ('A', 'B', 'C');
END</t>
  </si>
  <si>
    <t>ZB_G15_VNDR_PROACTControlProfileData</t>
  </si>
  <si>
    <t>Rule to check if PROACT Control Profile value for Vendor master data is valid according to the available values in the appropriate reference table in a standard SAP ECC 6.0 system.</t>
  </si>
  <si>
    <t>$P_I_ProactControlProfile</t>
  </si>
  <si>
    <t>BEGIN
   RETURN exists('SAP', 'TWVMO', 'PAPRF', $P_I_ProactControlProfile);
END</t>
  </si>
  <si>
    <t>ZB_G14_CUST_LicensevalidToDateExists</t>
  </si>
  <si>
    <t>ZB_G13_MATNR_GeneralItemCategoryGroupReference</t>
  </si>
  <si>
    <t>Rule to check if General Item Category Group value for Material master data is valid according to the available values in the appropriate reference table in a standard SAP ECC 6.0 system.</t>
  </si>
  <si>
    <t>$P_I_GenItemCatGroup</t>
  </si>
  <si>
    <t>BEGIN
   RETURN exists('SAP', 'TPTM', 'MTPOS', $P_I_GenItemCatGroup);
END</t>
  </si>
  <si>
    <t>ZB_G13_MATNR_StockRemovalorReplacementReference</t>
  </si>
  <si>
    <t>Rule to check if Stock Removal or Replacement value for Material master data is valid according to the available values in the appropriate reference table in a standard SAP ECC 6.0 system.</t>
  </si>
  <si>
    <t>$P_I_StockRemovalReplacement</t>
  </si>
  <si>
    <t>BEGIN
   RETURN exists('SAP', 'T305', 'LGTKZ', $P_I_StockRemovalReplacement);
END</t>
  </si>
  <si>
    <t>ZB_G15_VNDR_LicenseNumberExists</t>
  </si>
  <si>
    <t>Rule to check if License Number (Licenses) for Business Partner / Customer / Vendor exists</t>
  </si>
  <si>
    <t>$P_I_LicenseNumber</t>
  </si>
  <si>
    <t>BEGIN RETURN
$P_I_LicenseNumber IS NOT NULL
AND $P_I_LicenseNumber != '';
END</t>
  </si>
  <si>
    <t>ZB_G15_VNDR_HouseBankReference</t>
  </si>
  <si>
    <t>Rule to check if House Bank value for Business Partner / Customer / Vendor master data is valid according to the available values in the appropriate reference table in a standard SAP ECC 6.0 system.</t>
  </si>
  <si>
    <t>$P_I_HouseBank</t>
  </si>
  <si>
    <t>BEGIN
   RETURN exists('SAP', 'T012', 'HBKID', $P_I_HouseBank);
END</t>
  </si>
  <si>
    <t>ZB_G15_VNDR_MaritalStatusReference</t>
  </si>
  <si>
    <t>Rule to check if Marital Status value for Business Partner / Customer / Vendor master data is valid according to the available values in the appropriate reference table in a standard SAP ECC 6.0 system.</t>
  </si>
  <si>
    <t>$P_I_MaritalStatus</t>
  </si>
  <si>
    <t>BEGIN 
RETURN exists('SAP', 'T502T', 'FAMST', $P_I_MaritalStatus);
END</t>
  </si>
  <si>
    <t>ZB_G15_VNDR_PurchaseOrderCurrencyExists</t>
  </si>
  <si>
    <t>Rule to validate if Purchase Order Currency Exists</t>
  </si>
  <si>
    <t>BEGIN RETURN
$P_I_Currency_Key IS NOT NULL
AND $P_I_Currency_Key != '';
END</t>
  </si>
  <si>
    <t>ZB_G13_MATNR_CrossDistributionChainStatusReference</t>
  </si>
  <si>
    <t>Rule to check if Cross Distribution Chain Status value for Material master data is valid according to the available values in the appropriate reference table in a standard SAP ECC 6.0 system.</t>
  </si>
  <si>
    <t>$P_I_XDistrChainStatus</t>
  </si>
  <si>
    <t>BEGIN
   RETURN exists('SAP', 'TVMS', 'VMSTA', $P_I_XDistrChainStatus);
END</t>
  </si>
  <si>
    <t>ZB_G14_CUST_RegionExists</t>
  </si>
  <si>
    <t>Rule to check if Region (State, County, Province) exists for Business Partner / Customer / Vendor master data for a standard SAP ECC 6.0 system</t>
  </si>
  <si>
    <t>BEGIN RETURN
$P_I_Region IS NOT NULL
AND $P_I_Region != '';
END</t>
  </si>
  <si>
    <t>ZB_G15_VNDR_PostalCodeAndCityExists</t>
  </si>
  <si>
    <t>Rule to check if Postal Code and City exist for Business Partner (Customer / Vendor) Master data in a standard SAP ECC 6.0 system</t>
  </si>
  <si>
    <t>$P_I_PostalCodeCity</t>
  </si>
  <si>
    <t>BEGIN RETURN
$P_I_PostalCodeCity IS NOT NULL
AND $P_I_PostalCodeCity != '';
END</t>
  </si>
  <si>
    <t>ZB_G15_VNDR_UnitOfMeasureGroupReference</t>
  </si>
  <si>
    <t>ZB_G13_MATNR_MaterialNumberExists</t>
  </si>
  <si>
    <t>Rule to check for existence of Material Number in Material master data for a standard SAP ECC 6.0 system</t>
  </si>
  <si>
    <t>$P_I_Material</t>
  </si>
  <si>
    <t>BEGIN RETURN
$P_I_Material IS NOT NULL
AND $P_I_Material != '';
END</t>
  </si>
  <si>
    <t>ZB_G13_MATNR_CertificateTypeRefeference</t>
  </si>
  <si>
    <t>Rule to check if Certificate Type value for Material master data is valid according to the available values in the appropriate reference table in a standard SAP ECC 6.0 system.</t>
  </si>
  <si>
    <t>$P_I_CertificateType</t>
  </si>
  <si>
    <t>BEGIN
   RETURN exists('SAP', 'TQ05', 'ZGTYP', $P_I_CertificateType);
END</t>
  </si>
  <si>
    <t>ZB_G13_MATNR_PickingStorageTypeReference</t>
  </si>
  <si>
    <t>Rule to check if Picking Storage Type value for Material master data is valid according to the available values in the appropriate reference table in a standard SAP ECC 6.0 system.</t>
  </si>
  <si>
    <t>$P_I_Warehouse</t>
  </si>
  <si>
    <t>BEGIN
   RETURN exists('SAP', 'T301', 'LGTYP', $P_I_Warehouse);
END</t>
  </si>
  <si>
    <t>ZB_G14_CUST_TaxClassificationReference</t>
  </si>
  <si>
    <t>Rule to check if Tax Classification value for Customer master data is valid according to the available values in the appropriate reference table in a standard SAP ECC 6.0 system.</t>
  </si>
  <si>
    <t>BEGIN
   RETURN exists('SAP', 'TSKD', 'TAXKD', $P_I_TaxClassification);
END</t>
  </si>
  <si>
    <t>ZB_G15_VNDR_ReconAccountExists</t>
  </si>
  <si>
    <t>Rule to check if Reconciliation Account exists for Business Partner / Customer / Vendor master data for a standard SAP ECC 6.0 system</t>
  </si>
  <si>
    <t>$P_I_ReconAccount</t>
  </si>
  <si>
    <t>BEGIN RETURN
$P_I_ReconAccount IS NOT NULL
AND $P_I_ReconAccount != '';
END</t>
  </si>
  <si>
    <t>ZB_G15_VNDR_DunningNoticeGroupingKeyReference</t>
  </si>
  <si>
    <t>Rule to check if Dunning Notice Grouping Key value for Business Partner / Customer / Vendor master data is valid according to the available values in the appropriate reference table in a standard SAP ECC 6.0 system.</t>
  </si>
  <si>
    <t>$P_I_DunningNoticeGroupingkey</t>
  </si>
  <si>
    <t>BEGIN
   RETURN exists('SAP', 'T047R', 'MGRUP', $P_I_DunningNoticeGroupingkey);
END</t>
  </si>
  <si>
    <t>ZB_G14_CUST_FirstTelephoneNumberExists</t>
  </si>
  <si>
    <t>Rule to validate if Customer's First Telephone Number exists</t>
  </si>
  <si>
    <t>$P_I_TelephoneNumber</t>
  </si>
  <si>
    <t>BEGIN RETURN
$P_I_TelephoneNumber IS NOT NULL
AND $P_I_TelephoneNumber != '';
END</t>
  </si>
  <si>
    <t>ZB_G14_CUST_PaymentBlockReference</t>
  </si>
  <si>
    <t>Rule to check if Payment Block value for Business Partner / Customer / Vendor master data is valid according to the available values in the appropriate reference table in a standard SAP ECC 6.0 system.</t>
  </si>
  <si>
    <t>$P_I_PaymentBlock</t>
  </si>
  <si>
    <t>BEGIN
   RETURN exists('SAP', 'T008', 'ZAHLS', $P_I_PaymentBlock);
END</t>
  </si>
  <si>
    <t>ZB_G15_VNDR_ContactPersonDepartmentReference</t>
  </si>
  <si>
    <t>Rule to check if Contact Person &gt; Department value for Business Partner / Customer / Vendor master data is valid according to the available values in the appropriate reference table in a standard SAP ECC 6.0 system.</t>
  </si>
  <si>
    <t>$P_I_Department</t>
  </si>
  <si>
    <t>BEGIN
   RETURN exists('SAP', 'TSAB', 'ABTNR', $P_I_Department);
END</t>
  </si>
  <si>
    <t>ZB_G14_CUST_USPOBoxPostalCodeFormat</t>
  </si>
  <si>
    <t>Rule to check if a US ZIP code is in the valid format</t>
  </si>
  <si>
    <t>BEGIN RETURN
$P_I_Country = 'US'
AND ($P_I_ZIP IS NOT NULL
AND (match_pattern($P_I_ZIP, '99999')
OR match_pattern($P_I_ZIP, '99999-9999')));
END</t>
  </si>
  <si>
    <t>ZB_G14_CUST_ReasonCodeConversionReference</t>
  </si>
  <si>
    <t>Rule to check if Reason Code Conversion value for Customer master data is valid according to the available values in the appropriate reference table in a standard SAP ECC 6.0 system.</t>
  </si>
  <si>
    <t>$P_I_ReasonCodeConversion</t>
  </si>
  <si>
    <t>BEGIN
   RETURN exists('SAP', 'T053V', 'VRSDG', $P_I_ReasonCodeConversion);
END</t>
  </si>
  <si>
    <t>ZB_G13_MATNR_BaseUnitofMeasureReference</t>
  </si>
  <si>
    <t>Rule to check if Base Unit of Measure value for Material master data is valid according to the available values in the appropriate reference table in a standard SAP ECC 6.0 system.</t>
  </si>
  <si>
    <t>$P_I_BaseUOM</t>
  </si>
  <si>
    <t>BEGIN
   RETURN exists('SAP', 'T006A', 'MSEH3', $P_I_BaseUOM);
END</t>
  </si>
  <si>
    <t>ZB_G15_VNDR_InterestCalculationIndicatorReference</t>
  </si>
  <si>
    <t>Rule to check if Interest Calculation Indicator value for Business Partner / Customer / Vendor master data is valid according to the available values in the appropriate reference table in a standard SAP ECC 6.0 system.</t>
  </si>
  <si>
    <t>$P_I_InterestCalcInd</t>
  </si>
  <si>
    <t>BEGIN
   RETURN exists('SAP', 'T056', 'VZSKZ', $P_I_InterestCalcInd);
END</t>
  </si>
  <si>
    <t>ZB_G13_MATNR_PeriodIndicatorforSLEDReference</t>
  </si>
  <si>
    <t>Rule to check if Period Indicator for SLED value for Material master data is valid according to the available values in the appropriate reference table in a standard SAP ECC 6.0 system.</t>
  </si>
  <si>
    <t>$P_I_PeriodIndForSLED</t>
  </si>
  <si>
    <t>BEGIN
   RETURN exists('SAP', 'PRDKZT', 'EPRKZ', $P_I_PeriodIndForSLED);
END</t>
  </si>
  <si>
    <t>ZB_G15_VNDR_USPOBoxPostalCodeFormat</t>
  </si>
  <si>
    <t>ZB_G15_VNDR_USPostalCodeFormat</t>
  </si>
  <si>
    <t>BEGIN RETURN
match_pattern($P_I_ZIP, '99999')
OR match_pattern($P_I_ZIP, '99999-9999');
END</t>
  </si>
  <si>
    <t>ZB_G15_VNDR_USSSNFormat</t>
  </si>
  <si>
    <t>Rule to check if the US Social Security Number is in the valid format</t>
  </si>
  <si>
    <t>BEGIN RETURN
match_pattern($P_I_SSN, '999-99-9999')
AND $P_I_Country = 'US';
END</t>
  </si>
  <si>
    <t>ZB_G14_CUST_CustomerContactPersonDepartmentExists</t>
  </si>
  <si>
    <t>Rule to validate if Customer Contact Person Department Exists</t>
  </si>
  <si>
    <t>Department</t>
  </si>
  <si>
    <t>BEGIN RETURN
$P_I_PersonDepartment IS NOT NULL
AND $P_I_PersonDepartment != '';
END</t>
  </si>
  <si>
    <t>ZB_G13_MATNR_PlantReference</t>
  </si>
  <si>
    <t>Rule to check if Plant value for Material master data is valid according to the available values in the appropriate reference table in a standard SAP ECC 6.0 system.</t>
  </si>
  <si>
    <t>$P_I_Plant</t>
  </si>
  <si>
    <t>BEGIN
   RETURN exists('SAP', 'T001W', 'WERKS', $P_I_Plant);
END</t>
  </si>
  <si>
    <t>ZB_G14_CUST_ClassificationReference</t>
  </si>
  <si>
    <t>Rule to check if Classification value for Customer master data is valid according to the available values in the appropriate reference table in a standard SAP ECC 6.0 system.</t>
  </si>
  <si>
    <t>$P_I_Classification</t>
  </si>
  <si>
    <t>BEGIN
   RETURN exists('SAP', 'TKUKL', 'KUKLA', $P_I_Classification);
END</t>
  </si>
  <si>
    <t>ZB_G15_VNDR_InterestCycleDomainReference</t>
  </si>
  <si>
    <t>ZB_G14_CUST_InterestCalculationIndicatorReference</t>
  </si>
  <si>
    <t>ZB_G13_MATNR_BaseUnitOfMeasureExists</t>
  </si>
  <si>
    <t>Rule to check for existence of Base Unit of measure in Material master data for a standard SAP ECC 6.0 system</t>
  </si>
  <si>
    <t>BEGIN RETURN
$P_I_BaseUOM IS NOT NULL
AND $P_I_BaseUOM != '';
END</t>
  </si>
  <si>
    <t>ZB_G13_MATNR_ActionControlReference</t>
  </si>
  <si>
    <t>Rule to check if Action Control value for Material master data is valid according to the available values in the appropriate reference table in a standard SAP ECC 6.0 system.</t>
  </si>
  <si>
    <t>$P_I_ActionControl</t>
  </si>
  <si>
    <t>BEGIN
   RETURN exists('SAP', 'T46AC', 'MDACH', $P_I_ActionControl);
END</t>
  </si>
  <si>
    <t>ZB_G14_CUST_FIYearVariantReference</t>
  </si>
  <si>
    <t>Rule to check if Fiscal Year Variant value for Business Partner / Customer / Vendor master data is valid according to the available values in the appropriate reference table in a standard SAP ECC 6.0 system.</t>
  </si>
  <si>
    <t>ZB_G15_VNDR_SortKeyReference</t>
  </si>
  <si>
    <t>Rule to check if Sort Key value for Business Partner / Customer / Vendor master data is valid according to the available values in the appropriate reference table in a standard SAP ECC 6.0 system.</t>
  </si>
  <si>
    <t>$P_I_SortKey</t>
  </si>
  <si>
    <t>BEGIN
   RETURN exists('SAP', 'TZUN', 'ZUAWA', $P_I_SortKey);
END</t>
  </si>
  <si>
    <t>ZB_G13_MATNR_PriceDeterminationDomainReference</t>
  </si>
  <si>
    <t>Rule to check if Price Determination value for a Material master is valid according to the appropriate reference domain or value range for a standard SAP ECC 6.0 system.</t>
  </si>
  <si>
    <t>$P_I_PriceDetermination</t>
  </si>
  <si>
    <t>BEGIN RETURN
$P_I_PriceDetermination IS NULL
OR $P_I_PriceDetermination IN ('2', '3');
END</t>
  </si>
  <si>
    <t>ZB_G14_CUST_ShippingConditionsReference</t>
  </si>
  <si>
    <t>Rule to check if Shipping Condition value for Business Partner / Customer / Vendor master data is valid according to the available values in the appropriate reference table in a standard SAP ECC 6.0 system.</t>
  </si>
  <si>
    <t>$P_I_ShippingCondition</t>
  </si>
  <si>
    <t>BEGIN
   RETURN exists('SAP', 'TVSB', 'VSBED', $P_I_ShippingCondition);
END</t>
  </si>
  <si>
    <t>ZB_G15_VNDR_VendorCompanyCodeReference</t>
  </si>
  <si>
    <t>Rule to check if Company Code value for Vendor master data is valid according to the available values in the appropriate reference table in a standard SAP ECC 6.0 system.</t>
  </si>
  <si>
    <t>BEGIN
   RETURN exists('SAP', 'K_KBUKA', 'BUKRS', $P_I_CompanyCode);
END</t>
  </si>
  <si>
    <t>ZB_G13_MATNR_LabFormReference</t>
  </si>
  <si>
    <t>Rule to check if Lab Form value for Material master data is valid according to the available values in the appropriate reference table in a standard SAP ECC 6.0 system.</t>
  </si>
  <si>
    <t>$P_I_LabForm</t>
  </si>
  <si>
    <t>BEGIN
   RETURN exists('SAP', 'T6WP4', 'ETIFO', $P_I_LabForm);
END</t>
  </si>
  <si>
    <t>ZB_G15_VNDR_LanguageReference</t>
  </si>
  <si>
    <t>Rule to check if Language value for Business Partner / Customer / Vendor master data is valid according to the available values in the appropriate reference table in a standard SAP ECC 6.0 system.</t>
  </si>
  <si>
    <t>$P_I_Language</t>
  </si>
  <si>
    <t>BEGIN
  RETURN exists('SAP', 'T002', 'SPRAS', $P_I_Language);
END</t>
  </si>
  <si>
    <t>ZB_G13_MATNR_QualforFreeGoodsDiscDomainReference</t>
  </si>
  <si>
    <t>Rule to check if Qual for Free Goods Discount value for a Material master is valid according to the appropriate reference domain or value range for a standard SAP ECC 6.0 system.</t>
  </si>
  <si>
    <t>$P_I_QualForFreeGoodsDis</t>
  </si>
  <si>
    <t>BEGIN RETURN
$P_I_QualForFreeGoodsDis IS NULL
OR length($P_I_QualForFreeGoodsDis) = 0
OR $P_I_QualForFreeGoodsDis IN ('1', '2', '3');
END</t>
  </si>
  <si>
    <t>ZB_G13_MATNR_REMProfileReference</t>
  </si>
  <si>
    <t>Rule to check if  REM Profile value for Material master data is valid according to the available values in the appropriate reference table in a standard SAP ECC 6.0 system.</t>
  </si>
  <si>
    <t>$P_I_REMProfile</t>
  </si>
  <si>
    <t>BEGIN
   RETURN exists('SAP', 'T437S', 'SFPRO', $P_I_REMProfile);
END</t>
  </si>
  <si>
    <t>ZB_G14_CUST_ReleaseGroupReference</t>
  </si>
  <si>
    <t>Rule to check if Release Group value for Business Partner / Customer / Vendor master data is valid according to the available values in the appropriate reference table in a standard SAP ECC 6.0 system.</t>
  </si>
  <si>
    <t>$P_I_ReleaseGroup</t>
  </si>
  <si>
    <t>BEGIN
   RETURN exists('SAP', 'VBWF08', 'FRGRP', $P_I_ReleaseGroup);
END</t>
  </si>
  <si>
    <t>ZB_G14_CUST_CountryKeyExists</t>
  </si>
  <si>
    <t>Rule to check if Country exists for Business Partner / Customer / Vendor Master data for a standard SAP ECC 6.0 system.</t>
  </si>
  <si>
    <t>ZB_G13_MATNR_PlantSpecificMaterialStatusReference</t>
  </si>
  <si>
    <t>Rule to check if Plant Specific Material Status value for Material master data is valid according to the available values in the appropriate reference table in a standard SAP ECC 6.0 system.</t>
  </si>
  <si>
    <t>$P_I_PlantSpMatlStatus</t>
  </si>
  <si>
    <t>BEGIN
   RETURN exists('SAP', 'T141', 'MMSTA', $P_I_PlantSpMatlStatus);
END</t>
  </si>
  <si>
    <t>ZB_G14_CUST_NameOfAnAddressExists</t>
  </si>
  <si>
    <t>Rule to validate if Business Partner / Customer / Vendor Name of address exists for Business Partner / Customer / Vendor data respectively for a standard SAP ECC 6.0 system.</t>
  </si>
  <si>
    <t>$P_I_NameOfAddress</t>
  </si>
  <si>
    <t>BEGIN RETURN
$P_I_NameOfAddress IS NOT NULL
AND $P_I_NameOfAddress != '';
END</t>
  </si>
  <si>
    <t>ZB_G14_CUST_GenderDomainReference</t>
  </si>
  <si>
    <t>Rule to check if Gender value for a Business Partner / Customer / Vendor is valid according to the appropriate reference domain or value range for a standard SAP ECC 6.0 system.</t>
  </si>
  <si>
    <t>$P_I_Gender</t>
  </si>
  <si>
    <t>BEGIN RETURN
$P_I_Gender IS NULL
OR length($P_I_Gender) = 0
OR $P_I_Gender IN ('1', '2');
END</t>
  </si>
  <si>
    <t>ZB_G15_VNDR_AccountingClerkReference</t>
  </si>
  <si>
    <t>ZB_G15_VNDR_CustomerFiscalAddressReference</t>
  </si>
  <si>
    <t>Rule to check if Fiscal Address value for Customer master data is valid according to the available values in the appropriate reference table in a standard SAP ECC 6.0 system.</t>
  </si>
  <si>
    <t>$P_I_FiscalAddress</t>
  </si>
  <si>
    <t>BEGIN
    RETURN exists('SAP', 'M_DEBID', 'KUNNR', $P_I_FiscalAddress);
END</t>
  </si>
  <si>
    <t>ZB_G14_CUST_AccountGroupExists</t>
  </si>
  <si>
    <t>Rule to validate if Business Partner / Customer / Vendor Account group exists.</t>
  </si>
  <si>
    <t>$P_I_AccountGroup</t>
  </si>
  <si>
    <t>BEGIN RETURN
$P_I_AccountGroup IS NOT NULL
AND $P_I_AccountGroup != '';
END</t>
  </si>
  <si>
    <t>ZB_G13_MATNR_LoadingGroupReference</t>
  </si>
  <si>
    <t>Rule to check if Loading Group value for Material master data is valid according to the available values in the appropriate reference table in a standard SAP ECC 6.0 system.</t>
  </si>
  <si>
    <t>BEGIN
   RETURN exists('SAP', 'TLGR', 'LADGR', $P_I_LoadingGroup);
END</t>
  </si>
  <si>
    <t>ZB_G14_CUST_DivisionReference</t>
  </si>
  <si>
    <t>Rule to check if Division value for Customer master data is valid according to the available values in the appropriate reference table in a standard SAP ECC 6.0 system.</t>
  </si>
  <si>
    <t>BEGIN
   RETURN exists('SAP', 'TSPA', 'SPART', $P_I_Division);
END</t>
  </si>
  <si>
    <t>ZB_G15_VNDR_DEPostalCodeFormat</t>
  </si>
  <si>
    <t>ZB_G13_MATNR_ConfigurableMaterialReference</t>
  </si>
  <si>
    <t>Rule to check if Configurable Material value for Material master data is valid according to the available values in the appropriate reference table in a standard SAP ECC 6.0 system.</t>
  </si>
  <si>
    <t>$P_I_ConfigurableMaterial</t>
  </si>
  <si>
    <t>BEGIN
   RETURN exists('SAP', 'M_MAT1M', 'MATNR', $P_I_ConfigurableMaterial);
END</t>
  </si>
  <si>
    <t>ZB_G14_CUST_OfficeOfEntryReference</t>
  </si>
  <si>
    <t>Rule to check if Office of Entry value for Business Partner / Customer / Vendor master data is valid according to the available values in the appropriate reference table in a standard SAP ECC 6.0 system.</t>
  </si>
  <si>
    <t>$P_I_OfficeOfEntry</t>
  </si>
  <si>
    <t>BEGIN
   RETURN exists('SAP', 'T615T', 'ZOLLA', $P_I_OfficeOfEntry);
END</t>
  </si>
  <si>
    <t>ZB_G14_CUST_CountryReference</t>
  </si>
  <si>
    <t>ZB_G14_CUST_SelectionRuleReference</t>
  </si>
  <si>
    <t>ZB_G13_MATNR_VarianceKeyReference</t>
  </si>
  <si>
    <t>Rule to check if Variance Key value for Material master data is valid according to the available values in the appropriate reference table in a standard SAP ECC 6.0 system.</t>
  </si>
  <si>
    <t>$P_I_VarianceKey</t>
  </si>
  <si>
    <t>BEGIN
   RETURN exists('SAP', 'TKV01', 'AWSLS', $P_I_VarianceKey);
END</t>
  </si>
  <si>
    <t>ZB_G13_MATNR_PlantExists</t>
  </si>
  <si>
    <t>Rule to validate if Plant exists for Material Master data in a standard SAP ECC 6.0 system.</t>
  </si>
  <si>
    <t>BEGIN RETURN
$P_I_Plant IS NOT NULL
AND $P_I_Plant != '';
END</t>
  </si>
  <si>
    <t>ZB_G13_MATNR_ManufacturerReference</t>
  </si>
  <si>
    <t>Rule to check if Manufacturer value for Material master data is valid according to the available values in the appropriate reference table in a standard SAP ECC 6.0 system.</t>
  </si>
  <si>
    <t>$P_I_Manufacturer</t>
  </si>
  <si>
    <t>BEGIN
   RETURN exists('SAP', 'M_KREDA', 'LIFNR', $P_I_Manufacturer);
END</t>
  </si>
  <si>
    <t>ZB_G13_MATNR_PriceControlExists</t>
  </si>
  <si>
    <t>Rule to check if Price control for Material Master data exists in a standard SAP ECC 6.0 system</t>
  </si>
  <si>
    <t>$P_I_PriceControl</t>
  </si>
  <si>
    <t>BEGIN RETURN
$P_I_PriceControl IS NOT NULL
AND $P_I_PriceControl != '';
END</t>
  </si>
  <si>
    <t>ZB_G14_CUST_TransportationZoneReference</t>
  </si>
  <si>
    <t>ZB_G14_CUST_CustomerFiscalAddressReference</t>
  </si>
  <si>
    <t>ZB_G13_MATNR_ABCIndicatorReference</t>
  </si>
  <si>
    <t>Rule to check if ABC Indicator value for Material master data is valid according to the available values in the appropriate reference table in a standard SAP ECC 6.0 system.</t>
  </si>
  <si>
    <t>BEGIN
  RETURN exists('SAP', 'TMABC', 'MAABC', $P_I_ABCIndicator);
END</t>
  </si>
  <si>
    <t>ZB_G15_VNDR_CheckFlagDoubleInvoiceExists</t>
  </si>
  <si>
    <t>Rule to validate if Check Flag Double Invoice is set for the Vendor</t>
  </si>
  <si>
    <t>BEGIN RETURN
$P_I_CheckFlagDoubleInvoice IS NOT NULL
AND $P_I_CheckFlagDoubleInvoice != '';
END</t>
  </si>
  <si>
    <t>ZB_G13_MATNR_PlanningCycleReference</t>
  </si>
  <si>
    <t>Rule to check if Planning Cycle value for Material master data is valid according to the available values in the appropriate reference table in a standard SAP ECC 6.0 system.</t>
  </si>
  <si>
    <t>$P_I_PlanningCycle</t>
  </si>
  <si>
    <t>BEGIN
  RETURN exists('SAP', 'MARC', 'MRPPP', $P_I_PlanningCycle);
END</t>
  </si>
  <si>
    <t>ZB_G13_MATNR_TaxIndicatorforMaterialReference</t>
  </si>
  <si>
    <t>BEGIN
   RETURN exists('SAP', 'TMKM1', 'TAXIM', $P_I_TaxIndicator);
END</t>
  </si>
  <si>
    <t>ZB_G14_CUST_PostalCodeAndCityExists</t>
  </si>
  <si>
    <t>ZB_G14_CUST_PlanningGroupExists</t>
  </si>
  <si>
    <t>Rule to validate if Customer Planning group exists.</t>
  </si>
  <si>
    <t>$P_I_PlanningGroup</t>
  </si>
  <si>
    <t>BEGIN RETURN
$P_I_PlanningGroup IS NOT NULL
AND $P_I_PlanningGroup != '';
END</t>
  </si>
  <si>
    <t>ZB_G13_MATNR_ProductAllocationReference</t>
  </si>
  <si>
    <t>Rule to check if Product Allocation value for Material master data is valid according to the available values in the appropriate reference table in a standard SAP ECC 6.0 system.</t>
  </si>
  <si>
    <t>$P_I_ProductAllocation</t>
  </si>
  <si>
    <t>BEGIN
   RETURN exists('SAP', 'T190S', 'KOSCH', $P_I_ProductAllocation);
END</t>
  </si>
  <si>
    <t>ZB_G14_CUST_DistributionChannelExists</t>
  </si>
  <si>
    <t>Rule to check if Distribution Channel exists for Customer master data for a standard SAP ECC 6.0 system</t>
  </si>
  <si>
    <t>$P_I_DistributionChannel</t>
  </si>
  <si>
    <t>BEGIN RETURN
$P_I_DistributionChannel IS NOT NULL
AND $P_I_DistributionChannel != '';
END</t>
  </si>
  <si>
    <t>ZB_G14_CUST_LicenseValidFromDateExists</t>
  </si>
  <si>
    <t>Rule to check if License Valid from date exists for Business Partner / Customer / Vendor exists</t>
  </si>
  <si>
    <t>$P_I_LicenseValidFromDate</t>
  </si>
  <si>
    <t>BEGIN RETURN
$P_I_LicenseValidFromDate IS NOT NULL
AND $P_I_LicenseValidFromDate != to_date('', 'yyyy.mm.dd');
END</t>
  </si>
  <si>
    <t>ZB_G14_CUST_CustomerAccountGroupReference</t>
  </si>
  <si>
    <t>Rule to check if Account group value for Customer master data is valid according to the available values in the appropriate reference table in a standard SAP ECC 6.0 system.</t>
  </si>
  <si>
    <t>BEGIN
    RETURN exists('SAP', 'T077D', 'KTOKD', $P_I_AccountGroup);
END</t>
  </si>
  <si>
    <t>ZB_G14_CUST_TransportationZoneExists</t>
  </si>
  <si>
    <t>ule to check if Transportation zone exists for Customer master data for a standard SAP ECC 6.0 system</t>
  </si>
  <si>
    <t>BEGIN RETURN
$P_I_TransportationZone IS NOT NULL
AND $P_I_TransportationZone != '';
END</t>
  </si>
  <si>
    <t>ZB_G14_CUST_AccountAssignmentGroupReference</t>
  </si>
  <si>
    <t>Rule to check if Account Assignment Group value for Customer master data is valid according to the available values in the appropriate reference table in a standard SAP ECC 6.0 system.</t>
  </si>
  <si>
    <t>$P_I_AccountAssignmentGroup</t>
  </si>
  <si>
    <t>BEGIN
   RETURN exists('SAP', 'TVKT', 'KTGRD', $P_I_AccountAssignmentGroup);
END</t>
  </si>
  <si>
    <t>ZB_G13_MATNR_MaterialGroupReference</t>
  </si>
  <si>
    <t>Rule to check if Material Group value for Material master data is valid according to the available values in the appropriate reference table in a standard SAP ECC 6.0 system.</t>
  </si>
  <si>
    <t>$P_I_MaterialGroup</t>
  </si>
  <si>
    <t>BEGIN
  RETURN exists('SAP', 'T023', 'MATKL', $P_I_MaterialGroup);
END</t>
  </si>
  <si>
    <t>ZB_G13_MATNR_QuotaArrangementUsageReference</t>
  </si>
  <si>
    <t>Rule to check if Quota Arrangement Usage value for Material master data is valid according to the available values in the appropriate reference table in a standard SAP ECC 6.0 system.</t>
  </si>
  <si>
    <t>$P_I_QuotaArrangementUsage</t>
  </si>
  <si>
    <t>BEGIN
   RETURN exists('SAP', 'TMQ2', 'USEQU', $P_I_QuotaArrangementUsage);
END</t>
  </si>
  <si>
    <t>ZB_G13_MATNR_PurchasingValueKeyReference</t>
  </si>
  <si>
    <t>Rule to check if Purchasing Value Key value for Material master data is valid according to the available values in the appropriate reference table in a standard SAP ECC 6.0 system.</t>
  </si>
  <si>
    <t>$P_I_PurchasingValueKey</t>
  </si>
  <si>
    <t>BEGIN
   RETURN exists('SAP', 'T405', 'EKWSL', $P_I_PurchasingValueKey);
END</t>
  </si>
  <si>
    <t>ZB_G14_CUST_ReconciliationAccountReference</t>
  </si>
  <si>
    <t>Rule to check if Reconciliation Account value for Business Partner / Customer / Vendor master data is valid according to the available values in the appropriate reference table in a standard SAP ECC 6.0 system.</t>
  </si>
  <si>
    <t>$P_I_ReconciliationAccount</t>
  </si>
  <si>
    <t>BEGIN
   RETURN exists('SAP', 'SKB1', 'SAKNR', $P_I_ReconciliationAccount);
END</t>
  </si>
  <si>
    <t>ZB_G15_VNDR_ReleaseGroupReference</t>
  </si>
  <si>
    <t>ZB_G13_MATNR_QMMaterialAuthorizationReference</t>
  </si>
  <si>
    <t>Rule to check if QM Material Authorization value for Material master data is valid according to the available values in the appropriate reference table in a standard SAP ECC 6.0 system.</t>
  </si>
  <si>
    <t>$P_I_QMMatAuth</t>
  </si>
  <si>
    <t>BEGIN
   RETURN exists('SAP', 'TQ01B', 'QMATAUTH', $P_I_QMMatAuth);
END</t>
  </si>
  <si>
    <t>ZB_G13_MATNR_MaterialGroupPackagingMatlsReference</t>
  </si>
  <si>
    <t>Rule to check if Material Group Packaging Materials value for Material master data is valid according to the available values in the appropriate reference table in a standard SAP ECC 6.0 system.</t>
  </si>
  <si>
    <t>$P_I_MatGrpPackMatls</t>
  </si>
  <si>
    <t>BEGIN
  RETURN exists('SAP', 'TVEGR', 'MAGRV', $P_I_MatGrpPackMatls);
END</t>
  </si>
  <si>
    <t>ZB_G15_VNDR_VendorFiscalAddressReference</t>
  </si>
  <si>
    <t>Rule to check if Fiscal Address value for Vendor master data is valid according to the available values in the appropriate reference table in a standard SAP ECC 6.0 system.</t>
  </si>
  <si>
    <t>BEGIN
    RETURN exists('SAP', 'M_KREDA', 'LIFNR', $P_I_FiscalAddress);
END</t>
  </si>
  <si>
    <t>ZB_G14_CUST_NationalSecurityIndicatorDomainRef</t>
  </si>
  <si>
    <t>Rule to check if National security indicator value for a Customer is valid according to the appropriate reference domain or value range for a standard SAP ECC 6.0 system.</t>
  </si>
  <si>
    <t>$P_I_NationalSecurityInd</t>
  </si>
  <si>
    <t>BEGIN RETURN
$P_I_NationalSecurityInd IS NULL
OR length($P_I_NationalSecurityInd) = 0
OR $P_I_NationalSecurityInd = 'X';
END</t>
  </si>
  <si>
    <t>ZB_G13_MATNR_LotSizeReference</t>
  </si>
  <si>
    <t>Rule to check if Lot size value for Material master data is valid according to the available values in the appropriate reference table in a standard SAP ECC 6.0 system.</t>
  </si>
  <si>
    <t>$P_I_LotSize</t>
  </si>
  <si>
    <t>BEGIN
  RETURN exists('SAP', 'T439A', 'DISLS', $P_I_LotSize);
END</t>
  </si>
  <si>
    <t>ZB_G14_CUST_DistributionChannelReference</t>
  </si>
  <si>
    <t>Rule to check if Distribution Channel value for Customer master data is valid according to the available values in the appropriate reference table in a standard SAP ECC 6.0 system.</t>
  </si>
  <si>
    <t>BEGIN
   RETURN exists('SAP', 'TVTW', 'VTWEG', $P_I_DistributionChannel);
END</t>
  </si>
  <si>
    <t>ZB_G13_MATNR_HazardousMaterialNumberReference</t>
  </si>
  <si>
    <t>Rule to check if Hazardous Material Number value for Material master data is valid according to the available values in the appropriate reference table in a standard SAP ECC 6.0 system.</t>
  </si>
  <si>
    <t>$P_I_HazmatRequirements</t>
  </si>
  <si>
    <t>BEGIN
   RETURN exists('SAP', 'H_MGEF', 'STOFF', $P_I_HazmatRequirements);
END</t>
  </si>
  <si>
    <t>ZB_G14_CUST_BillOfExchangePaymentTermReference</t>
  </si>
  <si>
    <t>Rule to check if Bill of Exchange Payment Term value for Customer master data is valid according to the available values in the appropriate reference table in a standard SAP ECC 6.0 system.</t>
  </si>
  <si>
    <t>$P_I_BePaymentTerm</t>
  </si>
  <si>
    <t>BEGIN
  RETURN exists('SAP', 'T052', 'ZTERM', $P_I_BePaymentTerm);
END</t>
  </si>
  <si>
    <t>ZB_G13_MATNR_SerialNumberProfileReference</t>
  </si>
  <si>
    <t>Rule to check if Serial Number Profile value for Material master data is valid according to the available values in the appropriate reference table in a standard SAP ECC 6.0 system.</t>
  </si>
  <si>
    <t>$P_I_SerialNoProfile</t>
  </si>
  <si>
    <t>BEGIN
   RETURN exists('SAP', 'T377P', 'SERAIL', $P_I_SerialNoProfile);
END</t>
  </si>
  <si>
    <t>ZB_G15_VNDR_TradingPartnerReference</t>
  </si>
  <si>
    <t>ZB_G15_VNDR_BankCountryKeyExists</t>
  </si>
  <si>
    <t>ZB_G15_VNDR_TitleDomainReference</t>
  </si>
  <si>
    <t>$P_I_Title</t>
  </si>
  <si>
    <t>BEGIN RETURN
exists('SAP', 'TSAD3T', 'TITLE_MEDI', $P_I_Title)
OR $P_I_Title IS NULL OR $P_I_Title='';
END</t>
  </si>
  <si>
    <t>ZB_G15_VNDR_AccountGroupExists</t>
  </si>
  <si>
    <t>ZB_G13_MATNR_BulkStorageRefeference</t>
  </si>
  <si>
    <t>Rule to check if Bulk Storage value for Material master data is valid according to the available values in the appropriate reference table in a standard SAP ECC 6.0 system.</t>
  </si>
  <si>
    <t>$P_I_BulkStorage</t>
  </si>
  <si>
    <t>BEGIN
   RETURN exists('SAP', 'T338', 'BLOCK', $P_I_BulkStorage);
END</t>
  </si>
  <si>
    <t>ZB_G14_CUST_DunningRecipientReference</t>
  </si>
  <si>
    <t>Rule to check if Dunning Recipient value for Business Partner / Customer / Vendor master data is valid according to the available values in the appropriate reference table in a standard SAP ECC 6.0 system.</t>
  </si>
  <si>
    <t>$P_I_DunningRecipient</t>
  </si>
  <si>
    <t>BEGIN
   RETURN exists('SAP', 'M_DEBID', 'KUNNR', $P_I_DunningRecipient);
END</t>
  </si>
  <si>
    <t>ZB_G15_VNDR_ServiceAgentProcedureGroupReference</t>
  </si>
  <si>
    <t>Rule to check if Service Agent Procedure Group value for Vendor master data is valid according to the available values in the appropriate reference table in a standard SAP ECC 6.0 system.</t>
  </si>
  <si>
    <t>$P_I_ServiceAgentProcGroup</t>
  </si>
  <si>
    <t>BEGIN
    RETURN exists('SAP', 'TVFCD', 'DLGRP', $P_I_ServiceAgentProcGroup);
END</t>
  </si>
  <si>
    <t>ZB_G13_MATNR_DescriptionExists</t>
  </si>
  <si>
    <t>Rule to check for existence of Material Description in Material master data for a standard SAP ECC 6.0 system</t>
  </si>
  <si>
    <t>$P_I_Description</t>
  </si>
  <si>
    <t>BEGIN RETURN
$P_I_Description IS NOT NULL
AND $P_I_Description != '';
END</t>
  </si>
  <si>
    <t>ZB_G14_CUST_VATRegistrationNumberExists</t>
  </si>
  <si>
    <t>Rule to validate if Business Partner / Customer / Vendor VAT Registration Number exists. It is specific to EU countries mostly</t>
  </si>
  <si>
    <t>VAT Registration Number</t>
  </si>
  <si>
    <t>BEGIN RETURN
$P_I_VATRegNumber IS NOT NULL
AND $P_I_VATRegNumber != '';
END</t>
  </si>
  <si>
    <t>ZB_G15_VNDR_FIYearVariantReference</t>
  </si>
  <si>
    <t>ZB_G15_VNDR_PODRelevantDomainReference</t>
  </si>
  <si>
    <t>Rule to check if POD Relevant value for a Business Partner / Customer / Vendor is valid according to the appropriate reference domain or value range for a standard SAP ECC 6.0 system.</t>
  </si>
  <si>
    <t>BEGIN RETURN
$P_I_PODRelevant IS NULL
OR length($P_I_PODRelevant) = 0
OR $P_I_PODRelevant IN ('A', 'B');
END</t>
  </si>
  <si>
    <t>ZB_G14_CUST_ReconAccountExists</t>
  </si>
  <si>
    <t>ZB_G15_VNDR_TermsOfPaymentReference</t>
  </si>
  <si>
    <t>ZB_G13_MATNR_DeliveringPlantReference</t>
  </si>
  <si>
    <t>Rule to check if Delivering Plant value for Material master data is valid according to the available values in the appropriate reference table in a standard SAP ECC 6.0 system.</t>
  </si>
  <si>
    <t>$P_I_DeliveringPlant</t>
  </si>
  <si>
    <t>BEGIN
   RETURN exists('SAP', 'T001W', 'WERKS', $P_I_DeliveringPlant);
END</t>
  </si>
  <si>
    <t>ZB_G14_CUST_SortFieldExists</t>
  </si>
  <si>
    <t>Rule to validate if Sort Field for a Business Partner / Customer / Vendor exists.</t>
  </si>
  <si>
    <t>$P_I_SortField</t>
  </si>
  <si>
    <t>BEGIN RETURN
$P_I_SortField IS NOT NULL
AND $P_I_SortField != '';
END</t>
  </si>
  <si>
    <t>ZB_G13_MATNR_MaterialGroup1Reference</t>
  </si>
  <si>
    <t>Rule to check if Material Group 1 value for Material master data is valid according to the available values in the appropriate reference table in a standard SAP ECC 6.0 system.</t>
  </si>
  <si>
    <t>$P_I_MatGroup1</t>
  </si>
  <si>
    <t>BEGIN
  RETURN exists('SAP', 'TVM1', 'MVGR1', $P_I_MatGroup1);
END</t>
  </si>
  <si>
    <t>ZB_G13_MATNR_DistributionProfileReference</t>
  </si>
  <si>
    <t>Rule to check if Distribution Profile value for Material master data is valid according to the available values in the appropriate reference table in a standard SAP ECC 6.0 system.</t>
  </si>
  <si>
    <t>$P_I_DistributionProfile</t>
  </si>
  <si>
    <t>BEGIN
   RETURN exists('SAP', 'TMFPF', 'FPRFM', $P_I_DistributionProfile);
END</t>
  </si>
  <si>
    <t>ZB_G13_MATNR_DivisionReference</t>
  </si>
  <si>
    <t>Rule to check if Division value for Material master data is valid according to the available values in the appropriate reference table in a standard SAP ECC 6.0 system.</t>
  </si>
  <si>
    <t>ZB_G14_CUST_CanadaSSNFormat</t>
  </si>
  <si>
    <t>Rule to check if the Social Security Number for Canada is in the valid format</t>
  </si>
  <si>
    <t>BEGIN RETURN
$P_I_Country = 'CA'
AND match_pattern($P_I_SSN, '999-999-999');
END</t>
  </si>
  <si>
    <t>ZB_G13_MATNR_BasicMaterialReference</t>
  </si>
  <si>
    <t>Rule to check if Basic Material value for Material master data is valid according to the available values in the appropriate reference table in a standard SAP ECC 6.0 system.</t>
  </si>
  <si>
    <t>$P_I_BasicMaterial</t>
  </si>
  <si>
    <t>BEGIN
   RETURN exists('SAP', 'TWSPR', 'WRKST', $P_I_BasicMaterial);
END</t>
  </si>
  <si>
    <t>ZB_G14_CUST_SortCriterionDomainReference</t>
  </si>
  <si>
    <t>Rule to check if Sort Criterion value for a Business Partner / Customer / Vendor master is valid according to the appropriate reference domain or value range for a standard SAP ECC 6.0 system.</t>
  </si>
  <si>
    <t>$P_I_SortCriterion</t>
  </si>
  <si>
    <t>BEGIN RETURN
$P_I_SortCriterion IS NOT NULL
OR length($P_I_SortCriterion) = 0
OR $P_I_SortCriterion IN ('A', 'B', 'C', 'D');
END</t>
  </si>
  <si>
    <t>ZB_G13_MATNR_PriceUnitExists</t>
  </si>
  <si>
    <t>Rule to check if Price unit for Material Master data exists in a standard SAP ECC 6.0 system</t>
  </si>
  <si>
    <t>$P_I_PriceUnit</t>
  </si>
  <si>
    <t>decimal</t>
  </si>
  <si>
    <t>BEGIN RETURN
$P_I_PriceUnit IS NOT NULL;
END</t>
  </si>
  <si>
    <t>ZB_G15_VNDR_CanadaPostalCodeFormat</t>
  </si>
  <si>
    <t>Rule to check if the Postal Code for Canadian address is in the format A9A 9A9</t>
  </si>
  <si>
    <t>$P_I_PostalCode</t>
  </si>
  <si>
    <t>BEGIN RETURN
$P_I_Country = 'CA'
AND match_pattern($P_I_PostalCode, 'X9X 9X9');
END</t>
  </si>
  <si>
    <t>ZB_G13_MATNR_TemperatureConditionReference</t>
  </si>
  <si>
    <t>Rule to check if Temperature Condition value for Material master data is valid according to the available values in the appropriate reference table in a standard SAP ECC 6.0 system.</t>
  </si>
  <si>
    <t>$P_I_TemperatureCondition</t>
  </si>
  <si>
    <t>BEGIN
   RETURN exists('SAP', 'T143', 'TEMPB', $P_I_TemperatureCondition);
END</t>
  </si>
  <si>
    <t>ZB_G15_VNDR_LicenseValidFromDateExists</t>
  </si>
  <si>
    <t>ZB_G15_VNDR_PurchasingGroupReference</t>
  </si>
  <si>
    <t>Rule to check if Purchasing Group value for Vendor master data is valid according to the available values in the appropriate reference table in a standard SAP ECC 6.0 system.</t>
  </si>
  <si>
    <t>BEGIN
   RETURN exists('SAP', 'T024', 'EKGRP', $P_I_PurchasingGroup);
END</t>
  </si>
  <si>
    <t>ZB_G14_CUST_NuclearNonproliferationDomainRef</t>
  </si>
  <si>
    <t>Rule to check if Nuclear Nonproliferation indicator value for a Customer is valid according to the appropriate reference domain or value range for a standard SAP ECC 6.0 system.</t>
  </si>
  <si>
    <t>$P_I_NuclearNonProliferation</t>
  </si>
  <si>
    <t>BEGIN RETURN
$P_I_NuclearNonProliferation IS NULL
OR length($P_I_NuclearNonProliferation) = 0
OR $P_I_NuclearNonProliferation = 'X';
END</t>
  </si>
  <si>
    <t>ZB_G13_MATNR_StorageLocationExists</t>
  </si>
  <si>
    <t>Rule to check if Storage Location exists for Material master data in a standard SAP ECC 6.0 system.</t>
  </si>
  <si>
    <t>$P_I_StorageLocation</t>
  </si>
  <si>
    <t>BEGIN RETURN
$P_I_StorageLocation IS NOT NULL
AND $P_I_StorageLocation != '';
END</t>
  </si>
  <si>
    <t>ZB_G15_VNDR_SortCriterionDomainReference</t>
  </si>
  <si>
    <t>ZB_G13_MATNR_DiscontinuationIndDomainReference</t>
  </si>
  <si>
    <t>Rule to check if Discontinuation Indicator value for a Material master is valid according to the appropriate reference domain or value range for a standard SAP ECC 6.0 system.</t>
  </si>
  <si>
    <t>$P_I_DiscontinuationInd</t>
  </si>
  <si>
    <t>BEGIN RETURN
$P_I_DiscontinuationInd IS NULL
OR $P_I_DiscontinuationInd IN ('1', '3');
END</t>
  </si>
  <si>
    <t>ZB_G15_VNDR_NameOfAnAddressExists</t>
  </si>
  <si>
    <t>ZB_G14_CUST_CurrencyReference</t>
  </si>
  <si>
    <t>Rule to check if Currency value for Business Partner / Customer / Vendor master data is valid according to the available values in the appropriate reference table in a standard SAP ECC 6.0 system.</t>
  </si>
  <si>
    <t>BEGIN
     RETURN exists('SAP', 'TCURC', 'WAERS', $P_I_Currency);
END</t>
  </si>
  <si>
    <t>ZB_G15_VNDR_SexDomainReference</t>
  </si>
  <si>
    <t>ZB_G15_VNDR_VATRegistrationNumberExists</t>
  </si>
  <si>
    <t>ZB_G13_MATNR_OriginGroupReference</t>
  </si>
  <si>
    <t>Rule to check if Origin Group value for Material master data is valid according to the available values in the appropriate reference table in a standard SAP ECC 6.0 system.</t>
  </si>
  <si>
    <t>$P_I_OriginGroup</t>
  </si>
  <si>
    <t>BEGIN
   RETURN exists('SAP', 'TKKH1', 'HRKFT', $P_I_OriginGroup);
END</t>
  </si>
  <si>
    <t>ZB_G15_VNDR_NumberExists</t>
  </si>
  <si>
    <t>Rule to validate if Business Partner / Customer / Vendor number exists for Business Partner / Customer / Vendor data respectively for a standard SAP ECC 6.0 system.</t>
  </si>
  <si>
    <t>$P_I_BUPANumberExists</t>
  </si>
  <si>
    <t>BEGIN RETURN
$P_I_BUPANumberExists IS NOT NULL
AND $P_I_BUPANumberExists != '';
END</t>
  </si>
  <si>
    <t>ZB_G14_CUST_PODRelevantDomainReference</t>
  </si>
  <si>
    <t>ZB_G15_VNDR_OrderOptimizationRestVendorReference</t>
  </si>
  <si>
    <t>Rule to check if Order Optimization Restriction value for Vendor master data is valid according to the available values in the appropriate reference table in a standard SAP ECC 6.0 system.</t>
  </si>
  <si>
    <t>$P_I_OrderOptRest</t>
  </si>
  <si>
    <t>BEGIN
   RETURN exists('SAP', 'TWBO1', 'BOPNR', $P_I_OrderOptRest);
END</t>
  </si>
  <si>
    <t>ZB_G15_VNDR_CurrencyReference</t>
  </si>
  <si>
    <t>ZB_G14_CUST_CustomerCompanyCodeReference</t>
  </si>
  <si>
    <t>Rule to check if Company Code value for Customer master data is valid according to the available values in the appropriate reference table in a standard SAP ECC 6.0 system.</t>
  </si>
  <si>
    <t>BEGIN
   RETURN exists('SAP', 'T001', 'BUKRS', $P_I_CompanyCode);
END</t>
  </si>
  <si>
    <t>ZB_G14_CUST_PaymentCardTypeReference</t>
  </si>
  <si>
    <t>Rule to check if Payment Card Type value for Customer master data is valid according to the available values in the appropriate reference table in a standard SAP ECC 6.0 system.</t>
  </si>
  <si>
    <t>BEGIN
   RETURN exists('SAP', 'TVCIN', 'CCINS', $P_I_PaymentCardType);
END</t>
  </si>
  <si>
    <t>ZB_G13_MATNR_MRPControllerExists</t>
  </si>
  <si>
    <t>Rule to check for existence of MRP Controller in Material master data for a standard SAP ECC 6.0 system</t>
  </si>
  <si>
    <t>$P_I_MrpController</t>
  </si>
  <si>
    <t>BEGIN RETURN
$P_I_MrpController IS NOT NULL
AND $P_I_MrpController != '';
END</t>
  </si>
  <si>
    <t>ZB_G15_VNDR_USPhoneNumberFormat</t>
  </si>
  <si>
    <t>ZB_G14_CUST_CashManagementGroupReference</t>
  </si>
  <si>
    <t>Rule to check if Cash Management Group value for Customer master data is valid according to the available values in the appropriate reference table in a standard SAP ECC 6.0 system.</t>
  </si>
  <si>
    <t>$P_I_CashMgmtGroup</t>
  </si>
  <si>
    <t>BEGIN
   RETURN exists('SAP', 'T035', 'GRUPP', $P_I_CashMgmtGroup);
END</t>
  </si>
  <si>
    <t>ZB_G14_CUST_SalesGroupReference</t>
  </si>
  <si>
    <t>Rule to check if Sales Group value for Customer master data is valid according to the available values in the appropriate reference table in a standard SAP ECC 6.0 system.</t>
  </si>
  <si>
    <t>$P_I_SalesGroup</t>
  </si>
  <si>
    <t>BEGIN
   RETURN exists('SAP', 'H_TVBVK', 'VKGRP', $P_I_SalesGroup);
END</t>
  </si>
  <si>
    <t>ZB_G13_MATNR_ReferenceMaterialforPackagingReferenc</t>
  </si>
  <si>
    <t>Rule to check if Reference Material for Packaging value for Material master data is valid according to the available values in the appropriate reference table in a standard SAP ECC 6.0 system.</t>
  </si>
  <si>
    <t>$P_I_RefMatPackaging</t>
  </si>
  <si>
    <t>BEGIN
   RETURN exists('SAP', 'M_MAT1M', 'MATNR', $P_I_RefMatPackaging);
END</t>
  </si>
  <si>
    <t>ZB_G15_VNDR_CanadaSSNFormat</t>
  </si>
  <si>
    <t>ZB_G15_VNDR_RegionReference</t>
  </si>
  <si>
    <t>Rule to check if Region value for Business Partner / Customer / Vendor master data is valid according to the available values in the appropriate reference table in a standard SAP ECC 6.0 system.</t>
  </si>
  <si>
    <t>ZB_G14_CUST_PriceListTypeReference</t>
  </si>
  <si>
    <t>Rule to check if Price List Type value for Customer master data is valid according to the available values in the appropriate reference table in a standard SAP ECC 6.0 system.</t>
  </si>
  <si>
    <t>$P_I_PriceListType</t>
  </si>
  <si>
    <t>BEGIN
   RETURN exists('SAP', 'T189', 'PLTYP', $P_I_PriceListType);
END</t>
  </si>
  <si>
    <t>ZB_G15_VNDR_PartnerFunctionReference</t>
  </si>
  <si>
    <t>Rule to check if Partner Function value for Business Partner / Customer / Vendor master data is valid according to the available values in the appropriate reference table in a standard SAP ECC 6.0 system.</t>
  </si>
  <si>
    <t>BEGIN
   RETURN exists('SAP', 'TPAR', 'PARVW', $P_I_PartnerFunction);
END</t>
  </si>
  <si>
    <t>ZB_G13_MATNR_MRPTypeExists</t>
  </si>
  <si>
    <t>Rule to check for existence of MRP Type in Material master data for a standard SAP ECC 6.0 system</t>
  </si>
  <si>
    <t>$P_I_MrpType</t>
  </si>
  <si>
    <t>BEGIN RETURN
$P_I_MrpType IS NOT NULL
AND $P_I_MrpType != '';
END</t>
  </si>
  <si>
    <t>ZB_G15_VNDR_IndustryReference</t>
  </si>
  <si>
    <t>ZB_G15_VNDR_EmailAddressExists</t>
  </si>
  <si>
    <t>ZB_G13_MATNR_BatchEntryDomainReference</t>
  </si>
  <si>
    <t>Rule to check if Batch Entry value for a Material master is valid according to the appropriate reference domain or value range for a standard SAP ECC 6.0 system.</t>
  </si>
  <si>
    <t>$P_I_BatchEntryDomain</t>
  </si>
  <si>
    <t>BEGIN RETURN
$P_I_BatchEntryDomain IS NULL
OR length($P_I_BatchEntryDomain) = 0
OR $P_I_BatchEntryDomain IN ('1', '2', '3');
END</t>
  </si>
  <si>
    <t>ZB_G14_CUST_LanguageKeyExists</t>
  </si>
  <si>
    <t>Rule to check if Language Key exists for Business Partner / Customer / Vendor master data for a standard SAP ECC 6.0 system</t>
  </si>
  <si>
    <t>BEGIN RETURN
$P_I_Language IS NOT NULL
AND $P_I_Language != '';
END</t>
  </si>
  <si>
    <t>ZB_G13_MATNR_ValuationClassReference</t>
  </si>
  <si>
    <t>Rule to check if Valuation Class value for Material master data is valid according to the available values in the appropriate reference table in a standard SAP ECC 6.0 system.</t>
  </si>
  <si>
    <t>$P_I_ValuationClass</t>
  </si>
  <si>
    <t>BEGIN
     RETURN exists('SAP', 'MBEW', 'BKLAS', $P_I_ValuationClass);
END</t>
  </si>
  <si>
    <t>ZB_G15_VNDR_GenderDomainReference</t>
  </si>
  <si>
    <t>ZB_G13_MATNR_LabelTypeReference</t>
  </si>
  <si>
    <t>Rule to check if Label Type value for Material master data is valid according to the available values in the appropriate reference table in a standard SAP ECC 6.0 system.</t>
  </si>
  <si>
    <t>$P_I_LabelType</t>
  </si>
  <si>
    <t>BEGIN
   RETURN exists('SAP', 'T6WP3', 'ETIAR', $P_I_LabelType);
END</t>
  </si>
  <si>
    <t>ZB_G14_CUST_ToleranceGroupReference</t>
  </si>
  <si>
    <t>Rule to check if Tolerance Group value for  Business Partner /  Customer / Vendor  master data is valid according to the available values in the appropriate reference table in a standard SAP ECC 6.0 system.</t>
  </si>
  <si>
    <t>$P_I_ToleranceGroup</t>
  </si>
  <si>
    <t>BEGIN
   RETURN exists('SAP', 'T043G', 'TOGRU', $P_I_ToleranceGroup);
END</t>
  </si>
  <si>
    <t>ZB_G13_MATNR_PlanningPlantReference</t>
  </si>
  <si>
    <t>BEGIN
   RETURN exists('SAP', 'H_MARC', 'WERKS', $P_I_PlanningPlant);
END</t>
  </si>
  <si>
    <t>ZB_G13_MATNR_ControlCodeReference</t>
  </si>
  <si>
    <t>Rule to check if Control Code value for Material master data is valid according to the available values in the appropriate reference table in a standard SAP ECC 6.0 system.</t>
  </si>
  <si>
    <t>$P_I_ControlCode</t>
  </si>
  <si>
    <t>BEGIN
   RETURN exists('SAP', 'T604F', 'STEUC', $P_I_ControlCode);
END</t>
  </si>
  <si>
    <t>ZB_G13_MATNR_IndividualOrCollectiveDomainReference</t>
  </si>
  <si>
    <t>Rule to check if Individual or Collective Requirements value for a Material master is valid according to the appropriate reference domain or value range for a standard SAP ECC 6.0 system.</t>
  </si>
  <si>
    <t>BEGIN RETURN
$P_I_IndividualOrCollective IS NULL
OR length($P_I_IndividualOrCollective) = 0
OR $P_I_IndividualOrCollective IN ('1', '2');
END</t>
  </si>
  <si>
    <t>ZB_G13_MATNR_SUT1or2or3Reference</t>
  </si>
  <si>
    <t>Rule to check if SUT 1 or 2 or 3 value for Material master data is valid according to the available values in the appropriate reference table in a standard SAP ECC 6.0 system.</t>
  </si>
  <si>
    <t>$P_I_SUT123</t>
  </si>
  <si>
    <t>BEGIN
   RETURN exists('SAP', 'T307', 'LETYP', $P_I_SUT123);
END</t>
  </si>
  <si>
    <t>ZB_G14_CUST_CanadaPOBoxPostalCodeFormat</t>
  </si>
  <si>
    <t>Rule to check if the PO Box Postal Code for Canadian address is in the format A9A 9A9</t>
  </si>
  <si>
    <t>ZB_G15_VNDR_SortFieldExists</t>
  </si>
  <si>
    <t>ZB_G13_MATNR_MixedMRPDomainReference</t>
  </si>
  <si>
    <t>Rule to check if Mixed MRP value for a Material master is valid according to the appropriate reference domain or value range for a standard SAP ECC 6.0 system.</t>
  </si>
  <si>
    <t>$P_I_MixedMRP</t>
  </si>
  <si>
    <t>BEGIN RETURN
$P_I_MixedMRP IS NULL
OR $P_I_MixedMRP IN ('1','2', '3');
END</t>
  </si>
  <si>
    <t>ZB_G14_CUST_MissiletechnologyDomainReference</t>
  </si>
  <si>
    <t>Rule to check if Missle Technology Indicator value for a Customer is valid according to the appropriate reference domain or value range for a standard SAP ECC 6.0 system.</t>
  </si>
  <si>
    <t>$P_I_MissleTechnologyInd</t>
  </si>
  <si>
    <t>BEGIN RETURN
$P_I_MissleTechnologyInd IS NULL
OR length($P_I_MissleTechnologyInd) = 0
OR $P_I_MissleTechnologyInd = 'X';
END</t>
  </si>
  <si>
    <t>ZB_G15_VNDR_NextPayeeReference</t>
  </si>
  <si>
    <t>ZB_G14_CUST_USPostalCodeFormat</t>
  </si>
  <si>
    <t>ZB_G13_MATNR_JITSchedulingIndicatordomainReference</t>
  </si>
  <si>
    <t>Rule to check if JIT Scheduling Indicator value for a Material master is valid according to the appropriate reference domain or value range for a standard SAP ECC 6.0 system.</t>
  </si>
  <si>
    <t>$P_I_JITSchedulingInd</t>
  </si>
  <si>
    <t>BEGIN RETURN
$P_I_JITSchedulingInd IS NULL
OR length($P_I_JITSchedulingInd) = 0
OR $P_I_JITSchedulingInd IN ('1');
END</t>
  </si>
  <si>
    <t>ZB_G14_CUST_MaritalStatusReference</t>
  </si>
  <si>
    <t>ZB_G14_CUST_CanadaPostalCodeFormat</t>
  </si>
  <si>
    <t>ZB_G15_VNDR_CanadaPOBoxPostalCodeFormat</t>
  </si>
  <si>
    <t>ZB_G14_CUST_CityExists</t>
  </si>
  <si>
    <t>ZB_G13_MATNR_MaterialGroupExists</t>
  </si>
  <si>
    <t>Rule to check for existence of Material Group in Material master data for a standard SAP ECC 6.0 system</t>
  </si>
  <si>
    <t>BEGIN RETURN
$P_I_MaterialGroup IS NOT NULL
AND $P_I_MaterialGroup != '';
END</t>
  </si>
  <si>
    <t>ZB_G13_MATNR_MaterialTypeReference</t>
  </si>
  <si>
    <t>Rule to check if Material Type value for Material master data is valid according to the available values in the appropriate reference table in a standard SAP ECC 6.0 system.</t>
  </si>
  <si>
    <t>$P_I_MaterialType</t>
  </si>
  <si>
    <t>BEGIN
   RETURN exists('SAP', 'T134', 'MTART', $P_I_MaterialType);
END</t>
  </si>
  <si>
    <t>ZB_G15_VNDR_VIPPartnerReference</t>
  </si>
  <si>
    <t>Rule to check if VIP Partner value for Vendor master data is valid according to the available values in the appropriate reference table in a standard SAP ECC 6.0 system.</t>
  </si>
  <si>
    <t>$P_I_VIPPartner</t>
  </si>
  <si>
    <t>BEGIN 
RETURN exists('SAP', 'TVIP', 'PAVIP', $P_I_VIPPartner);
END</t>
  </si>
  <si>
    <t>ZB_G14_CUST_DunningBlockReference</t>
  </si>
  <si>
    <t>Rule to check if Dunning Block value for Business Partner / Customer / Vendor master data is valid according to the available values in the appropriate reference table in a standard SAP ECC 6.0 system.</t>
  </si>
  <si>
    <t>$P_I_DunningBlock</t>
  </si>
  <si>
    <t>BEGIN
  RETURN exists('SAP', 'T040S', 'MANSP', $P_I_DunningBlock);
END</t>
  </si>
  <si>
    <t>ZB_G13_MATNR_StorageSectionIndicatorReference</t>
  </si>
  <si>
    <t>Rule to check if Storage Section Indicator value for Material master data is valid according to the available values in the appropriate reference table in a standard SAP ECC 6.0 system.</t>
  </si>
  <si>
    <t>$P_I_StorageSectionIndicator</t>
  </si>
  <si>
    <t>BEGIN
   RETURN exists('SAP', 'T304', 'LGBKZ', $P_I_StorageSectionIndicator);
END</t>
  </si>
  <si>
    <t>ZB_G14_CUST_RegionReference</t>
  </si>
  <si>
    <t>ZB_G14_CUST_BankKeyExists</t>
  </si>
  <si>
    <t>Rule to check if Bank key exists for Business Partner / Customer / Vendor master data for a standard SAP ECC 6.0 system</t>
  </si>
  <si>
    <t>$P_I_BankKey</t>
  </si>
  <si>
    <t>BEGIN RETURN
$P_I_BankKey IS NOT NULL
AND $P_I_BankKey != '';
END</t>
  </si>
  <si>
    <t>ZB_G15_VNDR_RegionExists</t>
  </si>
  <si>
    <t>ZB_G15_VNDR_BankKeyExists</t>
  </si>
  <si>
    <t>ZB_G14_CUST_SearchTerm1Exists</t>
  </si>
  <si>
    <t>Rule to validate if Business Partner / Customer / Vendor Search Terms Part 1 exists for Business Partner / Customer / Vendor data respectively for a standard SAP ECC 6.0 system.</t>
  </si>
  <si>
    <t>$P_I_SearchTerm</t>
  </si>
  <si>
    <t>BEGIN RETURN
$P_I_SearchTerm IS NOT NULL
AND $P_I_SearchTerm != '';
END</t>
  </si>
  <si>
    <t>ZB_G13_MATNR_StorageLocationReference</t>
  </si>
  <si>
    <t>Rule to check if Storage Location value for Material master data is valid according to the available values in the appropriate reference table in a standard SAP ECC 6.0 system.</t>
  </si>
  <si>
    <t>BEGIN
   RETURN exists('SAP', 'T001L', 'LGORT', $P_I_StorageLocation);
END</t>
  </si>
  <si>
    <t>ZB_G13_MATNR_VolumeRebateGroupReference</t>
  </si>
  <si>
    <t>Rule to check if Volume Rebate Group value for Material master data is valid according to the available values in the appropriate reference table in a standard SAP ECC 6.0 system.</t>
  </si>
  <si>
    <t>$P_I_VolRebateGroup</t>
  </si>
  <si>
    <t>BEGIN
   RETURN exists('SAP', 'TVBO', 'BONUS', $P_I_VolRebateGroup);
END</t>
  </si>
  <si>
    <t>ZB_G13_MATNR_SelectionMethodDomainReference</t>
  </si>
  <si>
    <t>Rule to check if Selection Method value for a Material master is valid according to the appropriate reference domain or value range for a standard SAP ECC 6.0 system.</t>
  </si>
  <si>
    <t>$P_I_SelectionMethod</t>
  </si>
  <si>
    <t>BEGIN RETURN
$P_I_SelectionMethod IS NULL
OR length($P_I_SelectionMethod) = 0
OR $P_I_SelectionMethod IN ('1', '2', '3');
END</t>
  </si>
  <si>
    <t>ZB_G14_CUST_BankAccountNumberExists</t>
  </si>
  <si>
    <t>ZB_G15_VNDR_ReconciliationAccountReference</t>
  </si>
  <si>
    <t>ZB_G13_MATNR_CoverageProfileReference</t>
  </si>
  <si>
    <t>Rule to check if Coverage Profile value for Material master data is valid according to the available values in the appropriate reference table in a standard SAP ECC 6.0 system.</t>
  </si>
  <si>
    <t>$P_I_CoverageProfile</t>
  </si>
  <si>
    <t>BEGIN
   RETURN exists('SAP', 'MARC', 'RWPRO', $P_I_CoverageProfile);
END</t>
  </si>
  <si>
    <t>ZB_G13_MATNR_ContainerRequirementsReference</t>
  </si>
  <si>
    <t>Rule to check if Container Requirements value for Material master data is valid according to the available values in the appropriate reference table in a standard SAP ECC 6.0 system.</t>
  </si>
  <si>
    <t>$P_I_ContainerRequirements</t>
  </si>
  <si>
    <t>BEGIN
   RETURN exists('SAP', 'T144', 'BEHVO', $P_I_ContainerRequirements);
END</t>
  </si>
  <si>
    <t>ZB_G13_MATNR_CurrencyReference</t>
  </si>
  <si>
    <t>Rule to check if Currency value for Material master data is valid according to the available values in the appropriate reference table in a standard SAP ECC 6.0 system.</t>
  </si>
  <si>
    <t>ZB_G13_MATNR_EANCategoryReference</t>
  </si>
  <si>
    <t>Rule to check if EAN Category value for Material master data is valid according to the available values in the appropriate reference table in a standard SAP ECC 6.0 system.</t>
  </si>
  <si>
    <t>$P_I_EANCategory</t>
  </si>
  <si>
    <t>BEGIN
   RETURN exists('SAP', 'TNTP', 'NUMTP', $P_I_EANCategory);
END</t>
  </si>
  <si>
    <t>ZB_G15_VNDR_SDN_BoycottListDomainReference</t>
  </si>
  <si>
    <t>ZB_G15_VNDR_OfficeOfEntryReference</t>
  </si>
  <si>
    <t>ZB_G13_MATNR_TransportationGroupReference</t>
  </si>
  <si>
    <t>Rule to check if Transportation Group value for Material master data is valid according to the available values in the appropriate reference table in a standard SAP ECC 6.0 system.</t>
  </si>
  <si>
    <t>BEGIN
   RETURN exists('SAP', 'TTGR', 'TRAGR', $P_I_TransportationGroup);
END</t>
  </si>
  <si>
    <t>ZB_G14_CUST_ValueAdjustmentKeyReference</t>
  </si>
  <si>
    <t>Rule to check if Value Adjustment key value for Customer master data is valid according to the available values in the appropriate reference table in a standard SAP ECC 6.0 system.</t>
  </si>
  <si>
    <t>$P_I_ValueAdjustment</t>
  </si>
  <si>
    <t>BEGIN
   RETURN exists('SAP', 'T044G', 'WBRSL', $P_I_ValueAdjustment);
END</t>
  </si>
  <si>
    <t>ZB_G15_VNDR_SearchTerm1Exists</t>
  </si>
  <si>
    <t>ZB_G14_CUST_BankStatementIndicatorReference</t>
  </si>
  <si>
    <t>ZB_G14_CUST_DunningNoticeGroupingKeyReference</t>
  </si>
  <si>
    <t>ZB_G14_CUST_USSSNFormat</t>
  </si>
  <si>
    <t>ZB_G14_CUST_LegalStatusReference</t>
  </si>
  <si>
    <t>Rule to check if Legal Status value for Custome master data is valid according to the available values in the appropriate reference table in a standard SAP ECC 6.0 system.</t>
  </si>
  <si>
    <t>$P_I_LegalStatus</t>
  </si>
  <si>
    <t>BEGIN
   RETURN exists('SAP', 'TVGF', 'GFORM', $P_I_LegalStatus);
END</t>
  </si>
  <si>
    <t>ZB_G14_CUST_PricingProcedureReference</t>
  </si>
  <si>
    <t>Rule to check if Pricing Procedure value for Customer master data is valid according to the available values in the appropriate reference table in a standard SAP ECC 6.0 system.</t>
  </si>
  <si>
    <t>BEGIN
   RETURN exists('SAP', 'TVKD', 'KALKS', $P_I_PricingProcedure);
END</t>
  </si>
  <si>
    <t>ZB_G15_VNDR_CarrierFreightGroupReference</t>
  </si>
  <si>
    <t>Rule to check if Carrier Frieght Group value for Vendor master data is valid according to the available values in the appropriate reference table in a standard SAP ECC 6.0 system.</t>
  </si>
  <si>
    <t>$P_I_CarrFrieghtGroup</t>
  </si>
  <si>
    <t>BEGIN
    RETURN exists('SAP', 'TSFG', 'SFRGR', $P_I_CarrFrieghtGroup);
END</t>
  </si>
  <si>
    <t>ZB_G15_VNDR_LanguageKeyExists</t>
  </si>
  <si>
    <t>ZB_G13_MATNR_MRPGroupReference</t>
  </si>
  <si>
    <t>Rule to check if MRP Group value for Material master data is valid according to the available values in the appropriate reference table in a standard SAP ECC 6.0 system.</t>
  </si>
  <si>
    <t>$P_I_MRPGroup</t>
  </si>
  <si>
    <t>BEGIN
  RETURN exists('SAP', 'T438M', 'MTART', $P_I_MRPGroup);
END</t>
  </si>
  <si>
    <t>ZB_G13_MATNR_MRPDependentReqDomainReference</t>
  </si>
  <si>
    <t>Rule to check if MRP Dependent Requirement value for a Material master is valid according to the appropriate reference domain or value range for a standard SAP ECC 6.0 system.</t>
  </si>
  <si>
    <t>$P_I_MRPDependent</t>
  </si>
  <si>
    <t>BEGIN RETURN
$P_I_MRPDependent IS NULL
OR length($P_I_MRPDependent) = 0
OR $P_I_MRPDependent IN ('1');
END</t>
  </si>
  <si>
    <t>ZB_G14_CUST_NumberExists</t>
  </si>
  <si>
    <t>ZB_G14_CUST_PartialDeliveryperItemDomainReference</t>
  </si>
  <si>
    <t>Rule to check if Partial Delivery per Item value for a Customer is valid according to the appropriate reference domain or value range for a standard SAP ECC 6.0 system.</t>
  </si>
  <si>
    <t>$P_I_PartialDelivery</t>
  </si>
  <si>
    <t>BEGIN RETURN
$P_I_PartialDelivery IS NULL
OR length($P_I_PartialDelivery) = 0
OR $P_I_PartialDelivery IN ('A', 'B', 'C', 'D');
END</t>
  </si>
  <si>
    <t>ZB_G14_CUST_HouseBankReference</t>
  </si>
  <si>
    <t>ZB_G14_CUST_InvoicingDateReference</t>
  </si>
  <si>
    <t>Rule to check if Invoicing (List) Date value for Customer master data is valid according to the available values in the appropriate reference table in a standard SAP ECC 6.0 system.</t>
  </si>
  <si>
    <t>$P_I_InvoicingDate</t>
  </si>
  <si>
    <t>BEGIN
   RETURN exists('SAP', 'TFACD', 'IDENT', $P_I_InvoicingDate);
END</t>
  </si>
  <si>
    <t>ZB_G14_CUST_TaxCategoryReference</t>
  </si>
  <si>
    <t>Rule to check if Tax Category value for Customer master data is valid according to the available values in the appropriate reference table in a standard SAP ECC 6.0 system.</t>
  </si>
  <si>
    <t>BEGIN
   RETURN exists('SAP', 'T685A', 'KSCHL', $P_I_TaxCategory);
END</t>
  </si>
  <si>
    <t>ZB_G15_VNDR_PaymentBlockReference</t>
  </si>
  <si>
    <t>ZB_G13_MATNR_OBManagementDomainReference</t>
  </si>
  <si>
    <t>Rule to check if OB Management value for a Material master is valid according to the appropriate reference domain or value range for a standard SAP ECC 6.0 system.</t>
  </si>
  <si>
    <t>$P_I_OBManagement</t>
  </si>
  <si>
    <t>BEGIN RETURN
$P_I_OBManagement IS NULL
OR length($P_I_OBManagement) = 0
OR $P_I_OBManagement IN ('1');
END</t>
  </si>
  <si>
    <t>ZB_G14_CUST_ShippingConditionsExist</t>
  </si>
  <si>
    <t>Rule to check if Shipping conditions exist for Customer master data for a standard SAP ECC 6.0 system</t>
  </si>
  <si>
    <t>BEGIN RETURN
$P_I_ShippingCondition IS NOT NULL
AND $P_I_ShippingCondition != '';
END</t>
  </si>
  <si>
    <t>ZB_G13_MATNR_ValuationClassExists</t>
  </si>
  <si>
    <t>Rule to check of Valuation Class for Material Master data exists in a standard SAP ECC 6.0 system</t>
  </si>
  <si>
    <t>BEGIN RETURN
$P_I_ValuationClass IS NOT NULL
AND $P_I_ValuationClass != '';
END</t>
  </si>
  <si>
    <t>ZB_G14_CUST_SalesOrgExists</t>
  </si>
  <si>
    <t>Rule to check if Sales Organization exists for Customer master data for a standard SAP ECC 6.0 system</t>
  </si>
  <si>
    <t>ZB_G15_VNDR_IndustryCodeReference</t>
  </si>
  <si>
    <t>ZB_G13_MATNR_LogHandlingGroupReference</t>
  </si>
  <si>
    <t>Rule to check if Log Handling Group value for Material master data is valid according to the available values in the appropriate reference table in a standard SAP ECC 6.0 system.</t>
  </si>
  <si>
    <t>$P_I_LogHandlingGroup</t>
  </si>
  <si>
    <t>BEGIN
   RETURN exists('SAP', 'TLOG', 'LOGGR', $P_I_LogHandlingGroup);
END</t>
  </si>
  <si>
    <t>ZB_G14_CUST_CustomerContactPersonFunctionExists</t>
  </si>
  <si>
    <t>Rule to validate if Customer Contact Person Function Exists</t>
  </si>
  <si>
    <t>Function</t>
  </si>
  <si>
    <t>BEGIN RETURN
$P_I_PersonFunction IS NOT NULL
AND $P_I_PersonFunction != '';
END</t>
  </si>
  <si>
    <t>ZB_G15_VNDR_SchemaGroupVendorReference</t>
  </si>
  <si>
    <t>Rule to check if Schema Group Vendor value for Vendor master data is valid according to the available values in the appropriate reference table in a standard SAP ECC 6.0 system.</t>
  </si>
  <si>
    <t>$P_I_SchemaGroupVendor</t>
  </si>
  <si>
    <t>BEGIN
   RETURN exists('SAP', 'TMKK', 'KALSK', $P_I_SchemaGroupVendor);
END</t>
  </si>
  <si>
    <t>ZB_G13_MATNR_PurchasingGroupReference</t>
  </si>
  <si>
    <t>Rule to check if Purchasing Group value for Material master data is valid according to the available values in the appropriate reference table in a standard SAP ECC 6.0 system.</t>
  </si>
  <si>
    <t>ZB_G13_MATNR_GroupReference</t>
  </si>
  <si>
    <t>Rule to check if Group value for Material master data is valid according to the available values in the appropriate reference table in a standard SAP ECC 6.0 system.</t>
  </si>
  <si>
    <t>$P_I_Group</t>
  </si>
  <si>
    <t>BEGIN
   RETURN exists('SAP', 'M_PLKSA', 'PLNNR', $P_I_Group);
END</t>
  </si>
  <si>
    <t>ZB_G13_MATNR_PushDistributionDomainReference</t>
  </si>
  <si>
    <t>Rule to check if Push Distribution value for a Material master is valid according to the appropriate reference domain or value range for a standard SAP ECC 6.0 system.</t>
  </si>
  <si>
    <t>$P_I_PushDistribution</t>
  </si>
  <si>
    <t>BEGIN RETURN
$P_I_PushDistribution IS NULL
OR length($P_I_PushDistribution) = 0
OR $P_I_PushDistribution IN ('P', 'X');
END</t>
  </si>
  <si>
    <t>ZB_G15_VNDR_ContactPersonFunctionReference</t>
  </si>
  <si>
    <t>Rule to check if Contact Person &gt; Function value for Business Partner / Customer / Vendor master data is valid according to the available values in the appropriate reference table in a standard SAP ECC 6.0 system.</t>
  </si>
  <si>
    <t>$P_I_Function</t>
  </si>
  <si>
    <t>BEGIN
   RETURN exists('SAP', 'TPFK', 'PAFKT', $P_I_Function);
END</t>
  </si>
  <si>
    <t>ZB_G13_MATNR_MaterialGroup4Reference</t>
  </si>
  <si>
    <t>Rule to check if Material Group 4 value for Material master data is valid according to the available values in the appropriate reference table in a standard SAP ECC 6.0 system.</t>
  </si>
  <si>
    <t>$P_I_MatGroup4</t>
  </si>
  <si>
    <t>BEGIN
  RETURN exists('SAP', 'TVM4', 'MVGR4', $P_I_MatGroup4);
END</t>
  </si>
  <si>
    <t>ZB_G15_VNDR_IncotermsPart1Reference</t>
  </si>
  <si>
    <t>Rule to check if Incoterms (Part 1) value for Business Partner / Customer / Vendor master data is valid according to the available values in the appropriate reference table in a standard SAP ECC 6.0 system.</t>
  </si>
  <si>
    <t>$P_I_Incoterms</t>
  </si>
  <si>
    <t>BEGIN
   RETURN exists('SAP', 'TINC', 'INCO1', $P_I_Incoterms);
END</t>
  </si>
  <si>
    <t>ZB_G14_CUST_TitleDomainReference</t>
  </si>
  <si>
    <t>ZB_G13_MATNR_MaterialGroup2Reference</t>
  </si>
  <si>
    <t>Rule to check if Material Group 2 value for Material master data is valid according to the available values in the appropriate reference table in a standard SAP ECC 6.0 system.</t>
  </si>
  <si>
    <t>$P_I_MatGroup2</t>
  </si>
  <si>
    <t>BEGIN
  RETURN exists('SAP', 'TVM2', 'MVGR2', $P_I_MatGroup2);
END</t>
  </si>
  <si>
    <t>ZB_G14_CUST_TDOBoycottListDomainReference</t>
  </si>
  <si>
    <t>Rule to check if TDO Boycott list value for a Customer is valid according to the appropriate reference domain or value range for a standard SAP ECC 6.0 system.</t>
  </si>
  <si>
    <t>$P_I_TDOBoycottList</t>
  </si>
  <si>
    <t>BEGIN RETURN
$P_I_TDOBoycottList IS NULL
OR length($P_I_TDOBoycottList) = 0
OR $P_I_TDOBoycottList = 'X';
END</t>
  </si>
  <si>
    <t>ZB_G15_VNDR_ToleranceGroupReference</t>
  </si>
  <si>
    <t>ZB_G15_VNDR_ActualQMSystemReference</t>
  </si>
  <si>
    <t>Rule to check if Actual QM System value for Vendor master data is valid according to the available values in the appropriate reference table in a standard SAP ECC 6.0 system.</t>
  </si>
  <si>
    <t>$P_I_ActuaQMSystem</t>
  </si>
  <si>
    <t>BEGIN
    RETURN exists('SAP', 'TQ02B', 'QSSYSFAM', $P_I_ActuaQMSystem);
END</t>
  </si>
  <si>
    <t>ZB_G15_VNDR_ConfirmationControlReference</t>
  </si>
  <si>
    <t>Rule to check if Confirmation Control value for Vendor master data is valid according to the available values in the appropriate reference table in a standard SAP ECC 6.0 system.</t>
  </si>
  <si>
    <t>$P_I_ConfirmationControl</t>
  </si>
  <si>
    <t>BEGIN
   RETURN exists('SAP', 'T163L', 'BSTAE', $P_I_ConfirmationControl);
END</t>
  </si>
  <si>
    <t>ZB_G14_CUST_DunningProcedureReference</t>
  </si>
  <si>
    <t>Rule to check if Dunning Procedure value for Business Partner / Customer / Vendor master data is valid according to the available values in the appropriate reference table in a standard SAP ECC 6.0 system.</t>
  </si>
  <si>
    <t>$P_I_DunningProcedure</t>
  </si>
  <si>
    <t>BEGIN
   RETURN exists('SAP', 'T047A', 'MAHNA', $P_I_DunningProcedure);
END</t>
  </si>
  <si>
    <t>ZB_G14_CUST_ContactPersonDepartmentReference</t>
  </si>
  <si>
    <t>ZB_G15_VNDR_PaymentMethodReference</t>
  </si>
  <si>
    <t>ZB_G15_VNDR_DunningBlockReference</t>
  </si>
  <si>
    <t>ZB_G15_VNDR_TaxNumberTypeReference</t>
  </si>
  <si>
    <t>Rule to check if Tax Number Type value for Vendor master data is valid according to the available values in the appropriate reference table in a standard SAP ECC 6.0 system.</t>
  </si>
  <si>
    <t>$P_I_TaxNumberType</t>
  </si>
  <si>
    <t>BEGIN
    RETURN exists('SAP', 'J_1ATODC', 'J_1ATODC', $P_I_TaxNumberType);
END</t>
  </si>
  <si>
    <t>ZB_G15_VNDR_CustomerNumber1Reference</t>
  </si>
  <si>
    <t>Rule to check if Customer Number 1 value for Vendor master data is valid according to the available values in the appropriate reference table in a standard SAP ECC 6.0 system.</t>
  </si>
  <si>
    <t>$P_I_CustomerNumber</t>
  </si>
  <si>
    <t>BEGIN
    RETURN exists('SAP', 'M_DEBIA', 'KUNNR', $P_I_CustomerNumber);
END</t>
  </si>
  <si>
    <t>ZB_G13_MATNR_MaterialTypeExists</t>
  </si>
  <si>
    <t>Rule to check for existence of Material Type in Material master data for a standard SAP ECC 6.0 system</t>
  </si>
  <si>
    <t>BEGIN RETURN
$P_I_MaterialType IS NOT NULL
AND $P_I_MaterialType != '';
END</t>
  </si>
  <si>
    <t>ZB_G15_VNDR_DunningRecipientReference</t>
  </si>
  <si>
    <t>ZB_G14_CUST_LicenseNumberExists</t>
  </si>
  <si>
    <t>ZB_G13_MATNR_OverallProfileReference</t>
  </si>
  <si>
    <t>Rule to check if Overall Profile value for Material master data is valid according to the available values in the appropriate reference table in a standard SAP ECC 6.0 system.</t>
  </si>
  <si>
    <t>$P_I_OverallProfile</t>
  </si>
  <si>
    <t>BEGIN
   RETURN exists('SAP', 'TCO48', 'GPROFILE', $P_I_OverallProfile);
END</t>
  </si>
  <si>
    <t>ZB_G14_CUST_SortKeyReference</t>
  </si>
  <si>
    <t>ZB_G13_MATNR_MRPControllerReference</t>
  </si>
  <si>
    <t>Rule to check if  MRP Controller value for Material master data is valid according to the available values in the appropriate reference table in a standard SAP ECC 6.0 system.</t>
  </si>
  <si>
    <t>$P_I_MRPController</t>
  </si>
  <si>
    <t>BEGIN
  RETURN exists('SAP', 'T024D', 'DISPO', $P_I_MRPController);
END</t>
  </si>
  <si>
    <t>ZB_G14_CUST_PaymentCardBlockReference</t>
  </si>
  <si>
    <t>Rule to check if Payment Card Block Reason value for Customer master data is valid according to the available values in the appropriate reference table in a standard SAP ECC 6.0 system.</t>
  </si>
  <si>
    <t>BEGIN
   RETURN exists('SAP', 'TVCLK', 'CCLOCK', $P_I_PaymentCardBlock);
END</t>
  </si>
  <si>
    <t>ZB_G13_MATNR_IndustrySectorExists</t>
  </si>
  <si>
    <t>Rule to check for existence of Industry Sector in Material master data for a standard SAP ECC 6.0 system</t>
  </si>
  <si>
    <t>BEGIN RETURN
$P_I_IndustrySector IS NOT NULL
AND $P_I_IndustrySector != '';
END</t>
  </si>
  <si>
    <t>ZB_G13_MATNR_ConsumptionModeDomainReference</t>
  </si>
  <si>
    <t>Rule to check if Consumption Mode value for a Material master is valid according to the appropriate reference domain or value range for a standard SAP ECC 6.0 system.</t>
  </si>
  <si>
    <t>$P_I_ConsuptionMode</t>
  </si>
  <si>
    <t>BEGIN RETURN
$P_I_ConsuptionMode IS NULL
OR $P_I_ConsuptionMode IN ('1','2', '3', '4');
END</t>
  </si>
  <si>
    <t>ZB_G14_CUST_ExchangeRateTypeReference</t>
  </si>
  <si>
    <t>ZB_G13_MATNR_PriceControlDomainReference</t>
  </si>
  <si>
    <t>Rule to check if Price Control value for a Material master is valid according to the appropriate reference domain or value range for a standard SAP ECC 6.0 system.</t>
  </si>
  <si>
    <t>BEGIN RETURN
$P_I_PriceControl IS NULL
OR $P_I_PriceControl IN ('S', 'V');
END</t>
  </si>
  <si>
    <t>ZB_G14_CUST_IncotermsPart1Reference</t>
  </si>
  <si>
    <t>ZB_G14_CUST_LockBoxReference</t>
  </si>
  <si>
    <t>Rule to check if Lockbox value for Customer master data is valid according to the available values in the appropriate reference table in a standard SAP ECC 6.0 system.</t>
  </si>
  <si>
    <t>$P_I_Lockbox</t>
  </si>
  <si>
    <t>BEGIN
   RETURN exists('SAP', 'T049L', 'LOCKB', $P_I_Lockbox);
END</t>
  </si>
  <si>
    <t>ZB_G14_CUST_VendorAccountReference</t>
  </si>
  <si>
    <t>Rule to check if Vendor account number value for Customer master data is valid according to the available values in the appropriate reference table in a standard SAP ECC 6.0 system.</t>
  </si>
  <si>
    <t>$P_I_Vendor</t>
  </si>
  <si>
    <t>BEGIN
   RETURN exists('SAP', 'M_KREDA', 'LIFNR', $P_I_Vendor);
END</t>
  </si>
  <si>
    <t>ZB_G15_VNDR_BuyingHabitsReference</t>
  </si>
  <si>
    <t>Rule to check if Buying Habits value for Vendor master data is valid according to the available values in the appropriate reference table in a standard SAP ECC 6.0 system.</t>
  </si>
  <si>
    <t>$P_I_BuyingHabits</t>
  </si>
  <si>
    <t>BEGIN 
RETURN exists('SAP', 'TVAV', 'AKVER', $P_I_BuyingHabits);
END</t>
  </si>
  <si>
    <t>ZB_G13_MATNR_StrategyGroupReference</t>
  </si>
  <si>
    <t>Rule to check if Strategy Group value for Material master data is valid according to the available values in the appropriate reference table in a standard SAP ECC 6.0 system.</t>
  </si>
  <si>
    <t>$P_I_StrategyGroup</t>
  </si>
  <si>
    <t>BEGIN
   RETURN exists('SAP', 'T461X', 'STRGR', $P_I_StrategyGroup);
END</t>
  </si>
  <si>
    <t>ZB_G14_CUST_LanguageReference</t>
  </si>
  <si>
    <t>ZB_G13_MATNR_ProcurementTypeDomainReference</t>
  </si>
  <si>
    <t>Rule to check if Procurement Type value for a Material master is valid according to the appropriate reference domain or value range for a standard SAP ECC 6.0 system.</t>
  </si>
  <si>
    <t>$P_I_ProcurementType</t>
  </si>
  <si>
    <t>BEGIN RETURN
$P_I_ProcurementType IS NULL
OR length($P_I_ProcurementType) = 0
OR $P_I_ProcurementType IN ('E', 'F', 'X');
END</t>
  </si>
  <si>
    <t>ZB_G13_MATNR_ValuationCategoryReference</t>
  </si>
  <si>
    <t>Rule to check if Valuation Category value for Material master data is valid according to the available values in the appropriate reference table in a standard SAP ECC 6.0 system.</t>
  </si>
  <si>
    <t>$P_I_ValuationCategory</t>
  </si>
  <si>
    <t>BEGIN
   RETURN exists('SAP', 'H_T149', 'BWTTY', $P_I_ValuationCategory);
END</t>
  </si>
  <si>
    <t>ZB_G13_MATNR_PeriodIndicatorDomainReference</t>
  </si>
  <si>
    <t>Rule to check if Period Indicator value for a Material master is valid according to the appropriate reference domain or value range for a standard SAP ECC 6.0 system.</t>
  </si>
  <si>
    <t>$P_I_PeriodInd</t>
  </si>
  <si>
    <t>BEGIN RETURN
$P_I_PeriodInd IS NULL
OR length($P_I_PeriodInd) = 0
OR $P_I_PeriodInd IN ('P','M', 'W', 'T');
END</t>
  </si>
  <si>
    <t>ZB_G15_VNDR_VendorAccountGroupReference</t>
  </si>
  <si>
    <t>Rule to check if Account group value for Vendor master data is valid according to the available values in the appropriate reference table in a standard SAP ECC 6.0 system.</t>
  </si>
  <si>
    <t>BEGIN
    RETURN exists('SAP', 'T077K', 'KTOKK', $P_I_AccountGroup);
END</t>
  </si>
  <si>
    <t>ZB_G14_CUST_CivilianUseDomainReference</t>
  </si>
  <si>
    <t>Rule to check if Civilian Use value for a Customer is valid according to the appropriate reference domain or value range for a standard SAP ECC 6.0 system.</t>
  </si>
  <si>
    <t>$P_I_CivilianUse</t>
  </si>
  <si>
    <t>BEGIN RETURN
$P_I_CivilianUse IS NULL
OR length($P_I_CivilianUse) = 0
OR $P_I_CivilianUse = 'X';
END</t>
  </si>
  <si>
    <t>ZB_G15_VNDR_ShippingConditionsReference</t>
  </si>
  <si>
    <t>ZB_G13_MATNR_ExportOrImportGroupReference</t>
  </si>
  <si>
    <t>Rule to check if Export or Import Group value for Material master data is valid according to the available values in the appropriate reference table in a standard SAP ECC 6.0 system.</t>
  </si>
  <si>
    <t>$P_I_ExportImportGroup</t>
  </si>
  <si>
    <t>BEGIN
   RETURN exists('SAP', 'TVFM', 'MTVER', $P_I_ExportImportGroup);
END</t>
  </si>
  <si>
    <t>ZB_G14_CUST_PriceGroupReference</t>
  </si>
  <si>
    <t>Rule to check if Price Group value for Customer master data is valid according to the available values in the appropriate reference table in a standard SAP ECC 6.0 system.</t>
  </si>
  <si>
    <t>$P_I_PriceGroup</t>
  </si>
  <si>
    <t>BEGIN
  RETURN exists('SAP', 'T188', 'KONDA', $P_I_PriceGroup);
END</t>
  </si>
  <si>
    <t>ZB_G14_CUST_ContactPersonFunctionReference</t>
  </si>
  <si>
    <t>ZB_G13_MATNR_RoundingRuleSLEDDomainReference</t>
  </si>
  <si>
    <t>Rule to check if Rounding Rule SLED for a Material master is valid according to the appropriate reference domain or value range for a standard SAP ECC 6.0 system.</t>
  </si>
  <si>
    <t>$P_I_RoundingRuleSLED</t>
  </si>
  <si>
    <t>BEGIN RETURN
$P_I_RoundingRuleSLED IS NULL
OR length($P_I_RoundingRuleSLED) = 0
OR $P_I_RoundingRuleSLED IN ('-', '+', 'F');
END</t>
  </si>
  <si>
    <t>ZB_G14_CUST_PartnerFunctionExists</t>
  </si>
  <si>
    <t>ZB_G15_VNDR_USFaxNumberFormat</t>
  </si>
  <si>
    <t>ZB_G13_MATNR_QMControlKeyReference</t>
  </si>
  <si>
    <t>Rule to check if QM Control Key value for Material master data is valid according to the available values in the appropriate reference table in a standard SAP ECC 6.0 system.</t>
  </si>
  <si>
    <t>$P_I_QMControlKey</t>
  </si>
  <si>
    <t>BEGIN
   RETURN exists('SAP', 'TQ08', 'QM_PUR', $P_I_QMControlKey);
END</t>
  </si>
  <si>
    <t>ZB_G13_MATNR_StorageCostsIndicatorReference</t>
  </si>
  <si>
    <t>Rule to check if Storage Costs Indicator value for Material master data is valid according to the available values in the appropriate reference table in a standard SAP ECC 6.0 system.</t>
  </si>
  <si>
    <t>$P_I_StorageCostsIndicator</t>
  </si>
  <si>
    <t>BEGIN
  RETURN exists('SAP', 'T439L', 'LAGPR', $P_I_StorageCostsIndicator);
END</t>
  </si>
  <si>
    <t>ZB_G15_VNDR_AuthorityReference</t>
  </si>
  <si>
    <t>Rule to check if Authority value forVendor master data is valid according to the available values in the appropriate reference table in a standard SAP ECC 6.0 system.</t>
  </si>
  <si>
    <t>$P_I_Authority</t>
  </si>
  <si>
    <t>BEGIN 
RETURN exists('SAP', 'TVPV', 'PARVO', $P_I_Authority);
END</t>
  </si>
  <si>
    <t>ZB_G14_CUST_PartnerFunctionReference</t>
  </si>
  <si>
    <t>ZB_G13_MATNR_BackflushDomainReference</t>
  </si>
  <si>
    <t>Rule to check if Backflush value for a Material master is valid according to the appropriate reference domain or value range for a standard SAP ECC 6.0 system.</t>
  </si>
  <si>
    <t>BEGIN RETURN
$P_I_BackFlushDomain IS NULL
OR $P_I_BackFlushDomain IN ('1', '2');
END</t>
  </si>
  <si>
    <t>ZB_G14_CUST_AlternatePayerReference</t>
  </si>
  <si>
    <t>Rule to check if Alternative Payer value for Customer master data is valid according to the available values in the appropriate reference table in a standard SAP ECC 6.0 system.</t>
  </si>
  <si>
    <t>$P_I_AlternativePayer</t>
  </si>
  <si>
    <t>BEGIN
   RETURN exists('SAP', 'M_DEBIA', 'KUNNR', $P_I_AlternativePayer);
END</t>
  </si>
  <si>
    <t>ZB_G15_VNDR_CountryCodeExists</t>
  </si>
  <si>
    <t>ZB_G15_VNDR_CallFrequencyReference</t>
  </si>
  <si>
    <t>Rule to check if Call Frequency value for Vendor master data is valid according to the available values in the appropriate reference table in a standard SAP ECC 6.0 system.</t>
  </si>
  <si>
    <t>$P_I_CallFrequency</t>
  </si>
  <si>
    <t>BEGIN 
RETURN exists('SAP', 'TVBR', 'BRYTH', $P_I_CallFrequency);
END</t>
  </si>
  <si>
    <t>ZB_G14_CUST_GroupingKeyReference</t>
  </si>
  <si>
    <t>ZB_G15_VNDR_CountryKeyExists</t>
  </si>
  <si>
    <t>ZB_G15_VNDR_DunningProcedureReference</t>
  </si>
  <si>
    <t>Acctg clerk</t>
  </si>
  <si>
    <t>Bank statement</t>
  </si>
  <si>
    <t>Dunning block</t>
  </si>
  <si>
    <t>Dunning clerk</t>
  </si>
  <si>
    <t>Grouping key</t>
  </si>
  <si>
    <t>Dunn Procedure</t>
  </si>
  <si>
    <t>Dunn Recipient</t>
  </si>
  <si>
    <t>ZB_G14_CUST_CompanyCodeData_Correspondence</t>
  </si>
  <si>
    <t>Terms of payment</t>
  </si>
  <si>
    <t>Company Code</t>
  </si>
  <si>
    <t>B e charges payt term</t>
  </si>
  <si>
    <t>House Bank</t>
  </si>
  <si>
    <t>Lockbox</t>
  </si>
  <si>
    <t>Next payee</t>
  </si>
  <si>
    <t>Payment block</t>
  </si>
  <si>
    <t>Payment methods</t>
  </si>
  <si>
    <t>Rsn Code conv</t>
  </si>
  <si>
    <t>Selection rule</t>
  </si>
  <si>
    <t>Tolerance group</t>
  </si>
  <si>
    <t>ZB_G14_CUST_CompanyCodeData_PaymentTransactions</t>
  </si>
  <si>
    <t>ZB_G14_CUST_GeneralData_ContactPerson</t>
  </si>
  <si>
    <t>Transport Zone</t>
  </si>
  <si>
    <t>City</t>
  </si>
  <si>
    <t>County code</t>
  </si>
  <si>
    <t>Industry</t>
  </si>
  <si>
    <t>Trading Partner</t>
  </si>
  <si>
    <t>Vendor</t>
  </si>
  <si>
    <t>Fiscal address</t>
  </si>
  <si>
    <t>ZB_G14_CUST_GeneralData_Control</t>
  </si>
  <si>
    <t>Mainly civilian usage</t>
  </si>
  <si>
    <t>Missle technology</t>
  </si>
  <si>
    <t>National security</t>
  </si>
  <si>
    <t>Nuclear nonproliferation</t>
  </si>
  <si>
    <t>Boycott</t>
  </si>
  <si>
    <t>ZB_G14_CUST_GeneralData_ExportData</t>
  </si>
  <si>
    <t>Bank Account</t>
  </si>
  <si>
    <t>Ctry</t>
  </si>
  <si>
    <t>Bank Key</t>
  </si>
  <si>
    <t>Alternative payer</t>
  </si>
  <si>
    <t>ZB_G14_CUST_GeneralData_PaymentTransactions</t>
  </si>
  <si>
    <t>Tax Category</t>
  </si>
  <si>
    <t>Tax Classification</t>
  </si>
  <si>
    <t>Country</t>
  </si>
  <si>
    <t>License No</t>
  </si>
  <si>
    <t>Valid frm</t>
  </si>
  <si>
    <t>Valid to</t>
  </si>
  <si>
    <t>Acct assgmt group</t>
  </si>
  <si>
    <t>Incoterms part 1</t>
  </si>
  <si>
    <t>Invoicing dates</t>
  </si>
  <si>
    <t>ZB_G14_CUST_SalesAreaData_BillingDocuments</t>
  </si>
  <si>
    <t>Partner Function</t>
  </si>
  <si>
    <t>ZB_G14_CUST_SalesAreaData_PartnerFunctions</t>
  </si>
  <si>
    <t>Distr Channel</t>
  </si>
  <si>
    <t>Division</t>
  </si>
  <si>
    <t>Cust Pric proc</t>
  </si>
  <si>
    <t>Sales Org</t>
  </si>
  <si>
    <t>Customer group</t>
  </si>
  <si>
    <t>Exch Rate Type</t>
  </si>
  <si>
    <t>Price group</t>
  </si>
  <si>
    <t>Price List</t>
  </si>
  <si>
    <t>PP cust Proc</t>
  </si>
  <si>
    <t>Sales District</t>
  </si>
  <si>
    <t>Sales Group</t>
  </si>
  <si>
    <t>Sales Office</t>
  </si>
  <si>
    <t>Cust Stats Grp</t>
  </si>
  <si>
    <t>UoM group</t>
  </si>
  <si>
    <t>ZB_G14_CUST_SalesAreaData_Sales</t>
  </si>
  <si>
    <t>Shipping conditions</t>
  </si>
  <si>
    <t>Relevant for POD</t>
  </si>
  <si>
    <t>Partial delivery per item</t>
  </si>
  <si>
    <t>ZB_G14_CUST_SalesAreaData_Shipping</t>
  </si>
  <si>
    <t>Price control</t>
  </si>
  <si>
    <t>Price unit</t>
  </si>
  <si>
    <t>Price determ</t>
  </si>
  <si>
    <t>Valuation Category</t>
  </si>
  <si>
    <t>Valuation Class</t>
  </si>
  <si>
    <t>ZB_G13_MATNR_Accounting1</t>
  </si>
  <si>
    <t>Comm imp Code no</t>
  </si>
  <si>
    <t>Control Code</t>
  </si>
  <si>
    <t>Country of Origin</t>
  </si>
  <si>
    <t>ExemptionCertificate</t>
  </si>
  <si>
    <t>Export import group</t>
  </si>
  <si>
    <t>Region of Origin</t>
  </si>
  <si>
    <t>ZB_G13_MATNR_ForeignTradeExport</t>
  </si>
  <si>
    <t>Plant</t>
  </si>
  <si>
    <t>Storage Location</t>
  </si>
  <si>
    <t>CC phys Inv Ind</t>
  </si>
  <si>
    <t>Container reqmts</t>
  </si>
  <si>
    <t>Haz material number</t>
  </si>
  <si>
    <t>Lab form</t>
  </si>
  <si>
    <t>Label type</t>
  </si>
  <si>
    <t>Period Ind for SLED</t>
  </si>
  <si>
    <t>Rounding rule for SLED</t>
  </si>
  <si>
    <t>Storage conditions</t>
  </si>
  <si>
    <t>Temp Conditions</t>
  </si>
  <si>
    <t>ZB_G13_MATNR_GeneralPlantData_Storage1</t>
  </si>
  <si>
    <t>MRP Controller</t>
  </si>
  <si>
    <t>MRP Type</t>
  </si>
  <si>
    <t>Material Type</t>
  </si>
  <si>
    <t>Lot size</t>
  </si>
  <si>
    <t>MRP Group</t>
  </si>
  <si>
    <t>Planning cycle</t>
  </si>
  <si>
    <t>Storage costs ind</t>
  </si>
  <si>
    <t>ZB_G13_MATNR_MRP1</t>
  </si>
  <si>
    <t>Batch entry</t>
  </si>
  <si>
    <t>Coverage profile</t>
  </si>
  <si>
    <t>Procurement type</t>
  </si>
  <si>
    <t>Safety time ind</t>
  </si>
  <si>
    <t>SchedMargin key</t>
  </si>
  <si>
    <t>ZB_G13_MATNR_MRP2</t>
  </si>
  <si>
    <t>Configurable Material</t>
  </si>
  <si>
    <t>Consumption mode</t>
  </si>
  <si>
    <t>Cross project</t>
  </si>
  <si>
    <t>Mixed MRP</t>
  </si>
  <si>
    <t>Period Indicator</t>
  </si>
  <si>
    <t>Strategy group</t>
  </si>
  <si>
    <t>ZB_G13_MATNR_MRP3</t>
  </si>
  <si>
    <t>Action control</t>
  </si>
  <si>
    <t>Diccontin Ind</t>
  </si>
  <si>
    <t>MRP dep requirements</t>
  </si>
  <si>
    <t>Push distribution</t>
  </si>
  <si>
    <t>REM profile</t>
  </si>
  <si>
    <t>Requirements group</t>
  </si>
  <si>
    <t>Selection Method</t>
  </si>
  <si>
    <t>Sloc MRP Indicator</t>
  </si>
  <si>
    <t>ZB_G13_MATNR_MRP4</t>
  </si>
  <si>
    <t>Purchasing Group</t>
  </si>
  <si>
    <t>JIT Sched Indicator</t>
  </si>
  <si>
    <t>Manufact</t>
  </si>
  <si>
    <t>Material frieght grp</t>
  </si>
  <si>
    <t>OB Management</t>
  </si>
  <si>
    <t>Plant sp Matl status</t>
  </si>
  <si>
    <t>Purchasing value key</t>
  </si>
  <si>
    <t>Qual for Free Goods Discount</t>
  </si>
  <si>
    <t>Quota arr usage</t>
  </si>
  <si>
    <t>ZB_G13_MATNR_Purchasing</t>
  </si>
  <si>
    <t>Calalog profile</t>
  </si>
  <si>
    <t>Certificate type</t>
  </si>
  <si>
    <t>QM control key</t>
  </si>
  <si>
    <t>QM material auth</t>
  </si>
  <si>
    <t>Target QM system</t>
  </si>
  <si>
    <t>ZB_G13_MATNR_QualityManagement</t>
  </si>
  <si>
    <t>Availability Check</t>
  </si>
  <si>
    <t>Loading Grp</t>
  </si>
  <si>
    <t>Trans Grp</t>
  </si>
  <si>
    <t>ZB_G13_MATNR_SalesGeneral_PlantData</t>
  </si>
  <si>
    <t>Distr Chl</t>
  </si>
  <si>
    <t>DChain spec status</t>
  </si>
  <si>
    <t>Unit of Measure Grp</t>
  </si>
  <si>
    <t>Delivering Plant</t>
  </si>
  <si>
    <t>ZB_G13_MATNR_SalesOrg1</t>
  </si>
  <si>
    <t>Act assignment grp</t>
  </si>
  <si>
    <t>Commission group</t>
  </si>
  <si>
    <t>Material Group 1</t>
  </si>
  <si>
    <t>Material Group 2</t>
  </si>
  <si>
    <t>Material Group 3</t>
  </si>
  <si>
    <t>Material Group 4</t>
  </si>
  <si>
    <t>Material Group 5</t>
  </si>
  <si>
    <t>Material pricing grp</t>
  </si>
  <si>
    <t>Matl statistic grp</t>
  </si>
  <si>
    <t>Volume rebate group</t>
  </si>
  <si>
    <t>ZB_G13_MATNR_SalesOrg2</t>
  </si>
  <si>
    <t>Warehouse Number</t>
  </si>
  <si>
    <t>Bulk storage</t>
  </si>
  <si>
    <t>Picking storage type</t>
  </si>
  <si>
    <t>Proposed UoM frm mat</t>
  </si>
  <si>
    <t>Stock removal</t>
  </si>
  <si>
    <t>Stock replacement</t>
  </si>
  <si>
    <t>Storage Section Ind</t>
  </si>
  <si>
    <t>Special movement</t>
  </si>
  <si>
    <t>ZB_G13_MATNR_WarehouseManagement1</t>
  </si>
  <si>
    <t>SUT 1</t>
  </si>
  <si>
    <t>SUT 2</t>
  </si>
  <si>
    <t>SUT 3</t>
  </si>
  <si>
    <t>ZB_G13_MATNR_WarehouseManagement2</t>
  </si>
  <si>
    <t>Cash mgmt group</t>
  </si>
  <si>
    <t>Recon Account</t>
  </si>
  <si>
    <t>Interest indic</t>
  </si>
  <si>
    <t>Sort key</t>
  </si>
  <si>
    <t>Value adjustment</t>
  </si>
  <si>
    <t>Interest cycle</t>
  </si>
  <si>
    <t>ZB_G14_CUST_CompanyCodeData_AccountManagement</t>
  </si>
  <si>
    <t>Customer class</t>
  </si>
  <si>
    <t>Fi Year Variant</t>
  </si>
  <si>
    <t>Industry Code 1</t>
  </si>
  <si>
    <t>Legal status</t>
  </si>
  <si>
    <t>Nielsen ID</t>
  </si>
  <si>
    <t>ZB_G14_CUST_Marketing</t>
  </si>
  <si>
    <t>Base Unit of Measure</t>
  </si>
  <si>
    <t>Description</t>
  </si>
  <si>
    <t>Industry Sector</t>
  </si>
  <si>
    <t>Material Group</t>
  </si>
  <si>
    <t>Ean Category</t>
  </si>
  <si>
    <t>GenItemCatGroup</t>
  </si>
  <si>
    <t>Lab Office</t>
  </si>
  <si>
    <t>Matl Grp Pack Matls</t>
  </si>
  <si>
    <t>Product Allocation</t>
  </si>
  <si>
    <t>Ref mat for pckg</t>
  </si>
  <si>
    <t>ZB_G13_MATNR_BasicData1</t>
  </si>
  <si>
    <t>Exmpt authority</t>
  </si>
  <si>
    <t>Release group</t>
  </si>
  <si>
    <t>Withholding tax code</t>
  </si>
  <si>
    <t>ZB_G15_VNDR_CompanyCodeData_AccountingInformation</t>
  </si>
  <si>
    <t>Acct statement</t>
  </si>
  <si>
    <t>Dunn recipient</t>
  </si>
  <si>
    <t>ZB_G15_VNDR_CompanyCodeData_Correspondence</t>
  </si>
  <si>
    <t>House bank</t>
  </si>
  <si>
    <t>ZB_G15_VNDR_CompanyCodeData_PaymentTransactions</t>
  </si>
  <si>
    <t>Language</t>
  </si>
  <si>
    <t>Name 1</t>
  </si>
  <si>
    <t>House number and street</t>
  </si>
  <si>
    <t>Search Term 1</t>
  </si>
  <si>
    <t>PO Box postal code</t>
  </si>
  <si>
    <t>Postal Code</t>
  </si>
  <si>
    <t>Region</t>
  </si>
  <si>
    <t>Transportation zone</t>
  </si>
  <si>
    <t>Account group</t>
  </si>
  <si>
    <t>Title</t>
  </si>
  <si>
    <t>ZB_G15_VNDR_GeneralData_Address</t>
  </si>
  <si>
    <t>Authority</t>
  </si>
  <si>
    <t>Buying habits</t>
  </si>
  <si>
    <t>Call frequency</t>
  </si>
  <si>
    <t>Gender</t>
  </si>
  <si>
    <t>Marital status</t>
  </si>
  <si>
    <t>VIP</t>
  </si>
  <si>
    <t>ZB_G15_VNDR_GeneralData_ContactPerson</t>
  </si>
  <si>
    <t>Actual QM sys</t>
  </si>
  <si>
    <t>Carrier freight grp</t>
  </si>
  <si>
    <t>POD relevant</t>
  </si>
  <si>
    <t>ServAgntProcGrp</t>
  </si>
  <si>
    <t>Sex</t>
  </si>
  <si>
    <t>Tax Number 1</t>
  </si>
  <si>
    <t>Tax number type</t>
  </si>
  <si>
    <t>ZB_G15_VNDR_GeneralData_Control</t>
  </si>
  <si>
    <t>Bank account</t>
  </si>
  <si>
    <t>Bank country key</t>
  </si>
  <si>
    <t>Bank key</t>
  </si>
  <si>
    <t>DME Indicator</t>
  </si>
  <si>
    <t>Instruction key</t>
  </si>
  <si>
    <t>Payee</t>
  </si>
  <si>
    <t>ZB_G15_VNDR_GeneralData_PaymentTransactions</t>
  </si>
  <si>
    <t>ZB_G15_VNDR_PurchaseOrgData_PartnerFunctions</t>
  </si>
  <si>
    <t>Confirmation control</t>
  </si>
  <si>
    <t>Order currency</t>
  </si>
  <si>
    <t>Incoterms 1</t>
  </si>
  <si>
    <t>Office of entry</t>
  </si>
  <si>
    <t>Order optim rest</t>
  </si>
  <si>
    <t>PROACT control prof</t>
  </si>
  <si>
    <t>Price marking agreed</t>
  </si>
  <si>
    <t>Pricing Date control</t>
  </si>
  <si>
    <t>Purchasing group default matr.</t>
  </si>
  <si>
    <t>Schema group Vendor</t>
  </si>
  <si>
    <t>Sort criterion</t>
  </si>
  <si>
    <t>Unit of measure group</t>
  </si>
  <si>
    <t>ZB_G15_VNDR_Purchasing</t>
  </si>
  <si>
    <t>Overall profile</t>
  </si>
  <si>
    <t>ZB_G13_MATNR_WorkScheduling</t>
  </si>
  <si>
    <t>Basic Material</t>
  </si>
  <si>
    <t>Cross plant CM</t>
  </si>
  <si>
    <t>ZB_G13_MATNR_BasicData2</t>
  </si>
  <si>
    <t>Group</t>
  </si>
  <si>
    <t>Origin group</t>
  </si>
  <si>
    <t>Task List Type</t>
  </si>
  <si>
    <t>Variance Key</t>
  </si>
  <si>
    <t>ZB_G13_MATNR_Costing1</t>
  </si>
  <si>
    <t>ZB_G13_MATNR_Costing2</t>
  </si>
  <si>
    <t>Fiscal Year Variant</t>
  </si>
  <si>
    <t>ZB_G13_MATNR_Forecasting</t>
  </si>
  <si>
    <t>Distr Profile</t>
  </si>
  <si>
    <t>Log Handling group</t>
  </si>
  <si>
    <t>SerLevel</t>
  </si>
  <si>
    <t>Serial no profile</t>
  </si>
  <si>
    <t>ZB_G13_MATNR_GeneralPlantData_Storage2</t>
  </si>
  <si>
    <t>Account Group</t>
  </si>
  <si>
    <t>Street House Number</t>
  </si>
  <si>
    <t>Telephone</t>
  </si>
  <si>
    <t>Sort field</t>
  </si>
  <si>
    <t>PO Box Postal Code</t>
  </si>
  <si>
    <t>ZB_G14_CUST_GeneralData_Address</t>
  </si>
  <si>
    <t>Material Accounting data view 1 for a standard SAP ECC 6.0 system</t>
  </si>
  <si>
    <t>ML act</t>
  </si>
  <si>
    <t>VC Sales order stk</t>
  </si>
  <si>
    <t>Proj stk val class</t>
  </si>
  <si>
    <t>Moving price</t>
  </si>
  <si>
    <t>Standard price</t>
  </si>
  <si>
    <t>Total Stock</t>
  </si>
  <si>
    <t>Total value</t>
  </si>
  <si>
    <t>Valuated Un</t>
  </si>
  <si>
    <t>Future price</t>
  </si>
  <si>
    <t>Valid from</t>
  </si>
  <si>
    <t>SAP.MARA.MATNR</t>
  </si>
  <si>
    <t>SAP.MAKT.MAKTX</t>
  </si>
  <si>
    <t>SAP.MARA.MTART</t>
  </si>
  <si>
    <t>SAP.MARC.WERKS</t>
  </si>
  <si>
    <t>SAP.MARA.MEINS</t>
  </si>
  <si>
    <t>SAP.MARC.BWTTY</t>
  </si>
  <si>
    <t>SAP.MARA.SPART</t>
  </si>
  <si>
    <t>SAP.MBEW.MLAST</t>
  </si>
  <si>
    <t>SAP.MBEW.MLMAA</t>
  </si>
  <si>
    <t>SAP.MBEW.BKLAS</t>
  </si>
  <si>
    <t>SAP.MBEW.EKLAS</t>
  </si>
  <si>
    <t>SAP.MBEW.QKLAS</t>
  </si>
  <si>
    <t>SAP.MBEW.VPRSV</t>
  </si>
  <si>
    <t>SAP.MBEW.PEINH</t>
  </si>
  <si>
    <t>SAP.MBEW.VERPR</t>
  </si>
  <si>
    <t>SAP.MBEW.STPRS</t>
  </si>
  <si>
    <t>SAP.MBEW.LBKUM</t>
  </si>
  <si>
    <t>SAP.MBEW.SALK3</t>
  </si>
  <si>
    <t>SAP.MBEW.XBEWM</t>
  </si>
  <si>
    <t>SAP.MBEW.ZKPRS</t>
  </si>
  <si>
    <t>SAP.MBEW.ZKDAT</t>
  </si>
  <si>
    <t>MATNR</t>
  </si>
  <si>
    <t>MAKTX</t>
  </si>
  <si>
    <t>MTART</t>
  </si>
  <si>
    <t>WERKS</t>
  </si>
  <si>
    <t>MEINS</t>
  </si>
  <si>
    <t>BWTTY</t>
  </si>
  <si>
    <t>SPART</t>
  </si>
  <si>
    <t>MLAST</t>
  </si>
  <si>
    <t>MLMAA</t>
  </si>
  <si>
    <t>BKLAS</t>
  </si>
  <si>
    <t>EKLAS</t>
  </si>
  <si>
    <t>QKLAS</t>
  </si>
  <si>
    <t>VPRSV</t>
  </si>
  <si>
    <t>PEINH</t>
  </si>
  <si>
    <t>VERPR</t>
  </si>
  <si>
    <t>STPRS</t>
  </si>
  <si>
    <t>LBKUM</t>
  </si>
  <si>
    <t>SALK3</t>
  </si>
  <si>
    <t>XBEWM</t>
  </si>
  <si>
    <t>ZKPRS</t>
  </si>
  <si>
    <t>ZKDAT</t>
  </si>
  <si>
    <t>Material Price Determination: Control</t>
  </si>
  <si>
    <t>Material ledger activated at material level</t>
  </si>
  <si>
    <t>Valuation Class for Sales Order Stock</t>
  </si>
  <si>
    <t>Valuation Class for Project Stock</t>
  </si>
  <si>
    <t>Price control indicator</t>
  </si>
  <si>
    <t>Price Unit</t>
  </si>
  <si>
    <t>Moving Average Price/Periodic Unit Price</t>
  </si>
  <si>
    <t>Total Valuated Stock</t>
  </si>
  <si>
    <t>Value of Total Valuated Stock</t>
  </si>
  <si>
    <t>Valuation based on the batch-specific unit of measure</t>
  </si>
  <si>
    <t>Date as of which the price is valid</t>
  </si>
  <si>
    <t>SAP</t>
  </si>
  <si>
    <t>MAKT</t>
  </si>
  <si>
    <t>MARA</t>
  </si>
  <si>
    <t>MARC</t>
  </si>
  <si>
    <t>MBEW</t>
  </si>
  <si>
    <t>inner</t>
  </si>
  <si>
    <t>SAP.MAKT.MATNR = SAP.MBEW.MATNR</t>
  </si>
  <si>
    <t>SAP.MAKT.MATNR = SAP.MARA.MATNR AND SAP.MARA.MATNR = SAP.MBEW.MATNR</t>
  </si>
  <si>
    <t>SAP.MAKT.MATNR = SAP.MARC.MATNR AND SAP.MARA.MATNR = SAP.MARC.MATNR AND SAP.MARC.MATNR = SAP.MBEW.MATNR</t>
  </si>
  <si>
    <t>SAP.MAKT.SPRAS = 'E'</t>
  </si>
  <si>
    <t>SPRAS</t>
  </si>
  <si>
    <t>ZB_G13_MATNR_Accounting2</t>
  </si>
  <si>
    <t>Material Accounting data view 2 for a standard SAP ECC 6.0 system</t>
  </si>
  <si>
    <t>Tax price 1</t>
  </si>
  <si>
    <t>Tax price 2</t>
  </si>
  <si>
    <t>Tax price 3</t>
  </si>
  <si>
    <t>Commercial price 1</t>
  </si>
  <si>
    <t>Commercial price 2</t>
  </si>
  <si>
    <t>Commercial price 3</t>
  </si>
  <si>
    <t>Devaluation ind</t>
  </si>
  <si>
    <t>LIFO FIFO relevant</t>
  </si>
  <si>
    <t>LIFO pool</t>
  </si>
  <si>
    <t>SAP.MBEW.BWPRS</t>
  </si>
  <si>
    <t>SAP.MBEW.BWPS1</t>
  </si>
  <si>
    <t>SAP.MBEW.VJBWS</t>
  </si>
  <si>
    <t>SAP.MBEW.BWPRH</t>
  </si>
  <si>
    <t>SAP.MBEW.BWPH1</t>
  </si>
  <si>
    <t>SAP.MBEW.VJBWH</t>
  </si>
  <si>
    <t>SAP.MBEW.ABWKZ</t>
  </si>
  <si>
    <t>SAP.MBEW.BWPEI</t>
  </si>
  <si>
    <t>SAP.MBEW.XLIFO</t>
  </si>
  <si>
    <t>SAP.MBEW.MYPOL</t>
  </si>
  <si>
    <t>BWPRS</t>
  </si>
  <si>
    <t>BWPS1</t>
  </si>
  <si>
    <t>VJBWS</t>
  </si>
  <si>
    <t>BWPRH</t>
  </si>
  <si>
    <t>BWPH1</t>
  </si>
  <si>
    <t>VJBWH</t>
  </si>
  <si>
    <t>ABWKZ</t>
  </si>
  <si>
    <t>BWPEI</t>
  </si>
  <si>
    <t>XLIFO</t>
  </si>
  <si>
    <t>MYPOL</t>
  </si>
  <si>
    <t>Valuation price based on tax law: level 1</t>
  </si>
  <si>
    <t>Valuation price based on tax law: level 2</t>
  </si>
  <si>
    <t>Valuation price based on tax law: level 3</t>
  </si>
  <si>
    <t>Valuation price based on commercial law: level 1</t>
  </si>
  <si>
    <t>Valuation price based on commercial law: level 2</t>
  </si>
  <si>
    <t>Valuation price based on commercial law: level 3</t>
  </si>
  <si>
    <t>Lowest value: devaluation indicator</t>
  </si>
  <si>
    <t>Price unit for valuation prices based on tax/commercial law</t>
  </si>
  <si>
    <t>LIFO/FIFO-Relevant</t>
  </si>
  <si>
    <t>Pool number for LIFO valuation</t>
  </si>
  <si>
    <t>numeric</t>
  </si>
  <si>
    <t>SAP.MAKT.MATNR = SAP.MARA.MATNR</t>
  </si>
  <si>
    <t>SAP.MAKT.MATNR = SAP.MARC.MATNR AND SAP.MARA.MATNR = SAP.MARC.MATNR</t>
  </si>
  <si>
    <t>SAP.MAKT.MATNR = SAP.MBEW.MATNR AND SAP.MARA.MATNR = SAP.MBEW.MATNR AND SAP.MARC.MATNR = SAP.MBEW.MATNR</t>
  </si>
  <si>
    <t>Material Master Basic Data View 1 for a standard SAP ECC 6.0 system.</t>
  </si>
  <si>
    <t>Old Material Number</t>
  </si>
  <si>
    <t>X Plant matl status</t>
  </si>
  <si>
    <t>Assign effect vals</t>
  </si>
  <si>
    <t>Ext Matl Group</t>
  </si>
  <si>
    <t>Prod hierarchy</t>
  </si>
  <si>
    <t>Valid From</t>
  </si>
  <si>
    <t>Gross Weight</t>
  </si>
  <si>
    <t>Net Weight</t>
  </si>
  <si>
    <t>Weight Unit</t>
  </si>
  <si>
    <t>Volume</t>
  </si>
  <si>
    <t>Volume Unit</t>
  </si>
  <si>
    <t>Size dimensions</t>
  </si>
  <si>
    <t>EAN UPC</t>
  </si>
  <si>
    <t>SAP.MARA.MBRSH</t>
  </si>
  <si>
    <t>SAP.MARA.BISMT</t>
  </si>
  <si>
    <t>SAP.MARA.KOSCH</t>
  </si>
  <si>
    <t>SAP.MARA.MSTAE</t>
  </si>
  <si>
    <t>SAP.MARA.KZEFF</t>
  </si>
  <si>
    <t>SAP.MARA.MATKL</t>
  </si>
  <si>
    <t>SAP.MARA.EXTWG</t>
  </si>
  <si>
    <t>SAP.MARA.LABOR</t>
  </si>
  <si>
    <t>SAP.MARA.PRDHA</t>
  </si>
  <si>
    <t>SAP.MARA.MSTDE</t>
  </si>
  <si>
    <t>SAP.MARA.MTPOS_MARA</t>
  </si>
  <si>
    <t>SAP.MARA.BRGEW</t>
  </si>
  <si>
    <t>SAP.MARA.NTGEW</t>
  </si>
  <si>
    <t>SAP.MARA.GEWEI</t>
  </si>
  <si>
    <t>SAP.MARA.VOLUM</t>
  </si>
  <si>
    <t>SAP.MARA.VOLEH</t>
  </si>
  <si>
    <t>SAP.MARA.GROES</t>
  </si>
  <si>
    <t>SAP.MARA.EAN11</t>
  </si>
  <si>
    <t>SAP.MARA.NUMTP</t>
  </si>
  <si>
    <t>SAP.MARA.MAGRV</t>
  </si>
  <si>
    <t>SAP.MARA.RMATP</t>
  </si>
  <si>
    <t>MBRSH</t>
  </si>
  <si>
    <t>BISMT</t>
  </si>
  <si>
    <t>KOSCH</t>
  </si>
  <si>
    <t>MSTAE</t>
  </si>
  <si>
    <t>KZEFF</t>
  </si>
  <si>
    <t>MATKL</t>
  </si>
  <si>
    <t>EXTWG</t>
  </si>
  <si>
    <t>LABOR</t>
  </si>
  <si>
    <t>PRDHA</t>
  </si>
  <si>
    <t>MSTDE</t>
  </si>
  <si>
    <t>MTPOS_MARA</t>
  </si>
  <si>
    <t>BRGEW</t>
  </si>
  <si>
    <t>NTGEW</t>
  </si>
  <si>
    <t>GEWEI</t>
  </si>
  <si>
    <t>VOLUM</t>
  </si>
  <si>
    <t>VOLEH</t>
  </si>
  <si>
    <t>GROES</t>
  </si>
  <si>
    <t>EAN11</t>
  </si>
  <si>
    <t>NUMTP</t>
  </si>
  <si>
    <t>MAGRV</t>
  </si>
  <si>
    <t>RMATP</t>
  </si>
  <si>
    <t>Material Number</t>
  </si>
  <si>
    <t>Material Description (Short Text)</t>
  </si>
  <si>
    <t>Industry sector</t>
  </si>
  <si>
    <t>Old material number</t>
  </si>
  <si>
    <t>Product allocation determination procedure</t>
  </si>
  <si>
    <t>Cross-Plant Material Status</t>
  </si>
  <si>
    <t>Assign effectivity parameter values/ override change numbers</t>
  </si>
  <si>
    <t>External Material Group</t>
  </si>
  <si>
    <t>Laboratory/design office</t>
  </si>
  <si>
    <t>Product hierarchy</t>
  </si>
  <si>
    <t>Date from which the cross-plant material status is valid</t>
  </si>
  <si>
    <t>General item category group</t>
  </si>
  <si>
    <t>Volume unit</t>
  </si>
  <si>
    <t>Size/dimensions</t>
  </si>
  <si>
    <t>International Article Number (EAN/UPC)</t>
  </si>
  <si>
    <t>Category of International Article Number (EAN)</t>
  </si>
  <si>
    <t>Material Group: Packaging Materials</t>
  </si>
  <si>
    <t>Reference material for materials packed in same way</t>
  </si>
  <si>
    <t>Material Master Basic data view 2 for a standard SAP ECC 6.0 system</t>
  </si>
  <si>
    <t>Prod insp Memo</t>
  </si>
  <si>
    <t>Ind Std Desc</t>
  </si>
  <si>
    <t>Page Format</t>
  </si>
  <si>
    <t>CAD Indicator</t>
  </si>
  <si>
    <t>DG Indicator Profile</t>
  </si>
  <si>
    <t>Environmentally rlvt</t>
  </si>
  <si>
    <t>In bulk liquid</t>
  </si>
  <si>
    <t>Highly viscous</t>
  </si>
  <si>
    <t>Document</t>
  </si>
  <si>
    <t>Document Type</t>
  </si>
  <si>
    <t>Doc vers</t>
  </si>
  <si>
    <t>Page number</t>
  </si>
  <si>
    <t>Doc ch no</t>
  </si>
  <si>
    <t>Page format Design Drawing</t>
  </si>
  <si>
    <t>No sheets</t>
  </si>
  <si>
    <t>Material is configurable</t>
  </si>
  <si>
    <t>GDS Relevant</t>
  </si>
  <si>
    <t>SAP.MARA.FERTH</t>
  </si>
  <si>
    <t>SAP.MARA.NORMT</t>
  </si>
  <si>
    <t>SAP.MARA.FORMT</t>
  </si>
  <si>
    <t>SAP.MARA.CADKZ</t>
  </si>
  <si>
    <t>SAP.MARA.WRKST</t>
  </si>
  <si>
    <t>SAP.MARA.PROFL</t>
  </si>
  <si>
    <t>SAP.MARA.KZUMW</t>
  </si>
  <si>
    <t>SAP.MARA.ILOOS</t>
  </si>
  <si>
    <t>SAP.MARA.IHIVI</t>
  </si>
  <si>
    <t>SAP.MARA.ZEINR</t>
  </si>
  <si>
    <t>SAP.MARA.ZEIAR</t>
  </si>
  <si>
    <t>SAP.MARA.ZEIVR</t>
  </si>
  <si>
    <t>SAP.MARA.BLATT</t>
  </si>
  <si>
    <t>SAP.MARA.AESZN</t>
  </si>
  <si>
    <t>SAP.MARA.ZEIFO</t>
  </si>
  <si>
    <t>SAP.MARA.BLANZ</t>
  </si>
  <si>
    <t>SAP.MARA.SATNR</t>
  </si>
  <si>
    <t>SAP.MARA.KZKFG</t>
  </si>
  <si>
    <t>SAP.MARA.GDS_RELEVANT</t>
  </si>
  <si>
    <t>FERTH</t>
  </si>
  <si>
    <t>NORMT</t>
  </si>
  <si>
    <t>FORMT</t>
  </si>
  <si>
    <t>CADKZ</t>
  </si>
  <si>
    <t>WRKST</t>
  </si>
  <si>
    <t>PROFL</t>
  </si>
  <si>
    <t>KZUMW</t>
  </si>
  <si>
    <t>ILOOS</t>
  </si>
  <si>
    <t>IHIVI</t>
  </si>
  <si>
    <t>ZEINR</t>
  </si>
  <si>
    <t>ZEIAR</t>
  </si>
  <si>
    <t>ZEIVR</t>
  </si>
  <si>
    <t>BLATT</t>
  </si>
  <si>
    <t>AESZN</t>
  </si>
  <si>
    <t>ZEIFO</t>
  </si>
  <si>
    <t>BLANZ</t>
  </si>
  <si>
    <t>SATNR</t>
  </si>
  <si>
    <t>KZKFG</t>
  </si>
  <si>
    <t>GDS_RELEVANT</t>
  </si>
  <si>
    <t>Production/inspection memo</t>
  </si>
  <si>
    <t>Industry Standard Description (such as ANSI or ISO)</t>
  </si>
  <si>
    <t>Page Format of Production Memo</t>
  </si>
  <si>
    <t>Dangerous Goods Indicator Profile</t>
  </si>
  <si>
    <t>Environmentally Relevant</t>
  </si>
  <si>
    <t>Indicator: In Bulk/Liquid</t>
  </si>
  <si>
    <t>Indicator: Highly Viscous</t>
  </si>
  <si>
    <t>Document number (without document management system)</t>
  </si>
  <si>
    <t>Document type (without Document Management system)</t>
  </si>
  <si>
    <t>Document version (without Document Management system)</t>
  </si>
  <si>
    <t>Page number of document (without Document Management system)</t>
  </si>
  <si>
    <t>Document change number (without document management system)</t>
  </si>
  <si>
    <t>Page format of document (without Document Management system)</t>
  </si>
  <si>
    <t>Number of sheets (without Document Management system)</t>
  </si>
  <si>
    <t>Cross-Plant Configurable Material</t>
  </si>
  <si>
    <t>Indicator: Global Data Synchronization-Relevant</t>
  </si>
  <si>
    <t>SAP.MARA.MATNR = SAP.MAKT.MATNR</t>
  </si>
  <si>
    <t>Material costing data view 1 for a standard SAP ECC 6.0 system</t>
  </si>
  <si>
    <t>Do not Cost</t>
  </si>
  <si>
    <t>With Qty Structure</t>
  </si>
  <si>
    <t>Material Origin</t>
  </si>
  <si>
    <t>Overhead Group</t>
  </si>
  <si>
    <t>Profit Center</t>
  </si>
  <si>
    <t>Alternative BOM</t>
  </si>
  <si>
    <t>BOM Usage</t>
  </si>
  <si>
    <t>Group Counter</t>
  </si>
  <si>
    <t>SpecProcurem Costing</t>
  </si>
  <si>
    <t>Costing Lot Size</t>
  </si>
  <si>
    <t>Co product</t>
  </si>
  <si>
    <t>Fixed Price</t>
  </si>
  <si>
    <t>Version Indicator</t>
  </si>
  <si>
    <t>Production Version</t>
  </si>
  <si>
    <t>SAP.MARC.NCOST</t>
  </si>
  <si>
    <t>SAP.MBEW.EKALR</t>
  </si>
  <si>
    <t>SAP.MBEW.HRKFT</t>
  </si>
  <si>
    <t>SAP.MBEW.HKMAT</t>
  </si>
  <si>
    <t>SAP.MBEW.KOSGR</t>
  </si>
  <si>
    <t>SAP.MARC.AWSLS</t>
  </si>
  <si>
    <t>SAP.MARC.MMSTA</t>
  </si>
  <si>
    <t>SAP.MARC.MMSTD</t>
  </si>
  <si>
    <t>SAP.MARC.PRCTR</t>
  </si>
  <si>
    <t>SAP.MARC.STLAL</t>
  </si>
  <si>
    <t>SAP.MARC.STLAN</t>
  </si>
  <si>
    <t>SAP.MARC.PLNNR</t>
  </si>
  <si>
    <t>SAP.MARC.APLAL</t>
  </si>
  <si>
    <t>SAP.MARC.PLNTY</t>
  </si>
  <si>
    <t>SAP.MARC.SOBSK</t>
  </si>
  <si>
    <t>SAP.MARC.LOSGR</t>
  </si>
  <si>
    <t>SAP.MARC.KZKUP</t>
  </si>
  <si>
    <t>SAP.MARC.FXPRU</t>
  </si>
  <si>
    <t>SAP.MARC.VERKZ</t>
  </si>
  <si>
    <t>SAP.MARC.FVIDK</t>
  </si>
  <si>
    <t>NCOST</t>
  </si>
  <si>
    <t>EKALR</t>
  </si>
  <si>
    <t>HRKFT</t>
  </si>
  <si>
    <t>HKMAT</t>
  </si>
  <si>
    <t>KOSGR</t>
  </si>
  <si>
    <t>AWSLS</t>
  </si>
  <si>
    <t>MMSTA</t>
  </si>
  <si>
    <t>MMSTD</t>
  </si>
  <si>
    <t>PRCTR</t>
  </si>
  <si>
    <t>STLAL</t>
  </si>
  <si>
    <t>STLAN</t>
  </si>
  <si>
    <t>PLNNR</t>
  </si>
  <si>
    <t>APLAL</t>
  </si>
  <si>
    <t>PLNTY</t>
  </si>
  <si>
    <t>SOBSK</t>
  </si>
  <si>
    <t>LOSGR</t>
  </si>
  <si>
    <t>KZKUP</t>
  </si>
  <si>
    <t>FXPRU</t>
  </si>
  <si>
    <t>VERKZ</t>
  </si>
  <si>
    <t>FVIDK</t>
  </si>
  <si>
    <t>Material Is Costed with Quantity Structure</t>
  </si>
  <si>
    <t>Origin Group as Subdivision of Cost Element</t>
  </si>
  <si>
    <t>Material-related origin</t>
  </si>
  <si>
    <t>Costing Overhead Group</t>
  </si>
  <si>
    <t>Material costing data view 2 for a standard SAP ECC 6.0 system</t>
  </si>
  <si>
    <t>Future Period</t>
  </si>
  <si>
    <t>Fiscal Year future</t>
  </si>
  <si>
    <t>Future Planned price</t>
  </si>
  <si>
    <t>Current Period</t>
  </si>
  <si>
    <t>Fiscal Year Current</t>
  </si>
  <si>
    <t>Current Planned Price</t>
  </si>
  <si>
    <t>Current Standard Price</t>
  </si>
  <si>
    <t>Previous Period</t>
  </si>
  <si>
    <t>Fiscal Year Previous</t>
  </si>
  <si>
    <t>Previous Planned Price</t>
  </si>
  <si>
    <t>Planned price 1</t>
  </si>
  <si>
    <t>Planned price date 1</t>
  </si>
  <si>
    <t>Planned price 2</t>
  </si>
  <si>
    <t>Planned price date 2</t>
  </si>
  <si>
    <t>Planned price 3</t>
  </si>
  <si>
    <t>Planned price date 3</t>
  </si>
  <si>
    <t>VC sales order stk</t>
  </si>
  <si>
    <t>Proj stk val Class</t>
  </si>
  <si>
    <t>SAP.MBEW.PPRDZ</t>
  </si>
  <si>
    <t>SAP.MBEW.PDATZ</t>
  </si>
  <si>
    <t>SAP.MBEW.ZPLPR</t>
  </si>
  <si>
    <t>SAP.MBEW.PPRDL</t>
  </si>
  <si>
    <t>SAP.MBEW.PDATL</t>
  </si>
  <si>
    <t>SAP.MBEW.LPLPR</t>
  </si>
  <si>
    <t>SAP.MBEW.PPRDV</t>
  </si>
  <si>
    <t>SAP.MBEW.PDATV</t>
  </si>
  <si>
    <t>SAP.MBEW.VPLPR</t>
  </si>
  <si>
    <t>SAP.MBEW.ZPLP1</t>
  </si>
  <si>
    <t>SAP.MBEW.ZPLD1</t>
  </si>
  <si>
    <t>SAP.MBEW.ZPLP2</t>
  </si>
  <si>
    <t>SAP.MBEW.ZPLD2</t>
  </si>
  <si>
    <t>SAP.MBEW.ZPLP3</t>
  </si>
  <si>
    <t>SAP.MBEW.ZPLD3</t>
  </si>
  <si>
    <t>SAP.MBEW.BWTTY</t>
  </si>
  <si>
    <t>PPRDZ</t>
  </si>
  <si>
    <t>PDATZ</t>
  </si>
  <si>
    <t>ZPLPR</t>
  </si>
  <si>
    <t>PPRDL</t>
  </si>
  <si>
    <t>PDATL</t>
  </si>
  <si>
    <t>LPLPR</t>
  </si>
  <si>
    <t>PPRDV</t>
  </si>
  <si>
    <t>PDATV</t>
  </si>
  <si>
    <t>VPLPR</t>
  </si>
  <si>
    <t>ZPLP1</t>
  </si>
  <si>
    <t>ZPLD1</t>
  </si>
  <si>
    <t>ZPLP2</t>
  </si>
  <si>
    <t>ZPLD2</t>
  </si>
  <si>
    <t>ZPLP3</t>
  </si>
  <si>
    <t>ZPLD3</t>
  </si>
  <si>
    <t>Period of Future Standard Cost Estimate</t>
  </si>
  <si>
    <t>Fiscal Year of Future Standard Cost Estimate</t>
  </si>
  <si>
    <t>Future planned price</t>
  </si>
  <si>
    <t>Period of Current Standard Cost Estimate</t>
  </si>
  <si>
    <t>Fiscal Year of Current Standard Cost Estimate</t>
  </si>
  <si>
    <t>Period of Previous Standard Cost Estimate</t>
  </si>
  <si>
    <t>Fiscal Year of Previous Standard Cost Estimate</t>
  </si>
  <si>
    <t>Previous planned price</t>
  </si>
  <si>
    <t>Future Planned Price 1</t>
  </si>
  <si>
    <t>Date from Which Future Planned Price 1 Is Valid</t>
  </si>
  <si>
    <t>Future Planned Price 2</t>
  </si>
  <si>
    <t>Date from Which Future Planned Price 2 Is Valid</t>
  </si>
  <si>
    <t>Future Planned Price 3</t>
  </si>
  <si>
    <t>Date from Which Future Planned Price 3 Is Valid</t>
  </si>
  <si>
    <t>Forecasting data view for Material Master data in a standard ECC 6.0 system</t>
  </si>
  <si>
    <t>RefMatl consumption</t>
  </si>
  <si>
    <t>RefPlant consumption</t>
  </si>
  <si>
    <t>Date to</t>
  </si>
  <si>
    <t>Multiplier</t>
  </si>
  <si>
    <t>Reset automatically</t>
  </si>
  <si>
    <t>Correction factors</t>
  </si>
  <si>
    <t>SAP.MARC.LGPRO</t>
  </si>
  <si>
    <t>SAP.MARC.PERKZ</t>
  </si>
  <si>
    <t>SAP.MARC.PERIV</t>
  </si>
  <si>
    <t>SAP.MARC.VRBMT</t>
  </si>
  <si>
    <t>SAP.MARC.VRBWK</t>
  </si>
  <si>
    <t>SAP.MARC.VRBDT</t>
  </si>
  <si>
    <t>SAP.MARC.VRBFK</t>
  </si>
  <si>
    <t>SAP.MARC.AUTRU</t>
  </si>
  <si>
    <t>SAP.MARC.KZKFK</t>
  </si>
  <si>
    <t>LGPRO</t>
  </si>
  <si>
    <t>PERKZ</t>
  </si>
  <si>
    <t>PERIV</t>
  </si>
  <si>
    <t>VRBMT</t>
  </si>
  <si>
    <t>VRBWK</t>
  </si>
  <si>
    <t>VRBDT</t>
  </si>
  <si>
    <t>VRBFK</t>
  </si>
  <si>
    <t>AUTRU</t>
  </si>
  <si>
    <t>KZKFK</t>
  </si>
  <si>
    <t>Material Master Foreign trade export data view for a standard SAP ECC 6.0 system</t>
  </si>
  <si>
    <t>CAS number pharm</t>
  </si>
  <si>
    <t>PRODCOM no</t>
  </si>
  <si>
    <t>CAP product list no</t>
  </si>
  <si>
    <t>CAP prod Group</t>
  </si>
  <si>
    <t>Exemption cert no</t>
  </si>
  <si>
    <t>Iss date of ex cert</t>
  </si>
  <si>
    <t>Military goods</t>
  </si>
  <si>
    <t>SAP.MARC.STAWN</t>
  </si>
  <si>
    <t>SAP.MARC.MTVER</t>
  </si>
  <si>
    <t>SAP.MARC.CASNR</t>
  </si>
  <si>
    <t>SAP.MARC.GPNUM</t>
  </si>
  <si>
    <t>SAP.MARC.STEUC</t>
  </si>
  <si>
    <t>SAP.MARC.HERKL</t>
  </si>
  <si>
    <t>SAP.MARC.HERKR</t>
  </si>
  <si>
    <t>SAP.MARC.MOWNR</t>
  </si>
  <si>
    <t>SAP.MARC.MOGRU</t>
  </si>
  <si>
    <t>SAP.MARC.PRENC</t>
  </si>
  <si>
    <t>SAP.MARC.PRENO</t>
  </si>
  <si>
    <t>SAP.MARC.PREND</t>
  </si>
  <si>
    <t>SAP.MARC.ITARK</t>
  </si>
  <si>
    <t>STAWN</t>
  </si>
  <si>
    <t>MTVER</t>
  </si>
  <si>
    <t>CASNR</t>
  </si>
  <si>
    <t>GPNUM</t>
  </si>
  <si>
    <t>STEUC</t>
  </si>
  <si>
    <t>HERKL</t>
  </si>
  <si>
    <t>HERKR</t>
  </si>
  <si>
    <t>MOWNR</t>
  </si>
  <si>
    <t>MOGRU</t>
  </si>
  <si>
    <t>PRENC</t>
  </si>
  <si>
    <t>PRENO</t>
  </si>
  <si>
    <t>PREND</t>
  </si>
  <si>
    <t>ITARK</t>
  </si>
  <si>
    <t>Commodity Code/Import Code Number for Foreign Trade</t>
  </si>
  <si>
    <t>Export/import material group</t>
  </si>
  <si>
    <t>CAS number for pharmaceutical products in foreign trade</t>
  </si>
  <si>
    <t>Production statistics: PRODCOM number for foreign trade</t>
  </si>
  <si>
    <t>Control code for consumption taxes in foreign trade</t>
  </si>
  <si>
    <t>Country of origin of the material</t>
  </si>
  <si>
    <t>Region of origin of material (non-preferential origin)</t>
  </si>
  <si>
    <t>CAP: Number of CAP products list</t>
  </si>
  <si>
    <t>Common Agricultural Policy: CAP products group-Foreign Trade</t>
  </si>
  <si>
    <t>Exemption certificate: Indicator for legal control</t>
  </si>
  <si>
    <t>Exemption certificate number for legal control</t>
  </si>
  <si>
    <t>Exemption certificate: Issue date of exemption certificate</t>
  </si>
  <si>
    <t>Indicator: Military goods</t>
  </si>
  <si>
    <t>ZB_G13_MATNR_ForeignTradeImport</t>
  </si>
  <si>
    <t>Material Master Foreign trade import data view for a standard SAP ECC 6.0 System</t>
  </si>
  <si>
    <t>Comm imp code no</t>
  </si>
  <si>
    <t>CAS number</t>
  </si>
  <si>
    <t>Country of origin</t>
  </si>
  <si>
    <t>Region of origin</t>
  </si>
  <si>
    <t>Material Plant data  / Storage Location 1 data view for a standard SAP ECC 6.0 system</t>
  </si>
  <si>
    <t>Unit of Issue</t>
  </si>
  <si>
    <t>Storage Bin</t>
  </si>
  <si>
    <t>Picking Area</t>
  </si>
  <si>
    <t>CC fixed</t>
  </si>
  <si>
    <t>Number of GR slips</t>
  </si>
  <si>
    <t>Appr Batch rec req</t>
  </si>
  <si>
    <t>OBManagmnt</t>
  </si>
  <si>
    <t>OB ref Material</t>
  </si>
  <si>
    <t>Batch Management</t>
  </si>
  <si>
    <t>Max storage period</t>
  </si>
  <si>
    <t>Time unit</t>
  </si>
  <si>
    <t>Min Rem Shelf Life</t>
  </si>
  <si>
    <t>total shelf life</t>
  </si>
  <si>
    <t>Storage percentage</t>
  </si>
  <si>
    <t>SAP.MARC.AUSME</t>
  </si>
  <si>
    <t>SAP.MARD.LGPBE</t>
  </si>
  <si>
    <t>SAP.MARD.LWMKB</t>
  </si>
  <si>
    <t>SAP.MARA.TEMPB</t>
  </si>
  <si>
    <t>SAP.MARA.RAUBE</t>
  </si>
  <si>
    <t>SAP.MARA.BEHVO</t>
  </si>
  <si>
    <t>SAP.MARA.STOFF</t>
  </si>
  <si>
    <t>SAP.MARC.ABCIN</t>
  </si>
  <si>
    <t>SAP.MARC.CCFIX</t>
  </si>
  <si>
    <t>SAP.MARA.WESCH</t>
  </si>
  <si>
    <t>SAP.MARA.ETIAR</t>
  </si>
  <si>
    <t>SAP.MARA.ETIFO</t>
  </si>
  <si>
    <t>SAP.MARA.XGCHP</t>
  </si>
  <si>
    <t>SAP.MARC.UCHKZ</t>
  </si>
  <si>
    <t>SAP.MARC.UCMAT</t>
  </si>
  <si>
    <t>SAP.MARA.XCHPF</t>
  </si>
  <si>
    <t>SAP.MARC.MAXLZ</t>
  </si>
  <si>
    <t>SAP.MARC.LZEIH</t>
  </si>
  <si>
    <t>SAP.MARA.MHDRZ</t>
  </si>
  <si>
    <t>SAP.MARA.MHDHB</t>
  </si>
  <si>
    <t>SAP.MARA.IPRKZ</t>
  </si>
  <si>
    <t>SAP.MARA.RDMHD</t>
  </si>
  <si>
    <t>SAP.MARA.MHDLP</t>
  </si>
  <si>
    <t>AUSME</t>
  </si>
  <si>
    <t>LGPBE</t>
  </si>
  <si>
    <t>LWMKB</t>
  </si>
  <si>
    <t>TEMPB</t>
  </si>
  <si>
    <t>RAUBE</t>
  </si>
  <si>
    <t>BEHVO</t>
  </si>
  <si>
    <t>STOFF</t>
  </si>
  <si>
    <t>ABCIN</t>
  </si>
  <si>
    <t>CCFIX</t>
  </si>
  <si>
    <t>WESCH</t>
  </si>
  <si>
    <t>ETIAR</t>
  </si>
  <si>
    <t>ETIFO</t>
  </si>
  <si>
    <t>XGCHP</t>
  </si>
  <si>
    <t>UCHKZ</t>
  </si>
  <si>
    <t>UCMAT</t>
  </si>
  <si>
    <t>XCHPF</t>
  </si>
  <si>
    <t>MAXLZ</t>
  </si>
  <si>
    <t>LZEIH</t>
  </si>
  <si>
    <t>MHDRZ</t>
  </si>
  <si>
    <t>MHDHB</t>
  </si>
  <si>
    <t>IPRKZ</t>
  </si>
  <si>
    <t>RDMHD</t>
  </si>
  <si>
    <t>MHDLP</t>
  </si>
  <si>
    <t>MARD</t>
  </si>
  <si>
    <t>SAP.MAKT.MATNR = SAP.MARD.MATNR AND SAP.MARA.MATNR = SAP.MARD.MATNR AND SAP.MARC.MATNR = SAP.MARD.MATNR AND SAP.MARC.WERKS = SAP.MARD.WERKS</t>
  </si>
  <si>
    <t>Material Plant / Storage Location 2 data view for a standard SAP ECC 6.0 system</t>
  </si>
  <si>
    <t>Size Dimensions</t>
  </si>
  <si>
    <t>Neg stocks in plant</t>
  </si>
  <si>
    <t>Stock determ Group</t>
  </si>
  <si>
    <t>SAP.MARC.XMCNG</t>
  </si>
  <si>
    <t>SAP.MARC.LOGGR</t>
  </si>
  <si>
    <t>SAP.MARC.SERNP</t>
  </si>
  <si>
    <t>SAP.MARA.SERLV</t>
  </si>
  <si>
    <t>SAP.MARC.FPRFM</t>
  </si>
  <si>
    <t>SAP.MARC.EPRIO</t>
  </si>
  <si>
    <t>XMCNG</t>
  </si>
  <si>
    <t>LOGGR</t>
  </si>
  <si>
    <t>SERNP</t>
  </si>
  <si>
    <t>SERLV</t>
  </si>
  <si>
    <t>FPRFM</t>
  </si>
  <si>
    <t>EPRIO</t>
  </si>
  <si>
    <t>Material Master MRP 1 data view for a standard SAP ECC 6.0 system</t>
  </si>
  <si>
    <t>Base unit of Measure</t>
  </si>
  <si>
    <t>ABC Indicator</t>
  </si>
  <si>
    <t>Plant sp matl status</t>
  </si>
  <si>
    <t>Reorder Point</t>
  </si>
  <si>
    <t>Planning time fence</t>
  </si>
  <si>
    <t>Minimum Lot Size</t>
  </si>
  <si>
    <t>Maximum Lot Size</t>
  </si>
  <si>
    <t>Fixed lot size</t>
  </si>
  <si>
    <t>Maximum stock level</t>
  </si>
  <si>
    <t>Ordering costs</t>
  </si>
  <si>
    <t>Assembly scrap</t>
  </si>
  <si>
    <t>Takt time</t>
  </si>
  <si>
    <t>Rounding Profile</t>
  </si>
  <si>
    <t>Rounding Value</t>
  </si>
  <si>
    <t>MRP area exists</t>
  </si>
  <si>
    <t>SAP.MARC.DISGR</t>
  </si>
  <si>
    <t>SAP.MARC.EKGRP</t>
  </si>
  <si>
    <t>SAP.MARC.MAABC</t>
  </si>
  <si>
    <t>SAP.MARC.DISMM</t>
  </si>
  <si>
    <t>SAP.MARC.MINBE</t>
  </si>
  <si>
    <t>SAP.MARC.FXHOR</t>
  </si>
  <si>
    <t>SAP.MARC.LFRHY</t>
  </si>
  <si>
    <t>SAP.MARC.DISPO</t>
  </si>
  <si>
    <t>SAP.MARC.DISLS</t>
  </si>
  <si>
    <t>SAP.MARC.BSTMI</t>
  </si>
  <si>
    <t>SAP.MARC.BSTMA</t>
  </si>
  <si>
    <t>SAP.MARC.BSTFE</t>
  </si>
  <si>
    <t>SAP.MARC.MABST</t>
  </si>
  <si>
    <t>SAP.MARC.LOSFX</t>
  </si>
  <si>
    <t>SAP.MARC.LAGPR</t>
  </si>
  <si>
    <t>SAP.MARC.AUSSS</t>
  </si>
  <si>
    <t>SAP.MARC.TAKZT</t>
  </si>
  <si>
    <t>SAP.MARC.RDPRF</t>
  </si>
  <si>
    <t>SAP.MARC.BSTRF</t>
  </si>
  <si>
    <t>SAP.MARC.MEGRU</t>
  </si>
  <si>
    <t>SAP.MARC.DIBER</t>
  </si>
  <si>
    <t>DISGR</t>
  </si>
  <si>
    <t>EKGRP</t>
  </si>
  <si>
    <t>MAABC</t>
  </si>
  <si>
    <t>DISMM</t>
  </si>
  <si>
    <t>MINBE</t>
  </si>
  <si>
    <t>FXHOR</t>
  </si>
  <si>
    <t>LFRHY</t>
  </si>
  <si>
    <t>DISPO</t>
  </si>
  <si>
    <t>DISLS</t>
  </si>
  <si>
    <t>BSTMI</t>
  </si>
  <si>
    <t>BSTMA</t>
  </si>
  <si>
    <t>BSTFE</t>
  </si>
  <si>
    <t>MABST</t>
  </si>
  <si>
    <t>LOSFX</t>
  </si>
  <si>
    <t>LAGPR</t>
  </si>
  <si>
    <t>AUSSS</t>
  </si>
  <si>
    <t>TAKZT</t>
  </si>
  <si>
    <t>RDPRF</t>
  </si>
  <si>
    <t>BSTRF</t>
  </si>
  <si>
    <t>MEGRU</t>
  </si>
  <si>
    <t>DIBER</t>
  </si>
  <si>
    <t>Plant-Specific Material Status</t>
  </si>
  <si>
    <t>Date from which the plant-specific material status is valid</t>
  </si>
  <si>
    <t>MRP Controller (Materials Planner)</t>
  </si>
  <si>
    <t>Lot size (materials planning)</t>
  </si>
  <si>
    <t>Storage costs indicator</t>
  </si>
  <si>
    <t>Assembly scrap in percent</t>
  </si>
  <si>
    <t>Rounding value for purchase order quantity</t>
  </si>
  <si>
    <t>Unit of Measure Group</t>
  </si>
  <si>
    <t>Indicator: MRP area exists</t>
  </si>
  <si>
    <t>Material Master MRP 2 data view for a standard SAP ECC 6.0 system</t>
  </si>
  <si>
    <t>Special procurement</t>
  </si>
  <si>
    <t>Prod Stor location</t>
  </si>
  <si>
    <t>Default supply area</t>
  </si>
  <si>
    <t>Backflush</t>
  </si>
  <si>
    <t>Storage loc for EP</t>
  </si>
  <si>
    <t>JIT delivery sched</t>
  </si>
  <si>
    <t>Stock det Grp</t>
  </si>
  <si>
    <t>Bulk Material</t>
  </si>
  <si>
    <t>In house production</t>
  </si>
  <si>
    <t>Planned Deliv Time</t>
  </si>
  <si>
    <t>GR Processing Time</t>
  </si>
  <si>
    <t>Planning calendar</t>
  </si>
  <si>
    <t>Safety Stock</t>
  </si>
  <si>
    <t>Service level percent</t>
  </si>
  <si>
    <t>Min safety stock</t>
  </si>
  <si>
    <t>Safety time act cov</t>
  </si>
  <si>
    <t>Stime period profile</t>
  </si>
  <si>
    <t>SAP.MARC.BESKZ</t>
  </si>
  <si>
    <t>SAP.MARC.KZECH</t>
  </si>
  <si>
    <t>SAP.MARC.SOBSL</t>
  </si>
  <si>
    <t>SAP.MARC.USEQU</t>
  </si>
  <si>
    <t>SAP.MARC.VSPVB</t>
  </si>
  <si>
    <t>SAP.MARC.RGEKZ</t>
  </si>
  <si>
    <t>SAP.MARC.LGFSB</t>
  </si>
  <si>
    <t>SAP.MARC.FABKZ</t>
  </si>
  <si>
    <t>SAP.MARC.SCHGT</t>
  </si>
  <si>
    <t>SAP.MARC.DZEIT</t>
  </si>
  <si>
    <t>SAP.MARC.PLIFZ</t>
  </si>
  <si>
    <t>SAP.MARC.WEBAZ</t>
  </si>
  <si>
    <t>SAP.MARC.MRPPP</t>
  </si>
  <si>
    <t>SAP.MARC.FHORI</t>
  </si>
  <si>
    <t>SAP.MARC.EISBE</t>
  </si>
  <si>
    <t>SAP.MARC.LGRAD</t>
  </si>
  <si>
    <t>SAP.MARC.EISLO</t>
  </si>
  <si>
    <t>SAP.MARC.RWPRO</t>
  </si>
  <si>
    <t>SAP.MARC.SHFLG</t>
  </si>
  <si>
    <t>SAP.MARC.SHZET</t>
  </si>
  <si>
    <t>SAP.MARC.SHPRO</t>
  </si>
  <si>
    <t>BESKZ</t>
  </si>
  <si>
    <t>KZECH</t>
  </si>
  <si>
    <t>SOBSL</t>
  </si>
  <si>
    <t>USEQU</t>
  </si>
  <si>
    <t>VSPVB</t>
  </si>
  <si>
    <t>RGEKZ</t>
  </si>
  <si>
    <t>LGFSB</t>
  </si>
  <si>
    <t>FABKZ</t>
  </si>
  <si>
    <t>SCHGT</t>
  </si>
  <si>
    <t>DZEIT</t>
  </si>
  <si>
    <t>PLIFZ</t>
  </si>
  <si>
    <t>WEBAZ</t>
  </si>
  <si>
    <t>MRPPP</t>
  </si>
  <si>
    <t>FHORI</t>
  </si>
  <si>
    <t>EISBE</t>
  </si>
  <si>
    <t>LGRAD</t>
  </si>
  <si>
    <t>EISLO</t>
  </si>
  <si>
    <t>RWPRO</t>
  </si>
  <si>
    <t>SHFLG</t>
  </si>
  <si>
    <t>SHZET</t>
  </si>
  <si>
    <t>SHPRO</t>
  </si>
  <si>
    <t>Procurement Type</t>
  </si>
  <si>
    <t>Determination of batch entry in the production/process order</t>
  </si>
  <si>
    <t>Special procurement type</t>
  </si>
  <si>
    <t>Issue Storage Location</t>
  </si>
  <si>
    <t>Quota arrangement usage</t>
  </si>
  <si>
    <t>Proposed Supply Area in Material Master Record</t>
  </si>
  <si>
    <t>Indicator: Backflush</t>
  </si>
  <si>
    <t>Default storage location for external procurement</t>
  </si>
  <si>
    <t>Indicator: Item Relevant to JIT Delivery Schedules</t>
  </si>
  <si>
    <t>Stock determination group</t>
  </si>
  <si>
    <t>Indicator: Material can be co-product</t>
  </si>
  <si>
    <t>Indicator: Bulk Material</t>
  </si>
  <si>
    <t>In-house production time</t>
  </si>
  <si>
    <t>Planned Delivery Time in Days</t>
  </si>
  <si>
    <t>Goods Receipt Processing Time in Days</t>
  </si>
  <si>
    <t>PPC planning calendar</t>
  </si>
  <si>
    <t>Scheduling Margin Key for Floats</t>
  </si>
  <si>
    <t>Service level</t>
  </si>
  <si>
    <t>Minimum Safety Stock</t>
  </si>
  <si>
    <t>Range of coverage profile</t>
  </si>
  <si>
    <t>Safety time indicator (with or without safety time)</t>
  </si>
  <si>
    <t>Safety time (in workdays)</t>
  </si>
  <si>
    <t>Period Profile for Safety Time</t>
  </si>
  <si>
    <t>Material Master MRP 3 data view for a standard SAP ECC 6.0 system</t>
  </si>
  <si>
    <t>Splitting Indicator</t>
  </si>
  <si>
    <t>Bwd consumption per</t>
  </si>
  <si>
    <t>Fwd consumption per</t>
  </si>
  <si>
    <t>Availability check</t>
  </si>
  <si>
    <t>Tot repl lead time</t>
  </si>
  <si>
    <t>SAP.MARC.AUFTL</t>
  </si>
  <si>
    <t>SAP.MARC.STRGR</t>
  </si>
  <si>
    <t>SAP.MARC.VRMOD</t>
  </si>
  <si>
    <t>SAP.MARC.VINT1</t>
  </si>
  <si>
    <t>SAP.MARC.VINT2</t>
  </si>
  <si>
    <t>SAP.MARC.MISKZ</t>
  </si>
  <si>
    <t>SAP.MARC.MTVFP</t>
  </si>
  <si>
    <t>SAP.MARC.WZEIT</t>
  </si>
  <si>
    <t>SAP.MARC.KZPSP</t>
  </si>
  <si>
    <t>SAP.MARC.STDPD</t>
  </si>
  <si>
    <t>AUFTL</t>
  </si>
  <si>
    <t>STRGR</t>
  </si>
  <si>
    <t>VRMOD</t>
  </si>
  <si>
    <t>VINT1</t>
  </si>
  <si>
    <t>VINT2</t>
  </si>
  <si>
    <t>MISKZ</t>
  </si>
  <si>
    <t>MTVFP</t>
  </si>
  <si>
    <t>WZEIT</t>
  </si>
  <si>
    <t>KZPSP</t>
  </si>
  <si>
    <t>STDPD</t>
  </si>
  <si>
    <t>Planning strategy group</t>
  </si>
  <si>
    <t>Consumption period: backward</t>
  </si>
  <si>
    <t>Consumption period: forward</t>
  </si>
  <si>
    <t>Mixed MRP indicator</t>
  </si>
  <si>
    <t>Checking Group for Availability Check</t>
  </si>
  <si>
    <t>Total replenishment lead time (in workdays)</t>
  </si>
  <si>
    <t>Indicator for cross-project material</t>
  </si>
  <si>
    <t>Configurable material</t>
  </si>
  <si>
    <t>Material Master MRP 4 data view for a standard SAP ECC 6.0 system</t>
  </si>
  <si>
    <t>Component Scrap percentage</t>
  </si>
  <si>
    <t>Individual coll</t>
  </si>
  <si>
    <t>Eff out</t>
  </si>
  <si>
    <t>Follow up matl</t>
  </si>
  <si>
    <t>Repetitive mfg</t>
  </si>
  <si>
    <t>Fair share rule</t>
  </si>
  <si>
    <t>Deployment horizon</t>
  </si>
  <si>
    <t>Sepc proc type Sloc</t>
  </si>
  <si>
    <t>Reorder point</t>
  </si>
  <si>
    <t>Replenishment qty</t>
  </si>
  <si>
    <t>SAP.MARC.ALTSL</t>
  </si>
  <si>
    <t>SAP.MARC.KAUSF</t>
  </si>
  <si>
    <t>SAP.MARC.SBDKZ</t>
  </si>
  <si>
    <t>SAP.MARC.KZBED</t>
  </si>
  <si>
    <t>SAP.MARC.AHDIS</t>
  </si>
  <si>
    <t>SAP.MARC.KZAUS</t>
  </si>
  <si>
    <t>SAP.MARC.AUSDT</t>
  </si>
  <si>
    <t>SAP.MARC.NFMAT</t>
  </si>
  <si>
    <t>SAP.MARC.SAUFT</t>
  </si>
  <si>
    <t>SAP.MARC.SFEPR</t>
  </si>
  <si>
    <t>SAP.MARC.MDACH</t>
  </si>
  <si>
    <t>SAP.MARC.DPLFS</t>
  </si>
  <si>
    <t>SAP.MARC.DPLPU</t>
  </si>
  <si>
    <t>SAP.MARC.DPLHO</t>
  </si>
  <si>
    <t>SAP.MARD.DISKZ</t>
  </si>
  <si>
    <t>SAP.MARD.LSOBS</t>
  </si>
  <si>
    <t>SAP.MARD.LMINB</t>
  </si>
  <si>
    <t>SAP.MARD.LBSTF</t>
  </si>
  <si>
    <t>ALTSL</t>
  </si>
  <si>
    <t>KAUSF</t>
  </si>
  <si>
    <t>SBDKZ</t>
  </si>
  <si>
    <t>KZBED</t>
  </si>
  <si>
    <t>AHDIS</t>
  </si>
  <si>
    <t>KZAUS</t>
  </si>
  <si>
    <t>AUSDT</t>
  </si>
  <si>
    <t>NFMAT</t>
  </si>
  <si>
    <t>SAUFT</t>
  </si>
  <si>
    <t>SFEPR</t>
  </si>
  <si>
    <t>MDACH</t>
  </si>
  <si>
    <t>DPLFS</t>
  </si>
  <si>
    <t>DPLPU</t>
  </si>
  <si>
    <t>DPLHO</t>
  </si>
  <si>
    <t>DISKZ</t>
  </si>
  <si>
    <t>LSOBS</t>
  </si>
  <si>
    <t>LMINB</t>
  </si>
  <si>
    <t>LBSTF</t>
  </si>
  <si>
    <t>Method for Selecting Alternative Bills of Material</t>
  </si>
  <si>
    <t>Component scrap in percent</t>
  </si>
  <si>
    <t>Dependent requirements ind. for individual and coll. reqmts</t>
  </si>
  <si>
    <t>Indicator for Requirements Grouping</t>
  </si>
  <si>
    <t>MRP relevancy for dependent requirements</t>
  </si>
  <si>
    <t>Discontinuation indicator</t>
  </si>
  <si>
    <t>Effective-Out Date</t>
  </si>
  <si>
    <t>Follow-Up Material</t>
  </si>
  <si>
    <t>Ind.: Repetitive mfg allowed</t>
  </si>
  <si>
    <t>Repetitive manufacturing profile</t>
  </si>
  <si>
    <t>Action control: planned order processing</t>
  </si>
  <si>
    <t>Indicator: push distribution</t>
  </si>
  <si>
    <t>Deployment horizon in days</t>
  </si>
  <si>
    <t>Storage location MRP indicator</t>
  </si>
  <si>
    <t>Special procurement type at storage location level</t>
  </si>
  <si>
    <t>Reorder point for storage location MRP</t>
  </si>
  <si>
    <t>Replenishment quantity for storage location MRP</t>
  </si>
  <si>
    <t>Material Master Purchasing data view for a standard SAP ECC 6.0 system</t>
  </si>
  <si>
    <t>Order Unit</t>
  </si>
  <si>
    <t>Var OUn</t>
  </si>
  <si>
    <t>Autom PO</t>
  </si>
  <si>
    <t>OB ref material</t>
  </si>
  <si>
    <t>Shipping Instr</t>
  </si>
  <si>
    <t>1st Rem Exped</t>
  </si>
  <si>
    <t>Underdel Tolerance</t>
  </si>
  <si>
    <t>2nd Reminder Exped</t>
  </si>
  <si>
    <t>Overdeliv Tolerance</t>
  </si>
  <si>
    <t>3rd Reminder Exped</t>
  </si>
  <si>
    <t>Min Del Qty in percent</t>
  </si>
  <si>
    <t>StdValueDelivDateVar</t>
  </si>
  <si>
    <t>Unltd Overdelivery</t>
  </si>
  <si>
    <t>Acknowledgement Reqd</t>
  </si>
  <si>
    <t>Post to insp stock</t>
  </si>
  <si>
    <t>Critical Part</t>
  </si>
  <si>
    <t>Source list</t>
  </si>
  <si>
    <t>Mfr Part Profile</t>
  </si>
  <si>
    <t>Mfr Part Number</t>
  </si>
  <si>
    <t>SAP.MARA.BSTME</t>
  </si>
  <si>
    <t>SAP.MARA.VABME</t>
  </si>
  <si>
    <t>SAP.MARA.NRFHG</t>
  </si>
  <si>
    <t>SAP.MARC.MFRGR</t>
  </si>
  <si>
    <t>SAP.MARC.KAUTB</t>
  </si>
  <si>
    <t>SAP.MARA.EKWSL</t>
  </si>
  <si>
    <t>SAP.T405.EVERS</t>
  </si>
  <si>
    <t>SAP.T405.MAHN1</t>
  </si>
  <si>
    <t>SAP.T405.UNTTO</t>
  </si>
  <si>
    <t>SAP.T405.MAHN2</t>
  </si>
  <si>
    <t>SAP.T405.UEBTO</t>
  </si>
  <si>
    <t>SAP.T405.MAHN3</t>
  </si>
  <si>
    <t>SAP.T405.WEPRZ</t>
  </si>
  <si>
    <t>SAP.T405.WELFZ</t>
  </si>
  <si>
    <t>SAP.T405.UEBTK</t>
  </si>
  <si>
    <t>SAP.T405.KZABS</t>
  </si>
  <si>
    <t>SAP.MARC.INSMK</t>
  </si>
  <si>
    <t>SAP.MARC.KZKRI</t>
  </si>
  <si>
    <t>SAP.MARC.KORDB</t>
  </si>
  <si>
    <t>SAP.MARA.MPROF</t>
  </si>
  <si>
    <t>SAP.MARA.MFRPN</t>
  </si>
  <si>
    <t>SAP.MARA.MFRNR</t>
  </si>
  <si>
    <t>BSTME</t>
  </si>
  <si>
    <t>VABME</t>
  </si>
  <si>
    <t>NRFHG</t>
  </si>
  <si>
    <t>MFRGR</t>
  </si>
  <si>
    <t>KAUTB</t>
  </si>
  <si>
    <t>EKWSL</t>
  </si>
  <si>
    <t>EVERS</t>
  </si>
  <si>
    <t>MAHN1</t>
  </si>
  <si>
    <t>UNTTO</t>
  </si>
  <si>
    <t>MAHN2</t>
  </si>
  <si>
    <t>UEBTO</t>
  </si>
  <si>
    <t>MAHN3</t>
  </si>
  <si>
    <t>WEPRZ</t>
  </si>
  <si>
    <t>WELFZ</t>
  </si>
  <si>
    <t>UEBTK</t>
  </si>
  <si>
    <t>KZABS</t>
  </si>
  <si>
    <t>INSMK</t>
  </si>
  <si>
    <t>KZKRI</t>
  </si>
  <si>
    <t>KORDB</t>
  </si>
  <si>
    <t>MPROF</t>
  </si>
  <si>
    <t>MFRPN</t>
  </si>
  <si>
    <t>MFRNR</t>
  </si>
  <si>
    <t>Purchase Order Unit of Measure</t>
  </si>
  <si>
    <t>Variable Purchase Order Unit Active</t>
  </si>
  <si>
    <t>Material qualifies for discount in kind</t>
  </si>
  <si>
    <t>Material freight group</t>
  </si>
  <si>
    <t>Indicator: "automatic purchase order allowed"</t>
  </si>
  <si>
    <t>Indicator for Original Batch Management</t>
  </si>
  <si>
    <t>Batch management requirement indicator</t>
  </si>
  <si>
    <t>Reference Material for Original Batches</t>
  </si>
  <si>
    <t>Purchasing Value Key</t>
  </si>
  <si>
    <t>Shipping Instructions</t>
  </si>
  <si>
    <t>Number of Days for First Reminder/Expediter</t>
  </si>
  <si>
    <t>Underdelivery Tolerance Limit</t>
  </si>
  <si>
    <t>Number of Days for Second Reminder/Expediter</t>
  </si>
  <si>
    <t>Overdelivery Tolerance Limit</t>
  </si>
  <si>
    <t>Number of Days for Third Reminder/Expediter</t>
  </si>
  <si>
    <t>Minimum Delivery Quantity (Percentage)</t>
  </si>
  <si>
    <t>Standardizing Value for Delivery Date Variance</t>
  </si>
  <si>
    <t>Indicator: Unlimited Overdelivery Allowed</t>
  </si>
  <si>
    <t>Order Acknowledgment Requirement</t>
  </si>
  <si>
    <t>Post to Inspection Stock</t>
  </si>
  <si>
    <t>Indicator: Critical part</t>
  </si>
  <si>
    <t>Indicator: Source list requirement</t>
  </si>
  <si>
    <t>Manufacturer Part Profile</t>
  </si>
  <si>
    <t>Manufacturer Part Number</t>
  </si>
  <si>
    <t>Number of a Manufacturer</t>
  </si>
  <si>
    <t>T405</t>
  </si>
  <si>
    <t>SAP.MARA.MATNR = SAP.MARC.MATNR</t>
  </si>
  <si>
    <t>SAP.MARA.EKWSL = SAP.T405.EKWSL</t>
  </si>
  <si>
    <t>Material Quality management data view for a standard SAP ECC 6.0 system</t>
  </si>
  <si>
    <t>Inspection setup</t>
  </si>
  <si>
    <t>Unit of issue</t>
  </si>
  <si>
    <t>Documentation reqd</t>
  </si>
  <si>
    <t>GR Processing time</t>
  </si>
  <si>
    <t>Inspection interval</t>
  </si>
  <si>
    <t>QM proc active</t>
  </si>
  <si>
    <t>SAP.MARC.QMATV</t>
  </si>
  <si>
    <t>SAP.MARC.QMATA</t>
  </si>
  <si>
    <t>SAP.MARC.KZDKZ</t>
  </si>
  <si>
    <t>SAP.MARC.PRFRQ</t>
  </si>
  <si>
    <t>SAP.MARA.RBNRM</t>
  </si>
  <si>
    <t>SAP.MARA.QMPUR</t>
  </si>
  <si>
    <t>SAP.MARC.SSQSS</t>
  </si>
  <si>
    <t>SAP.MARC.QZGTP</t>
  </si>
  <si>
    <t>SAP.MARC.QSSYS</t>
  </si>
  <si>
    <t>QMATV</t>
  </si>
  <si>
    <t>QMATA</t>
  </si>
  <si>
    <t>KZDKZ</t>
  </si>
  <si>
    <t>PRFRQ</t>
  </si>
  <si>
    <t>RBNRM</t>
  </si>
  <si>
    <t>QMPUR</t>
  </si>
  <si>
    <t>SSQSS</t>
  </si>
  <si>
    <t>QZGTP</t>
  </si>
  <si>
    <t>QSSYS</t>
  </si>
  <si>
    <t>Material Master Sales: General / Plant data view for a standard SAP ECC 6.0 System</t>
  </si>
  <si>
    <t>Replacement part</t>
  </si>
  <si>
    <t>Gross weight</t>
  </si>
  <si>
    <t>Weight unit</t>
  </si>
  <si>
    <t>Qual f FreeGoodsDis</t>
  </si>
  <si>
    <t>Appr batch rec req</t>
  </si>
  <si>
    <t>Batch management</t>
  </si>
  <si>
    <t>Setup time</t>
  </si>
  <si>
    <t>Proc Time</t>
  </si>
  <si>
    <t>Base qty</t>
  </si>
  <si>
    <t>Neg stocks</t>
  </si>
  <si>
    <t>SerialNoProfile</t>
  </si>
  <si>
    <t>DistProf</t>
  </si>
  <si>
    <t>SerializLevel</t>
  </si>
  <si>
    <t>SAP.MARC.ATPKZ</t>
  </si>
  <si>
    <t>SAP.MARA.TRAGR</t>
  </si>
  <si>
    <t>SAP.MARC.LADGR</t>
  </si>
  <si>
    <t>SAP.MARC.VRVEZ</t>
  </si>
  <si>
    <t>SAP.MARC.VBEAZ</t>
  </si>
  <si>
    <t>SAP.MARC.VBAMG</t>
  </si>
  <si>
    <t>ATPKZ</t>
  </si>
  <si>
    <t>TRAGR</t>
  </si>
  <si>
    <t>LADGR</t>
  </si>
  <si>
    <t>VRVEZ</t>
  </si>
  <si>
    <t>VBEAZ</t>
  </si>
  <si>
    <t>VBAMG</t>
  </si>
  <si>
    <t>Indicator: Approved batch record required</t>
  </si>
  <si>
    <t>Transportation Group</t>
  </si>
  <si>
    <t>Loading Group</t>
  </si>
  <si>
    <t>Shipping setup time</t>
  </si>
  <si>
    <t>Shipping processing time</t>
  </si>
  <si>
    <t>Base quantity for capacity planning in shipping</t>
  </si>
  <si>
    <t>Negative stocks allowed in plant</t>
  </si>
  <si>
    <t>Serial Number Profile</t>
  </si>
  <si>
    <t>Distribution profile of material in plant</t>
  </si>
  <si>
    <t>Level of Explicitness for Serial Number</t>
  </si>
  <si>
    <t>Material Master Sales org view 1 for a standard SAP ECC 6.0 system</t>
  </si>
  <si>
    <t>Sales unit</t>
  </si>
  <si>
    <t>Sales unit not var</t>
  </si>
  <si>
    <t>X distr chain status</t>
  </si>
  <si>
    <t>Valid from spec status</t>
  </si>
  <si>
    <t>Cash discount</t>
  </si>
  <si>
    <t>Min order qty</t>
  </si>
  <si>
    <t>Min dely qty</t>
  </si>
  <si>
    <t>Delivery unit</t>
  </si>
  <si>
    <t>Delivery unit UoM</t>
  </si>
  <si>
    <t>SAP.MVKE.VKORG</t>
  </si>
  <si>
    <t>SAP.MVKE.VTWEG</t>
  </si>
  <si>
    <t>SAP.MVKE.VRKME</t>
  </si>
  <si>
    <t>SAP.MVKE.VAVME</t>
  </si>
  <si>
    <t>SAP.MVKE.MEGRU</t>
  </si>
  <si>
    <t>SAP.MARA.MSTAV</t>
  </si>
  <si>
    <t>SAP.MARA.MSTDV</t>
  </si>
  <si>
    <t>SAP.MVKE.VMSTA</t>
  </si>
  <si>
    <t>SAP.MVKE.VMSTD</t>
  </si>
  <si>
    <t>SAP.MVKE.DWERK</t>
  </si>
  <si>
    <t>SAP.MVKE.SKTOF</t>
  </si>
  <si>
    <t>SAP.MVKE.AUMNG</t>
  </si>
  <si>
    <t>SAP.MVKE.LFMNG</t>
  </si>
  <si>
    <t>SAP.MVKE.SCMNG</t>
  </si>
  <si>
    <t>SAP.MVKE.SCHME</t>
  </si>
  <si>
    <t>SAP.MVKE.RDPRF</t>
  </si>
  <si>
    <t>VKORG</t>
  </si>
  <si>
    <t>VTWEG</t>
  </si>
  <si>
    <t>VRKME</t>
  </si>
  <si>
    <t>VAVME</t>
  </si>
  <si>
    <t>MSTAV</t>
  </si>
  <si>
    <t>MSTDV</t>
  </si>
  <si>
    <t>VMSTA</t>
  </si>
  <si>
    <t>VMSTD</t>
  </si>
  <si>
    <t>DWERK</t>
  </si>
  <si>
    <t>SKTOF</t>
  </si>
  <si>
    <t>AUMNG</t>
  </si>
  <si>
    <t>LFMNG</t>
  </si>
  <si>
    <t>SCMNG</t>
  </si>
  <si>
    <t>SCHME</t>
  </si>
  <si>
    <t>Sales Organization</t>
  </si>
  <si>
    <t>Distribution Channel</t>
  </si>
  <si>
    <t>Variable Sales Unit Not Allowed</t>
  </si>
  <si>
    <t>Cross-distribution-chain material status</t>
  </si>
  <si>
    <t>Date from which the X-distr.-chain material status is valid</t>
  </si>
  <si>
    <t>Distribution-chain-specific material status</t>
  </si>
  <si>
    <t>Date from which distr.-chain-spec. material status is valid</t>
  </si>
  <si>
    <t>Delivering Plant (Own or External)</t>
  </si>
  <si>
    <t>Cash discount indicator</t>
  </si>
  <si>
    <t>Minimum order quantity in base unit of measure</t>
  </si>
  <si>
    <t>Minimum delivery quantity in delivery note processing</t>
  </si>
  <si>
    <t>Unit of measure of delivery unit</t>
  </si>
  <si>
    <t>MVKE</t>
  </si>
  <si>
    <t>SAP.MARA.MATNR = SAP.MVKE.MATNR</t>
  </si>
  <si>
    <t>Material Master Sales org view 2 for a standard SAP ECC 6.0 system</t>
  </si>
  <si>
    <t>Gen item cat grp</t>
  </si>
  <si>
    <t>Item category group</t>
  </si>
  <si>
    <t>Pricing Ref Matl</t>
  </si>
  <si>
    <t>Product attribute 1</t>
  </si>
  <si>
    <t>Product attribute 2</t>
  </si>
  <si>
    <t>Product attribute 3</t>
  </si>
  <si>
    <t>Product attribute 4</t>
  </si>
  <si>
    <t>Product attribute 5</t>
  </si>
  <si>
    <t>Product attribute 6</t>
  </si>
  <si>
    <t>Product attribute 7</t>
  </si>
  <si>
    <t>Product attribute 8</t>
  </si>
  <si>
    <t>Product attribute 9</t>
  </si>
  <si>
    <t>Product attribute 10</t>
  </si>
  <si>
    <t>SAP.MVKE.VERSG</t>
  </si>
  <si>
    <t>SAP.MVKE.KONDM</t>
  </si>
  <si>
    <t>SAP.MVKE.BONUS</t>
  </si>
  <si>
    <t>SAP.MVKE.KTGRM</t>
  </si>
  <si>
    <t>SAP.MVKE.MTPOS</t>
  </si>
  <si>
    <t>SAP.MVKE.PMATN</t>
  </si>
  <si>
    <t>SAP.MVKE.PRODH</t>
  </si>
  <si>
    <t>SAP.MVKE.PROVG</t>
  </si>
  <si>
    <t>SAP.MVKE.MVGR1</t>
  </si>
  <si>
    <t>SAP.MVKE.MVGR2</t>
  </si>
  <si>
    <t>SAP.MVKE.MVGR3</t>
  </si>
  <si>
    <t>SAP.MVKE.MVGR4</t>
  </si>
  <si>
    <t>SAP.MVKE.MVGR5</t>
  </si>
  <si>
    <t>SAP.MVKE.PRAT1</t>
  </si>
  <si>
    <t>SAP.MVKE.PRAT2</t>
  </si>
  <si>
    <t>SAP.MVKE.PRAT3</t>
  </si>
  <si>
    <t>SAP.MVKE.PRAT4</t>
  </si>
  <si>
    <t>SAP.MVKE.PRAT5</t>
  </si>
  <si>
    <t>SAP.MVKE.PRAT6</t>
  </si>
  <si>
    <t>SAP.MVKE.PRAT7</t>
  </si>
  <si>
    <t>SAP.MVKE.PRAT8</t>
  </si>
  <si>
    <t>SAP.MVKE.PRAT9</t>
  </si>
  <si>
    <t>SAP.MVKE.PRATA</t>
  </si>
  <si>
    <t>VERSG</t>
  </si>
  <si>
    <t>KONDM</t>
  </si>
  <si>
    <t>BONUS</t>
  </si>
  <si>
    <t>KTGRM</t>
  </si>
  <si>
    <t>MTPOS</t>
  </si>
  <si>
    <t>PMATN</t>
  </si>
  <si>
    <t>PRODH</t>
  </si>
  <si>
    <t>PROVG</t>
  </si>
  <si>
    <t>MVGR1</t>
  </si>
  <si>
    <t>MVGR2</t>
  </si>
  <si>
    <t>MVGR3</t>
  </si>
  <si>
    <t>MVGR4</t>
  </si>
  <si>
    <t>MVGR5</t>
  </si>
  <si>
    <t>PRAT1</t>
  </si>
  <si>
    <t>PRAT2</t>
  </si>
  <si>
    <t>PRAT3</t>
  </si>
  <si>
    <t>PRAT4</t>
  </si>
  <si>
    <t>PRAT5</t>
  </si>
  <si>
    <t>PRAT6</t>
  </si>
  <si>
    <t>PRAT7</t>
  </si>
  <si>
    <t>PRAT8</t>
  </si>
  <si>
    <t>PRAT9</t>
  </si>
  <si>
    <t>PRATA</t>
  </si>
  <si>
    <t>Material statistics group</t>
  </si>
  <si>
    <t>Material Pricing Group</t>
  </si>
  <si>
    <t>Account assignment group for this material</t>
  </si>
  <si>
    <t>Item category group from material master</t>
  </si>
  <si>
    <t>Pricing Reference Material</t>
  </si>
  <si>
    <t>Material group 1</t>
  </si>
  <si>
    <t>Material group 2</t>
  </si>
  <si>
    <t>Material group 3</t>
  </si>
  <si>
    <t>Material group 4</t>
  </si>
  <si>
    <t>Material group 5</t>
  </si>
  <si>
    <t>ID for product attribute 1</t>
  </si>
  <si>
    <t>ID for product attribute 2</t>
  </si>
  <si>
    <t>ID for product attribute 3</t>
  </si>
  <si>
    <t>ID for product attribute 4</t>
  </si>
  <si>
    <t>ID for product attribute 5</t>
  </si>
  <si>
    <t>ID for product attribute 6</t>
  </si>
  <si>
    <t>ID for product attribute 7</t>
  </si>
  <si>
    <t>ID for product attribute 8</t>
  </si>
  <si>
    <t>ID for product attribute 9</t>
  </si>
  <si>
    <t>ID for product attribute 10</t>
  </si>
  <si>
    <t>SAP.MAKT.MATNR = SAP.MVKE.MATNR AND SAP.MARA.MATNR = SAP.MVKE.MATNR</t>
  </si>
  <si>
    <t>Material warehouse management 1 data view for a standard SAP ECC 6.0 system</t>
  </si>
  <si>
    <t>Haz Material number</t>
  </si>
  <si>
    <t>WM unit</t>
  </si>
  <si>
    <t>Capacity usage 1</t>
  </si>
  <si>
    <t>Capacity usage 2</t>
  </si>
  <si>
    <t>Message to IM</t>
  </si>
  <si>
    <t>2 step picking</t>
  </si>
  <si>
    <t>Allow addn to stock</t>
  </si>
  <si>
    <t>SAP.MLGN.LGNUM</t>
  </si>
  <si>
    <t>SAP.MLGN.LVSME</t>
  </si>
  <si>
    <t>SAP.MLGN.VOMEM</t>
  </si>
  <si>
    <t>SAP.MLGN.MKAPV</t>
  </si>
  <si>
    <t>SAP.MLGN.BEZME</t>
  </si>
  <si>
    <t>SAP.MLGN.PLKPT</t>
  </si>
  <si>
    <t>SAP.MARC.XCHPF</t>
  </si>
  <si>
    <t>SAP.MLGN.LTKZA</t>
  </si>
  <si>
    <t>SAP.MLGN.LTKZE</t>
  </si>
  <si>
    <t>SAP.MLGN.LGBKZ</t>
  </si>
  <si>
    <t>SAP.MLGN.BLOCK</t>
  </si>
  <si>
    <t>SAP.MLGN.BSSKZ</t>
  </si>
  <si>
    <t>SAP.MLGN.KZMBF</t>
  </si>
  <si>
    <t>SAP.MLGN.L2SKR</t>
  </si>
  <si>
    <t>SAP.MLGN.KZZUL</t>
  </si>
  <si>
    <t>LGNUM</t>
  </si>
  <si>
    <t>LVSME</t>
  </si>
  <si>
    <t>VOMEM</t>
  </si>
  <si>
    <t>MKAPV</t>
  </si>
  <si>
    <t>BEZME</t>
  </si>
  <si>
    <t>PLKPT</t>
  </si>
  <si>
    <t>LTKZA</t>
  </si>
  <si>
    <t>LTKZE</t>
  </si>
  <si>
    <t>LGBKZ</t>
  </si>
  <si>
    <t>BLOCK</t>
  </si>
  <si>
    <t>BSSKZ</t>
  </si>
  <si>
    <t>KZMBF</t>
  </si>
  <si>
    <t>L2SKR</t>
  </si>
  <si>
    <t>KZZUL</t>
  </si>
  <si>
    <t>Warehouse Number / Warehouse Complex</t>
  </si>
  <si>
    <t>Warehouse Management Unit of Measure</t>
  </si>
  <si>
    <t>Default for unit of measure from material master record</t>
  </si>
  <si>
    <t>Capacity usage</t>
  </si>
  <si>
    <t>Unit of measure for capacity consumption</t>
  </si>
  <si>
    <t>Picking storage type for rough-cut and detailed planning</t>
  </si>
  <si>
    <t>Storage type indicator for stock removal</t>
  </si>
  <si>
    <t>Storage type indicator for stock placement</t>
  </si>
  <si>
    <t>Storage Section Indicators</t>
  </si>
  <si>
    <t>Bulk storage indicator</t>
  </si>
  <si>
    <t>Special movement indicator for warehouse management</t>
  </si>
  <si>
    <t>Indicator: Message to inventory management</t>
  </si>
  <si>
    <t>Material relevance for 2-step picking</t>
  </si>
  <si>
    <t>Indicator: Allow addition to existing stock</t>
  </si>
  <si>
    <t>MLGN</t>
  </si>
  <si>
    <t>SAP.MAKT.MATNR = SAP.MLGN.MATNR AND SAP.MARA.MATNR = SAP.MLGN.MATNR AND SAP.MARC.MATNR = SAP.MLGN.MATNR</t>
  </si>
  <si>
    <t>Material warehouse management 2 data view for a standard SAP ECC 6.0 system</t>
  </si>
  <si>
    <t>LE quantity 1</t>
  </si>
  <si>
    <t>Un 1</t>
  </si>
  <si>
    <t>LE quantity 2</t>
  </si>
  <si>
    <t>Un 2</t>
  </si>
  <si>
    <t>LE quantity 3</t>
  </si>
  <si>
    <t>Un 3</t>
  </si>
  <si>
    <t>SAP.MLGN.LHMG1</t>
  </si>
  <si>
    <t>SAP.MLGN.LHME1</t>
  </si>
  <si>
    <t>SAP.MLGN.LETY1</t>
  </si>
  <si>
    <t>SAP.MLGN.LHMG2</t>
  </si>
  <si>
    <t>SAP.MLGN.LHME2</t>
  </si>
  <si>
    <t>SAP.MLGN.LETY2</t>
  </si>
  <si>
    <t>SAP.MLGN.LHMG3</t>
  </si>
  <si>
    <t>SAP.MLGN.LHME3</t>
  </si>
  <si>
    <t>SAP.MLGN.LETY3</t>
  </si>
  <si>
    <t>LHMG1</t>
  </si>
  <si>
    <t>LHME1</t>
  </si>
  <si>
    <t>LETY1</t>
  </si>
  <si>
    <t>LHMG2</t>
  </si>
  <si>
    <t>LHME2</t>
  </si>
  <si>
    <t>LETY2</t>
  </si>
  <si>
    <t>LHMG3</t>
  </si>
  <si>
    <t>LHME3</t>
  </si>
  <si>
    <t>LETY3</t>
  </si>
  <si>
    <t>Loading equipment quantity 1</t>
  </si>
  <si>
    <t>Unit of measure for loading equipment quantity 1</t>
  </si>
  <si>
    <t>1st storage unit type</t>
  </si>
  <si>
    <t>Loading equipment quantity 2</t>
  </si>
  <si>
    <t>Unit of measure for loading equipment quantity 2</t>
  </si>
  <si>
    <t>2nd storage unit type</t>
  </si>
  <si>
    <t>Loading equipment quantity 3</t>
  </si>
  <si>
    <t>Unit of measure for loading equipment quantity 3</t>
  </si>
  <si>
    <t>3rd storage unit type</t>
  </si>
  <si>
    <t>Material work scheduling data view for a standard SAP ECC 6.0 system.</t>
  </si>
  <si>
    <t>Production Unit</t>
  </si>
  <si>
    <t>P S matl status</t>
  </si>
  <si>
    <t>Prodn Supervisor</t>
  </si>
  <si>
    <t>Prod stor loc</t>
  </si>
  <si>
    <t>Prod Sched Profile</t>
  </si>
  <si>
    <t>Mat Grouping</t>
  </si>
  <si>
    <t>Insp stock</t>
  </si>
  <si>
    <t>Version indicator</t>
  </si>
  <si>
    <t>Batch rec req</t>
  </si>
  <si>
    <t>BatchManagement</t>
  </si>
  <si>
    <t>Underdely tol</t>
  </si>
  <si>
    <t>Overdely tol</t>
  </si>
  <si>
    <t>Unlimited</t>
  </si>
  <si>
    <t>Interoperation</t>
  </si>
  <si>
    <t>Processing time</t>
  </si>
  <si>
    <t>Base quantity</t>
  </si>
  <si>
    <t>InhseProdTime</t>
  </si>
  <si>
    <t>SAP.MARC.FRTME</t>
  </si>
  <si>
    <t>SAP.MARC.FEVOR</t>
  </si>
  <si>
    <t>SAP.MARC.SFCPF</t>
  </si>
  <si>
    <t>SAP.MARC.MATGR</t>
  </si>
  <si>
    <t>SAP.MARC.OCMPF</t>
  </si>
  <si>
    <t>SAP.MARC.UNETO</t>
  </si>
  <si>
    <t>SAP.MARC.UEETO</t>
  </si>
  <si>
    <t>SAP.MARC.UEETK</t>
  </si>
  <si>
    <t>SAP.MARC.RUEZT</t>
  </si>
  <si>
    <t>SAP.MARC.TRANZ</t>
  </si>
  <si>
    <t>SAP.MARC.BEARZ</t>
  </si>
  <si>
    <t>SAP.MARC.BASMG</t>
  </si>
  <si>
    <t>FRTME</t>
  </si>
  <si>
    <t>FEVOR</t>
  </si>
  <si>
    <t>SFCPF</t>
  </si>
  <si>
    <t>MATGR</t>
  </si>
  <si>
    <t>OCMPF</t>
  </si>
  <si>
    <t>UNETO</t>
  </si>
  <si>
    <t>UEETO</t>
  </si>
  <si>
    <t>UEETK</t>
  </si>
  <si>
    <t>RUEZT</t>
  </si>
  <si>
    <t>TRANZ</t>
  </si>
  <si>
    <t>BEARZ</t>
  </si>
  <si>
    <t>BASMG</t>
  </si>
  <si>
    <t>Customer Company Code Data &gt; Account Management view for a standard SAP ECC 6.0 system</t>
  </si>
  <si>
    <t>Name of Company code</t>
  </si>
  <si>
    <t>Head office</t>
  </si>
  <si>
    <t>Preference ind</t>
  </si>
  <si>
    <t>Authorization</t>
  </si>
  <si>
    <t>Last key date</t>
  </si>
  <si>
    <t>Last interest run</t>
  </si>
  <si>
    <t>Prev acct no</t>
  </si>
  <si>
    <t>Personnel number</t>
  </si>
  <si>
    <t>Buying Group</t>
  </si>
  <si>
    <t>SAP.KNA1.KUNNR</t>
  </si>
  <si>
    <t>SAP.KNA1.KTOKD</t>
  </si>
  <si>
    <t>SAP.KNA1.NAME1</t>
  </si>
  <si>
    <t>SAP.KNA1.ORT01</t>
  </si>
  <si>
    <t>SAP.KNB1.BUKRS</t>
  </si>
  <si>
    <t>SAP.T001.BUTXT</t>
  </si>
  <si>
    <t>SAP.KNB1.AKONT</t>
  </si>
  <si>
    <t>SAP.KNB1.ZUAWA</t>
  </si>
  <si>
    <t>SAP.KNB1.KNRZE</t>
  </si>
  <si>
    <t>SAP.KNB1.BLNKZ</t>
  </si>
  <si>
    <t>SAP.KNA1.BEGRU</t>
  </si>
  <si>
    <t>SAP.KNB1.FDGRV</t>
  </si>
  <si>
    <t>SAP.KNB1.WBRSL</t>
  </si>
  <si>
    <t>SAP.KNB1.VZSKZ</t>
  </si>
  <si>
    <t>SAP.KNB1.ZINDT</t>
  </si>
  <si>
    <t>SAP.KNB1.ZINRT</t>
  </si>
  <si>
    <t>SAP.KNB1.DATLZ</t>
  </si>
  <si>
    <t>SAP.KNB1.ALTKN</t>
  </si>
  <si>
    <t>SAP.KNB1.PERNR</t>
  </si>
  <si>
    <t>SAP.KNB1.EKVBD</t>
  </si>
  <si>
    <t>KUNNR</t>
  </si>
  <si>
    <t>KTOKD</t>
  </si>
  <si>
    <t>NAME1</t>
  </si>
  <si>
    <t>ORT01</t>
  </si>
  <si>
    <t>BUKRS</t>
  </si>
  <si>
    <t>BUTXT</t>
  </si>
  <si>
    <t>AKONT</t>
  </si>
  <si>
    <t>ZUAWA</t>
  </si>
  <si>
    <t>KNRZE</t>
  </si>
  <si>
    <t>BLNKZ</t>
  </si>
  <si>
    <t>BEGRU</t>
  </si>
  <si>
    <t>FDGRV</t>
  </si>
  <si>
    <t>WBRSL</t>
  </si>
  <si>
    <t>VZSKZ</t>
  </si>
  <si>
    <t>ZINDT</t>
  </si>
  <si>
    <t>ZINRT</t>
  </si>
  <si>
    <t>DATLZ</t>
  </si>
  <si>
    <t>ALTKN</t>
  </si>
  <si>
    <t>PERNR</t>
  </si>
  <si>
    <t>EKVBD</t>
  </si>
  <si>
    <t>Customer Number 1</t>
  </si>
  <si>
    <t>Customer Account Group</t>
  </si>
  <si>
    <t>Name of Company Code or Company</t>
  </si>
  <si>
    <t>Reconciliation Account in General Ledger</t>
  </si>
  <si>
    <t>Key for sorting according to assignment numbers</t>
  </si>
  <si>
    <t>Head office account number (in branch accounts)</t>
  </si>
  <si>
    <t>Subsidy indicator for determining the reduction rates</t>
  </si>
  <si>
    <t>Authorization Group</t>
  </si>
  <si>
    <t>Planning group</t>
  </si>
  <si>
    <t>Value Adjustment Key</t>
  </si>
  <si>
    <t>Interest calculation indicator</t>
  </si>
  <si>
    <t>Key date of the last interest calculation</t>
  </si>
  <si>
    <t>Interest calculation frequency in months</t>
  </si>
  <si>
    <t>Date of the last interest calculation run</t>
  </si>
  <si>
    <t>Previous Master Record Number</t>
  </si>
  <si>
    <t>Personnel Number</t>
  </si>
  <si>
    <t>Account Number of Buying Group</t>
  </si>
  <si>
    <t>T001</t>
  </si>
  <si>
    <t>KNB1</t>
  </si>
  <si>
    <t>KNA1</t>
  </si>
  <si>
    <t>SAP.KNB1.KUNNR = SAP.KNA1.KUNNR</t>
  </si>
  <si>
    <t>SAP.KNB1.BUKRS = SAP.T001.BUKRS</t>
  </si>
  <si>
    <t>SAP.KNA1.SPRAS = 'E'</t>
  </si>
  <si>
    <t>Customer &gt; Company Code data &gt; Correspondence view for a standard SAP ECC 6.0 system</t>
  </si>
  <si>
    <t>Name of Company Code</t>
  </si>
  <si>
    <t>Leg dunn proc</t>
  </si>
  <si>
    <t>Last dunned</t>
  </si>
  <si>
    <t>Dunning level</t>
  </si>
  <si>
    <t>Acct at cust</t>
  </si>
  <si>
    <t>Coll invoice variant</t>
  </si>
  <si>
    <t>Customer user</t>
  </si>
  <si>
    <t>Decentralized processing</t>
  </si>
  <si>
    <t>Act Clk tel no</t>
  </si>
  <si>
    <t>Clerks fax</t>
  </si>
  <si>
    <t>Clrks internet</t>
  </si>
  <si>
    <t>Account memo</t>
  </si>
  <si>
    <t>Customer with CI</t>
  </si>
  <si>
    <t>Sales</t>
  </si>
  <si>
    <t>Legal department</t>
  </si>
  <si>
    <t>Customer without CI</t>
  </si>
  <si>
    <t>Accounting</t>
  </si>
  <si>
    <t>SAP.KNB5.MAHNA</t>
  </si>
  <si>
    <t>SAP.KNB5.MANSP</t>
  </si>
  <si>
    <t>SAP.KNB5.KNRMA</t>
  </si>
  <si>
    <t>SAP.KNB5.GMVDT</t>
  </si>
  <si>
    <t>SAP.KNB5.MADAT</t>
  </si>
  <si>
    <t>SAP.KNB5.MAHNS</t>
  </si>
  <si>
    <t>SAP.KNB5.BUSAB</t>
  </si>
  <si>
    <t>SAP.KNB1.MGRUP</t>
  </si>
  <si>
    <t>SAP.KNB1.BUSAB</t>
  </si>
  <si>
    <t>SAP.KNB1.XAUSZ</t>
  </si>
  <si>
    <t>SAP.KNB1.EIKTO</t>
  </si>
  <si>
    <t>SAP.KNB1.PERKZ</t>
  </si>
  <si>
    <t>SAP.KNB1.ZSABE</t>
  </si>
  <si>
    <t>SAP.KNB1.XDEZV</t>
  </si>
  <si>
    <t>SAP.KNB1.TLFNS</t>
  </si>
  <si>
    <t>SAP.KNB1.TLFXS</t>
  </si>
  <si>
    <t>SAP.KNB1.INTAD</t>
  </si>
  <si>
    <t>SAP.KNB1.KVERM</t>
  </si>
  <si>
    <t>SAP.KNB1.ZAMIM</t>
  </si>
  <si>
    <t>SAP.KNB1.ZAMIV</t>
  </si>
  <si>
    <t>SAP.KNB1.ZAMIR</t>
  </si>
  <si>
    <t>SAP.KNB1.ZAMIO</t>
  </si>
  <si>
    <t>SAP.KNB1.ZAMIB</t>
  </si>
  <si>
    <t>MAHNA</t>
  </si>
  <si>
    <t>MANSP</t>
  </si>
  <si>
    <t>KNRMA</t>
  </si>
  <si>
    <t>GMVDT</t>
  </si>
  <si>
    <t>MADAT</t>
  </si>
  <si>
    <t>MAHNS</t>
  </si>
  <si>
    <t>BUSAB</t>
  </si>
  <si>
    <t>MGRUP</t>
  </si>
  <si>
    <t>XAUSZ</t>
  </si>
  <si>
    <t>EIKTO</t>
  </si>
  <si>
    <t>ZSABE</t>
  </si>
  <si>
    <t>XDEZV</t>
  </si>
  <si>
    <t>TLFNS</t>
  </si>
  <si>
    <t>TLFXS</t>
  </si>
  <si>
    <t>INTAD</t>
  </si>
  <si>
    <t>KVERM</t>
  </si>
  <si>
    <t>ZAMIM</t>
  </si>
  <si>
    <t>ZAMIV</t>
  </si>
  <si>
    <t>ZAMIR</t>
  </si>
  <si>
    <t>ZAMIO</t>
  </si>
  <si>
    <t>ZAMIB</t>
  </si>
  <si>
    <t>Dunning Procedure</t>
  </si>
  <si>
    <t>Account number of the dunning recipient</t>
  </si>
  <si>
    <t>Date of the legal dunning proceedings</t>
  </si>
  <si>
    <t>Last dunned on</t>
  </si>
  <si>
    <t>Key for dunning notice grouping</t>
  </si>
  <si>
    <t>Accounting clerk</t>
  </si>
  <si>
    <t>Indicator for periodic account statements</t>
  </si>
  <si>
    <t>Our account number at customer</t>
  </si>
  <si>
    <t>Collective invoice variant</t>
  </si>
  <si>
    <t>User at customer</t>
  </si>
  <si>
    <t>Indicator: Local processing?</t>
  </si>
  <si>
    <t>Accounting clerk's telephone number at business partner</t>
  </si>
  <si>
    <t>Accounting clerk's fax number at the customer/vendor</t>
  </si>
  <si>
    <t>Internet address of partner company clerk</t>
  </si>
  <si>
    <t>Memo</t>
  </si>
  <si>
    <t>Indicator: Payment notice to customer (with cleared items)?</t>
  </si>
  <si>
    <t>Indicator: payment notice to sales department?</t>
  </si>
  <si>
    <t>Indicator: payment notice to legal department?</t>
  </si>
  <si>
    <t>Indicator: payment notice to customer (w/o cleared items)?</t>
  </si>
  <si>
    <t>Indicator: Payment notice to the accounting department ?</t>
  </si>
  <si>
    <t>KNB5</t>
  </si>
  <si>
    <t>SAP.KNA1.KUNNR = SAP.KNB1.KUNNR</t>
  </si>
  <si>
    <t>SAP.KNA1.KUNNR = SAP.KNB5.KUNNR</t>
  </si>
  <si>
    <t>SAP.KNB1.BUKRS = SAP.T001.BUKRS AND SAP.KNB5.BUKRS = SAP.T001.BUKRS</t>
  </si>
  <si>
    <t>ZB_G14_CUST_CompanyCodeData_Insurance</t>
  </si>
  <si>
    <t>Customer &gt; Company Code Data &gt; Insurance view for a standard SAP ECC 6.0 system</t>
  </si>
  <si>
    <t>Policy number</t>
  </si>
  <si>
    <t>Institution number</t>
  </si>
  <si>
    <t>Amount insured</t>
  </si>
  <si>
    <t>Currency Key</t>
  </si>
  <si>
    <t>Valid To</t>
  </si>
  <si>
    <t>Lead months</t>
  </si>
  <si>
    <t>Deductible</t>
  </si>
  <si>
    <t>SAP.KNB1.VRSNR</t>
  </si>
  <si>
    <t>SAP.KNB1.VRBKZ</t>
  </si>
  <si>
    <t>SAP.KNB1.VLIBB</t>
  </si>
  <si>
    <t>SAP.T001.WAERS</t>
  </si>
  <si>
    <t>SAP.KNB1.VERDT</t>
  </si>
  <si>
    <t>SAP.KNB1.VRSZL</t>
  </si>
  <si>
    <t>SAP.KNB1.VRSPR</t>
  </si>
  <si>
    <t>VRSNR</t>
  </si>
  <si>
    <t>VRBKZ</t>
  </si>
  <si>
    <t>VLIBB</t>
  </si>
  <si>
    <t>WAERS</t>
  </si>
  <si>
    <t>VERDT</t>
  </si>
  <si>
    <t>VRSZL</t>
  </si>
  <si>
    <t>VRSPR</t>
  </si>
  <si>
    <t>Insurance number</t>
  </si>
  <si>
    <t>Export credit insurance institution number</t>
  </si>
  <si>
    <t>Amount Insured</t>
  </si>
  <si>
    <t>Insurance validity date</t>
  </si>
  <si>
    <t>Insurance lead months</t>
  </si>
  <si>
    <t>Deductible percentage rate</t>
  </si>
  <si>
    <t>Customer &gt; Company code data &gt; Payment Transactions view for a standard SAP ECC 6.0 system</t>
  </si>
  <si>
    <t>Known neg leave</t>
  </si>
  <si>
    <t>Time until check paid</t>
  </si>
  <si>
    <t>Payment history record</t>
  </si>
  <si>
    <t>Alternat Payer</t>
  </si>
  <si>
    <t>B exch Limit</t>
  </si>
  <si>
    <t>Single payment</t>
  </si>
  <si>
    <t>Payment advice by EDI</t>
  </si>
  <si>
    <t>Payer</t>
  </si>
  <si>
    <t>SAP.KNB1.ZTERM</t>
  </si>
  <si>
    <t>SAP.KNB1.TOGRU</t>
  </si>
  <si>
    <t>SAP.KNB1.URLID</t>
  </si>
  <si>
    <t>SAP.KNB1.WAKON</t>
  </si>
  <si>
    <t>SAP.KNB1.KULTG</t>
  </si>
  <si>
    <t>SAP.KNB1.XZVER</t>
  </si>
  <si>
    <t>SAP.KNB1.ZWELS</t>
  </si>
  <si>
    <t>SAP.KNB1.ZAHLS</t>
  </si>
  <si>
    <t>SAP.KNB1.KNRZB</t>
  </si>
  <si>
    <t>SAP.KNB1.HBKID</t>
  </si>
  <si>
    <t>SAP.KNB1.WEBTR</t>
  </si>
  <si>
    <t>SAP.KNB1.ZGRUP</t>
  </si>
  <si>
    <t>SAP.KNB1.XPORE</t>
  </si>
  <si>
    <t>SAP.KNB1.REMIT</t>
  </si>
  <si>
    <t>SAP.KNB1.XEDIP</t>
  </si>
  <si>
    <t>SAP.KNB1.LOCKB</t>
  </si>
  <si>
    <t>SAP.KNB1.VRSDG</t>
  </si>
  <si>
    <t>SAP.KNB1.SREGL</t>
  </si>
  <si>
    <t>SAP.KNZA.EMPFD</t>
  </si>
  <si>
    <t>ZTERM</t>
  </si>
  <si>
    <t>TOGRU</t>
  </si>
  <si>
    <t>URLID</t>
  </si>
  <si>
    <t>WAKON</t>
  </si>
  <si>
    <t>KULTG</t>
  </si>
  <si>
    <t>XZVER</t>
  </si>
  <si>
    <t>ZWELS</t>
  </si>
  <si>
    <t>ZAHLS</t>
  </si>
  <si>
    <t>KNRZB</t>
  </si>
  <si>
    <t>HBKID</t>
  </si>
  <si>
    <t>WEBTR</t>
  </si>
  <si>
    <t>ZGRUP</t>
  </si>
  <si>
    <t>XPORE</t>
  </si>
  <si>
    <t>REMIT</t>
  </si>
  <si>
    <t>XEDIP</t>
  </si>
  <si>
    <t>LOCKB</t>
  </si>
  <si>
    <t>VRSDG</t>
  </si>
  <si>
    <t>SREGL</t>
  </si>
  <si>
    <t>EMPFD</t>
  </si>
  <si>
    <t>Terms of Payment Key</t>
  </si>
  <si>
    <t>Tolerance group for the business partner/G/L account</t>
  </si>
  <si>
    <t>Short Key for Known/Negotiated Leave</t>
  </si>
  <si>
    <t>Terms of payment key for bill of exchange charges</t>
  </si>
  <si>
    <t>Probable time until check is paid</t>
  </si>
  <si>
    <t>Indicator: Record Payment History ?</t>
  </si>
  <si>
    <t>List of the Payment Methods to be Considered</t>
  </si>
  <si>
    <t>Block key for payment</t>
  </si>
  <si>
    <t>Account number of an alternative payer</t>
  </si>
  <si>
    <t>Short Key for a House Bank</t>
  </si>
  <si>
    <t>Bill of exchange limit (in local currency)</t>
  </si>
  <si>
    <t>Key for Payment Grouping</t>
  </si>
  <si>
    <t>Indicator: Pay all items separately ?</t>
  </si>
  <si>
    <t>Indicator: Send Payment Advices by EDI</t>
  </si>
  <si>
    <t>Key of the Lockbox to Which the Customer Is To Pay</t>
  </si>
  <si>
    <t>Reason Code Conversion Version</t>
  </si>
  <si>
    <t>Selection Rule for Payment Advices</t>
  </si>
  <si>
    <t>Customer, Permitted as Payer</t>
  </si>
  <si>
    <t>KNZA</t>
  </si>
  <si>
    <t>SAP.KNA1.KUNNR = SAP.KNZA.KUNNR AND SAP.KNB1.BUKRS = SAP.KNZA.BUKRS AND SAP.KNB1.KUNNR = SAP.KNZA.KUNNR</t>
  </si>
  <si>
    <t>SAP.KNB1.BUKRS = SAP.T001.BUKRS AND SAP.KNZA.BUKRS = SAP.T001.BUKRS</t>
  </si>
  <si>
    <t>Customer General Data &gt; Address view for a standard SAP ECC 6.0 system</t>
  </si>
  <si>
    <t>Name 2</t>
  </si>
  <si>
    <t>District</t>
  </si>
  <si>
    <t>Tax Jurisdictn</t>
  </si>
  <si>
    <t>PO Box</t>
  </si>
  <si>
    <t>Fax</t>
  </si>
  <si>
    <t>Data Line</t>
  </si>
  <si>
    <t>Telebox</t>
  </si>
  <si>
    <t>SAP.KNA1.ANRED</t>
  </si>
  <si>
    <t>SAP.KNA1.NAME2</t>
  </si>
  <si>
    <t>SAP.KNA1.STRAS</t>
  </si>
  <si>
    <t>SAP.KNA1.ORT02</t>
  </si>
  <si>
    <t>SAP.KNA1.PSTLZ</t>
  </si>
  <si>
    <t>SAP.KNA1.LAND1</t>
  </si>
  <si>
    <t>SAP.KNA1.REGIO</t>
  </si>
  <si>
    <t>SAP.KNA1.SORTL</t>
  </si>
  <si>
    <t>SAP.KNA1.LZONE</t>
  </si>
  <si>
    <t>SAP.KNA1.TXJCD</t>
  </si>
  <si>
    <t>SAP.KNA1.PFACH</t>
  </si>
  <si>
    <t>SAP.KNA1.PSTL2</t>
  </si>
  <si>
    <t>SAP.KNA1.SPRAS</t>
  </si>
  <si>
    <t>SAP.KNA1.TELF1</t>
  </si>
  <si>
    <t>SAP.KNA1.TELFX</t>
  </si>
  <si>
    <t>SAP.KNA1.DATLT</t>
  </si>
  <si>
    <t>SAP.KNA1.TELBX</t>
  </si>
  <si>
    <t>ANRED</t>
  </si>
  <si>
    <t>NAME2</t>
  </si>
  <si>
    <t>STRAS</t>
  </si>
  <si>
    <t>ORT02</t>
  </si>
  <si>
    <t>PSTLZ</t>
  </si>
  <si>
    <t>LAND1</t>
  </si>
  <si>
    <t>REGIO</t>
  </si>
  <si>
    <t>SORTL</t>
  </si>
  <si>
    <t>LZONE</t>
  </si>
  <si>
    <t>TXJCD</t>
  </si>
  <si>
    <t>PFACH</t>
  </si>
  <si>
    <t>PSTL2</t>
  </si>
  <si>
    <t>TELF1</t>
  </si>
  <si>
    <t>TELFX</t>
  </si>
  <si>
    <t>DATLT</t>
  </si>
  <si>
    <t>TELBX</t>
  </si>
  <si>
    <t>Country Key</t>
  </si>
  <si>
    <t>Region (State, Province, County)</t>
  </si>
  <si>
    <t>Transportation zone to or from which the goods are delivered</t>
  </si>
  <si>
    <t>Tax Jurisdiction</t>
  </si>
  <si>
    <t>P.O. Box Postal Code</t>
  </si>
  <si>
    <t>Language Key</t>
  </si>
  <si>
    <t>First telephone number</t>
  </si>
  <si>
    <t>Fax Number</t>
  </si>
  <si>
    <t>Data communication line no.</t>
  </si>
  <si>
    <t>Telebox number</t>
  </si>
  <si>
    <t>Customer &gt; General Data &gt; Contact Person view for a standard SAP ECC 6.0 system</t>
  </si>
  <si>
    <t>Form of address</t>
  </si>
  <si>
    <t>Name</t>
  </si>
  <si>
    <t>First Name</t>
  </si>
  <si>
    <t>Telephone1</t>
  </si>
  <si>
    <t>Department description</t>
  </si>
  <si>
    <t>Function description</t>
  </si>
  <si>
    <t>SAP.KNVK.NAME1</t>
  </si>
  <si>
    <t>SAP.KNVK.NAMEV</t>
  </si>
  <si>
    <t>SAP.KNVK.TELF1</t>
  </si>
  <si>
    <t>SAP.KNVK.ABTNR</t>
  </si>
  <si>
    <t>SAP.TSABT.VTEXT</t>
  </si>
  <si>
    <t>SAP.KNVK.PAFKT</t>
  </si>
  <si>
    <t>SAP.TPFKT.VTEXT</t>
  </si>
  <si>
    <t>NAMEV</t>
  </si>
  <si>
    <t>ABTNR</t>
  </si>
  <si>
    <t>VTEXT</t>
  </si>
  <si>
    <t>PAFKT</t>
  </si>
  <si>
    <t>First name</t>
  </si>
  <si>
    <t>Contact person department</t>
  </si>
  <si>
    <t>Contact person function</t>
  </si>
  <si>
    <t>TPFKT</t>
  </si>
  <si>
    <t>KNVK</t>
  </si>
  <si>
    <t>TSABT</t>
  </si>
  <si>
    <t>SAP.KNVK.KUNNR = SAP.KNA1.KUNNR</t>
  </si>
  <si>
    <t>SAP.KNVK.PAFKT = SAP.TPFKT.PAFKT</t>
  </si>
  <si>
    <t>SAP.KNVK.ABTNR = SAP.TSABT.ABTNR</t>
  </si>
  <si>
    <t>SAP.KNA1.SPRAS = 'E'
AND SAP.TPFKT.SPRAS = 'E'
AND SAP.TSABT.SPRAS = 'E'</t>
  </si>
  <si>
    <t>Customer General Data &gt; Control Data view for a standard SAP ECC 6.0 system</t>
  </si>
  <si>
    <t>Corporate Group</t>
  </si>
  <si>
    <t>Location no 1</t>
  </si>
  <si>
    <t>Location no 2</t>
  </si>
  <si>
    <t>Check digit</t>
  </si>
  <si>
    <t>Train Station</t>
  </si>
  <si>
    <t>Express Station</t>
  </si>
  <si>
    <t>Location Code</t>
  </si>
  <si>
    <t>Tax Number 2</t>
  </si>
  <si>
    <t>Equalizatn tax</t>
  </si>
  <si>
    <t>Natural person</t>
  </si>
  <si>
    <t>Sales pur Tax</t>
  </si>
  <si>
    <t>VAT Reg No</t>
  </si>
  <si>
    <t>City code</t>
  </si>
  <si>
    <t>Tax Jur</t>
  </si>
  <si>
    <t>Other Country</t>
  </si>
  <si>
    <t>Other VAT registration number</t>
  </si>
  <si>
    <t>SAP.KNA1.LIFNR</t>
  </si>
  <si>
    <t>SAP.KNA1.VBUND</t>
  </si>
  <si>
    <t>SAP.KNA1.KONZS</t>
  </si>
  <si>
    <t>SAP.KNA1.BBBNR</t>
  </si>
  <si>
    <t>SAP.KNA1.BBSNR</t>
  </si>
  <si>
    <t>SAP.KNA1.BUBKZ</t>
  </si>
  <si>
    <t>SAP.KNA1.BRSCH</t>
  </si>
  <si>
    <t>SAP.KNA1.BAHNS</t>
  </si>
  <si>
    <t>SAP.KNA1.BAHNE</t>
  </si>
  <si>
    <t>SAP.KNA1.LOCCO</t>
  </si>
  <si>
    <t>SAP.KNA1.STCD1</t>
  </si>
  <si>
    <t>SAP.KNA1.STCD2</t>
  </si>
  <si>
    <t>SAP.KNA1.STKZA</t>
  </si>
  <si>
    <t>SAP.KNA1.STKZN</t>
  </si>
  <si>
    <t>SAP.KNA1.STKZU</t>
  </si>
  <si>
    <t>SAP.KNA1.FISKN</t>
  </si>
  <si>
    <t>SAP.KNA1.COUNC</t>
  </si>
  <si>
    <t>SAP.KNA1.STCEG</t>
  </si>
  <si>
    <t>SAP.KNA1.CITYC</t>
  </si>
  <si>
    <t>SAP.KNAS.LAND1</t>
  </si>
  <si>
    <t>SAP.KNAS.STCEG</t>
  </si>
  <si>
    <t>LIFNR</t>
  </si>
  <si>
    <t>VBUND</t>
  </si>
  <si>
    <t>KONZS</t>
  </si>
  <si>
    <t>BBBNR</t>
  </si>
  <si>
    <t>BBSNR</t>
  </si>
  <si>
    <t>BUBKZ</t>
  </si>
  <si>
    <t>BRSCH</t>
  </si>
  <si>
    <t>BAHNS</t>
  </si>
  <si>
    <t>BAHNE</t>
  </si>
  <si>
    <t>LOCCO</t>
  </si>
  <si>
    <t>STCD1</t>
  </si>
  <si>
    <t>STCD2</t>
  </si>
  <si>
    <t>STKZA</t>
  </si>
  <si>
    <t>STKZN</t>
  </si>
  <si>
    <t>STKZU</t>
  </si>
  <si>
    <t>FISKN</t>
  </si>
  <si>
    <t>COUNC</t>
  </si>
  <si>
    <t>STCEG</t>
  </si>
  <si>
    <t>CITYC</t>
  </si>
  <si>
    <t>Account Number of Vendor or Creditor</t>
  </si>
  <si>
    <t>Company ID of trading partner</t>
  </si>
  <si>
    <t>Group key</t>
  </si>
  <si>
    <t>International location number  (part 1)</t>
  </si>
  <si>
    <t>International location number (Part 2)</t>
  </si>
  <si>
    <t>Check digit for the international location number</t>
  </si>
  <si>
    <t>Industry key</t>
  </si>
  <si>
    <t>Train station</t>
  </si>
  <si>
    <t>Express train station</t>
  </si>
  <si>
    <t>City Coordinates</t>
  </si>
  <si>
    <t>Indicator: Business Partner Subject to Equalization Tax?</t>
  </si>
  <si>
    <t>Natural Person</t>
  </si>
  <si>
    <t>Liable for VAT</t>
  </si>
  <si>
    <t>Account number of the master record with the fiscal address</t>
  </si>
  <si>
    <t>County Code</t>
  </si>
  <si>
    <t>City Code</t>
  </si>
  <si>
    <t>KNAS</t>
  </si>
  <si>
    <t>SAP.KNA1.KUNNR = SAP.KNAS.KUNNR AND SAP.KNA1.LAND1 = SAP.KNAS.LAND1</t>
  </si>
  <si>
    <t>Customer &gt; General Data &gt; Export data view for a standard SAP ECC 6.0 system</t>
  </si>
  <si>
    <t>TDO date</t>
  </si>
  <si>
    <t>TDO</t>
  </si>
  <si>
    <t>SDN date</t>
  </si>
  <si>
    <t>SDN</t>
  </si>
  <si>
    <t>Boycott date</t>
  </si>
  <si>
    <t>Mainly military usage</t>
  </si>
  <si>
    <t>Biochemical warfare</t>
  </si>
  <si>
    <t>SAP.KNEX.LNDEX</t>
  </si>
  <si>
    <t>SAP.KNEX.TDODA</t>
  </si>
  <si>
    <t>SAP.KNEX.TDOCO</t>
  </si>
  <si>
    <t>SAP.KNEX.SDNDA</t>
  </si>
  <si>
    <t>SAP.KNEX.SDNCO</t>
  </si>
  <si>
    <t>SAP.KNEX.DHRDA</t>
  </si>
  <si>
    <t>SAP.KNEX.DHRCO</t>
  </si>
  <si>
    <t>SAP.KNA1.CIVVE</t>
  </si>
  <si>
    <t>SAP.KNA1.MILVE</t>
  </si>
  <si>
    <t>SAP.KNA1.CCC01</t>
  </si>
  <si>
    <t>SAP.KNA1.CCC02</t>
  </si>
  <si>
    <t>SAP.KNA1.CCC03</t>
  </si>
  <si>
    <t>SAP.KNA1.CCC04</t>
  </si>
  <si>
    <t>LNDEX</t>
  </si>
  <si>
    <t>TDODA</t>
  </si>
  <si>
    <t>TDOCO</t>
  </si>
  <si>
    <t>SDNDA</t>
  </si>
  <si>
    <t>SDNCO</t>
  </si>
  <si>
    <t>DHRDA</t>
  </si>
  <si>
    <t>DHRCO</t>
  </si>
  <si>
    <t>CIVVE</t>
  </si>
  <si>
    <t>MILVE</t>
  </si>
  <si>
    <t>CCC01</t>
  </si>
  <si>
    <t>CCC02</t>
  </si>
  <si>
    <t>CCC03</t>
  </si>
  <si>
    <t>CCC04</t>
  </si>
  <si>
    <t>Country key for export control in customer master</t>
  </si>
  <si>
    <t>Date of last check of TDO list for export control</t>
  </si>
  <si>
    <t>ID: TDO boycott list for export control</t>
  </si>
  <si>
    <t>Date of last check of SDN list for export control</t>
  </si>
  <si>
    <t>ID: SDN boycott list for export control</t>
  </si>
  <si>
    <t>Date of last check in inter. boycott list for exp. control</t>
  </si>
  <si>
    <t>ID: Customer boycott list for export control</t>
  </si>
  <si>
    <t>ID for mainly non-military use</t>
  </si>
  <si>
    <t>ID for mainly military use</t>
  </si>
  <si>
    <t>Indicator for biochemical warfare for legal control</t>
  </si>
  <si>
    <t>Indicator for nuclear nonproliferation for legal control</t>
  </si>
  <si>
    <t>Indicator for national security for legal control</t>
  </si>
  <si>
    <t>Indicator for missile technology for legal control</t>
  </si>
  <si>
    <t>KNEX</t>
  </si>
  <si>
    <t>SAP.KNEX.KUNNR = SAP.KNA1.KUNNR</t>
  </si>
  <si>
    <t>Customer General Data &gt; Payment transactions view for a standard SAP ECC 6.0 system</t>
  </si>
  <si>
    <t>Acct holder</t>
  </si>
  <si>
    <t>Control key</t>
  </si>
  <si>
    <t>Bk Typ</t>
  </si>
  <si>
    <t>Reference Details</t>
  </si>
  <si>
    <t>Collection Auth</t>
  </si>
  <si>
    <t>Bank name</t>
  </si>
  <si>
    <t>Street</t>
  </si>
  <si>
    <t>Bank City</t>
  </si>
  <si>
    <t>Bank Branch</t>
  </si>
  <si>
    <t>SWIFT code</t>
  </si>
  <si>
    <t>Bank group</t>
  </si>
  <si>
    <t>Postbank Acct</t>
  </si>
  <si>
    <t>Bank number</t>
  </si>
  <si>
    <t>Individual entries</t>
  </si>
  <si>
    <t>Entries for referen</t>
  </si>
  <si>
    <t>SAP.KNBK.BANKS</t>
  </si>
  <si>
    <t>SAP.KNBK.BANKL</t>
  </si>
  <si>
    <t>SAP.KNBK.BANKN</t>
  </si>
  <si>
    <t>SAP.KNBK.KOINH</t>
  </si>
  <si>
    <t>SAP.KNBK.BKONT</t>
  </si>
  <si>
    <t>SAP.KNBK.BVTYP</t>
  </si>
  <si>
    <t>SAP.KNBK.BKREF</t>
  </si>
  <si>
    <t>SAP.KNBK.XEZER</t>
  </si>
  <si>
    <t>SAP.BNKA.BANKA</t>
  </si>
  <si>
    <t>SAP.BNKA.PROVZ</t>
  </si>
  <si>
    <t>SAP.BNKA.STRAS</t>
  </si>
  <si>
    <t>SAP.BNKA.ORT01</t>
  </si>
  <si>
    <t>SAP.BNKA.BRNCH</t>
  </si>
  <si>
    <t>SAP.BNKA.SWIFT</t>
  </si>
  <si>
    <t>SAP.BNKA.BGRUP</t>
  </si>
  <si>
    <t>SAP.BNKA.XPGRO</t>
  </si>
  <si>
    <t>SAP.BNKA.BNKLZ</t>
  </si>
  <si>
    <t>SAP.KNA1.KNRZA</t>
  </si>
  <si>
    <t>SAP.KNA1.XZEMP</t>
  </si>
  <si>
    <t>SAP.KNA1.XKNZA</t>
  </si>
  <si>
    <t>BANKS</t>
  </si>
  <si>
    <t>BANKL</t>
  </si>
  <si>
    <t>BANKN</t>
  </si>
  <si>
    <t>KOINH</t>
  </si>
  <si>
    <t>BKONT</t>
  </si>
  <si>
    <t>BVTYP</t>
  </si>
  <si>
    <t>BKREF</t>
  </si>
  <si>
    <t>XEZER</t>
  </si>
  <si>
    <t>BANKA</t>
  </si>
  <si>
    <t>PROVZ</t>
  </si>
  <si>
    <t>BRNCH</t>
  </si>
  <si>
    <t>SWIFT</t>
  </si>
  <si>
    <t>BGRUP</t>
  </si>
  <si>
    <t>XPGRO</t>
  </si>
  <si>
    <t>BNKLZ</t>
  </si>
  <si>
    <t>KNRZA</t>
  </si>
  <si>
    <t>XZEMP</t>
  </si>
  <si>
    <t>XKNZA</t>
  </si>
  <si>
    <t>Bank Keys</t>
  </si>
  <si>
    <t>Bank account number</t>
  </si>
  <si>
    <t>Account Holder Name</t>
  </si>
  <si>
    <t>Bank Control Key</t>
  </si>
  <si>
    <t>Partner Bank Type</t>
  </si>
  <si>
    <t>Reference specifications for bank details</t>
  </si>
  <si>
    <t>Indicator: Is there collection authorization ?</t>
  </si>
  <si>
    <t>Name of bank</t>
  </si>
  <si>
    <t>SWIFT Code for International Payments</t>
  </si>
  <si>
    <t>Bank group (bank network)</t>
  </si>
  <si>
    <t>Post Office Bank Current Account</t>
  </si>
  <si>
    <t>Indicator: Is an alternative payer allowed in document?</t>
  </si>
  <si>
    <t>Indicator: Alternative payer using account number</t>
  </si>
  <si>
    <t>KNBK</t>
  </si>
  <si>
    <t>BNKA</t>
  </si>
  <si>
    <t>SAP.KNA1.KUNNR = SAP.KNZA.KUNNR</t>
  </si>
  <si>
    <t>SAP.KNA1.KUNNR = SAP.KNBK.KUNNR AND SAP.KNBK.KUNNR = SAP.KNZA.KUNNR</t>
  </si>
  <si>
    <t>SAP.KNBK.BANKL = SAP.BNKA.BANKL AND SAP.KNBK.BANKS = SAP.BNKA.BANKS</t>
  </si>
  <si>
    <t>Customer Marketing data view for a standard SAP ECC 6.0 system</t>
  </si>
  <si>
    <t>Regional Market</t>
  </si>
  <si>
    <t>Hierarchy assignment</t>
  </si>
  <si>
    <t>Industry Code 2</t>
  </si>
  <si>
    <t>Industry Code 3</t>
  </si>
  <si>
    <t>Industry Code 4</t>
  </si>
  <si>
    <t>Industry Code 5</t>
  </si>
  <si>
    <t>Annual sales</t>
  </si>
  <si>
    <t>Currency of Sales Figure</t>
  </si>
  <si>
    <t>Year for which sales are given</t>
  </si>
  <si>
    <t>Employees</t>
  </si>
  <si>
    <t>Year for number of employees</t>
  </si>
  <si>
    <t>SAP.KNA1.NIELS</t>
  </si>
  <si>
    <t>SAP.KNA1.RPMKR</t>
  </si>
  <si>
    <t>SAP.KNA1.KUKLA</t>
  </si>
  <si>
    <t>SAP.KNA1.HZUOR</t>
  </si>
  <si>
    <t>SAP.KNA1.BRAN1</t>
  </si>
  <si>
    <t>SAP.KNA1.BRAN2</t>
  </si>
  <si>
    <t>SAP.KNA1.BRAN3</t>
  </si>
  <si>
    <t>SAP.KNA1.BRAN4</t>
  </si>
  <si>
    <t>SAP.KNA1.BRAN5</t>
  </si>
  <si>
    <t>SAP.KNA1.UMSA1</t>
  </si>
  <si>
    <t>SAP.KNA1.UWAER</t>
  </si>
  <si>
    <t>SAP.KNA1.UMJAH</t>
  </si>
  <si>
    <t>SAP.KNA1.JMZAH</t>
  </si>
  <si>
    <t>SAP.KNA1.JMJAH</t>
  </si>
  <si>
    <t>SAP.KNA1.PERIV</t>
  </si>
  <si>
    <t>SAP.KNA1.GFORM</t>
  </si>
  <si>
    <t>NIELS</t>
  </si>
  <si>
    <t>RPMKR</t>
  </si>
  <si>
    <t>KUKLA</t>
  </si>
  <si>
    <t>HZUOR</t>
  </si>
  <si>
    <t>BRAN1</t>
  </si>
  <si>
    <t>BRAN2</t>
  </si>
  <si>
    <t>BRAN3</t>
  </si>
  <si>
    <t>BRAN4</t>
  </si>
  <si>
    <t>BRAN5</t>
  </si>
  <si>
    <t>UMSA1</t>
  </si>
  <si>
    <t>UWAER</t>
  </si>
  <si>
    <t>UMJAH</t>
  </si>
  <si>
    <t>JMZAH</t>
  </si>
  <si>
    <t>JMJAH</t>
  </si>
  <si>
    <t>GFORM</t>
  </si>
  <si>
    <t>Customer classification</t>
  </si>
  <si>
    <t>Assignment to Hierarchy</t>
  </si>
  <si>
    <t>Industry code 2</t>
  </si>
  <si>
    <t>Industry code 3</t>
  </si>
  <si>
    <t>Industry code 4</t>
  </si>
  <si>
    <t>Industry code 5</t>
  </si>
  <si>
    <t>Currency of sales figure</t>
  </si>
  <si>
    <t>Year For Which Sales are Given</t>
  </si>
  <si>
    <t>Yearly number of employees</t>
  </si>
  <si>
    <t>Year for which the number of employees is given</t>
  </si>
  <si>
    <t>Customer Sales Area Data &gt; Billing documents view for a standard SAP ECC 6.0 system</t>
  </si>
  <si>
    <t>Sales Org Name</t>
  </si>
  <si>
    <t>Distr Channel Name</t>
  </si>
  <si>
    <t>Division Name</t>
  </si>
  <si>
    <t>Subs Invoice processing</t>
  </si>
  <si>
    <t>Rebate</t>
  </si>
  <si>
    <t>Price determin</t>
  </si>
  <si>
    <t>InvoicingListDates</t>
  </si>
  <si>
    <t>Incoterms part 2</t>
  </si>
  <si>
    <t>Terms of payment description</t>
  </si>
  <si>
    <t>Country Name</t>
  </si>
  <si>
    <t>Tax Classification description</t>
  </si>
  <si>
    <t>Confirmed</t>
  </si>
  <si>
    <t>SAP.KNVV.VKORG</t>
  </si>
  <si>
    <t>SAP.TVKOT.VTEXT</t>
  </si>
  <si>
    <t>SAP.KNVV.VTWEG</t>
  </si>
  <si>
    <t>SAP.TVTWT.VTEXT</t>
  </si>
  <si>
    <t>SAP.KNVV.SPART</t>
  </si>
  <si>
    <t>SAP.TSPAT.VTEXT</t>
  </si>
  <si>
    <t>SAP.KNVV.MRNKZ</t>
  </si>
  <si>
    <t>SAP.KNVV.BOKRE</t>
  </si>
  <si>
    <t>SAP.KNVV.PRFRE</t>
  </si>
  <si>
    <t>SAP.KNVV.PERFK</t>
  </si>
  <si>
    <t>SAP.KNVV.PERRL</t>
  </si>
  <si>
    <t>SAP.KNVV.INCO1</t>
  </si>
  <si>
    <t>SAP.KNVV.INCO2</t>
  </si>
  <si>
    <t>SAP.KNVV.ZTERM</t>
  </si>
  <si>
    <t>SAP.TVZBT.VTEXT</t>
  </si>
  <si>
    <t>SAP.KNVV.KTGRD</t>
  </si>
  <si>
    <t>SAP.KNVI.ALAND</t>
  </si>
  <si>
    <t>SAP.T005T.LANDX</t>
  </si>
  <si>
    <t>SAP.KNVI.TATYP</t>
  </si>
  <si>
    <t>SAP.KNVI.TAXKD</t>
  </si>
  <si>
    <t>SAP.TSKDT.VTEXT</t>
  </si>
  <si>
    <t>SAP.KNVL.LICNR</t>
  </si>
  <si>
    <t>SAP.KNVL.BELIC</t>
  </si>
  <si>
    <t>SAP.KNVL.DATAB</t>
  </si>
  <si>
    <t>SAP.KNVL.DATBI</t>
  </si>
  <si>
    <t>MRNKZ</t>
  </si>
  <si>
    <t>BOKRE</t>
  </si>
  <si>
    <t>PRFRE</t>
  </si>
  <si>
    <t>PERFK</t>
  </si>
  <si>
    <t>PERRL</t>
  </si>
  <si>
    <t>INCO1</t>
  </si>
  <si>
    <t>INCO2</t>
  </si>
  <si>
    <t>KTGRD</t>
  </si>
  <si>
    <t>ALAND</t>
  </si>
  <si>
    <t>LANDX</t>
  </si>
  <si>
    <t>TATYP</t>
  </si>
  <si>
    <t>TAXKD</t>
  </si>
  <si>
    <t>LICNR</t>
  </si>
  <si>
    <t>BELIC</t>
  </si>
  <si>
    <t>DATAB</t>
  </si>
  <si>
    <t>DATBI</t>
  </si>
  <si>
    <t>Manual invoice maintenance</t>
  </si>
  <si>
    <t>Indicator: Customer Is Rebate-Relevant</t>
  </si>
  <si>
    <t>Relevant for price determination ID</t>
  </si>
  <si>
    <t>Invoice dates (calendar identification)</t>
  </si>
  <si>
    <t>Invoice list schedule (calendar identification)</t>
  </si>
  <si>
    <t>Incoterms (Part 1)</t>
  </si>
  <si>
    <t>Incoterms (Part 2)</t>
  </si>
  <si>
    <t>Description of terms of payment</t>
  </si>
  <si>
    <t>Account assignment group for this customer</t>
  </si>
  <si>
    <t>Departure country (country from which the goods are sent)</t>
  </si>
  <si>
    <t>Tax category (sales tax, federal sales tax,...)</t>
  </si>
  <si>
    <t>Tax classification for customer</t>
  </si>
  <si>
    <t>License number</t>
  </si>
  <si>
    <t>Confirmation for licenses</t>
  </si>
  <si>
    <t>Valid-From Date</t>
  </si>
  <si>
    <t>Valid To Date</t>
  </si>
  <si>
    <t>TSPAT</t>
  </si>
  <si>
    <t>KNVL</t>
  </si>
  <si>
    <t>KNVI</t>
  </si>
  <si>
    <t>TVKOT</t>
  </si>
  <si>
    <t>TVTWT</t>
  </si>
  <si>
    <t>TVZBT</t>
  </si>
  <si>
    <t>TSKDT</t>
  </si>
  <si>
    <t>T005T</t>
  </si>
  <si>
    <t>KNVV</t>
  </si>
  <si>
    <t>SAP.KNA1.KUNNR = SAP.KNVI.KUNNR</t>
  </si>
  <si>
    <t>SAP.KNA1.KUNNR = SAP.KNVV.KUNNR AND SAP.KNVI.KUNNR = SAP.KNVV.KUNNR</t>
  </si>
  <si>
    <t>SAP.KNA1.LAND1 = SAP.T005T.LAND1</t>
  </si>
  <si>
    <t>SAP.KNVI.TATYP = SAP.TSKDT.TATYP AND SAP.KNVI.TAXKD = SAP.TSKDT.TAXKD</t>
  </si>
  <si>
    <t>SAP.KNVV.SPART = SAP.TSPAT.SPART</t>
  </si>
  <si>
    <t>SAP.KNVV.VKORG = SAP.TVKOT.VKORG</t>
  </si>
  <si>
    <t>SAP.KNVV.VTWEG = SAP.TVTWT.VTWEG</t>
  </si>
  <si>
    <t>SAP.KNVV.ZTERM = SAP.TVZBT.ZTERM</t>
  </si>
  <si>
    <t>SAP.KNA1.KUNNR = SAP.KNVL.KUNNR AND SAP.KNVV.KUNNR = SAP.KNVL.KUNNR AND SAP.KNVI.KUNNR = SAP.KNVL.KUNNR AND SAP.KNVI.ALAND = SAP.KNVL.ALAND AND SAP.KNVI.TATYP = SAP.KNVL.TATYP AND SAP.TSKDT.TATYP = SAP.KNVL.TATYP</t>
  </si>
  <si>
    <t>SAP.KNA1.SPRAS = 'E'
AND SAP.T005T.SPRAS = 'E'
AND SAP.TSKDT.SPRAS = 'E'
AND SAP.TSPAT.SPRAS = 'E'
AND SAP.TVKOT.SPRAS = 'E'
AND SAP.TVTWT.SPRAS = 'E'
AND SAP.TVZBT.SPRAS = 'E'</t>
  </si>
  <si>
    <t>Customer &gt; Sales Area Data &gt; Partner Functions view for a standard SAP ECC 6.0 system</t>
  </si>
  <si>
    <t>Partner Function description</t>
  </si>
  <si>
    <t>Partner description</t>
  </si>
  <si>
    <t>Default</t>
  </si>
  <si>
    <t>SAP.KNVP.PARVW</t>
  </si>
  <si>
    <t>SAP.TPART.VTEXT</t>
  </si>
  <si>
    <t>SAP.KNVP.KNREF</t>
  </si>
  <si>
    <t>SAP.KNVP.DEFPA</t>
  </si>
  <si>
    <t>PARVW</t>
  </si>
  <si>
    <t>KNREF</t>
  </si>
  <si>
    <t>DEFPA</t>
  </si>
  <si>
    <t>Customer description of partner (plant, storage location)</t>
  </si>
  <si>
    <t>Default Partner</t>
  </si>
  <si>
    <t>TPART</t>
  </si>
  <si>
    <t>KNVP</t>
  </si>
  <si>
    <t>SAP.KNA1.KUNNR = SAP.KNVV.KUNNR</t>
  </si>
  <si>
    <t>SAP.KNA1.KUNNR = SAP.KNVP.KUNNR AND SAP.KNVP.KUNNR = SAP.KNVV.KUNNR AND SAP.KNVP.SPART = SAP.KNVV.SPART AND SAP.KNVP.VKORG = SAP.KNVV.VKORG AND SAP.KNVP.VTWEG = SAP.KNVV.VTWEG</t>
  </si>
  <si>
    <t>SAP.KNVP.PARVW = SAP.TPART.PARVW</t>
  </si>
  <si>
    <t>SAP.KNVP.SPART = SAP.TSPAT.SPART AND SAP.KNVV.SPART = SAP.TSPAT.SPART</t>
  </si>
  <si>
    <t>SAP.KNVP.VKORG = SAP.TVKOT.VKORG AND SAP.KNVV.VKORG = SAP.TVKOT.VKORG</t>
  </si>
  <si>
    <t>SAP.KNVP.VTWEG = SAP.TVTWT.VTWEG AND SAP.KNVV.VTWEG = SAP.TVTWT.VTWEG</t>
  </si>
  <si>
    <t>SAP.KNA1.SPRAS = 'E'
AND SAP.TPART.SPRAS = 'E'
AND SAP.TSPAT.SPRAS = 'E'
AND SAP.TVKOT.SPRAS = 'E'
AND SAP.TVTWT.SPRAS = 'E'</t>
  </si>
  <si>
    <t>Customer &gt; Sales Area Data &gt; Sales view for a standard SAP ECC 6.0 system</t>
  </si>
  <si>
    <t>Order probab</t>
  </si>
  <si>
    <t>AuthorizGroup</t>
  </si>
  <si>
    <t>Item proposal</t>
  </si>
  <si>
    <t>ABC class</t>
  </si>
  <si>
    <t>Switch off rounding</t>
  </si>
  <si>
    <t>Cust pric proc description</t>
  </si>
  <si>
    <t>Relevant for agency business</t>
  </si>
  <si>
    <t>SAP.KNVV.BZIRK</t>
  </si>
  <si>
    <t>SAP.KNVV.AWAHR</t>
  </si>
  <si>
    <t>SAP.KNVV.VKBUR</t>
  </si>
  <si>
    <t>SAP.KNVV.VKGRP</t>
  </si>
  <si>
    <t>SAP.KNVV.VSORT</t>
  </si>
  <si>
    <t>SAP.KNVV.KDGRP</t>
  </si>
  <si>
    <t>SAP.KNVV.EIKTO</t>
  </si>
  <si>
    <t>SAP.KNVV.KLABC</t>
  </si>
  <si>
    <t>SAP.KNVV.MEGRU</t>
  </si>
  <si>
    <t>SAP.KNVV.WAERS</t>
  </si>
  <si>
    <t>SAP.KNVV.KURST</t>
  </si>
  <si>
    <t>SAP.KNVV.RDOFF</t>
  </si>
  <si>
    <t>SAP.KNVV.PVKSM</t>
  </si>
  <si>
    <t>SAP.KNVV.PRAT1</t>
  </si>
  <si>
    <t>SAP.KNVV.PRAT2</t>
  </si>
  <si>
    <t>SAP.KNVV.PRAT3</t>
  </si>
  <si>
    <t>SAP.KNVV.PRAT4</t>
  </si>
  <si>
    <t>SAP.KNVV.PRAT5</t>
  </si>
  <si>
    <t>SAP.KNVV.PRAT6</t>
  </si>
  <si>
    <t>SAP.KNVV.PRAT7</t>
  </si>
  <si>
    <t>SAP.KNVV.PRAT8</t>
  </si>
  <si>
    <t>SAP.KNVV.PRAT9</t>
  </si>
  <si>
    <t>SAP.KNVV.PRATA</t>
  </si>
  <si>
    <t>SAP.KNVV.KONDA</t>
  </si>
  <si>
    <t>SAP.KNVV.KALKS</t>
  </si>
  <si>
    <t>SAP.TVKDT.VTEXT</t>
  </si>
  <si>
    <t>SAP.KNVV.PLTYP</t>
  </si>
  <si>
    <t>SAP.KNVV.VERSG</t>
  </si>
  <si>
    <t>SAP.KNVV.AGREL</t>
  </si>
  <si>
    <t>BZIRK</t>
  </si>
  <si>
    <t>AWAHR</t>
  </si>
  <si>
    <t>VKBUR</t>
  </si>
  <si>
    <t>VKGRP</t>
  </si>
  <si>
    <t>VSORT</t>
  </si>
  <si>
    <t>KDGRP</t>
  </si>
  <si>
    <t>KLABC</t>
  </si>
  <si>
    <t>KURST</t>
  </si>
  <si>
    <t>RDOFF</t>
  </si>
  <si>
    <t>PVKSM</t>
  </si>
  <si>
    <t>KONDA</t>
  </si>
  <si>
    <t>KALKS</t>
  </si>
  <si>
    <t>PLTYP</t>
  </si>
  <si>
    <t>AGREL</t>
  </si>
  <si>
    <t>Sales district</t>
  </si>
  <si>
    <t>Order probability of the item</t>
  </si>
  <si>
    <t>Shipper's (Our) Account Number at the Customer or Vendor</t>
  </si>
  <si>
    <t>Customer classification (ABC analysis)</t>
  </si>
  <si>
    <t>Exchange Rate Type</t>
  </si>
  <si>
    <t>Switch off rounding?</t>
  </si>
  <si>
    <t>Customer procedure for product proposal</t>
  </si>
  <si>
    <t>Price group (customer)</t>
  </si>
  <si>
    <t>Pricing procedure assigned to this customer</t>
  </si>
  <si>
    <t>Price list type</t>
  </si>
  <si>
    <t>Customer Statistics Group</t>
  </si>
  <si>
    <t>Indicator: Relevant for agency business</t>
  </si>
  <si>
    <t>TVKDT</t>
  </si>
  <si>
    <t>SAP.KNVV.KALKS = SAP.TVKDT.KALKS</t>
  </si>
  <si>
    <t>SAP.KNA1.SPRAS = 'E'
AND SAP.TSPAT.SPRAS = 'E'
AND SAP.TVKDT.SPRAS = 'E'
AND SAP.TVKOT.SPRAS = 'E'
AND SAP.TVTWT.SPRAS = 'E'</t>
  </si>
  <si>
    <t>Customer &gt; Sales Area Data &gt; Shipping view for a standard SAP ECC 6.0 system</t>
  </si>
  <si>
    <t>Delivery priority</t>
  </si>
  <si>
    <t>Order Combination</t>
  </si>
  <si>
    <t>Shipping condition description</t>
  </si>
  <si>
    <t>Delivering plant</t>
  </si>
  <si>
    <t>POD Timeframe</t>
  </si>
  <si>
    <t>Complete delivery reqd by law</t>
  </si>
  <si>
    <t>Max partial deliveries</t>
  </si>
  <si>
    <t>Unlimited tol</t>
  </si>
  <si>
    <t>SAP.KNVV.LPRIO</t>
  </si>
  <si>
    <t>SAP.KNVV.KZAZU</t>
  </si>
  <si>
    <t>SAP.KNVV.VSBED</t>
  </si>
  <si>
    <t>SAP.TVSBT.VTEXT</t>
  </si>
  <si>
    <t>SAP.KNVV.VWERK</t>
  </si>
  <si>
    <t>SAP.KNVV.PODKZ</t>
  </si>
  <si>
    <t>SAP.KNVV.PODTG</t>
  </si>
  <si>
    <t>SAP.KNVV.AUTLF</t>
  </si>
  <si>
    <t>SAP.KNVV.KZTLF</t>
  </si>
  <si>
    <t>SAP.KNVV.ANTLF</t>
  </si>
  <si>
    <t>SAP.KNVV.UEBTK</t>
  </si>
  <si>
    <t>SAP.KNVV.UNTTO</t>
  </si>
  <si>
    <t>SAP.KNVV.UEBTO</t>
  </si>
  <si>
    <t>LPRIO</t>
  </si>
  <si>
    <t>KZAZU</t>
  </si>
  <si>
    <t>VSBED</t>
  </si>
  <si>
    <t>VWERK</t>
  </si>
  <si>
    <t>PODKZ</t>
  </si>
  <si>
    <t>PODTG</t>
  </si>
  <si>
    <t>AUTLF</t>
  </si>
  <si>
    <t>KZTLF</t>
  </si>
  <si>
    <t>ANTLF</t>
  </si>
  <si>
    <t>Delivery Priority</t>
  </si>
  <si>
    <t>Order Combination Indicator</t>
  </si>
  <si>
    <t>Shipping Conditions</t>
  </si>
  <si>
    <t>Description of the shipping conditions</t>
  </si>
  <si>
    <t>Relevant for POD processing</t>
  </si>
  <si>
    <t>Timeframe for Confirmation of POD</t>
  </si>
  <si>
    <t>Complete delivery defined for each sales order?</t>
  </si>
  <si>
    <t>Partial delivery at item level</t>
  </si>
  <si>
    <t>Maximum Number of Partial Deliveries Allowed Per Item</t>
  </si>
  <si>
    <t>Unlimited overdelivery allowed</t>
  </si>
  <si>
    <t>TVSBT</t>
  </si>
  <si>
    <t>SAP.KNVV.VSBED = SAP.TVSBT.VSBED</t>
  </si>
  <si>
    <t>SAP.KNA1.SPRAS = 'E'
AND SAP.TSPAT.SPRAS = 'E'
AND SAP.TVKOT.SPRAS = 'E'
AND SAP.TVSBT.SPRAS = 'E'
AND SAP.TVTWT.SPRAS = 'E'</t>
  </si>
  <si>
    <t>Vendor Company Code Data &gt; Accounting information view for a standard SAP ECC 6.0 system</t>
  </si>
  <si>
    <t>Name of company code</t>
  </si>
  <si>
    <t>Subsidy indic</t>
  </si>
  <si>
    <t>Minority indic</t>
  </si>
  <si>
    <t>Certificatn date</t>
  </si>
  <si>
    <t>Exemption number</t>
  </si>
  <si>
    <t>WH tax country</t>
  </si>
  <si>
    <t>Valid until</t>
  </si>
  <si>
    <t>Recipient type</t>
  </si>
  <si>
    <t>Activity code</t>
  </si>
  <si>
    <t>Distr type</t>
  </si>
  <si>
    <t>SAP.LFA1.LIFNR</t>
  </si>
  <si>
    <t>SAP.LFA1.KTOKK</t>
  </si>
  <si>
    <t>SAP.LFA1.NAME1</t>
  </si>
  <si>
    <t>SAP.LFA1.ORT01</t>
  </si>
  <si>
    <t>SAP.LFB1.BUKRS</t>
  </si>
  <si>
    <t>SAP.LFB1.AKONT</t>
  </si>
  <si>
    <t>SAP.LFB1.ZUAWA</t>
  </si>
  <si>
    <t>SAP.LFB1.LNRZE</t>
  </si>
  <si>
    <t>SAP.LFB1.BLNKZ</t>
  </si>
  <si>
    <t>SAP.LFB1.BEGRU</t>
  </si>
  <si>
    <t>SAP.LFB1.FDGRV</t>
  </si>
  <si>
    <t>SAP.LFB1.FRGRP</t>
  </si>
  <si>
    <t>SAP.LFB1.MINDK</t>
  </si>
  <si>
    <t>SAP.LFB1.CERDT</t>
  </si>
  <si>
    <t>SAP.LFB1.VZSKZ</t>
  </si>
  <si>
    <t>SAP.LFB1.ZINDT</t>
  </si>
  <si>
    <t>SAP.LFB1.ZINRT</t>
  </si>
  <si>
    <t>SAP.LFB1.DATLZ</t>
  </si>
  <si>
    <t>SAP.LFB1.QSSKZ</t>
  </si>
  <si>
    <t>SAP.LFB1.QSZNR</t>
  </si>
  <si>
    <t>SAP.LFB1.QLAND</t>
  </si>
  <si>
    <t>SAP.LFB1.QSZDT</t>
  </si>
  <si>
    <t>SAP.LFB1.QSREC</t>
  </si>
  <si>
    <t>SAP.LFB1.QSBGR</t>
  </si>
  <si>
    <t>SAP.LFB1.ALTKN</t>
  </si>
  <si>
    <t>SAP.LFB1.PERNR</t>
  </si>
  <si>
    <t>SAP.LFB1.GRICD</t>
  </si>
  <si>
    <t>SAP.LFB1.GRIDT</t>
  </si>
  <si>
    <t>KTOKK</t>
  </si>
  <si>
    <t>LNRZE</t>
  </si>
  <si>
    <t>FRGRP</t>
  </si>
  <si>
    <t>MINDK</t>
  </si>
  <si>
    <t>CERDT</t>
  </si>
  <si>
    <t>QSSKZ</t>
  </si>
  <si>
    <t>QSZNR</t>
  </si>
  <si>
    <t>QLAND</t>
  </si>
  <si>
    <t>QSZDT</t>
  </si>
  <si>
    <t>QSREC</t>
  </si>
  <si>
    <t>QSBGR</t>
  </si>
  <si>
    <t>GRICD</t>
  </si>
  <si>
    <t>GRIDT</t>
  </si>
  <si>
    <t>Vendor account group</t>
  </si>
  <si>
    <t>Head office account number</t>
  </si>
  <si>
    <t>Release Approval Group</t>
  </si>
  <si>
    <t>Minority Indicators</t>
  </si>
  <si>
    <t>Certification date</t>
  </si>
  <si>
    <t>Withholding Tax Code</t>
  </si>
  <si>
    <t>Certificate Number of the Withholding Tax Exemption</t>
  </si>
  <si>
    <t>Withholding Tax Country Key</t>
  </si>
  <si>
    <t>Validity Date for Withholding Tax Exemption Certificate</t>
  </si>
  <si>
    <t>Vendor Recipient Type</t>
  </si>
  <si>
    <t>Authority for Exemption from Withholding Tax</t>
  </si>
  <si>
    <t>Activity Code for Gross Income Tax</t>
  </si>
  <si>
    <t>Distribution Type for Employment Tax</t>
  </si>
  <si>
    <t>LFA1</t>
  </si>
  <si>
    <t>LFB1</t>
  </si>
  <si>
    <t>SAP.LFA1.LIFNR = SAP.LFB1.LIFNR</t>
  </si>
  <si>
    <t>SAP.LFB1.BUKRS = SAP.T001.BUKRS</t>
  </si>
  <si>
    <t>Vendor Company Code Data &gt; Correspondence view for a standard SAP ECC 6.0 system</t>
  </si>
  <si>
    <t>Dunning area</t>
  </si>
  <si>
    <t>Local process</t>
  </si>
  <si>
    <t>Acc w vendor</t>
  </si>
  <si>
    <t>Clerk at vendor</t>
  </si>
  <si>
    <t>Clerks Fax</t>
  </si>
  <si>
    <t>SAP.LFB5.MAHNA</t>
  </si>
  <si>
    <t>SAP.LFB5.MANSP</t>
  </si>
  <si>
    <t>SAP.LFB5.LFRMA</t>
  </si>
  <si>
    <t>SAP.LFB5.GMVDT</t>
  </si>
  <si>
    <t>SAP.LFB5.MADAT</t>
  </si>
  <si>
    <t>SAP.LFB5.MAHNS</t>
  </si>
  <si>
    <t>SAP.LFB5.BUSAB</t>
  </si>
  <si>
    <t>SAP.LFB1.MGRUP</t>
  </si>
  <si>
    <t>SAP.LFB5.MABER</t>
  </si>
  <si>
    <t>SAP.LFB1.XDEZV</t>
  </si>
  <si>
    <t>SAP.LFB1.BUSAB</t>
  </si>
  <si>
    <t>SAP.LFB1.XAUSZ</t>
  </si>
  <si>
    <t>SAP.LFB1.EIKTO</t>
  </si>
  <si>
    <t>SAP.LFB1.ZSABE</t>
  </si>
  <si>
    <t>SAP.LFB1.TLFNS</t>
  </si>
  <si>
    <t>SAP.LFB1.TLFXS</t>
  </si>
  <si>
    <t>SAP.LFB1.INTAD</t>
  </si>
  <si>
    <t>SAP.LFB1.KVERM</t>
  </si>
  <si>
    <t>LFRMA</t>
  </si>
  <si>
    <t>MABER</t>
  </si>
  <si>
    <t>Dunning Area</t>
  </si>
  <si>
    <t>Our account number with the vendor</t>
  </si>
  <si>
    <t>LFB5</t>
  </si>
  <si>
    <t>SAP.LFB5.BUKRS = SAP.T001.BUKRS</t>
  </si>
  <si>
    <t>SAP.LFB5.LIFNR = SAP.LFB1.LIFNR AND SAP.LFB5.BUKRS = SAP.LFB1.BUKRS AND SAP.T001.BUKRS = SAP.LFB1.BUKRS</t>
  </si>
  <si>
    <t>SAP.LFB5.LIFNR = SAP.LFA1.LIFNR AND SAP.LFB1.LIFNR = SAP.LFA1.LIFNR</t>
  </si>
  <si>
    <t>Vendor Company Code Data &gt; Payment Transactions view for a standard SAP ECC 6.0 system</t>
  </si>
  <si>
    <t>Cr memo terms</t>
  </si>
  <si>
    <t>Chk double inv</t>
  </si>
  <si>
    <t>Chk cashing time</t>
  </si>
  <si>
    <t>Alternative Payee</t>
  </si>
  <si>
    <t>Bill of exchange limit</t>
  </si>
  <si>
    <t>Individual pmnt</t>
  </si>
  <si>
    <t>Alt payee</t>
  </si>
  <si>
    <t>Tolerance group for invoice</t>
  </si>
  <si>
    <t>SAP.LFB1.ZTERM</t>
  </si>
  <si>
    <t>SAP.LFB1.TOGRU</t>
  </si>
  <si>
    <t>SAP.LFB1.GUZTE</t>
  </si>
  <si>
    <t>SAP.LFB1.REPRF</t>
  </si>
  <si>
    <t>SAP.LFB1.KULTG</t>
  </si>
  <si>
    <t>SAP.LFB1.ZWELS</t>
  </si>
  <si>
    <t>SAP.LFB1.ZAHLS</t>
  </si>
  <si>
    <t>SAP.LFB1.LNRZB</t>
  </si>
  <si>
    <t>SAP.LFB1.HBKID</t>
  </si>
  <si>
    <t>SAP.LFB1.WEBTR</t>
  </si>
  <si>
    <t>SAP.LFB1.ZGRUP</t>
  </si>
  <si>
    <t>SAP.LFB1.XPORE</t>
  </si>
  <si>
    <t>SAP.LFB1.XEDIP</t>
  </si>
  <si>
    <t>SAP.LFB1.XLFZB</t>
  </si>
  <si>
    <t>SAP.LFZA.EMPFK</t>
  </si>
  <si>
    <t>SAP.LFB1.TOGRR</t>
  </si>
  <si>
    <t>GUZTE</t>
  </si>
  <si>
    <t>REPRF</t>
  </si>
  <si>
    <t>LNRZB</t>
  </si>
  <si>
    <t>XLFZB</t>
  </si>
  <si>
    <t>EMPFK</t>
  </si>
  <si>
    <t>TOGRR</t>
  </si>
  <si>
    <t>Payment Terms Key for Credit Memos</t>
  </si>
  <si>
    <t>Check Flag for Double Invoices or Credit Memos</t>
  </si>
  <si>
    <t>Account number of the alternative payee</t>
  </si>
  <si>
    <t>Indicator: Alternative payee using account number</t>
  </si>
  <si>
    <t>Vendor Permitted as Payee</t>
  </si>
  <si>
    <t>Tolerance group; Invoice Verification</t>
  </si>
  <si>
    <t>LFZA</t>
  </si>
  <si>
    <t>SAP.LFA1.LIFNR = SAP.LFZA.LIFNR AND SAP.LFB1.BUKRS = SAP.LFZA.BUKRS AND SAP.LFB1.LIFNR = SAP.LFZA.LIFNR</t>
  </si>
  <si>
    <t>SAP.LFB1.BUKRS = SAP.T001.BUKRS AND SAP.LFZA.BUKRS = SAP.T001.BUKRS</t>
  </si>
  <si>
    <t>Vendor General Data &gt; Address view for a standard SAP ECC 6.0 system</t>
  </si>
  <si>
    <t>Name 3</t>
  </si>
  <si>
    <t>Name 4</t>
  </si>
  <si>
    <t>Search Term 2</t>
  </si>
  <si>
    <t>Other city</t>
  </si>
  <si>
    <t>Data line</t>
  </si>
  <si>
    <t>SAP.LFA1.ANRED</t>
  </si>
  <si>
    <t>SAP.LFA1.NAME2</t>
  </si>
  <si>
    <t>SAP.LFA1.NAME3</t>
  </si>
  <si>
    <t>SAP.LFA1.NAME4</t>
  </si>
  <si>
    <t>SAP.LFA1.MCOD1</t>
  </si>
  <si>
    <t>SAP.LFA1.MCOD2</t>
  </si>
  <si>
    <t>SAP.LFA1.STRAS</t>
  </si>
  <si>
    <t>SAP.LFA1.ORT02</t>
  </si>
  <si>
    <t>SAP.LFA1.PSTLZ</t>
  </si>
  <si>
    <t>SAP.LFA1.LAND1</t>
  </si>
  <si>
    <t>SAP.LFA1.REGIO</t>
  </si>
  <si>
    <t>SAP.LFA1.LZONE</t>
  </si>
  <si>
    <t>SAP.LFA1.TXJCD</t>
  </si>
  <si>
    <t>SAP.LFA1.PFACH</t>
  </si>
  <si>
    <t>SAP.LFA1.PSTL2</t>
  </si>
  <si>
    <t>SAP.LFA1.PFORT</t>
  </si>
  <si>
    <t>SAP.LFA1.SPRAS</t>
  </si>
  <si>
    <t>SAP.LFA1.TELF1</t>
  </si>
  <si>
    <t>SAP.LFA1.TELFX</t>
  </si>
  <si>
    <t>SAP.LFA1.DATLT</t>
  </si>
  <si>
    <t>SAP.LFA1.TELBX</t>
  </si>
  <si>
    <t>NAME3</t>
  </si>
  <si>
    <t>NAME4</t>
  </si>
  <si>
    <t>MCOD1</t>
  </si>
  <si>
    <t>MCOD2</t>
  </si>
  <si>
    <t>PFORT</t>
  </si>
  <si>
    <t>Search term for matchcode search</t>
  </si>
  <si>
    <t>PO Box city</t>
  </si>
  <si>
    <t>Vendor General Data &gt; Contact Person view for a standard SAP ECC 6.0 system. Visiting hours related fields have not been included for simplicity and can be added as provided in the related documentation.</t>
  </si>
  <si>
    <t>Name 1 of address</t>
  </si>
  <si>
    <t>Contact person number</t>
  </si>
  <si>
    <t>Date of birth</t>
  </si>
  <si>
    <t>Notes</t>
  </si>
  <si>
    <t>SAP.KNVK.ANRED</t>
  </si>
  <si>
    <t>SAP.KNVK.PARNR</t>
  </si>
  <si>
    <t>SAP.KNVK.PAVIP</t>
  </si>
  <si>
    <t>SAP.KNVK.PARGE</t>
  </si>
  <si>
    <t>SAP.KNVK.FAMST</t>
  </si>
  <si>
    <t>SAP.LFA1.GBDAT</t>
  </si>
  <si>
    <t>SAP.KNVK.PARVO</t>
  </si>
  <si>
    <t>SAP.KNVK.BRYTH</t>
  </si>
  <si>
    <t>SAP.KNVK.AKVER</t>
  </si>
  <si>
    <t>SAP.KNVK.PARAU</t>
  </si>
  <si>
    <t>PARNR</t>
  </si>
  <si>
    <t>PAVIP</t>
  </si>
  <si>
    <t>PARGE</t>
  </si>
  <si>
    <t>FAMST</t>
  </si>
  <si>
    <t>GBDAT</t>
  </si>
  <si>
    <t>PARVO</t>
  </si>
  <si>
    <t>BRYTH</t>
  </si>
  <si>
    <t>AKVER</t>
  </si>
  <si>
    <t>PARAU</t>
  </si>
  <si>
    <t>Form of address for contact person (Mr, Mrs...etc)</t>
  </si>
  <si>
    <t>Number of contact person</t>
  </si>
  <si>
    <t>VIP Partner</t>
  </si>
  <si>
    <t>Partner's gender</t>
  </si>
  <si>
    <t>Marital Status Key</t>
  </si>
  <si>
    <t>Date of birth of the person subject to withholding tax</t>
  </si>
  <si>
    <t>Partner's Authority</t>
  </si>
  <si>
    <t>Notes about contact person</t>
  </si>
  <si>
    <t>SAP.TPFKT.PAFKT = SAP.KNVK.PAFKT</t>
  </si>
  <si>
    <t>SAP.KNVK.LIFNR = SAP.LFA1.LIFNR</t>
  </si>
  <si>
    <t>Vendor General Data &gt; Control view for a standard SAP ECC 6.0 system</t>
  </si>
  <si>
    <t>Tax type</t>
  </si>
  <si>
    <t>Sole Proprietr</t>
  </si>
  <si>
    <t>Tax Number 3</t>
  </si>
  <si>
    <t>Sales or Pur tax</t>
  </si>
  <si>
    <t>Tax Number 4</t>
  </si>
  <si>
    <t>Tax split</t>
  </si>
  <si>
    <t>Tax office</t>
  </si>
  <si>
    <t>Tax number</t>
  </si>
  <si>
    <t>VAT registration no</t>
  </si>
  <si>
    <t>SCAC</t>
  </si>
  <si>
    <t>QM system to</t>
  </si>
  <si>
    <t>Place of birth</t>
  </si>
  <si>
    <t>Profession</t>
  </si>
  <si>
    <t>SAP.LFA1.KUNNR</t>
  </si>
  <si>
    <t>SAP.LFA1.BEGRU</t>
  </si>
  <si>
    <t>SAP.LFA1.VBUND</t>
  </si>
  <si>
    <t>SAP.LFA1.KONZS</t>
  </si>
  <si>
    <t>SAP.LFA1.STCD1</t>
  </si>
  <si>
    <t>SAP.LFA1.STCDT</t>
  </si>
  <si>
    <t>SAP.LFA1.STKZA</t>
  </si>
  <si>
    <t>SAP.LFA1.STCD2</t>
  </si>
  <si>
    <t>SAP.LFA1.FITYP</t>
  </si>
  <si>
    <t>SAP.LFA1.STKZN</t>
  </si>
  <si>
    <t>SAP.LFA1.STCD3</t>
  </si>
  <si>
    <t>SAP.LFA1.STKZU</t>
  </si>
  <si>
    <t>SAP.LFA1.STCD4</t>
  </si>
  <si>
    <t>SAP.LFA1.IPISP</t>
  </si>
  <si>
    <t>SAP.LFA1.FISKN</t>
  </si>
  <si>
    <t>SAP.LFA1.STCEG</t>
  </si>
  <si>
    <t>SAP.LFA1.FISKU</t>
  </si>
  <si>
    <t>SAP.LFA1.STENR</t>
  </si>
  <si>
    <t>SAP.LFAS.LAND1</t>
  </si>
  <si>
    <t>SAP.LFAS.STCEG</t>
  </si>
  <si>
    <t>SAP.LFA1.BBBNR</t>
  </si>
  <si>
    <t>SAP.LFA1.BBSNR</t>
  </si>
  <si>
    <t>SAP.LFA1.BUBKZ</t>
  </si>
  <si>
    <t>SAP.LFA1.BRSCH</t>
  </si>
  <si>
    <t>SAP.LFA1.BAHNS</t>
  </si>
  <si>
    <t>SAP.LFA1.SCACD</t>
  </si>
  <si>
    <t>SAP.LFA1.SFRGR</t>
  </si>
  <si>
    <t>SAP.LFA1.DLGRP</t>
  </si>
  <si>
    <t>SAP.LFA1.PODKZB</t>
  </si>
  <si>
    <t>SAP.LFA1.QSSYS</t>
  </si>
  <si>
    <t>SAP.LFA1.QSSYSDAT</t>
  </si>
  <si>
    <t>SAP.LFA1.GBORT</t>
  </si>
  <si>
    <t>SAP.LFA1.SEXKZ</t>
  </si>
  <si>
    <t>SAP.LFA1.PROFS</t>
  </si>
  <si>
    <t>STCDT</t>
  </si>
  <si>
    <t>FITYP</t>
  </si>
  <si>
    <t>STCD3</t>
  </si>
  <si>
    <t>STCD4</t>
  </si>
  <si>
    <t>IPISP</t>
  </si>
  <si>
    <t>FISKU</t>
  </si>
  <si>
    <t>STENR</t>
  </si>
  <si>
    <t>SCACD</t>
  </si>
  <si>
    <t>SFRGR</t>
  </si>
  <si>
    <t>DLGRP</t>
  </si>
  <si>
    <t>PODKZB</t>
  </si>
  <si>
    <t>QSSYSDAT</t>
  </si>
  <si>
    <t>GBORT</t>
  </si>
  <si>
    <t>SEXKZ</t>
  </si>
  <si>
    <t>PROFS</t>
  </si>
  <si>
    <t>Tax Number Type</t>
  </si>
  <si>
    <t>Tax Split</t>
  </si>
  <si>
    <t>Account number of the master record with fiscal address</t>
  </si>
  <si>
    <t>Account Number of Master Record of Tax Office Responsible</t>
  </si>
  <si>
    <t>Tax Number at Responsible Tax Authority</t>
  </si>
  <si>
    <t>Standard carrier access code</t>
  </si>
  <si>
    <t>Forwarding agent freight group</t>
  </si>
  <si>
    <t>Service agent procedure group</t>
  </si>
  <si>
    <t>Vendor indicator relevant for proof of delivery</t>
  </si>
  <si>
    <t>Vendor's QM system</t>
  </si>
  <si>
    <t>Validity date of certification</t>
  </si>
  <si>
    <t>Place of birth of the person subject to withholding tax</t>
  </si>
  <si>
    <t>Key for the Sex of the Person Subject to Withholding Tax</t>
  </si>
  <si>
    <t>LFAS</t>
  </si>
  <si>
    <t>SAP.LFAS.LIFNR = SAP.LFA1.LIFNR</t>
  </si>
  <si>
    <t>Vendor General Data &gt; Payment Transactions view for a standard SAP ECC 6.0 system</t>
  </si>
  <si>
    <t>IBAN</t>
  </si>
  <si>
    <t>Bank type</t>
  </si>
  <si>
    <t>Reference details</t>
  </si>
  <si>
    <t>Bank city</t>
  </si>
  <si>
    <t>Bank branch</t>
  </si>
  <si>
    <t>SWIFT Code</t>
  </si>
  <si>
    <t>Alternative payee</t>
  </si>
  <si>
    <t>ISR Number</t>
  </si>
  <si>
    <t>Individual spec</t>
  </si>
  <si>
    <t>Spec per reference</t>
  </si>
  <si>
    <t>SAP.LFBK.BANKS</t>
  </si>
  <si>
    <t>SAP.LFBK.BANKL</t>
  </si>
  <si>
    <t>SAP.LFBK.BANKN</t>
  </si>
  <si>
    <t>SAP.LFBK.KOINH</t>
  </si>
  <si>
    <t>SAP.LFBK.BKONT</t>
  </si>
  <si>
    <t>SAP.TIBAN.IBAN</t>
  </si>
  <si>
    <t>SAP.LFBK.BVTYP</t>
  </si>
  <si>
    <t>SAP.LFBK.BKREF</t>
  </si>
  <si>
    <t>SAP.LFBK.XEZER</t>
  </si>
  <si>
    <t>SAP.LFA1.LNRZA</t>
  </si>
  <si>
    <t>SAP.LFA1.DTAMS</t>
  </si>
  <si>
    <t>SAP.LFA1.DTAWS</t>
  </si>
  <si>
    <t>SAP.LFA1.ESRNR</t>
  </si>
  <si>
    <t>SAP.LFA1.XZEMP</t>
  </si>
  <si>
    <t>SAP.LFA1.XLFZA</t>
  </si>
  <si>
    <t>LNRZA</t>
  </si>
  <si>
    <t>DTAMS</t>
  </si>
  <si>
    <t>DTAWS</t>
  </si>
  <si>
    <t>ESRNR</t>
  </si>
  <si>
    <t>XLFZA</t>
  </si>
  <si>
    <t>IBAN (International Bank Account Number)</t>
  </si>
  <si>
    <t>Account Number of the Alternative Payee</t>
  </si>
  <si>
    <t>Indicator for Data Medium Exchange</t>
  </si>
  <si>
    <t>Instruction key for data medium exchange</t>
  </si>
  <si>
    <t>ISR Subscriber Number</t>
  </si>
  <si>
    <t>Indicator: Alternative payee in document allowed ?</t>
  </si>
  <si>
    <t>TIBAN</t>
  </si>
  <si>
    <t>LFBK</t>
  </si>
  <si>
    <t>SAP.BNKA.BANKL = SAP.LFBK.BANKL AND SAP.BNKA.BANKS = SAP.LFBK.BANKS AND SAP.BNKA.MANDT = SAP.LFBK.MANDT</t>
  </si>
  <si>
    <t>SAP.BNKA.BANKL = SAP.TIBAN.BANKL AND SAP.BNKA.BANKS = SAP.TIBAN.BANKS AND SAP.BNKA.MANDT = SAP.TIBAN.MANDT AND SAP.LFBK.BANKL = SAP.TIBAN.BANKL AND SAP.LFBK.BANKN = SAP.TIBAN.BANKN AND SAP.LFBK.BANKS = SAP.TIBAN.BANKS AND SAP.LFBK.BKONT = SAP.TIBAN.BKONT AND SAP.LFBK.MANDT = SAP.TIBAN.MANDT</t>
  </si>
  <si>
    <t>SAP.BNKA.MANDT = SAP.LFZA.MANDT AND SAP.LFBK.LIFNR = SAP.LFZA.LIFNR AND SAP.LFBK.MANDT = SAP.LFZA.MANDT AND SAP.LFZA.MANDT = SAP.TIBAN.MANDT</t>
  </si>
  <si>
    <t>SAP.BNKA.MANDT = SAP.LFA1.MANDT AND SAP.LFA1.LIFNR = SAP.LFBK.LIFNR AND SAP.LFA1.LIFNR = SAP.LFZA.LIFNR AND SAP.LFA1.MANDT = SAP.LFBK.MANDT AND SAP.LFA1.MANDT = SAP.LFZA.MANDT AND SAP.LFA1.MANDT = SAP.TIBAN.MANDT</t>
  </si>
  <si>
    <t>Vendor Purchasing Organization data &gt; Partner Functions view for a standard SAP ECC 6.0 system.</t>
  </si>
  <si>
    <t>Purchasing Organization</t>
  </si>
  <si>
    <t>Description of Purchasing org</t>
  </si>
  <si>
    <t>SAP.LFM1.EKORG</t>
  </si>
  <si>
    <t>SAP.T024E.EKOTX</t>
  </si>
  <si>
    <t>SAP.WYT3.PARVW</t>
  </si>
  <si>
    <t>SAP.WYT3.DEFPA</t>
  </si>
  <si>
    <t>EKORG</t>
  </si>
  <si>
    <t>EKOTX</t>
  </si>
  <si>
    <t>Description of Purchasing Organization</t>
  </si>
  <si>
    <t>WYT3</t>
  </si>
  <si>
    <t>LFM1</t>
  </si>
  <si>
    <t>T024E</t>
  </si>
  <si>
    <t>SAP.LFA1.LIFNR = SAP.WYT3.LIFNR AND SAP.LFA1.WERKS = SAP.WYT3.WERKS</t>
  </si>
  <si>
    <t>SAP.LFA1.LIFNR = SAP.LFM1.LIFNR AND SAP.LFM1.EKORG = SAP.WYT3.EKORG AND SAP.LFM1.LIFNR = SAP.WYT3.LIFNR</t>
  </si>
  <si>
    <t>SAP.LFA1.SPRAS = SAP.TPART.SPRAS AND SAP.TPART.PARVW = SAP.WYT3.PARVW</t>
  </si>
  <si>
    <t>SAP.LFM1.EKORG = SAP.T024E.EKORG AND SAP.T024E.EKORG = SAP.WYT3.EKORG</t>
  </si>
  <si>
    <t>Vendor Purchasing Organization Data &gt; Purchasing view for a standard SAP ECC 6.0 system</t>
  </si>
  <si>
    <t>Description of Purchasing Org</t>
  </si>
  <si>
    <t>Incoterms 2</t>
  </si>
  <si>
    <t>Minimum order value</t>
  </si>
  <si>
    <t>Salesperson</t>
  </si>
  <si>
    <t>Acc with vendor</t>
  </si>
  <si>
    <t>GR Based Inv Verif</t>
  </si>
  <si>
    <t>AutoEvalGRSetmt Del</t>
  </si>
  <si>
    <t>ModeOfTrnsprt Border</t>
  </si>
  <si>
    <t>AutoEvalGRSetmt Ret</t>
  </si>
  <si>
    <t>Acknoweldgement Reqd</t>
  </si>
  <si>
    <t>Automatic purchase order</t>
  </si>
  <si>
    <t>Subsequent settlement</t>
  </si>
  <si>
    <t>Revaluation allowed</t>
  </si>
  <si>
    <t>Subseq Sett Index</t>
  </si>
  <si>
    <t>Grant discount in kind</t>
  </si>
  <si>
    <t>B Vol comp or Ag nec</t>
  </si>
  <si>
    <t>Relevant for Price det</t>
  </si>
  <si>
    <t>Doc Index active</t>
  </si>
  <si>
    <t>Returns vendor</t>
  </si>
  <si>
    <t>Srv Based Inv Ver</t>
  </si>
  <si>
    <t>Planned deliv time</t>
  </si>
  <si>
    <t>Rack jobbing service agreed</t>
  </si>
  <si>
    <t>Order entry by vendor</t>
  </si>
  <si>
    <t>Serv Level</t>
  </si>
  <si>
    <t>SAP.LFM1.WAERS</t>
  </si>
  <si>
    <t>SAP.LFM1.ZTERM</t>
  </si>
  <si>
    <t>SAP.LFM1.INCO1</t>
  </si>
  <si>
    <t>SAP.LFM1.INCO2</t>
  </si>
  <si>
    <t>SAP.LFM1.MINBW</t>
  </si>
  <si>
    <t>SAP.LFM1.KALSK</t>
  </si>
  <si>
    <t>SAP.LFM1.MEPRF</t>
  </si>
  <si>
    <t>SAP.LFM1.BOPNR</t>
  </si>
  <si>
    <t>SAP.LFM1.VERKF</t>
  </si>
  <si>
    <t>SAP.LFM1.TELF1</t>
  </si>
  <si>
    <t>SAP.LFM1.EIKTO</t>
  </si>
  <si>
    <t>SAP.LFM1.WEBRE</t>
  </si>
  <si>
    <t>SAP.LFM1.LFABC</t>
  </si>
  <si>
    <t>SAP.LFM1.XERSY</t>
  </si>
  <si>
    <t>SAP.LFM1.EXPVZ</t>
  </si>
  <si>
    <t>SAP.LFM1.XERSR</t>
  </si>
  <si>
    <t>SAP.LFM1.ZOLLA</t>
  </si>
  <si>
    <t>SAP.LFM1.KZABS</t>
  </si>
  <si>
    <t>SAP.LFM1.SKRIT</t>
  </si>
  <si>
    <t>SAP.LFM1.KZAUT</t>
  </si>
  <si>
    <t>SAP.LFM1.PAPRF</t>
  </si>
  <si>
    <t>SAP.LFM1.BOLRE</t>
  </si>
  <si>
    <t>SAP.LFM1.XNBWY</t>
  </si>
  <si>
    <t>SAP.LFM1.BOIND</t>
  </si>
  <si>
    <t>SAP.LFM1.NRGEW</t>
  </si>
  <si>
    <t>SAP.LFM1.UMSAE</t>
  </si>
  <si>
    <t>SAP.LFM1.PRFRE</t>
  </si>
  <si>
    <t>SAP.LFM1.BLIND</t>
  </si>
  <si>
    <t>SAP.LFM1.AGREL</t>
  </si>
  <si>
    <t>SAP.LFM1.KZRET</t>
  </si>
  <si>
    <t>SAP.LFM1.LEBRE</t>
  </si>
  <si>
    <t>SAP.LFM1.VSBED</t>
  </si>
  <si>
    <t>SAP.LFM1.EKGRP</t>
  </si>
  <si>
    <t>SAP.LFM1.PLIFZ</t>
  </si>
  <si>
    <t>SAP.LFM1.BSTAE</t>
  </si>
  <si>
    <t>SAP.LFM1.MEGRU</t>
  </si>
  <si>
    <t>SAP.LFM1.RDPRF</t>
  </si>
  <si>
    <t>SAP.LFM1.LIPRE</t>
  </si>
  <si>
    <t>SAP.LFM1.LISER</t>
  </si>
  <si>
    <t>SAP.LFM1.LIBES</t>
  </si>
  <si>
    <t>SAP.LFM1.VENSL</t>
  </si>
  <si>
    <t>MINBW</t>
  </si>
  <si>
    <t>KALSK</t>
  </si>
  <si>
    <t>MEPRF</t>
  </si>
  <si>
    <t>BOPNR</t>
  </si>
  <si>
    <t>VERKF</t>
  </si>
  <si>
    <t>WEBRE</t>
  </si>
  <si>
    <t>LFABC</t>
  </si>
  <si>
    <t>XERSY</t>
  </si>
  <si>
    <t>EXPVZ</t>
  </si>
  <si>
    <t>XERSR</t>
  </si>
  <si>
    <t>ZOLLA</t>
  </si>
  <si>
    <t>SKRIT</t>
  </si>
  <si>
    <t>KZAUT</t>
  </si>
  <si>
    <t>PAPRF</t>
  </si>
  <si>
    <t>BOLRE</t>
  </si>
  <si>
    <t>XNBWY</t>
  </si>
  <si>
    <t>BOIND</t>
  </si>
  <si>
    <t>NRGEW</t>
  </si>
  <si>
    <t>UMSAE</t>
  </si>
  <si>
    <t>BLIND</t>
  </si>
  <si>
    <t>KZRET</t>
  </si>
  <si>
    <t>LEBRE</t>
  </si>
  <si>
    <t>BSTAE</t>
  </si>
  <si>
    <t>LIPRE</t>
  </si>
  <si>
    <t>LISER</t>
  </si>
  <si>
    <t>LIBES</t>
  </si>
  <si>
    <t>VENSL</t>
  </si>
  <si>
    <t>Purchase order currency</t>
  </si>
  <si>
    <t>Group for Calculation Schema (Vendor)</t>
  </si>
  <si>
    <t>Price Determination (Pricing) Date Control</t>
  </si>
  <si>
    <t>Restriction Profile for PO-Based Load Building</t>
  </si>
  <si>
    <t>Responsible Salesperson at Vendor's Office</t>
  </si>
  <si>
    <t>Vendor's telephone number</t>
  </si>
  <si>
    <t>Indicator: GR-Based Invoice Verification</t>
  </si>
  <si>
    <t>ABC indicator</t>
  </si>
  <si>
    <t>Evaluated Receipt Settlement (ERS)</t>
  </si>
  <si>
    <t>Mode of Transport for Foreign Trade</t>
  </si>
  <si>
    <t>Automatic evaluated receipt settlement for return items</t>
  </si>
  <si>
    <t>Customs Office: Office of Exit/Entry for Foreign Trade</t>
  </si>
  <si>
    <t>Vendor sort criterion for materials</t>
  </si>
  <si>
    <t>Automatic Generation of Purchase Order Allowed</t>
  </si>
  <si>
    <t>Profile for transferring material data via IDoc PROACT</t>
  </si>
  <si>
    <t>Indicator: vendor subject to subseq. settlement accounting</t>
  </si>
  <si>
    <t>Indicator: index compilation for subseq. settlement active</t>
  </si>
  <si>
    <t>Indicator whether discount in kind granted</t>
  </si>
  <si>
    <t>Comparison/agreement of business volumes necessary</t>
  </si>
  <si>
    <t>Indicator: "relev. to price determination (vend. hierarchy)</t>
  </si>
  <si>
    <t>Indicator: Doc. index compilation active for purchase orders</t>
  </si>
  <si>
    <t>Indicates whether vendor is returns vendor</t>
  </si>
  <si>
    <t>Indicator for Service-Based Invoice Verification</t>
  </si>
  <si>
    <t>Confirmation Control Key</t>
  </si>
  <si>
    <t>Price marking, vendor</t>
  </si>
  <si>
    <t>Rack-jobbing: vendor</t>
  </si>
  <si>
    <t>Vendor service level</t>
  </si>
  <si>
    <t>SAP.LFA1.LIFNR = SAP.LFM1.LIFNR</t>
  </si>
  <si>
    <t>SAP.LFM1.EKORG = SAP.T024E.EKORG</t>
  </si>
  <si>
    <t>Rule Name</t>
  </si>
  <si>
    <t>Rule Desciption</t>
  </si>
  <si>
    <t>Rule Expression</t>
  </si>
  <si>
    <t>Attribute</t>
  </si>
  <si>
    <t>Attribute Parameter (IS Internal)</t>
  </si>
  <si>
    <t>View Name (IS Internal)</t>
  </si>
  <si>
    <t>View Description</t>
  </si>
  <si>
    <t>Nullable Attribute</t>
  </si>
  <si>
    <t>Attribute Description</t>
  </si>
  <si>
    <t>SAP Table.AttributeName</t>
  </si>
  <si>
    <t>Attribute Name</t>
  </si>
  <si>
    <t>Attribute Description2</t>
  </si>
  <si>
    <t>Data Type</t>
  </si>
  <si>
    <t>Length</t>
  </si>
  <si>
    <t>Precision</t>
  </si>
  <si>
    <t>Scale</t>
  </si>
  <si>
    <t>Table Name</t>
  </si>
  <si>
    <t>Connection Name</t>
  </si>
  <si>
    <t>Join Type</t>
  </si>
  <si>
    <t>Join Expression</t>
  </si>
  <si>
    <t>Filter expression</t>
  </si>
  <si>
    <t>Address</t>
  </si>
  <si>
    <t>Email</t>
  </si>
  <si>
    <t>Phone</t>
  </si>
  <si>
    <t>Bank</t>
  </si>
  <si>
    <t>Tax</t>
  </si>
  <si>
    <t>Src</t>
  </si>
  <si>
    <t>IS_RDS</t>
  </si>
  <si>
    <t>To check if the Valuation Class exists in table T025</t>
  </si>
  <si>
    <t>THIS RULE IS FOR RECON ACCOUNT IN VENDOR MASTER.</t>
  </si>
  <si>
    <t>This rule can use where no special charqacter required.</t>
  </si>
  <si>
    <t>Purchasing groups must be part of T024  table</t>
  </si>
  <si>
    <t>THIS RULE IS PRODUCTION STORAGE LOCATION</t>
  </si>
  <si>
    <t>THIS RULE CHECK THAT MATERIAL NUMBER SHOULD BE NULL</t>
  </si>
  <si>
    <t>THIS RULE CHECK IF TAX CLASSIFICATION IS WITHIN TAX CLASSIFICATION LIST (TSKM)</t>
  </si>
  <si>
    <t>USE FOR COUNTRY</t>
  </si>
  <si>
    <t>THIS RULE CHECK IF SALES ORG IS WITHIN SALES ORG LIST (TVKO)</t>
  </si>
  <si>
    <t>ONLY VALUES LISTED IN TPAR TO BE SELECTED FROM PARTNER FUNCTION LIST</t>
  </si>
  <si>
    <t>Quota arragement number should be blank</t>
  </si>
  <si>
    <t>THIS RULE CHECK IF PLANT IS WITHIN PLANT LIST (T001W)
in this we used T00W_1 table for lookup</t>
  </si>
  <si>
    <t>THIS RULE CHECK MATERIAL TYPE IS WITHIN FOLLOWING LIST:
ROH, ERSA, PIPE, UNBW, NLAG &amp; FHMI</t>
  </si>
  <si>
    <t>Order unit must be part of T006A  table</t>
  </si>
  <si>
    <t>Plants must be part of T001W table</t>
  </si>
  <si>
    <t>VALUE OF ABC INDICATOR FIELD MUST BE A,B OR C</t>
  </si>
  <si>
    <t>THIS RULE CHECK IF MATERIAL GROUP IS WITHIN MATERIAL GROUP LIST (T023)</t>
  </si>
  <si>
    <t>to check that material number should be part of MARA table</t>
  </si>
  <si>
    <t>TO CHECK THE VALUE IS ABOVE OR Equals Zero</t>
  </si>
  <si>
    <t>THIS RULE IS FOR VALUATION CATEGORY USE FOR SPLIT VALUATION FOR MATERIAL MASTER ACCOUNTING VIEW 1
FILED: MBEW – BWTTY (T149)</t>
  </si>
  <si>
    <t>This Rule used to check if the filed has value of (X) which means "Chosen" and it is used for following fileds:
1. Check double Inventory (REPRF)
2. Indicator: GR-Based Invoice Verification (WEBRE)
3. Order Acknowledgment Requirement (KZABS)
4. Automatic Generation of Purchase Order Allowed (KZAUT)</t>
  </si>
  <si>
    <t>THIS RULE CHECK INDUSTRY SCTOR OF MATERIAL IS WITH IN LIST (T137)</t>
  </si>
  <si>
    <t>THIS RULE CHECK IF ITEM CATEGORY GROUP IS WITHIN ITEM CATEGORY GROUP LIST (TPTM)</t>
  </si>
  <si>
    <t>THIS RULE IS FOR SORT KEY IN VENDOR MASTER</t>
  </si>
  <si>
    <t>Make sure that Vendor number is part of LFA1 table</t>
  </si>
  <si>
    <t>THIS RULE IS FOR LAUNGUAGE</t>
  </si>
  <si>
    <t>ONLY VALUES LISTED IN VBWF08 TO BE SELECTED FROM RELEASE GROUPS LIST</t>
  </si>
  <si>
    <t>THIS RULE CHECK IF UNIT (BASE UNIT/WEIGHT UNIT) IS WITHIN UNIT LIST (T006)</t>
  </si>
  <si>
    <t>THIS RULE IS FOR REORDER POINT IN MRP 1 VIEW. FIELD MARC – MINBE.
SABIC RULE THIS WILL USE ONLY IN CASE F MRP TYPE VB AND ZB ELSE IT SHOULD BE BLANK.</t>
  </si>
  <si>
    <t>To check if the Service Category exists in Table T362</t>
  </si>
  <si>
    <t>this rule is to check the procurement tyoe is E or F</t>
  </si>
  <si>
    <t>THOIS RULE IS FOR PER UNIT PRICE IN MATERIAL MASTER</t>
  </si>
  <si>
    <t>THIS USED FOR ANY CONTACT NUMBER LIKE PHONE / FAX / MOBILE</t>
  </si>
  <si>
    <t>ONLY VALUES LISTED IN T008 TO BE SELECTED FROM BLOCK KEYS FOR PAYMENT LIST</t>
  </si>
  <si>
    <t>this used to many fields in info record to make sure that field is number not having any alph..</t>
  </si>
  <si>
    <t>To check if the UOM entered exists in Table T006</t>
  </si>
  <si>
    <t>this is used in many fields in qouta arrangement to make sure that field is number not having any alph..</t>
  </si>
  <si>
    <t>THIS RULE IS FOR PROCUREMENT TYPE FOR MATERIAL MASTER IN MRP 2 VIEW
FIELD: MARC – BESKZ</t>
  </si>
  <si>
    <t>THIS RULE CHECK IF PLANT IS WITHIN PLANT LIST (T001W)</t>
  </si>
  <si>
    <t>To check if the activity number assigned is NULL</t>
  </si>
  <si>
    <t>THIS RULE IS FOR LOT SIZE OF MATERIAL MASTER IN MRP 1 VIEW
FILED: MARC – DISLS (T439A)
LOT SIZE ALLOWED: WITH MRP TYPE PD LOT SIZE EX AND MRP TYPE VB / ZB LOT SIZE HB IS ALLOWED</t>
  </si>
  <si>
    <t>ONLY VALUES LISTED IN TINC TO BE SELECTED FROM INCOTERMS LIST</t>
  </si>
  <si>
    <t>THIS RULE CHECK IF STORAGE TYPE IS WITHIN STORAGE TYPE LIST (T301)</t>
  </si>
  <si>
    <t>Purchasing organizations must be part of T024E table</t>
  </si>
  <si>
    <t>Info record number should be blank</t>
  </si>
  <si>
    <t>ONLY VALUES EXIST IN T005Q TABLE SHOULD BE SELESCTED FOR WITHHOLDING TAX COUNTRY KEY LIST</t>
  </si>
  <si>
    <t>THIS RULE CHECK IF PROFIT CENTER IS WITHIN PROFIT CENTER LIST (CEPC)</t>
  </si>
  <si>
    <t>THIS RULE IS TRANSPORT GROUP FOR MATERILA MASTER IN SALES VIEW
FILED: MARA – TRAGR (TTGR)</t>
  </si>
  <si>
    <t>THIS RULE IS FOR REGION</t>
  </si>
  <si>
    <t>THIS RULE CHECK IF WAREHOUSE NO IS WITHIN WAREHOUSE NO LIST (T301)</t>
  </si>
  <si>
    <t>Value must be set for check box</t>
  </si>
  <si>
    <t>THIS RULE CHECK IF PLANT SPECIFIC MATERIAL STATUS  IS WITHIN PLANT SPECIFIC MATERIAL STATUS LIST (T141)</t>
  </si>
  <si>
    <t>THIS RULE IS FOR PRICE UNIT FOR MATERIAL MASTER IN ACCOUNTING 1 VIEW
FILED: MBEW – VERPR</t>
  </si>
  <si>
    <t>this rule to make sure that vendor material number not exeeding 35 chars.</t>
  </si>
  <si>
    <t>ONLY VALUES EXIST IN T048K TABLE SHOULD BE SELESCTED FOR INDICATOR FOR PERIODIC ACCOUNT STATMENTS</t>
  </si>
  <si>
    <t>THIS RULE IS FOR VARIENCE KEY FOR MATERIAL MASTER, USED ONLY FOR ERSA MATERIAL TYPE
FILED: MBEW – VERPR</t>
  </si>
  <si>
    <t>To check if the Material / Service Group is within table T023</t>
  </si>
  <si>
    <t>THIS RULE IS FOR PRICE CONTROL OF MATERIAL MASTER IN ACCOUNTING 1 VIEW:
FILED: MBEW-VPRSV
AS PER FANAR STANDARD MATERIAL TYPE: ERSA/ROH/UNBW/PIPE/FHMI</t>
  </si>
  <si>
    <t>THIS RULE CHECK IF PURCHASING GROUP IS WITHIN PURCHASING GROUP LIST (T024)</t>
  </si>
  <si>
    <t>THIS RULE CHECK IF DISTRIBUTION CHANNEL IS WITHIN DISTRIBUTION CHANNEL LIST (TVTW)</t>
  </si>
  <si>
    <t>THIS RULE IS FOR SPECIAL PROCUREMENT TYPE FOR MATERIAL MASTER IN MRP 2 VIEW
FIELD: MARC – SOBSL (T460A)</t>
  </si>
  <si>
    <t>THIS RULE IS FOR VENDOR ACCOUNT GROUP</t>
  </si>
  <si>
    <t>THIS RULE IS FOR TIME UNIT FOR SELF LIFE.
FILED: MARC – LZEIH (T006A)</t>
  </si>
  <si>
    <t>ONLY VALUES LISTED IN T052 TO BE SELECTED FROM PAYMENT TERMS LIST</t>
  </si>
  <si>
    <t>ONLY TEN CAHRACTERS TO BE SELECTED FROM PAYMENT METHODS LIST</t>
  </si>
  <si>
    <t>THIS RULE CHECK IF STORAGE LOCATION IS WITHIN STORAGE LOCATION LIST (T001L)</t>
  </si>
  <si>
    <t>THIS RULE IS FOR MATERIAL MASTER MRP TYPE IN MRP VIEW 1. FIELD DETAIL:MARC – DISMM (T438A)
SABIC USE ONLY VB/ZB/PD/ND/X0</t>
  </si>
  <si>
    <t>THIS RULE IS FOR ACCOUNT ASSIGNMENT CATEGORY IN MATERIAL MASTER
FILED: MVKE – KTGRM (TVKM)</t>
  </si>
  <si>
    <t>THIS RULE IS FOR CASH MANAGEMENT GROUP FOR VENDOR MASTER</t>
  </si>
  <si>
    <t>THIS RULE IS FOR COMPANY CODE</t>
  </si>
  <si>
    <t>this is to make sure this field contains a DATE</t>
  </si>
  <si>
    <t>THIS RULE IS FOR AVAILABILITY CHECK FOR MATERIAL IN MRP VIEW 3.
FIELD: MARC – MTVFP (TMVF)</t>
  </si>
  <si>
    <t>FVR_PRI_MM_QA_PLANT WITHIN LIST</t>
  </si>
  <si>
    <t>FVR_PRI_MM_PURCHASE ORGANIZATION</t>
  </si>
  <si>
    <t>FVR_PRI_MM_ORDER CURRENCY</t>
  </si>
  <si>
    <t>FVR_PRI_MM_BANK COUNTRY IS WITHIN LIST</t>
  </si>
  <si>
    <t>FVR_PRI_MM_WITHHOLDING TAX CODE WITHIN LIST</t>
  </si>
  <si>
    <t>FVR_PRI_MM_MRPCONTROLLER</t>
  </si>
  <si>
    <t>FVR_PRI_MM_TRADING PARTNER IS WITHIN LIST</t>
  </si>
  <si>
    <t>FVR_PRI_MM_ABC INDICATOR IS WITHIN LIST</t>
  </si>
  <si>
    <t>FVR_PRI_MM_PERIOD.IND FORSLED</t>
  </si>
  <si>
    <t>FVR_PRI_MM_LOADING GROUP</t>
  </si>
  <si>
    <t>FVR_PRI_MM_SCHEDLE MARGINKEY</t>
  </si>
  <si>
    <t>FVR_PRI_MM_MATERIAL GROUP IS WITHIN LIST</t>
  </si>
  <si>
    <t>FVR_PRI_MM_GROUP FOR CALC SCHEMA IS WITHIN LIST</t>
  </si>
  <si>
    <t>FVR_PRI_MM_IR_MATERIAL WITHIN LIST</t>
  </si>
  <si>
    <t>FVR_PRI_MM_TITLE</t>
  </si>
  <si>
    <t>FVR_PRI_MM_MINIMUM ORDER VALUE IS INTEGER</t>
  </si>
  <si>
    <t>FVR_PRI_MM_VALUATION CAT</t>
  </si>
  <si>
    <t>FVR_PUB_CHECKBOX IS CHECKED</t>
  </si>
  <si>
    <t>FVR_PRI_MM_INDUSTRY SCTOR IS WITHIN LIST</t>
  </si>
  <si>
    <t>FVR_PUB_FIELD IS NULL</t>
  </si>
  <si>
    <t>FVR_PRI_MM_ITEM CATEGORY GROUP IS WITHIN LIST</t>
  </si>
  <si>
    <t>FVR_PRI_MM_SORT KEY</t>
  </si>
  <si>
    <t>FVR_PRI_MM_VENDOR NUMBER TO BE GENERATED</t>
  </si>
  <si>
    <t>FVR_PRI_MM_IR_VENDOR WITHIN LIST</t>
  </si>
  <si>
    <t>FVR_PRI_MM_LAUNGUAGE</t>
  </si>
  <si>
    <t>FVR_PRI_MM_RELEASE GROUP IS WITHIN LIST</t>
  </si>
  <si>
    <t>FVR_PRI_MM_BILL OF EXCHANGE LIMIT IS INTEGER</t>
  </si>
  <si>
    <t>FVR_PRI_MM_UNIT IS WITHIN LIST</t>
  </si>
  <si>
    <t>FVR_PRI_MM_REORDERPOINT</t>
  </si>
  <si>
    <t>FVR_PRI_MM_SERV CATEGORY IS WITHIN LIST</t>
  </si>
  <si>
    <t>FVR_PRI_MM_IR_PLANT WITHIN LIST</t>
  </si>
  <si>
    <t>FVR_PRI_MM_QA_PROC TYPE WITHIN LIST</t>
  </si>
  <si>
    <t>FVR_PRI_MM_PERUNITPRICE</t>
  </si>
  <si>
    <t>FVR_PRI_MM_QA_VENDOR WITHIN LIST</t>
  </si>
  <si>
    <t>FVR_PRI_MM_ NUMBER</t>
  </si>
  <si>
    <t>FVR_PRI_MM_QA_MATERIAL WITHIN LIST</t>
  </si>
  <si>
    <t>FVR_PRI_MM_BLOCK KEY FOR PAYMENT IS WITHIN LIST</t>
  </si>
  <si>
    <t>FVR_PRI_MM_IR_PRICE_QUANTITY_DAYS IS NUMBER</t>
  </si>
  <si>
    <t>FVR_PRI_MM_BASE UNIT OF MEASURE IS WITHIN LIST</t>
  </si>
  <si>
    <t>FVR_PRI_MM_QA_QTY QUOTA  IS NUMBER</t>
  </si>
  <si>
    <t>FVR_PRI_MM_PROCUREMENT TYPE</t>
  </si>
  <si>
    <t>FVR_PRI_MM_PLANT IS WITHIN LIST</t>
  </si>
  <si>
    <t>FVR_PRI_MM_ACTIVITY NUMBER IS NULL</t>
  </si>
  <si>
    <t>FVR_PRI_MM_INCOTERM IS WITHIN LIST</t>
  </si>
  <si>
    <t>FVR_PRI_MM_STORAGE TYPE IS WITHIN LIST</t>
  </si>
  <si>
    <t>FVR_PRI_MM_IR_PURCH_ORG WITHIN LIST</t>
  </si>
  <si>
    <t>FVR_PRI_MM_IR_Number</t>
  </si>
  <si>
    <t>FVR_PRI_MM_WITHHOLDING TAX COUNTRY KEY WITHIN LIST</t>
  </si>
  <si>
    <t>FVR_PRI_MM_TRANSPORT GROUP</t>
  </si>
  <si>
    <t>FVR_PRI_MM_REGION</t>
  </si>
  <si>
    <t>FVR_PRI_MM_WAREHOUSE NO IS WITHIN LIST</t>
  </si>
  <si>
    <t>FVR_PUB_CHECKBOX IS SELECTED</t>
  </si>
  <si>
    <t>FVR_PRI_MM_PLANT SP. MAT. STATUS WITHIN LIST</t>
  </si>
  <si>
    <t>FVR_PRI_MM_PRICE UNIT</t>
  </si>
  <si>
    <t>FVR_PRI_MM_ACCOUNTING CLERK WITHIN LIST</t>
  </si>
  <si>
    <t>FVR_PRI_MM_IR_VENDOR MATERIAL NUMBER</t>
  </si>
  <si>
    <t>FVR_PRI_MM_PERIODIC ACCOUNT STATEMENTS WITHIN LIST</t>
  </si>
  <si>
    <t>FVR_PRI_MM_VARIENCE KEY</t>
  </si>
  <si>
    <t>FVR_PRI_MM_MATERIAL SERVICE GROUP IS WITHIN LIST</t>
  </si>
  <si>
    <t>FVR_PRI_MM_PRICE CONTROL</t>
  </si>
  <si>
    <t>FVR_PRI_MM_PURCHASING GROUP IS WITHIN LIST</t>
  </si>
  <si>
    <t>FVR_PRI_MM_DISTRIBUTION CHANNEL IS WITHIN LIST</t>
  </si>
  <si>
    <t>FVR_PRI_MM_SPECIAL PROCUREMENTTYPE</t>
  </si>
  <si>
    <t>FVR_PRI_MM_VENDOR ACCOUNT GROUP</t>
  </si>
  <si>
    <t>FVR_PRI_MM_TIME UNIT</t>
  </si>
  <si>
    <t>FVR_PRI_MM_PAYMENT TERM IS WITHIN LIST</t>
  </si>
  <si>
    <t>FVR_PRI_MM_PAYMENT_METHODS IS WITHIN LIST</t>
  </si>
  <si>
    <t>FVR_PRI_MM_STORAGE LOCATION IS WITHIN LIST</t>
  </si>
  <si>
    <t>FVR_PRI_MM_MRP TYPE</t>
  </si>
  <si>
    <t>FVR_PRI_MM_ACCOUNT ASSIGNMENTCATEGORY</t>
  </si>
  <si>
    <t>FVR_PRI_MM_CASH MGMT GRP</t>
  </si>
  <si>
    <t>FVR_PRI_MM_COMPANY CODE</t>
  </si>
  <si>
    <t>FVR_PRI_MM_QA_VALID TO IS DATE</t>
  </si>
  <si>
    <t>FVR_PRI_MM_AVAILABILITY CHECK</t>
  </si>
  <si>
    <t>FVR_PRI_MM_VALUATION CLASS</t>
  </si>
  <si>
    <t>FVR_PRI_MM_RECON ACCOUNT1</t>
  </si>
  <si>
    <t>FVR_PRI_MM_NO SPECIAL CHAR</t>
  </si>
  <si>
    <t>FVR_PRI_MM_IR_PURCH GROUP WITHIN LIST</t>
  </si>
  <si>
    <t>FVR_PRI_MM_PRODSLOC</t>
  </si>
  <si>
    <t>FVR_PRI_MM_MATERIAL NUMBER IS NULL</t>
  </si>
  <si>
    <t>FVR_PRI_MM_TAX CLASSIFICATION IS WITHIN LIST</t>
  </si>
  <si>
    <t>FVR_PRI_MM_COUNTRY</t>
  </si>
  <si>
    <t>FVR_PRI_MM_SALES ORG IS WITHIN LIST</t>
  </si>
  <si>
    <t>FVR_PRI_MM_PARTNER FUNCTION IS WITHIN LIST</t>
  </si>
  <si>
    <t>FVR_PRI_MM_QA_Number</t>
  </si>
  <si>
    <t>FVR_PRI_MM_PLANT IS WITHIN PLANT LIST</t>
  </si>
  <si>
    <t>FVR_PRI_MM_MATERIAL TYPE IS WITHIN LIST</t>
  </si>
  <si>
    <t>Rule Dimanesion</t>
  </si>
  <si>
    <t>old_dimension</t>
  </si>
  <si>
    <t>Accuracy</t>
  </si>
  <si>
    <t>Integrity</t>
  </si>
  <si>
    <t>Lookup Table</t>
  </si>
  <si>
    <t>Table</t>
  </si>
  <si>
    <t>Field</t>
  </si>
  <si>
    <t>Lookup Field</t>
  </si>
  <si>
    <t>$MEINS</t>
  </si>
  <si>
    <t>T006A</t>
  </si>
  <si>
    <t>MSEHI</t>
  </si>
  <si>
    <t>$WERKS</t>
  </si>
  <si>
    <t>T001W</t>
  </si>
  <si>
    <t>T438A</t>
  </si>
  <si>
    <t>$CURRENCY</t>
  </si>
  <si>
    <t>TCURC</t>
  </si>
  <si>
    <t>T149D</t>
  </si>
  <si>
    <t>BWTAR</t>
  </si>
  <si>
    <t>$parameter0</t>
  </si>
  <si>
    <t>T005</t>
  </si>
  <si>
    <t>T059Z</t>
  </si>
  <si>
    <t>WT_WITHCD</t>
  </si>
  <si>
    <t>$MRPCONTROLLER / DISPO</t>
  </si>
  <si>
    <t>T024D</t>
  </si>
  <si>
    <t>T880</t>
  </si>
  <si>
    <t>RCOMP</t>
  </si>
  <si>
    <t>BEGIN RETURN
match_pattern($parameter0, '[ABCabc]');
END</t>
  </si>
  <si>
    <t>$PERIODINDSLED / IPRKZ</t>
  </si>
  <si>
    <t>BEGIN RETURN
$PERIODINDSLED IN ('D', 'M', 'W', 'Y');
END</t>
  </si>
  <si>
    <t>TLGR</t>
  </si>
  <si>
    <t>T436A</t>
  </si>
  <si>
    <t>$MATERIAL_GROUP</t>
  </si>
  <si>
    <t>T023</t>
  </si>
  <si>
    <t>TMKK</t>
  </si>
  <si>
    <t>$MATNR</t>
  </si>
  <si>
    <t>$TITLE</t>
  </si>
  <si>
    <t>BEGIN RETURN
$TITLE IN ('Company', 'Messers', 'Miss', 'Mr', 'Mr and Mrs', 'Mrs');
END</t>
  </si>
  <si>
    <t>BEGIN RETURN
$parameter0 &gt;= 0;
END</t>
  </si>
  <si>
    <t>$BWKEY/ BWTT</t>
  </si>
  <si>
    <t>T149</t>
  </si>
  <si>
    <t>BWKEY</t>
  </si>
  <si>
    <t>BEGIN
      RETURN exists('Fanar_Misc_Lookups', 'EP_MISC_LOOKUPS.T149', 'BWKEY', $BWKEY,'BWTTY',$VALUATIONCAT) OR $VALUATIONCAT IS NULL;
 END</t>
  </si>
  <si>
    <t>BEGIN RETURN
$parameter0 = 'X';
END</t>
  </si>
  <si>
    <t>$INDUSTRY_SECTOR</t>
  </si>
  <si>
    <t>T137</t>
  </si>
  <si>
    <t>BEGIN RETURN
$parameter0 IS NULL OR length(ltrim(rtrim($parameter0, ' '), ' ')) = 0;
END</t>
  </si>
  <si>
    <t>$ITEM_CAT_GROUP</t>
  </si>
  <si>
    <t>TPTM</t>
  </si>
  <si>
    <t>$SORTKEY</t>
  </si>
  <si>
    <t>TZUN</t>
  </si>
  <si>
    <t>$KTOKK</t>
  </si>
  <si>
    <t>T077Y</t>
  </si>
  <si>
    <t>BEGIN
IF(exists('Fanar_Misc_Lookups', 'EP_MISC_LOOKUPS.T077Y', 'KTOKK', $KTOKK) and $KTOKK NOT IN ('AFV','CPDL','EMP','LIEF','MNFR','OFV'))
   BEGIN 
    RETURN $LIFNR IS NULL;
   END
ELSE 
   BEGIN 
RETURN $LIFNR IS NOT NULL;
   END
END</t>
  </si>
  <si>
    <t>$LIFNR</t>
  </si>
  <si>
    <t>$LAUNGUAGE</t>
  </si>
  <si>
    <t>T002</t>
  </si>
  <si>
    <t>BEGIN
      RETURN exists('Fanar_Misc_Lookups', 'EP_MISC_LOOKUPS.T002', 'SPRAS', upper($LAUNGUAGE));
END</t>
  </si>
  <si>
    <t>VBWF08</t>
  </si>
  <si>
    <t>$UNIT</t>
  </si>
  <si>
    <t>T006</t>
  </si>
  <si>
    <t>$SERVICE_CATEGORY</t>
  </si>
  <si>
    <t>T362</t>
  </si>
  <si>
    <t>ASTYP</t>
  </si>
  <si>
    <t>BEGIN RETURN
exists('Fanar_Misc_Lookups', 'EP_MISC_LOOKUPS.T001W', 'WERKS', upper($WERKS)) OR $WERKS IS NULL OR $WERKS = '';
END</t>
  </si>
  <si>
    <t>$BESKZ</t>
  </si>
  <si>
    <t>BEGIN RETURN
$BESKZ = 'e' OR $BESKZ = 'f' or $BESKZ = 'E' or $BESKZ = 'F';
END</t>
  </si>
  <si>
    <t>$PERUNITPRICE</t>
  </si>
  <si>
    <t>BEGIN RETURN
$PERUNITPRICE IN ('1');
END</t>
  </si>
  <si>
    <t>BEGIN 
RETURN match_regex($parameter0, '[0-9]*');
END</t>
  </si>
  <si>
    <t>MATRN</t>
  </si>
  <si>
    <t>T008</t>
  </si>
  <si>
    <t>$number</t>
  </si>
  <si>
    <t>BEGIN RETURN
length($number) &gt; 0
AND $number IS NOT NULL
AND match_regex($number, '[0-9]*');
END</t>
  </si>
  <si>
    <t>$UOM</t>
  </si>
  <si>
    <t>BEGIN RETURN
length($number) &gt; 0
AND $number IS NOT NULL
AND is_valid_double($number, '###,###');
END</t>
  </si>
  <si>
    <t>$PROCUREMENTTYPE / BESKZ</t>
  </si>
  <si>
    <t>BEGIN RETURN
$PROCUREMENTTYPE IN ('X', 'F', 'E', ' ');
END</t>
  </si>
  <si>
    <t>$PLANT</t>
  </si>
  <si>
    <t>DECLARE
   # define variables
BEGIN
   # define validation rule expression
   RETURN TRUE;
END</t>
  </si>
  <si>
    <t>$Activity</t>
  </si>
  <si>
    <t>BEGIN RETURN
$Activity IS NULL;
END</t>
  </si>
  <si>
    <t>TINC</t>
  </si>
  <si>
    <t>$STORAGE_TYPE</t>
  </si>
  <si>
    <t>T301</t>
  </si>
  <si>
    <t>$EKORG</t>
  </si>
  <si>
    <t>$INFNR</t>
  </si>
  <si>
    <t>BEGIN RETURN
$INFNR IS NULL OR length(ltrim(rtrim($INFNR, ' '), ' ')) = 0;
END</t>
  </si>
  <si>
    <t>T005Q</t>
  </si>
  <si>
    <t>CEPC</t>
  </si>
  <si>
    <t>$TRANSPTGRP / TRAGR</t>
  </si>
  <si>
    <t>TTGR</t>
  </si>
  <si>
    <t>$REGION</t>
  </si>
  <si>
    <t>T005S</t>
  </si>
  <si>
    <t>BLAND</t>
  </si>
  <si>
    <t>$WAREHOUSE_NO</t>
  </si>
  <si>
    <t>BEGIN RETURN
$parameter0 IN ('','x','X');
END</t>
  </si>
  <si>
    <t>$PLANT_SP_MAT_STATUS</t>
  </si>
  <si>
    <t>T141</t>
  </si>
  <si>
    <t>$PRICEUNIT / VERPR</t>
  </si>
  <si>
    <t>BEGIN RETURN
$PRICEUNIT = '1';
END</t>
  </si>
  <si>
    <t>T001S</t>
  </si>
  <si>
    <t>$IDNLF</t>
  </si>
  <si>
    <t>BEGIN RETURN
length($IDNLF) &lt;= 35;
END</t>
  </si>
  <si>
    <t>T048K</t>
  </si>
  <si>
    <t>$VARIENCEKEY / VERPR</t>
  </si>
  <si>
    <t>TKV01</t>
  </si>
  <si>
    <t>$MAT_SRV_GRP</t>
  </si>
  <si>
    <t>$PRICECONTROL / VPRSV</t>
  </si>
  <si>
    <t>BEGIN RETURN
$PRICECONTROL IN ('V');
END</t>
  </si>
  <si>
    <t>$PURCHASING_GROUP</t>
  </si>
  <si>
    <t>$DIS_CHANNEL</t>
  </si>
  <si>
    <t>TVTW</t>
  </si>
  <si>
    <t>$SPECIALPROCTYPE / SOBSL</t>
  </si>
  <si>
    <t>T460A</t>
  </si>
  <si>
    <t>$VENDORACCGRP</t>
  </si>
  <si>
    <t>$TIMEUNIT / LZEIH</t>
  </si>
  <si>
    <t>BEGIN RETURN
$TIMEUNIT IN ('DAY', 'D', 'DA');
END</t>
  </si>
  <si>
    <t>T052</t>
  </si>
  <si>
    <t>BEGIN RETURN
match_regex($parameter0, '[=ABCDEILMOPORSTXYZJabcdeilmoporstxyzj]{0,10}', null);
END</t>
  </si>
  <si>
    <t>$STORAGE_LOC</t>
  </si>
  <si>
    <t>T001L</t>
  </si>
  <si>
    <t>BEGIN
RETURN exists('Fanar_Misc_Lookups', 'EP_MISC_LOOKUPS.T001L', 'WERKS', $PLANT,'LGORT',$STORAGE_LOC);
END</t>
  </si>
  <si>
    <t>$MRPTYPE / DISMM</t>
  </si>
  <si>
    <t>BEGIN RETURN
$MRPTYPE IN ('VB', 'ZB', 'PD', 'ND', 'X0');
END</t>
  </si>
  <si>
    <t>$ACCASSCAT / KTGRM</t>
  </si>
  <si>
    <t>TVKM</t>
  </si>
  <si>
    <t>$CASHMGMTGRP</t>
  </si>
  <si>
    <t>T035</t>
  </si>
  <si>
    <t>GRUPP</t>
  </si>
  <si>
    <t>$COMPANYCODE</t>
  </si>
  <si>
    <t>BEGIN RETURN
 exists('Fanar_Misc_Lookups', 'EP_MISC_LOOKUPS.T001', 'BUKRS', $COMPANYCODE) AND length($COMPANYCODE) = 4;
END</t>
  </si>
  <si>
    <t>$DATE</t>
  </si>
  <si>
    <t>BEGIN RETURN
is_valid_date(to_char($DATE, 'dd.mm.yyyy'), 'dd.mm.yyyy');
END</t>
  </si>
  <si>
    <t>$AVAILCHECK / MTVFP</t>
  </si>
  <si>
    <t>TMVF</t>
  </si>
  <si>
    <t>$VAL_CLASS</t>
  </si>
  <si>
    <t>T025</t>
  </si>
  <si>
    <t>$RECONACCOUNT</t>
  </si>
  <si>
    <t>SKB1</t>
  </si>
  <si>
    <t>SAKNR</t>
  </si>
  <si>
    <t>BEGIN
RETURN match_regex($parameter0, '[0-9a-zA-Z]*', null);
  END</t>
  </si>
  <si>
    <t>$EKGRP</t>
  </si>
  <si>
    <t>T024</t>
  </si>
  <si>
    <t>$PRODSLOC</t>
  </si>
  <si>
    <t>LGORT</t>
  </si>
  <si>
    <t>$MATERIALNO</t>
  </si>
  <si>
    <t>BEGIN RETURN
$MATERIALNO IS NULL OR length(ltrim(rtrim($MATERIALNO, ' '), ' ')) = 0;
END</t>
  </si>
  <si>
    <t>$CALSS_TAX</t>
  </si>
  <si>
    <t>TSKM</t>
  </si>
  <si>
    <t>TAXKM</t>
  </si>
  <si>
    <t>$COUNTRY</t>
  </si>
  <si>
    <t>$SALES_ORG</t>
  </si>
  <si>
    <t>TVKO</t>
  </si>
  <si>
    <t>TPAR</t>
  </si>
  <si>
    <t>$QUNUM</t>
  </si>
  <si>
    <t>BEGIN RETURN
$QUNUM IS NULL;
END</t>
  </si>
  <si>
    <t>T001W_1</t>
  </si>
  <si>
    <t>$MATERIAL_TYPE</t>
  </si>
  <si>
    <t>BEGIN RETURN
upper($MATERIAL_TYPE) IN ('ROH', 'ERSA', 'PIPE', 'UNBW', 'NLAG', 'FHMI');
END</t>
  </si>
  <si>
    <t>New</t>
  </si>
  <si>
    <t>Verify the Canadian postcode is valid.</t>
  </si>
  <si>
    <t>BEGIN RETURN
$P_I_Country = 'CA'
AND match_regex( $P_I_PostalCode, '^[^DFIOQUWZ][0-9][^DFIOQU] ?[0-9][^DFIOQU][0-9]$', 'CASE_INSENSITIVE' );
END</t>
  </si>
  <si>
    <t>FTR_PRI_Account Currency_GL</t>
  </si>
  <si>
    <t>SKB1-WAERS</t>
  </si>
  <si>
    <t>FVR_PRI_CURRENCY_T001</t>
  </si>
  <si>
    <t>Currency Key in T001</t>
  </si>
  <si>
    <t>FTR_PRI_RESPCCTR_IS_REQUIRED_IO</t>
  </si>
  <si>
    <t>System check for Responsible Cost Center in the table AUFK for the column KOSTV</t>
  </si>
  <si>
    <t>FTR_PUB_CO_AREA_IS_1000</t>
  </si>
  <si>
    <t>SABIC controlling area is 1000</t>
  </si>
  <si>
    <t>FTR_PRI_ORDERMASTER_TYPE_IS_REQUIRED_IO</t>
  </si>
  <si>
    <t>System looks for Order Type required in the Table AUFK in the Column AUART</t>
  </si>
  <si>
    <t>SKB1-SAKNR</t>
  </si>
  <si>
    <t>FTR_PRI_Chart Of Accounts_GL</t>
  </si>
  <si>
    <t>SKA1-KTOPL
SUCA or SUGA</t>
  </si>
  <si>
    <t>FVR_PUB_FIELD_IS_MANDATORY</t>
  </si>
  <si>
    <t>This rule is to be applied for fields that must be filled. i.e. Mandatory fields.</t>
  </si>
  <si>
    <t>FTR_PRI_ORDSETTLEMENT_TYPE_IS_REQUIRED_IO</t>
  </si>
  <si>
    <t>System check for settlement rule of the Order in the table CO in the table COBRB for the column PERBZ</t>
  </si>
  <si>
    <t>FTR_PRI_USER_RESPONSIBLE_IS_REQUIRED_IO</t>
  </si>
  <si>
    <t>Check for the User responsible for internal order in the table AUFK for the column. If exists, it will further validate from user master data.</t>
  </si>
  <si>
    <t>FTR_PUB_FIELD IS NULL_Decimal</t>
  </si>
  <si>
    <t>FTR_PRI_VENDOR_NO_IS_REQUIRED_AA</t>
  </si>
  <si>
    <t>System looks for Vendor Code required in table ANLA for the column LIFNR</t>
  </si>
  <si>
    <t>FVR_PUB_Language_IS_EN</t>
  </si>
  <si>
    <t>SPRAS
Display English as the default language (Mandatory)</t>
  </si>
  <si>
    <t>FTR_PRI_Activity Type_CCA</t>
  </si>
  <si>
    <t>LSTAR
Mandatory with 6 digit Alpha-numeric
In SABIC, activity types defined are Direct 1XXXXX &amp; Indirect 3XXXXX</t>
  </si>
  <si>
    <t>FVR_PRI_Tax Category_GL</t>
  </si>
  <si>
    <t>SKB1-MWSKZ</t>
  </si>
  <si>
    <t>FVR_PRI_Equity_Type_CCA</t>
  </si>
  <si>
    <t>ETYPE
  This is used only if Joint Venture accounting is defined in the system</t>
  </si>
  <si>
    <t>FTR_PUB_COMPANYCODE_IS_REQUIRED_AA</t>
  </si>
  <si>
    <t>System checkes for required Company Code in the table ANLA in Column BUKRS</t>
  </si>
  <si>
    <t>FTR_PRI_Company ID Of Trading Partner_GL</t>
  </si>
  <si>
    <t>SKA1-VBUND</t>
  </si>
  <si>
    <t>FTR_PRI_ORDNO_IS_NULL_IO</t>
  </si>
  <si>
    <t>It checks for Order number should be Null in the table AUFK for the column  AUFNR</t>
  </si>
  <si>
    <t>FTP_PRI_VEND_ACCGRP</t>
  </si>
  <si>
    <t>Account group mandatory</t>
  </si>
  <si>
    <t>FTR_PRI_Actual Allocation Price_CCA</t>
  </si>
  <si>
    <t>TARKZ_I
If filled it should be 5</t>
  </si>
  <si>
    <t>FTR_PRI_Valid_Cost_Center_Categories_Activity_CCA</t>
  </si>
  <si>
    <t>KSTTY
Can be mentioned up to 8 cost center category</t>
  </si>
  <si>
    <t>FTR_PRI_Activity_Type_Category_CCA</t>
  </si>
  <si>
    <t>CSLA-LATYP
For Direct Activity- Value should be 1
For Indirect Activity values should be 3</t>
  </si>
  <si>
    <t>FVR_PRI_Planning Level_GL</t>
  </si>
  <si>
    <t>SKB1-FDLEV</t>
  </si>
  <si>
    <t>FTR_PRI_Unit_Statistical_key_figure_SKF</t>
  </si>
  <si>
    <t>Business Rule:  Mandatory with Maximum of 3 alpha numeric 
MSEHI in T006</t>
  </si>
  <si>
    <t>FTR_PUB_Valid_From_Date</t>
  </si>
  <si>
    <t>DATAB 
field in Activity Type is Mandatory date in format  YYYYMMDD</t>
  </si>
  <si>
    <t>FVR_PRI_Joint_Venture_CCA</t>
  </si>
  <si>
    <t>VNAME
 This is used only if Joint Venture accounting is defined in the system</t>
  </si>
  <si>
    <t>FTR_PUB_DESCRIPTION_TXT50</t>
  </si>
  <si>
    <t>Text of the Descriptin field is 50 char</t>
  </si>
  <si>
    <t>FTR_PRI_USEFUL_YEARS_AA</t>
  </si>
  <si>
    <t>Keeping usefull life field NDJAR empty or ready for update</t>
  </si>
  <si>
    <t>FTR_PRI_Recovery_Indicator_CCA</t>
  </si>
  <si>
    <t>RECID
  This is used only if Joint Venture accounting is defined in the system</t>
  </si>
  <si>
    <t>FTR_PRI_DEPKEY_IS_REQUIRED_AA</t>
  </si>
  <si>
    <t>System look for depreciation key in table ANLB for column AFASL</t>
  </si>
  <si>
    <t>FTR_PRI_COSTCENTER_IS_REQUIRED_AA</t>
  </si>
  <si>
    <t>System looks for Cost Center required in table ANLZ for column KOSTL</t>
  </si>
  <si>
    <t>FTR_PRI_Cost_Center_Naming_Conv_CCA</t>
  </si>
  <si>
    <t>CSKT
Business Rule:
The cost center number should match the cost center number in table CSKS</t>
  </si>
  <si>
    <t>FTR_PRI_INTRSTPROFILE_NULL_IO</t>
  </si>
  <si>
    <t>Checks interest profile to be null in AUFK for the column ZSCHM</t>
  </si>
  <si>
    <t>FTR_PRI_Activity Unit_CCA</t>
  </si>
  <si>
    <t>LEINH
Mandatory( All units are defined in the system and can be chosen from the give list in the system)</t>
  </si>
  <si>
    <t>FVR_PRI_Standard_Hierarchy_Area_CCA</t>
  </si>
  <si>
    <t>KHINR
Business Rule:
•	A standard hierarchy must be created before uploading such data to Fanar. 
•	The first two digits is company code and second two digits is functional area</t>
  </si>
  <si>
    <t>FTR_PUB_PRCTR_HIER_GROUP</t>
  </si>
  <si>
    <t>System check for profit center hierarchy group in the table CEPC for the column PRCTR_HIER_GRP</t>
  </si>
  <si>
    <t>FVR_PRI_Reconcilation Account_GL</t>
  </si>
  <si>
    <t>SKB1-MITKZ</t>
  </si>
  <si>
    <t>FVR_PRI_GL Account Group_GL</t>
  </si>
  <si>
    <t>SKA1-KTOKS</t>
  </si>
  <si>
    <t>FTR_PRI_Price Indicator_CCA</t>
  </si>
  <si>
    <t>CSLA-TARKZ
Values 001 &amp; 003 both are used in SABIC.</t>
  </si>
  <si>
    <t>FTR_PUB_DESCRIPTION_IS_REQUIRED_IO</t>
  </si>
  <si>
    <t>It check for the Description of the Order as required not exceeding 40 char in the table AUFK for the column AUFNR</t>
  </si>
  <si>
    <t>FTR_PRI_USEFUL_PERIOD_AA</t>
  </si>
  <si>
    <t>Keeping usefull life field NDPER empty or ready for update</t>
  </si>
  <si>
    <t>FTR_PRI_Balance_Sheet_Account_GL</t>
  </si>
  <si>
    <t>SKA1-XBILK
If this is a Balance Sheet account, place “X”</t>
  </si>
  <si>
    <t>FTR_PRI_PROFITCTR_IS_REUIRED_IO</t>
  </si>
  <si>
    <t>System looks for profit center assignment in the table AUFK for the column PRCTR</t>
  </si>
  <si>
    <t>FVR_PRI_Indic_Reconcilation_Account_GL</t>
  </si>
  <si>
    <t>SKB1-XMITK</t>
  </si>
  <si>
    <t>FTR_PRI_FUNCAREA_IS_REQUIRED_IO</t>
  </si>
  <si>
    <t>System check for functional area in the order master data in the table AUFK for the column FUNC_AREA</t>
  </si>
  <si>
    <t>FTR_PRI_General_Name_Is_Not_Null</t>
  </si>
  <si>
    <t>CSLA-KTEXT</t>
  </si>
  <si>
    <t>FTR_PUB_PLANT_IS_RQRD</t>
  </si>
  <si>
    <t>It checks for the plant in the table T001W for the column WERKS</t>
  </si>
  <si>
    <t>FTR_PUB_Valid_To_Date</t>
  </si>
  <si>
    <t>DATBI 
should be in format yyymmdd</t>
  </si>
  <si>
    <t>FTR_PUB_DESCRIPTION_TXT20</t>
  </si>
  <si>
    <t>Text of the description field is 20</t>
  </si>
  <si>
    <t>FTR_PRI_Allocation_Cost_Element_CCA</t>
  </si>
  <si>
    <t>CSLA-VKSTA
Must be Secondary CE of 6 digits starting with 9XXXXX or PXXXXX
The secondary cost element master data should already been created</t>
  </si>
  <si>
    <t>FVR_PRI_Funtional_Area_CCA</t>
  </si>
  <si>
    <t>FKBER in CSKS
Business Rule:
•	This field should be kept empty and will be determined automatically once cost centers are uploaded into target system
•	The value here should match with the second two digits of the cost center. Comparison should be made to ensure matching with Fanar design.</t>
  </si>
  <si>
    <t>FVR_PRI_Language_IS_EN</t>
  </si>
  <si>
    <t>FVR_PUB_COUNTRY_EXIST</t>
  </si>
  <si>
    <t>Country available in Fanar T005 lookup table and in LAND1 field</t>
  </si>
  <si>
    <t>FTR_PRI_KOSAR_Cost_Center_Category_CCA</t>
  </si>
  <si>
    <t>KOSAR
Business Rule: 
•	Choose only from the listed categories 
Mandatory</t>
  </si>
  <si>
    <t>FTR_PRI_DEPAREA_IS_REQUIRED_AA</t>
  </si>
  <si>
    <t>System look for Depreciation Area in table ANLB for column AFABE</t>
  </si>
  <si>
    <t>FTR_PUB_Mandatory_6_CHAR</t>
  </si>
  <si>
    <t>STAGR
Rule: Mandatory Field length of SKF is 6. (Alphanumeric)</t>
  </si>
  <si>
    <t>FTR_PRI_VALIDFROM_PCA</t>
  </si>
  <si>
    <t>Check the table for validity date from in the table CEPC for the column VALIDFROM</t>
  </si>
  <si>
    <t>FVR_PRI_Field_Status_Group_GL</t>
  </si>
  <si>
    <t>FTR_PRI_COSTCTR_IS_NULL_IO</t>
  </si>
  <si>
    <t>Cost Center is to be Null in the table AUFK for the column CYCLE</t>
  </si>
  <si>
    <t>FVR_COMCODE_IS_REQUIRED_IO</t>
  </si>
  <si>
    <t>Checks Company Code assignment required in the table AUFK for the column BUKRS</t>
  </si>
  <si>
    <t>FTR_PRI_ASSETCLASS_IS_REQUIRED_AA</t>
  </si>
  <si>
    <t>System looks Asset Class Required in the table ANLA for the column ANLKL</t>
  </si>
  <si>
    <t>FTR_PRI_Variant_Activity_Type_Category_CCA</t>
  </si>
  <si>
    <t>LATYP
If Activity Type 1XXXXX, Then this field has to = 1 
If Activity Type 3XXXXX, Then this field has to = 3
Or Null</t>
  </si>
  <si>
    <t>FTR_PRI_Cost_Center_CCA</t>
  </si>
  <si>
    <t>KOSTL, FUNC_AREA, BUKRS
Business Rule: 
•	As per SABIC the cost center number should be of 7 digits.
•	First two digits of cost center must match with first two digits of its company code. 
•	Second two digits must represents functional area (See Appendix A)</t>
  </si>
  <si>
    <t>FTR_PUB_IS_X_CCA</t>
  </si>
  <si>
    <t>The lock indicator MUST be selected.</t>
  </si>
  <si>
    <t>FTR_PRI_Company_Code_GL</t>
  </si>
  <si>
    <t>SKB1-BUKRS</t>
  </si>
  <si>
    <t>FTR_PRI_GL_Account_Number_GL</t>
  </si>
  <si>
    <t>SKA1-SAKNR
These are 6 digit number accounts as per Fanar for SABIC</t>
  </si>
  <si>
    <t>FTR_PRI_Description_Is_Not_Null</t>
  </si>
  <si>
    <t>CSLA-LTEXT</t>
  </si>
  <si>
    <t>FTR_PUB_FIELD IS NOT NULL</t>
  </si>
  <si>
    <t>FVR_PRI_KATYP_CE</t>
  </si>
  <si>
    <t>CE category of secondary should be one of the below:
21   Internal settlement
31   Order/project results analysis
42   Assessment
43   Internal activity allocation</t>
  </si>
  <si>
    <t>FTR_PRI_Cost_Center_VS_Company_Code</t>
  </si>
  <si>
    <t>BUKRS + KOSTL
Business Rule:
•	4 digits defined company code 
•	Compare the first two digits of this company code with the first two digits of the cost center above. They must match as per Fanar design.</t>
  </si>
  <si>
    <t>FVR_PRI_Sorting Key_GL</t>
  </si>
  <si>
    <t>SKB1-ZUAWA</t>
  </si>
  <si>
    <t>FTR_PRI_Statistical_Key_Figure_Category_PCA</t>
  </si>
  <si>
    <t>Establishes whether the value of the key figure entered in one month. Value is of two types.
•	(1) Fixed : The value entered in a month will be remain same in remaining period of Fiscal year
•	(2) Total Value: The value of 12 periods may or may not be constant i.e., varies period to period.</t>
  </si>
  <si>
    <t>FTR_PRI_PL Statement Account Type_GL</t>
  </si>
  <si>
    <t>SKA1-GVTYP
If this is a P&amp;L account, place “X”</t>
  </si>
  <si>
    <t>FTR_PUB_REGION_IS_OPTIONAL</t>
  </si>
  <si>
    <t>PROVZ
The region where the data exists. It's related to table T005s</t>
  </si>
  <si>
    <t>$WAERS</t>
  </si>
  <si>
    <t>BEGIN RETURN
exists('EP_FICO_Import', 'EP_FICO_IMPORT.T001', 'WAERS', $WAERS)
AND $WAERS IS NOT NULL;
END</t>
  </si>
  <si>
    <t>AUFK</t>
  </si>
  <si>
    <t>$RESPCOSTCTR_IO</t>
  </si>
  <si>
    <t>CSKS</t>
  </si>
  <si>
    <t>KOSTL</t>
  </si>
  <si>
    <t>$KOKRS</t>
  </si>
  <si>
    <t>TKA01</t>
  </si>
  <si>
    <t>KOKRS</t>
  </si>
  <si>
    <t>BEGIN RETURN
$KOKRS IS NOT NULL 
AND exists('Fanar_Misc_Lookups', 'EP_MISC_LOOKUPS.TKA01', 'KOKRS', $KOKRS)
and $KOKRS = '1000';
END</t>
  </si>
  <si>
    <t>$ORDER_CAT</t>
  </si>
  <si>
    <t>T003O</t>
  </si>
  <si>
    <t>AUTYP,  AUART</t>
  </si>
  <si>
    <t>BEGIN RETURN
exists('Fanar_Misc_Lookups', 'EP_MISC_LOOKUPS.T003O', 'AUTYP', $ORDER_CAT) AND
exists('Fanar_Misc_Lookups', 'EP_MISC_LOOKUPS.T003O', 'AUART', $ORDER_TYPE);
END</t>
  </si>
  <si>
    <t>$SAKNR</t>
  </si>
  <si>
    <t>SKA1_UPLOAD</t>
  </si>
  <si>
    <t>SKA1</t>
  </si>
  <si>
    <t>$KTOPL</t>
  </si>
  <si>
    <t>T004</t>
  </si>
  <si>
    <t>KTOPL</t>
  </si>
  <si>
    <t>BEGIN
RETURN exists('Fanar_Misc_Lookups', 'EP_MISC_LOOKUPS.T004', 'KTOPL', upper($KTOPL)) or upper($KTOPL) IN ('SUCA','SUGA', 'BE01', 'FR01', 'ES01');
END</t>
  </si>
  <si>
    <t>$p0</t>
  </si>
  <si>
    <t>BEGIN RETURN
$p0 IS NOT NULL
AND length(ltrim(rtrim($p0, ' '), ' ')) &gt;= 1;
END</t>
  </si>
  <si>
    <t>$ORD_SETTLEMENT_TYPE</t>
  </si>
  <si>
    <t>COBRB</t>
  </si>
  <si>
    <t>PERBZ</t>
  </si>
  <si>
    <t>BEGIN RETURN
exists('Fanar_Misc_Lookups', 'EP_MISC_LOOKUPS.COBRB', 'PERBZ', $ORD_SETTLEMENT_TYPE)AND $ORD_SETTLEMENT_TYPE IS NOT NULL;
END</t>
  </si>
  <si>
    <t>$USER_RESP_IO</t>
  </si>
  <si>
    <t>BEGIN
IF ($USER_RESP_IO IS NULL OR length(rtrim(ltrim($USER_RESP_IO,' '), ' ')) = 0)
RETURN TRUE;
ELSE IF($USER_RESP_IO IS NOT NULL)  
RETURN exists('Fanar_Misc_Lookups', 'EP_MISC_LOOKUPS.USR02', 'BNAME', $USER_RESP_IO);
ELSE
RETURN TRUE;
END</t>
  </si>
  <si>
    <t>ANLA</t>
  </si>
  <si>
    <t>$VENDOR_NO_AA</t>
  </si>
  <si>
    <t>$SPRAS</t>
  </si>
  <si>
    <t>BEGIN RETURN
exists('Fanar_Misc_Lookups', 'EP_MISC_LOOKUPS.T002', 'SPRAS', upper($SPRAS)) or $SPRAS IS NULL or length(ltrim(rtrim($SPRAS,' '),' ')) = 0;
END</t>
  </si>
  <si>
    <t>$LSTAR</t>
  </si>
  <si>
    <t>BEGIN
RETURN (substr($LSTAR, 1, 1) = '1' OR substr($LSTAR, 1, 1) = '3') AND length($LSTAR) = 6;
END</t>
  </si>
  <si>
    <t>$MWSKZ</t>
  </si>
  <si>
    <t>BEGIN RETURN
upper($MWSKZ) IN ('-','+','*','&lt;','&gt;') OR $MWSKZ IS NULL OR length(rtrim(ltrim($MWSKZ,' '), ' ')) = 0;
END</t>
  </si>
  <si>
    <t>$ETYPE</t>
  </si>
  <si>
    <t>T8JG</t>
  </si>
  <si>
    <t>ETYPE</t>
  </si>
  <si>
    <t>BEGIN RETURN
$ETYPE IS NULL 
OR exists('Fanar_Misc_Lookups', 'EP_MISC_LOOKUPS.T8JG', 'ETYPE', $ETYPE)
;
END</t>
  </si>
  <si>
    <t>$COMPANYCODE_AA</t>
  </si>
  <si>
    <t>T093C</t>
  </si>
  <si>
    <t>BEGIN RETURN
$COMPANYCODE_AA IS NOT NULL
AND length($COMPANYCODE_AA) = 4 
AND is_valid_int($COMPANYCODE_AA, '####')
AND exists('Fanar_Misc_Lookups', 'EP_MISC_LOOKUPS.T093C', 'BUKRS', $COMPANYCODE_AA);
END</t>
  </si>
  <si>
    <t>$VBUND</t>
  </si>
  <si>
    <t>T990</t>
  </si>
  <si>
    <t>BEGIN 
RETURN exists('Fanar_Misc_Lookups', 'EP_MISC_LOOKUPS.T880', 'RCOMP', (lpad($VBUND, 6, '0'))) OR $VBUND IS NULL OR length (rtrim(ltrim(lpad($VBUND, 6, '0'),' '), ' ')) = 0 ;
END</t>
  </si>
  <si>
    <t>$ORDR_NO_IO</t>
  </si>
  <si>
    <t>BEGIN RETURN
$ORDR_NO_IO IS NULL OR length(ltrim(rtrim($ORDR_NO_IO,' '),' ')) =0;
END</t>
  </si>
  <si>
    <t>T077K</t>
  </si>
  <si>
    <t>BEGIN RETURN
exists('Fanar_Misc_Lookups', 'EP_MISC_LOOKUPS.T077K', 'KTOKK', $KTOKK) AND
$KTOKK IS NOT NULL;
END</t>
  </si>
  <si>
    <t>$TARKZ_I</t>
  </si>
  <si>
    <t>$KSTTY</t>
  </si>
  <si>
    <t>$LATYP</t>
  </si>
  <si>
    <t>BEGIN RETURN
$LATYP = '1'
OR $LATYP = '3';
END</t>
  </si>
  <si>
    <t>$FDLEV</t>
  </si>
  <si>
    <t>T036</t>
  </si>
  <si>
    <t>EBENE</t>
  </si>
  <si>
    <t>BEGIN
IF (substr($SAKNR, 1, 2) = '11')
   BEGIN
       RETURN exists('Fanar_Misc_Lookups', 'EP_MISC_LOOKUPS.T036', 'EBENE', $FDLEV);
   END
ELSE
   BEGIN
       RETURN exists('Fanar_Misc_Lookups', 'EP_MISC_LOOKUPS.T036', 'EBENE', $FDLEV) or $FDLEV is Null or length(ltrim(rtrim($FDLEV,' '),' ')) = 0;
   END
END</t>
  </si>
  <si>
    <t>$MSEHI</t>
  </si>
  <si>
    <t>BEGIN RETURN
$MSEHI IS NOT NULL
And(exists('Fanar_Misc_Lookups', 'EP_MISC_LOOKUPS.T006', 'MSEHI', $MSEHI) OR $MSEHI='AU')
And length($MSEHI) &lt;= 3;
END</t>
  </si>
  <si>
    <t>$DATAB</t>
  </si>
  <si>
    <t>BEGIN
   RETURN is_valid_date($DATAB, 'yyyymmdd') OR is_valid_date($DATAB, 'yyyy.mm.dd') OR is_valid_date($DATAB, 'dd.mm.yyyy');
END</t>
  </si>
  <si>
    <t>$VNAME</t>
  </si>
  <si>
    <t>VNAME</t>
  </si>
  <si>
    <t>BEGIN RETURN
$VNAME IS NULL OR exists('Fanar_Misc_Lookups', 'EP_MISC_LOOKUPS.CSKS', 'VNAME', $VNAME);
END</t>
  </si>
  <si>
    <t>$TXT50</t>
  </si>
  <si>
    <t>BEGIN RETURN
$TXT50 IS NOT NULL AND length($TXT50)&lt;= 50;  
END</t>
  </si>
  <si>
    <t>$NDJAR</t>
  </si>
  <si>
    <t>BEGIN RETURN
match_pattern($NDJAR, '9') or match_pattern($NDJAR, '99') or $NDJAR IS NULL or length(ltrim(rtrim($NDJAR,' '),' ')) = 0;
END</t>
  </si>
  <si>
    <t>$RECID</t>
  </si>
  <si>
    <t>RECID</t>
  </si>
  <si>
    <t>BEGIN RETURN
$RECID IS NULL OR exists('Fanar_Misc_Lookups', 'EP_MISC_LOOKUPS.CSKS', 'RECID', $RECID);
END</t>
  </si>
  <si>
    <t>ANLB</t>
  </si>
  <si>
    <t>$DEP_KEY</t>
  </si>
  <si>
    <t>T090NA</t>
  </si>
  <si>
    <t>AFASL</t>
  </si>
  <si>
    <t>BEGIN RETURN
$DEP_KEY IS NOT NULL
AND length($DEP_KEY) = 4 
AND exists('Fanar_Misc_Lookups', 'EP_MISC_LOOKUPS.T090NA', 'AFASL', $DEP_KEY);
END</t>
  </si>
  <si>
    <t>ANLZ</t>
  </si>
  <si>
    <t>$COSTCENTER_AA</t>
  </si>
  <si>
    <t>CSKT</t>
  </si>
  <si>
    <t>$KOSTL</t>
  </si>
  <si>
    <t>BEGIN RETURN
$KOSTL IS NOT NULL 
And exists('EP_FICO_TRANSFORM', 'EP_FICO_TRANSFORM.CSKs', 'KOSTL', $KOSTL)
#And exists('Fanar_Misc_Lookups', 'EP_MISC_LOOKUPS.CSKs', 'KOSTL', $KOSTL)
;
END</t>
  </si>
  <si>
    <t>$INTRST_IO</t>
  </si>
  <si>
    <t>BEGIN RETURN
$INTRST_IO IS NULL;
END</t>
  </si>
  <si>
    <t>$LEINH</t>
  </si>
  <si>
    <t>$KHINR</t>
  </si>
  <si>
    <t>KHINR,  BUKRS</t>
  </si>
  <si>
    <t>BEGIN RETURN
$KHINR IS NOT NULL
#And exists('Fanar_Misc_Lookups', 'EP_MISC_LOOKUPS.CSKS', 'KHINR', $KHINR)
#And exists('Fanar_Misc_Lookups', 'EP_MISC_LOOKUPS.CSKS', 'BUKRS', $BUKRS)
AND substr($KHINR, 1, 2) = substr($BUKRS, 1, 2)
;
END</t>
  </si>
  <si>
    <t>$PRCTR_HIER_GRP</t>
  </si>
  <si>
    <t>KHINR</t>
  </si>
  <si>
    <t>BEGIN RETURN
exists('EP_FICO_Import', 'EP_FICO_IMPORT.CEPC', 'KHINR', $PRCTR_HIER_GRP) 
AND $PRCTR_HIER_GRP IS NOT NULL;
END</t>
  </si>
  <si>
    <t>$MITKZ</t>
  </si>
  <si>
    <t>BEGIN 
IF($MITKZ IS NOT NULL OR length(rtrim(ltrim($MITKZ,' '), ' ')) != 0)
RETURN
(($MITKZ IN ('D','K') AND substr($SAKNR, 1, 1) IN ('1','2')) OR ($MITKZ = 'A' AND substr($SAKNR, 1, 1) = '1'));
ELSE
RETURN TRUE;
END</t>
  </si>
  <si>
    <t>$KTOKS</t>
  </si>
  <si>
    <t>CSLA</t>
  </si>
  <si>
    <t>$TARKZ</t>
  </si>
  <si>
    <t>TKA10</t>
  </si>
  <si>
    <t>TARKZ</t>
  </si>
  <si>
    <t>$DESCRIPTION_IO</t>
  </si>
  <si>
    <t>BEGIN RETURN
$DESCRIPTION_IO IS NOT NULL  AND length($DESCRIPTION_IO) &lt;= 40;
END</t>
  </si>
  <si>
    <t>$NDPER</t>
  </si>
  <si>
    <t>BEGIN RETURN
match_pattern($NDPER, '9') or match_pattern($NDPER, '99') or $NDPER IS NULL or length(ltrim(rtrim($NDPER,' '),' ')) = 0;
END</t>
  </si>
  <si>
    <t>$XBILK</t>
  </si>
  <si>
    <t>BEGIN
IF (substr($SAKNR, 5, 1) = '4' OR substr($SAKNR, 5, 1) = '8')
   BEGIN
      RETURN $XBILK IS NULL OR length(rtrim(ltrim($XBILK, ' '), ' ')) = 0;
   END
RETURN upper($XBILK) = 'X';
END</t>
  </si>
  <si>
    <t>$PROFITCTR_IO</t>
  </si>
  <si>
    <t>BEGIN RETURN
exists('Fanar_Misc_Lookups', 'EP_MISC_LOOKUPS.CEPC', 'PRCTR', $PROFITCTR_IO) AND $PROFITCTR_IO IS NOT NULL
AND substr($PROFITCTR_IO, 1, 6)='000000' ;
END</t>
  </si>
  <si>
    <t>$XMITK</t>
  </si>
  <si>
    <t>BEGIN
IF($SAKNR IN ('0000119774','0000119775','0000119740','0000119741','0000119742','0000119743'))
RETURN upper($XMITK) = 'X';
ELSE
RETURN TRUE;
END</t>
  </si>
  <si>
    <t>$FUNCAREA_IO</t>
  </si>
  <si>
    <t>FUNC_AREA</t>
  </si>
  <si>
    <t>BEGIN RETURN
exists('EP_FICO_Transform', 'EP_FICO_TRANSFORM.AUFK', 'FUNC_AREA', $FUNCAREA_IO) AND
$FUNCAREA_IO IS NOT NULL;
END</t>
  </si>
  <si>
    <t>CLSA</t>
  </si>
  <si>
    <t>CSLT</t>
  </si>
  <si>
    <t>DECLARE
$KTEXT varchar(1000);
BEGIN 
$KTEXT = lookup('Fanar_Misc_Lookups', 'EP_MISC_LOOKUPS.CSLT', 'KOKRS', $KOKRS, 'LSTAR', $LSTAR, 'KTEXT', null);
RETURN $KTEXT IS NOT NULL AND length(ltrim(rtrim($KTEXT,' '),' ')) != 0;
END</t>
  </si>
  <si>
    <t>BEGIN RETURN
$WERKS IS NOT NULL;
END</t>
  </si>
  <si>
    <t>$DATBI</t>
  </si>
  <si>
    <t>BEGIN
RETURN is_valid_date($DATBI, 'yyyymmdd') OR is_valid_date($DATBI, 'yyyy.mm.dd') OR is_valid_date($DATBI, 'dd.mm.yyyy');
END</t>
  </si>
  <si>
    <t>$TXT20</t>
  </si>
  <si>
    <t>BEGIN RETURN
$TXT20 IS NOT NULL
AND length($TXT20)&lt;= 20;
END</t>
  </si>
  <si>
    <t>$VKSTA</t>
  </si>
  <si>
    <t>BEGIN RETURN
$VKSTA is not null
and
(substr($VKSTA, 5, 1) = '9' OR substr($VKSTA, 5, 1) = 'P') AND length($VKSTA) = 10 AND substr($VKSTA, 1, 4) = '0000';
END</t>
  </si>
  <si>
    <t>FKBER</t>
  </si>
  <si>
    <t>$FKBER</t>
  </si>
  <si>
    <t>TFKB</t>
  </si>
  <si>
    <t>BEGIN RETURN
exists('Fanar_Misc_Lookups', 'EP_MISC_LOOKUPS.TFKB', 'FKBER', $FKBER) and substr($KOSTL, 6, 2) = $FKBER;
End</t>
  </si>
  <si>
    <t>BEGIN RETURN
upper($SPRAS) = 'E';
END</t>
  </si>
  <si>
    <t>$KOSAR</t>
  </si>
  <si>
    <t>TKA05</t>
  </si>
  <si>
    <t>KOSAR</t>
  </si>
  <si>
    <t>BEGIN RETURN
$KOSAR IS NOT NULL
And exists('Fanar_Misc_Lookups', 'EP_MISC_LOOKUPS.TKA05', 'KOSAR', $KOSAR)
;
END</t>
  </si>
  <si>
    <t>$DEP_AREA_AA</t>
  </si>
  <si>
    <t>AFABER</t>
  </si>
  <si>
    <t>BEGIN RETURN
$DEP_AREA_AA IS NOT NULL
AND length($DEP_AREA_AA) = 2
AND exists('Fanar_Misc_Lookups', 'EP_MISC_LOOKUPS.T093', 'AFABER', $DEP_AREA_AA);
END</t>
  </si>
  <si>
    <t>$STAGR</t>
  </si>
  <si>
    <t>BEGIN RETURN
$STAGR IS NOT NULL
AND length($STAGR) = 6
;
END</t>
  </si>
  <si>
    <t>$VALIDFROM_CEPC</t>
  </si>
  <si>
    <t>BEGIN
   RETURN is_valid_date($VALIDFROM_CEPC, 'yyyymmdd') OR is_valid_date($VALIDFROM_CEPC, 'yyyy.mm.dd') OR is_valid_date($VALIDFROM_CEPC, 'dd.mm.yyyy');
END</t>
  </si>
  <si>
    <t>$FSTAG</t>
  </si>
  <si>
    <t>T004F</t>
  </si>
  <si>
    <t>FSTAG</t>
  </si>
  <si>
    <t>$CCTR_NULL_IO</t>
  </si>
  <si>
    <t>BEGIN RETURN
$CCTR_NULL_IO IS  NULL;
END</t>
  </si>
  <si>
    <t>$COMCODE_IO</t>
  </si>
  <si>
    <t>BEGIN RETURN
exists('Fanar_Misc_Lookups', 'EP_MISC_LOOKUPS.T001', 'BUKRS', $COMCODE_IO) AND $COMCODE_IO IS NOT NULL;
END</t>
  </si>
  <si>
    <t>$ASSET_CLASS</t>
  </si>
  <si>
    <t>ANKA</t>
  </si>
  <si>
    <t>ANLKL</t>
  </si>
  <si>
    <t>BEGIN RETURN
exists('Fanar_Misc_Lookups', 'EP_MISC_LOOKUPS.ANKA', 'ANLKL', $ASSET_CLASS) AND substr($ASSET_CLASS, 1, 2)='00';
END</t>
  </si>
  <si>
    <t>BEGIN RETURN
$KOSTL IS NOT NULL
#AND exists('EP_FICO_Transform', 'EP_FICO_Transform.CSKS', 'KOSTL', $KOSTL)
AND substr($KOSTL, 1, 4) = substr($BUKRS, 1, 4)
AND length($KOSTL) = 10
AND substr($KOSTL, 5, 2) = substr($FUNC_AREA,1,2);
END</t>
  </si>
  <si>
    <t>$LOCK</t>
  </si>
  <si>
    <t>BEGIN RETURN
$LOCK IS NOT NULL AND upper($LOCK) = 'X';
END</t>
  </si>
  <si>
    <t>$BUKRS</t>
  </si>
  <si>
    <t>SKB1_UPLOAD, T001</t>
  </si>
  <si>
    <t>SAKNR, BUKRS</t>
  </si>
  <si>
    <t>BEGIN RETURN
(exists('EP_FICO_TRANSFORM', 'EP_FICO_TRANSFORM.SKB1_UPLOAD', 'SAKNR', $SAKNR) AND exists('Fanar_Misc_Lookups', 'EP_MISC_LOOKUPS.T001', 'BUKRS', $BUKRS));
END</t>
  </si>
  <si>
    <t>DECLARE
$LTEXT varchar(1000);
BEGIN 
$LTEXT = lookup('Fanar_Misc_Lookups', 'EP_MISC_LOOKUPS.CSLT', 'KOKRS', $KOKRS, 'LSTAR', $LSTAR, 'LTEXT', null);
RETURN $LTEXT IS NOT NULL AND length(ltrim(rtrim($LTEXT,' '),' ')) != 0;
END</t>
  </si>
  <si>
    <t>BEGIN RETURN
$parameter0 IS NOT NULL;
END</t>
  </si>
  <si>
    <t>$KATYP</t>
  </si>
  <si>
    <t>CSKB</t>
  </si>
  <si>
    <t>KATYP</t>
  </si>
  <si>
    <t>BEGIN RETURN
exists('EP_FICO_Import', 'EP_FICO_IMPORT.CSKB', 'KATYP', $KATYP)
AND $KATYP IS NOT NULL AND $KATYP = '21' OR $KATYP = '31' OR $KATYP = '42' OR $KATYP = '43';
END</t>
  </si>
  <si>
    <t>BEGIN RETURN
$BUKRS IS NOT NULL 
And exists('Fanar_Misc_Lookups', 'EP_MISC_LOOKUPS.T001', 'BUKRS', $BUKRS)
And substr($BUKRS, 1, 2) = substr($KOSTL, 1, 2)
;
END</t>
  </si>
  <si>
    <t>$ZUAWA</t>
  </si>
  <si>
    <t>BEGIN RETURN
(exists('Fanar_Misc_Lookups', 'EP_MISC_LOOKUPS.TZUN', 'ZUAWA', $ZUAWA)) OR $ZUAWA IS NULL OR length(rtrim(ltrim($ZUAWA,' '), ' ')) = 0;
END</t>
  </si>
  <si>
    <t>$GRTYP</t>
  </si>
  <si>
    <t>BEGIN RETURN
$GRTYP = '1' or $GRTYP = '2' and length($GRTYP) = 1;
END</t>
  </si>
  <si>
    <t>$GVTYP</t>
  </si>
  <si>
    <t>$PROVZ</t>
  </si>
  <si>
    <t>BEGIN RETURn
exists('Fanar_Misc_Lookups', 'EP_MISC_LOOKUPS.T005S', 'BLAND', $PROVZ) or $PROVZ IS NULL OR length(rtrim(ltrim($PROVZ,' '), ' ')) = 0;
END</t>
  </si>
  <si>
    <t>FI</t>
  </si>
  <si>
    <t>FVR_PRI_HR_IT0078_CHECK_PAYMENTDATE</t>
  </si>
  <si>
    <t>BEGDA and ENDDA should equal ZAHLD</t>
  </si>
  <si>
    <t>FVR_PRI_HR_IT0021_FAMILY_TYPE_UNIQUE</t>
  </si>
  <si>
    <t>check uniqueness of family types 1,2,3,4,7,8  for each employe</t>
  </si>
  <si>
    <t>FVR_PRI_HR_IT0023_START_DATE_UNIQUE</t>
  </si>
  <si>
    <t>check uniqueness of employee experience record</t>
  </si>
  <si>
    <t>FVR_PRI_HR_ENDDA_99991231</t>
  </si>
  <si>
    <t>End date should always be 31.12.9999</t>
  </si>
  <si>
    <t>FVR_PRI_HR_FIRST_CHAR_CAPITALIZATION</t>
  </si>
  <si>
    <t>first character capitalization, the rest is small letters</t>
  </si>
  <si>
    <t>FVR_PRI_HR_OM_OBJECT_1001_TYPE</t>
  </si>
  <si>
    <t>allow only objects of type O, S, K, C, P and ZA</t>
  </si>
  <si>
    <t>FVR_PRI_HR_OM_OBJECT_1002_TYPE</t>
  </si>
  <si>
    <t>allow only objects of type O, S</t>
  </si>
  <si>
    <t>FVR_PRI_HR_IT0009_ZLSCH_CHECK</t>
  </si>
  <si>
    <t>check payment method only equals = 'C' or 'P'</t>
  </si>
  <si>
    <t>FVR_PRI_HR_IT0008_TRFGB_CHECK_01</t>
  </si>
  <si>
    <t>check payscale area = 01</t>
  </si>
  <si>
    <t>FVR_PRI_HR_IT0001_EMPLOYEE_GROUP_CHECK</t>
  </si>
  <si>
    <t>check employee group legnth 1</t>
  </si>
  <si>
    <t>FVR_PRI_HR_IT0009_IBAN_CHECK_EP</t>
  </si>
  <si>
    <t>check IBAN</t>
  </si>
  <si>
    <t>FVR_PRI_HR_IT0006_ADDRESS_TYPE_UNIQUE</t>
  </si>
  <si>
    <t>check uniqueness of address type per employee</t>
  </si>
  <si>
    <t>FVR_PRI_HR_IT0009_BANKL_CHECK</t>
  </si>
  <si>
    <t>check bank key</t>
  </si>
  <si>
    <t>FVR_PRI_HR_OM_OBJECT_1050_TYPE</t>
  </si>
  <si>
    <t>allow only objects of type S and subtype JEM</t>
  </si>
  <si>
    <t>FVR_PRI_HR_IT0008_ENDDATE</t>
  </si>
  <si>
    <t>FVR_PRI_HR_IT0078_MAX_LOANS</t>
  </si>
  <si>
    <t>Ensure each employee has at most two loans.</t>
  </si>
  <si>
    <t>FVR_PRI_HR_OM_OBJECT_1001_RELAT</t>
  </si>
  <si>
    <t>allow only relationships:  007,002,003,011,012, Z08,  008</t>
  </si>
  <si>
    <t>FVR_PRI_HR_IT0009_IBAN_CHECK</t>
  </si>
  <si>
    <t>FVR_PRI_HR_IT0001_PLANS_FIELD_NOT_99999999</t>
  </si>
  <si>
    <t>position ID should not be 99999999</t>
  </si>
  <si>
    <t>FVR_PRI_HR_GENDER_CHECK</t>
  </si>
  <si>
    <t>check gender</t>
  </si>
  <si>
    <t>FVR_PRI_HR_OM_POSITION_EXIST</t>
  </si>
  <si>
    <t>position available in lookup table HRP1000 and in objid field</t>
  </si>
  <si>
    <t>FVR_PRI_HR_IT0008_PAYSCALE</t>
  </si>
  <si>
    <t>FVR_PRI_HR_OM_ORG_EXIST</t>
  </si>
  <si>
    <t>organization available in lookup table HRP1000 and in objid field</t>
  </si>
  <si>
    <t>FVR_PRI_HR_COUNTRY_CHECK</t>
  </si>
  <si>
    <t>check country</t>
  </si>
  <si>
    <t>FVR_PUB_DATE_COMAPRE</t>
  </si>
  <si>
    <t>compare two dates and ensure date1 before date2</t>
  </si>
  <si>
    <t>FVR_PRI_HR_OBJECT_LENGTH</t>
  </si>
  <si>
    <t>check the object length to be 8</t>
  </si>
  <si>
    <t>FVR_PRI_HR_OM_JOB_EXIST</t>
  </si>
  <si>
    <t>Job available in lookup table HRP1000 and in objid field</t>
  </si>
  <si>
    <t>IT0078</t>
  </si>
  <si>
    <t>$begda</t>
  </si>
  <si>
    <t>BEGIN
 return $begda = $zahld and $endda = $zahld;
END</t>
  </si>
  <si>
    <t>IT0021</t>
  </si>
  <si>
    <t>$empid</t>
  </si>
  <si>
    <t>BEGIN RETURN
is_unique($empid, $familytype);
 END</t>
  </si>
  <si>
    <t>IT0023</t>
  </si>
  <si>
    <t>$pernr</t>
  </si>
  <si>
    <t>BEGIN RETURN
is_unique($pernr, $begda);
 END</t>
  </si>
  <si>
    <t>BEGIN RETURN
$parameter0 = '99991231';
END</t>
  </si>
  <si>
    <t>$otype</t>
  </si>
  <si>
    <t>BEGIN RETURN
$otype = 'O' or $otype = 'S' or $otype = 'P' or $otype = 'K' or $otype = 'C' or $otype = 'BA' or $otype = 'BS' or $otype = 'ZA';
END</t>
  </si>
  <si>
    <t>BEGIN RETURN
$otype = 'O' or $otype = 'S' ;
END</t>
  </si>
  <si>
    <t>IT0009</t>
  </si>
  <si>
    <t>BEGIN RETURN
$parameter0 = 'C' or $parameter0 = 'P' or $parameter0 = 'S' or $parameter0 = 'E';
END</t>
  </si>
  <si>
    <t>IT0008</t>
  </si>
  <si>
    <t>BEGIN RETURN
$parameter0 = '01';
END</t>
  </si>
  <si>
    <t>IT0001</t>
  </si>
  <si>
    <t>BEGIN RETURN
$parameter0 != 0 and length($parameter0) = 1;
END</t>
  </si>
  <si>
    <t>BEGIN
RETURN  $parameter0 is not null and $parameter0 != '';
END</t>
  </si>
  <si>
    <t>IT0006</t>
  </si>
  <si>
    <t>$PERNR</t>
  </si>
  <si>
    <t>DECLARE
    # declare variables
    $EmpStatus varchar(10);
BEGIN 
$EmpStatus = lookup('EP_HR_Import', 'EP_HR_IMPORT.PA0000', 'PERNR', $PERNR, 'STAT2', null);
RETURN
$EmpStatus = '3';
 END</t>
  </si>
  <si>
    <t>BEGIN
IF ($parameter0 = 'P' or $parameter0 = 'S' or $parameter0 = 'E')
   BEGIN
      RETURN $parameter1 IS NOT NULL;
   END
ElSE
	BEGIN
	RETURN FALSE;
	END
END</t>
  </si>
  <si>
    <t>BEGIN RETURN
$otype = 'S' and $SUBTY = 'JEM' ;
END</t>
  </si>
  <si>
    <t>$ENDDA</t>
  </si>
  <si>
    <t>BEGIN RETURN
$Count = 1;
END</t>
  </si>
  <si>
    <t>$subty</t>
  </si>
  <si>
    <t>BEGIN
 return ($subty = '9000' and $objps &lt;= 2) or
	    (($subty in ('9001','9002','9003') and $objps &lt;= 1));
END</t>
  </si>
  <si>
    <t>$relat</t>
  </si>
  <si>
    <t>BEGIN RETURN
$relat = '002' or $relat = '003' or $relat = '007' or $relat = '008' or $relat = '011' or $relat = '012' or $relat = 'Z08' or $relat = '046' or $relat = '045';
END</t>
  </si>
  <si>
    <t>DECLARE
    # declare variables
    $EmpStatus varchar(10);
BEGIN 
$EmpStatus = lookup('EP_HR_Import', 'EP_HR_IMPORT.PA0000', 'PERNR', $PERNR, 'STAT2', null);
RETURN
$parameter0 != '99999999' AND $EmpStatus = '3' ;
END</t>
  </si>
  <si>
    <t>BEGIN
 return $parameter0 = '1' or $parameter0 = '2';
END</t>
  </si>
  <si>
    <t>$obid</t>
  </si>
  <si>
    <t>HRP1000</t>
  </si>
  <si>
    <t>OBJID</t>
  </si>
  <si>
    <t>BEGIN RETURN
exists('SIP_AMR_HR_IMPORT', 'SIP_AMR_HR_IMPORT.HRP1000', 'OBJID', $obid,'OTYPE','S','PLVAR','01');
END</t>
  </si>
  <si>
    <t>$TRFAR</t>
  </si>
  <si>
    <t>BEGIN RETURN
$Count &lt;= 1;
END</t>
  </si>
  <si>
    <t>BEGIN RETURN
 exists('EP_HR_IMPORT', 'EP_HR_IMPORT.HRP1000', 'OBJID', $obid,'OTYPE','O','PLVAR','01');
END</t>
  </si>
  <si>
    <t>$date1</t>
  </si>
  <si>
    <t>BEGIN RETURN
$date1 &lt; $date2;
 END</t>
  </si>
  <si>
    <t>BEGIN RETURN
length($obid) = 8;
END</t>
  </si>
  <si>
    <t>BEGIN RETURN
exists('EP_HR_IMPORT', 'EP_HR_IMPORT.HRP1000', 'OBJID', $obid,'OTYPE','C','PLVAR','01');
END</t>
  </si>
  <si>
    <t>HR</t>
  </si>
  <si>
    <t>FVR_PRI_APO_DP_Geo_Code_Grouping2</t>
  </si>
  <si>
    <t>APO DP Geo Code Grouping 2:
1) The combination of (Sales Org., Distribution Channel, Division, GROUPLANDLZONE and Country Key) should be Entered and unique</t>
  </si>
  <si>
    <t>FVR_PRI_APO_DP_DFP_PRODUCT_GROUP_Country_Level</t>
  </si>
  <si>
    <t>APO DP Demand Fulfillment Point (DFP PRODUCT GROUP-Country Level):
1) The combination of (Application, AFFL_ASSET_LOC, LANDLZONE, Valid From, Valid To) should be entered and unique
2) Valid To should be After Valis From
3) If the enter Plant, the SNP_TZONE should be Blank</t>
  </si>
  <si>
    <t>FVR_PRI_APO_DP_DFP_Grade_Country_Level</t>
  </si>
  <si>
    <t>APO DP Demand Fulfillment Point (DFP Grade-Country Level):
1) The combination of (Grade, LANDLZONE, Valid From, Valid To) should be entered and unique
2) Valid To should be After Valis From
3) If the enter Plant, the SNP_TZONE should be Blank</t>
  </si>
  <si>
    <t>FVR_PRI_APO_DP_DFP_SKU_Group_TZone_Level</t>
  </si>
  <si>
    <t>APO DP Demand Fulfillment Point (DFP SKU-Group T-Zone Level):
1) The combination of (SKU, GROUPLZONE, Valid From, Valid To) should be entered and unique
2) Valid To should be After Valis From
3) If the enter Plant, the SNP_TZONE should be Blank</t>
  </si>
  <si>
    <t>FVR_PRI_APO_SNP_SAPAPO_LOCIO Chemicals Transp_Zone</t>
  </si>
  <si>
    <t>For Chemicals Transportation Zone:
1) The Location Name 'LOCNO'must be start with 'CH_'
2) The Location Type 'LOCTYPE L' must be '1005'
3) The Version 'VRSIOEX' must be '000'</t>
  </si>
  <si>
    <t>FVR_PRI_APO_DP_Sales_Office</t>
  </si>
  <si>
    <t>APO DP Sales Office:
1) Sales Office should be a unique</t>
  </si>
  <si>
    <t>FVR_PRI_APO_DP_DFP_Application_SHIP_TO_Level</t>
  </si>
  <si>
    <t>APO DP Demand Fulfillment Point (DFP Application-Ship To Level):
1) The combination of (Application, AFFL_ASSET_LOC, Ship To, Valid From, Valid To) should be entered and unique
2) Valid To should be After Valis From
3) If the enter Plant, the SNP_TZONE should be Blank</t>
  </si>
  <si>
    <t>FVR_PRI_APO_DP_Product_Status_PlanProdGroup_Level</t>
  </si>
  <si>
    <t>APO DP Product Status (Planning Product Group Level):
1) Planning Product Group should be unique
2) Speciality Indicator should be in {# , NO or YES}
3) Produ Status should be in {#, ACT, DEL, DIS, NEW or OFF}</t>
  </si>
  <si>
    <t>FVR_PRI_APO_DP_DFP_SKU_Group_Country_Level</t>
  </si>
  <si>
    <t>APO DP Demand Fulfillment Point (DFP SKU-Group Country Level):
1) The combination of (SKU, GROUPLANDLZONE, Valid From, Valid To) should be entered and unique
2) Valid To should be After Valis From
3) If the enter Plant, the SNP_TZONE should be Blank</t>
  </si>
  <si>
    <t>FVR_PRI_APO_DP_DFP_SKU_SHIP_TO_Level</t>
  </si>
  <si>
    <t>APO DP Demand Fulfillment Point (DFP SKU-Ship To Level):
1) The combination of (SKU, Ship To, Valid From, Valid To) should be entered and unique
2) Valid To should be After Valis From
3) If the enter Plant, the SNP_TZONE should be Blank</t>
  </si>
  <si>
    <t>FVR_PRI_APO_SNP_SAPAPO_MATIO  Chemls Location Prod</t>
  </si>
  <si>
    <t>Location Product For Chemicals:
1) Only Transportation Zones 
2) For Chemicals start with 'CH_'
3) Location and product should be unique
4) Planning Version shold be '000'
5) Requirement strategy 'STRA1' should be in{10 , 20 , 21, 30, 35, 40, 50, ZS, ZW} 
10 = MAKE-TO-STOCK PRODUCTION
20 = PLANNING WITH FINAL ASSEMBLY
21 = PLANNING WITH THIRD PARTY ORDERS
30 = PLANNING WITHOUT FINAL ASSEMBLY
35 = PLANNING W/O FINAL ASSEMBLY FOR CONFIG.
40 = PLANNING PRODUCT
50 = VMI PLANNING (ICH)
ZS = SABIC MTS WITH ORDER CONSUMPTION
ZW = PLANNING WITH FINAL ASSEMBLY WH SABIC</t>
  </si>
  <si>
    <t>FVR_PRI_APO_SNP_Quota_Arrangement</t>
  </si>
  <si>
    <t>APO SNP Quota Arrangement rules:
1) "Start Location" , "Product" , "Start Date" ,"End Date" and "Partner Location " are unique input
2) The input should be date in the format DD.MM.YYYY
3) The End Date should be after Start Date</t>
  </si>
  <si>
    <t>FVR_PRI_APO_DP_Product_Status_SKU_Level</t>
  </si>
  <si>
    <t>APO DP Product Status (SKU Level):
1) SKU should be unique
2) Speciality Indicator ahpuld be in {# , NO or YES}
3) Produ Status should be in {#, ACT, DEL, DIS, NEW or OFF}</t>
  </si>
  <si>
    <t>FVR_PRI_APO_DP_DFP_Application_Group_Country_Level</t>
  </si>
  <si>
    <t>APO DP Demand Fulfillment Point (DFP Application-Group Country Level):
1) The combination of (Application, AFFL_ASSET_LOC, GROUPLANDLZONE, Valid From, Valid To) should be entered and unique
2) Valid To should be After Valis From
3) If the enter Plant, the SNP_TZONE should be Blank</t>
  </si>
  <si>
    <t>FVR_PRI_APO_DP_DFP_Product_Group_SHIP_TO_Level</t>
  </si>
  <si>
    <t>APO DP Demand Fulfillment Point (DFP Product Group-Ship To Level):
1) The combination of (Product Group, AFFL_ASSET_LOC, Ship To, Valid From, Valid To) should be entered and unique
2) Valid To should be After Valis From
3) If the enter Plant, the SNP_TZONE should be Blank</t>
  </si>
  <si>
    <t>FVR_PRI_APO_DP_DFP_Grade_SHIP_TO_Level</t>
  </si>
  <si>
    <t>APO DP Demand Fulfillment Point (DFP Grade-Ship To Level):
1) The combination of (Grade, Ship To, Valid From, Valid To) should be entered and unique
2) Valid To should be After Valis From
3) If the enter Plant, the SNP_TZONE should be Blank</t>
  </si>
  <si>
    <t>FVR_PRI_APO_DP_DFP_SKU_Country_Level</t>
  </si>
  <si>
    <t>APO DP Demand Fulfillment Point (DFP SKU-Country Level):
1) The combination of (SKU, LANDLZONE, Valid From, Valid To) should be entered and unique
2) Valid To should be After Valis From
3) If the enter Plant, the SNP_TZONE should be Blank</t>
  </si>
  <si>
    <t>FVR_PRI_APO_DP_Customer_Status_Sold_To_Level</t>
  </si>
  <si>
    <t>APO DP Customer Status (Sold To Level):
1) Sold To should be unique
2) Customer Status should be in {#, ACT, DEL, DIS or NEW}</t>
  </si>
  <si>
    <t>FVR_PRI_APO_SNP_Resource</t>
  </si>
  <si>
    <t>APO SNP Resource:
1) Resource Name "NAME" with the Version "VRSIOEX" are unique input
2) Monthly "BEGDA" (First day of the month)
3) The Unit "CAPACITY_UNIT" is TO</t>
  </si>
  <si>
    <t>FVR_PRI_APO_DP_Delivery_Model</t>
  </si>
  <si>
    <t>APO DP Delivery Model:
1) The Delivery Model Value should be (DIR , STF or WHS)</t>
  </si>
  <si>
    <t>FVR_PRI_APO_DP_DFP_Application_Country_Level</t>
  </si>
  <si>
    <t>APO DP Demand Fulfillment Point (DFP Application-Country Level):
1) The combination of (Application, AFFL_ASSET_LOC, LANDLZONE, Valid From, Valid To) should be entered and unique
2) Valid To should be After Valis From
3) If the enter Plant, the SNP_TZONE should be Blank</t>
  </si>
  <si>
    <t>FVR_PRI_APO_SNP_Transportation_Lane</t>
  </si>
  <si>
    <t>APO SNP Transportation Lane:
1) "Start Location" , "Destination Location “, "Product", "From date" and "End Date" are unique input
2) The End Date should be after Start Date</t>
  </si>
  <si>
    <t>FVR_PRI_APO_SNP_SAPAPO_LOCIO Polymers Transp_Zone</t>
  </si>
  <si>
    <t>For Polymers Transportation Zone:
1) The Location Name 'LOCNO'must be start with 'TZ_'
2) The Location Type 'LOCTYPE L' must be '1005'
3) The Version 'VRSIOEX' must be '000'</t>
  </si>
  <si>
    <t>FVR_PRI_APO_DP_Product_Status_Grade_Level</t>
  </si>
  <si>
    <t>APO DP Product Status (Grade Level):
1) Grade should be unique
2) Speciality Indicator ahpuld be in {# , NO or YES}
3) Produ Status should be in {#, ACT, DEL, DIS, NEW or OFF}</t>
  </si>
  <si>
    <t>FVR_PRI_APO_DP_Sales_Office_Assign_To_Territory</t>
  </si>
  <si>
    <t>APO DP Assign Sales Office to Planning Territory:
1) Sales Office with Planning Territory should be a unique</t>
  </si>
  <si>
    <t>FVR_PRI_APO_DP_Customer_Status_Pln_Territory_Level</t>
  </si>
  <si>
    <t>APO DP Customer Status (Planning Territory Level):
1) Planning Territory should be unique
2) Customer Status should be in {#, ACT, DEL, DIS or NEW}</t>
  </si>
  <si>
    <t>FVR_PRI_APO_DP_Geo_Code_Grouping1</t>
  </si>
  <si>
    <t>APO DP Geo Code Grouping 1:
1) The combination of (Sales Org., Distribution Channel, Division, GROUPLZONE and Transport Zone) should be Entered and unique</t>
  </si>
  <si>
    <t>FVR_PRI_APO_DP_DFP_Grade_Group_TZone _Level</t>
  </si>
  <si>
    <t>APO DP Demand Fulfillment Point (DFP Grade-Group T-Zone Level):
1) The combination of (Grade, GROUPLZONE, Valid From, Valid To) should be entered and unique
2) Valid To should be After Valis From
3) If the enter Plant, the SNP_TZONE should be Blank</t>
  </si>
  <si>
    <t>FVR_PRI_APO_SNP_SAPAPO_MATIO Polymer Location Prod</t>
  </si>
  <si>
    <t>FVR_PRI_APO_DP_Planning_Territory</t>
  </si>
  <si>
    <t>APO DP Planning Territory:
1) The combination of (Sales Org., Distribution Channel, Division and PLAN_TERRI) should be Entered and unique</t>
  </si>
  <si>
    <t>FVR_PRI_APO_DP_DFP_Product_Group_Group_TZone_Level</t>
  </si>
  <si>
    <t>APO DP Demand Fulfillment Point (DFP Product Group-Group T-Zone Level):
1) The combination of (Product Group, AFFL_ASSET_LOC, Group T-Zone, Valid From, Valid To) should be entered and unique
2) Valid To should be After Valis From
3) If the enter Plant, the SNP_TZONE should be Blank</t>
  </si>
  <si>
    <t>FVR_PRI_APO_DP_Customer_Status_Planing_Group_Level</t>
  </si>
  <si>
    <t>APO DP Customer Status (Planning Group Level):
1) Planning Group should be unique
2) Customer Status should be in {#, ACT, DEL, DIS or NEW}</t>
  </si>
  <si>
    <t>FVR_PRI_APO_DP_DFP_Grade_Group_Country_Level</t>
  </si>
  <si>
    <t>APO DP Demand Fulfillment Point (DFP Grade-Group Country Level):
1) The combination of (Grade, GROUPLANDLZONE, Valid From, Valid To) should be entered and unique
2) Valid To should be After Valis From
3) If the enter Plant, the SNP_TZONE should be Blank</t>
  </si>
  <si>
    <t>FVR_PRI_APO_DP_Geo_Code_Grouping3</t>
  </si>
  <si>
    <t>APO DP Geo Code Grouping 3:
1) The combination of (Sales Org., Distribution Channel, Division, GROUPLANDLZONE and REGION) should be Entered and unique</t>
  </si>
  <si>
    <t>FVR_PRI_APO_DP_DFP_Application_Group_TZone_Level</t>
  </si>
  <si>
    <t>APO DP Demand Fulfillment Point (DFP Application-Group T-Zone Level):
1) The combination of (Application, AFFL_ASSET_LOC, GROUPLZONE, Valid From, Valid To) should be entered and unique
2) Valid To should be After Valis From
3) If the enter Plant, the SNP_TZONE should be Blank</t>
  </si>
  <si>
    <t>FVR_PRI_APO_DP_DFP_ProdGroup_Group_Country_Level</t>
  </si>
  <si>
    <t>APO DP Demand Fulfillment Point (DFP Product Group-Group Country Level):
1) The combination of (Application, AFFL_ASSET_LOC, GROUPLANDLZONE, Valid From, Valid To) should be entered and unique
2) Valid To should be After Valis From
3) If the enter Plant, the SNP_TZONE should be Blank</t>
  </si>
  <si>
    <t>FVR_PRI_APO_DP_CVC</t>
  </si>
  <si>
    <t>APO DP Characteristic Value Combination (CVC) :
1) The combination of (Planning Group, Planning Region, Planning Territory, Ship To, Sold To, Grade, Planning Application, Planning Product Family (BU), Planning Product Group, SBU, SKU, CP-Demand Fulfilment Point, Ship-To Compounded (SKU)) should be a unique</t>
  </si>
  <si>
    <t>$VKORG</t>
  </si>
  <si>
    <t>BEGIN RETURN
is_unique($VKORG, $VTWEG, $SPART, $ZGROUPLANDLZONE, $LAND1);
END</t>
  </si>
  <si>
    <t>$ZPRODUCT_GROUP</t>
  </si>
  <si>
    <t>BEGIN RETURN
(
is_unique($ZPRODUCT_GROUP,$ZAFFL_ASSET_LOC, $LAND1, $ZVALID_FROM, $ZVALID_TO)
AND ((length($WERKS_D) IS NULL ) OR (length($ZSNP_TZONE) IS NULL ))
AND ((to_date($ZVALID_FROM, 'dd.mm.yyyy'))  &lt; (to_date($ZVALID_TO, 'dd.mm.yyyy')))
);
END</t>
  </si>
  <si>
    <t>$ZGRADE</t>
  </si>
  <si>
    <t>BEGIN RETURN
(
is_unique($ZGRADE, $LAND1, $ZVALID_FROM, $ZVALID_TO)
AND ((length($WERKS_D) IS NULL ) OR (length($ZSNP_TZONE) IS NULL ))
AND ((to_date($ZVALID_FROM, 'dd.mm.yyyy'))  &lt; (to_date($ZVALID_TO, 'dd.mm.yyyy')))
);
END</t>
  </si>
  <si>
    <t>BEGIN RETURN
(
is_unique($MATNR, $ZGROUPLZONE, $ZVALID_FROM, $ZVALID_TO)
AND ((length($WERKS_D) IS NULL ) OR (length($ZSNP_TZONE) IS NULL ))
AND ((to_date($ZVALID_FROM, 'dd.mm.yyyy'))  &lt; (to_date($ZVALID_TO, 'dd.mm.yyyy')))
);
END</t>
  </si>
  <si>
    <t>$LOCNO</t>
  </si>
  <si>
    <t>BEGIN RETURN
substr(lower($LOCNO),1 , 3) = 'ch_' AND is_unique($LOCNO) AND $LOCTYPEL = '1005' AND $VRSIOEX = '000';
END</t>
  </si>
  <si>
    <t>$ZPCSLSOFF</t>
  </si>
  <si>
    <t>BEGIN RETURN
is_unique($ZPCSLSOFF);
END</t>
  </si>
  <si>
    <t>$ZAPPLICATION</t>
  </si>
  <si>
    <t>BEGIN RETURN
(
is_unique($ZAPPLICATION,$ZAFFL_ASSET_LOC, $KUNNR, $ZVALID_FROM, $ZVALID_TO)
AND ((length($WERKS_D) IS NULL ) OR (length($ZSNP_TZONE) IS NULL ))
AND ((to_date($ZVALID_FROM, 'dd.mm.yyyy'))  &lt; (to_date($ZVALID_TO, 'dd.mm.yyyy')))
);
END</t>
  </si>
  <si>
    <t>$BIC_ZPPPLNGRP</t>
  </si>
  <si>
    <t>BEGIN RETURN
(
is_unique($BIC_ZPPPLNGRP)  
AND (upper($BIC_ZPPSPLTY) IN ('NO','YES','',' ') OR (length($BIC_ZPPSPLTY) IS NULL))
AND (upper($BIC_ZPPRDSTAT) IN ('ACT','DEL','DIS','NEW','OFF','',' ')OR (length($BIC_ZPPRDSTAT) IS NULL))
);
END</t>
  </si>
  <si>
    <t>BEGIN RETURN
(
is_unique($MATNR, $ZGROUPLANDLZONE, $ZVALID_FROM, $ZVALID_TO)
AND ((length($WERKS_D) IS NULL ) OR (length($ZSNP_TZONE) IS NULL ))
AND ((to_date($ZVALID_FROM, 'dd.mm.yyyy'))  &lt; (to_date($ZVALID_TO, 'dd.mm.yyyy')))
);
END</t>
  </si>
  <si>
    <t>BEGIN RETURN
(
is_unique($MATNR, $KUNNR, $ZVALID_FROM, $ZVALID_TO)
AND ((length($WERKS_D) IS NULL ) OR (length($ZSNP_TZONE) IS NULL ))
AND ((to_date($ZVALID_FROM, 'dd.mm.yyyy'))  &lt; (to_date($ZVALID_TO, 'dd.mm.yyyy')))
);
END</t>
  </si>
  <si>
    <t>BEGIN RETURN
substr(lower($LOCNO),1 , 3) = 'ch_' AND is_unique($LOCNO , $MATNR) AND $VRSIOEX = '000' AND ($STRA1 IN ('10','20','21','30','35','40','50','ZS','ZW'));
END</t>
  </si>
  <si>
    <t>BEGIN RETURN
((is_unique($LOCNO, $LOCNOCTP, $MATNR, $DVALFR, $DVALTO)) AND ((to_date($DVALFR, 'dd.mm.yyyy'))&lt; (to_date($DVALTO, 'dd.mm.yyyy'))) AND ($QUOTA &lt;= 100) AND ((upper($QTSPLT) = 'X') OR (length(ltrim($QTSPLT, ' ')) = 0)));
END</t>
  </si>
  <si>
    <t>$BIC_ZPPSKU</t>
  </si>
  <si>
    <t>BEGIN RETURN
(
is_unique($BIC_ZPPSKU)  
AND (upper($BIC_ZPPSPLTY) IN ('NO','YES','',' ') OR (length($BIC_ZPPSPLTY) IS NULL))
AND (upper($BIC_ZPPRDSTAT) IN ('ACT','DEL','DIS','NEW','OFF','',' ')OR (length($BIC_ZPPRDSTAT) IS NULL))
);
END</t>
  </si>
  <si>
    <t>BEGIN RETURN
(
is_unique($ZAPPLICATION,$ZAFFL_ASSET_LOC, $ZGROUPLANDLZONE, $ZVALID_FROM, $ZVALID_TO)
AND ((length($WERKS_D) IS NULL ) OR (length($ZSNP_TZONE) IS NULL ))
AND ((to_date($ZVALID_FROM, 'dd.mm.yyyy'))  &lt; (to_date($ZVALID_TO, 'dd.mm.yyyy')))
);
END</t>
  </si>
  <si>
    <t>BEGIN RETURN
(
is_unique($ZPRODUCT_GROUP,$ZAFFL_ASSET_LOC, $KUNNR, $ZVALID_FROM, $ZVALID_TO)
AND ((length($WERKS_D) IS NULL ) OR (length($ZSNP_TZONE) IS NULL ))
AND ((to_date($ZVALID_FROM, 'dd.mm.yyyy'))  &lt; (to_date($ZVALID_TO, 'dd.mm.yyyy')))
);
END</t>
  </si>
  <si>
    <t>BEGIN RETURN
(
is_unique($ZGRADE, $KUNNR, $ZVALID_FROM, $ZVALID_TO)
AND ((length($WERKS_D) IS NULL ) OR (length($ZSNP_TZONE) IS NULL ))
AND ((to_date($ZVALID_FROM, 'dd.mm.yyyy'))  &lt; (to_date($ZVALID_TO, 'dd.mm.yyyy')))
);
END</t>
  </si>
  <si>
    <t>BEGIN RETURN
(
is_unique($MATNR, $LAND1, $ZVALID_FROM, $ZVALID_TO)
AND ((length($WERKS_D) IS NULL ) OR (length($ZSNP_TZONE) IS NULL ))
AND ((to_date($ZVALID_FROM, 'dd.mm.yyyy'))  &lt; (to_date($ZVALID_TO, 'dd.mm.yyyy')))
);
END</t>
  </si>
  <si>
    <t>$BIC_ZPCSOLDTO</t>
  </si>
  <si>
    <t>BEGIN RETURN
(
is_unique($BIC_ZPCSOLDTO)  
AND (upper($BIC_ZPCCUSTAT) IN ('ACT','DEL','DIS','NEW','',' ')OR (length($BIC_ZPCCUSTAT) IS NULL))
);
END</t>
  </si>
  <si>
    <t>$NAME</t>
  </si>
  <si>
    <t>BEGIN RETURN
(
is_unique($NAME, $VRSIOEX) AND (day_in_month(to_date($BEGDA, 'dd.mm.yyyy')) = 1) AND (upper($CAPACITY_UNIT) = 'TO')
);
END</t>
  </si>
  <si>
    <t>$WERKS_D</t>
  </si>
  <si>
    <t>BEGIN RETURN
(upper($ZDELIVERYMODE) IN ('DIR','STF','WHS'));
END</t>
  </si>
  <si>
    <t>BEGIN RETURN
(
is_unique($ZAPPLICATION,$ZAFFL_ASSET_LOC, $LAND1, $ZVALID_FROM, $ZVALID_TO)
AND ((length($WERKS_D) IS NULL ) OR (length($ZSNP_TZONE) IS NULL ))
AND ((to_date($ZVALID_FROM, 'dd.mm.yyyy'))  &lt; (to_date($ZVALID_TO, 'dd.mm.yyyy')))
);
END</t>
  </si>
  <si>
    <t>$LOCNOFR</t>
  </si>
  <si>
    <t>BEGIN RETURN
(
(is_unique($LOCNOFR, $LOCNOTO, $MATNR, $BEGDATUM, $ENDDATUM))
AND ((to_date($BEGDATUM, 'dd.mm.yyyy'))&lt; (to_date($ENDDATUM, 'dd.mm.yyyy')))
AND (upper($TTYPETXT) IN ('0001','0002','0003','0004','0005','0006','ZCH_COA','ZCH_COA_SS','ZCH_SPOT','ZCH_SPT_SS','ZCH_TC','ZCH_TC_SS','ZFE_FOB','ZFE_SPOT','ZFE_TC'))
);
END</t>
  </si>
  <si>
    <t>BEGIN RETURN
substr(lower($LOCNO), 1, 3) = 'tz_' AND is_unique($LOCNO) AND $LOCTYPEL = '1005' AND $VRSIOEX = '000';
END</t>
  </si>
  <si>
    <t>$BIC_ZPPGRADE</t>
  </si>
  <si>
    <t>BEGIN RETURN
(
is_unique($BIC_ZPPGRADE)  
AND (upper($BIC_ZPPSPLTY) IN ('NO','YES','',' ') OR (length($BIC_ZPPSPLTY) IS NULL))
AND (upper($BIC_ZPPRDSTAT) IN ('ACT','DEL','DIS','NEW','OFF','',' ')OR (length($BIC_ZPPRDSTAT) IS NULL))
);
END</t>
  </si>
  <si>
    <t>$BIC_ZPCPLNTER</t>
  </si>
  <si>
    <t>BEGIN RETURN
is_unique($BIC_ZPCPLNTER, $_BIC_ZPCSLSOFF);
END</t>
  </si>
  <si>
    <t>BEGIN RETURN
(
is_unique($BIC_ZPCPLNTER)  
AND (upper($BIC_ZPCCUSTAT) IN ('ACT','DEL','DIS','NEW','',' ')OR (length($BIC_ZPCCUSTAT) IS NULL))
);
END</t>
  </si>
  <si>
    <t>BEGIN RETURN
is_unique($VKORG, $VTWEG, $SPART, $ZGROUPLZONE, $LZONE);
END</t>
  </si>
  <si>
    <t>BEGIN RETURN
(
is_unique($ZGRADE, $ZGROUPLZONE, $ZVALID_FROM, $ZVALID_TO)
AND ((length($WERKS_D) IS NULL ) OR (length($ZSNP_TZONE) IS NULL ))
AND ((to_date($ZVALID_FROM, 'dd.mm.yyyy'))  &lt; (to_date($ZVALID_TO, 'dd.mm.yyyy')))
);
END</t>
  </si>
  <si>
    <t>BEGIN RETURN
substr(lower($LOCNO),1 , 3) = 'tz_' AND is_unique($LOCNO , $MATNR) AND $VRSIOEX = '000' AND ($STRA1 IN ('10','20','21','30','35','40','50','ZS','ZW'));
END</t>
  </si>
  <si>
    <t>BEGIN RETURN
is_unique($VKORG, $VTWEG, $SPART, $ZPLANTERRI);
END</t>
  </si>
  <si>
    <t>BEGIN RETURN
(
is_unique($ZPRODUCT_GROUP,$ZAFFL_ASSET_LOC, $ZGROUPLZONE, $ZVALID_FROM, $ZVALID_TO)
AND ((length($WERKS_D) IS NULL ) OR (length($ZSNP_TZONE) IS NULL ))
AND ((to_date($ZVALID_FROM, 'dd.mm.yyyy'))  &lt; (to_date($ZVALID_TO, 'dd.mm.yyyy')))
);
END</t>
  </si>
  <si>
    <t>$BIC_ZPCPLNGRP</t>
  </si>
  <si>
    <t>BEGIN RETURN
(
is_unique($BIC_ZPCPLNGRP)  
AND (upper($BIC_ZPCCUSTAT) IN ('ACT','DEL','DIS','NEW','',' ')OR (length($BIC_ZPCCUSTAT) IS NULL))
);
END</t>
  </si>
  <si>
    <t>BEGIN RETURN
(
is_unique($ZGRADE, $ZGROUPLANDLZONE, $ZVALID_FROM, $ZVALID_TO)
AND ((length($WERKS_D) IS NULL ) OR (length($ZSNP_TZONE) IS NULL ))
AND ((to_date($ZVALID_FROM, 'dd.mm.yyyy'))  &lt; (to_date($ZVALID_TO, 'dd.mm.yyyy')))
);
END</t>
  </si>
  <si>
    <t>BEGIN RETURN
is_unique($VKORG, $VTWEG, $SPART, $ZGROUPLANDLZONE, $Z_GEO_REGION);
END</t>
  </si>
  <si>
    <t>BEGIN RETURN
(
is_unique($ZAPPLICATION,$ZAFFL_ASSET_LOC, $ZPRODUCT_GROUP, $ZVALID_FROM, $ZVALID_TO)
AND ((length($WERKS_D) IS NULL ) OR (length($ZSNP_TZONE) IS NULL ))
AND ((to_date($ZVALID_FROM, 'dd.mm.yyyy'))  &lt; (to_date($ZVALID_TO, 'dd.mm.yyyy')))
);
END</t>
  </si>
  <si>
    <t>BEGIN RETURN
(
is_unique($ZPRODUCT_GROUP,$ZAFFL_ASSET_LOC, $ZGROUPLANDLZONE, $ZVALID_FROM, $ZVALID_TO)
AND ((length($WERKS_D) IS NULL ) OR (length($ZSNP_TZONE) IS NULL ))
AND ((to_date($ZVALID_FROM, 'dd.mm.yyyy'))  &lt; (to_date($ZVALID_TO, 'dd.mm.yyyy')))
);
END</t>
  </si>
  <si>
    <t>$ZCCPLNGRP</t>
  </si>
  <si>
    <t>BEGIN RETURN
is_unique($ZCCPLNGRP, $ZCCPLNREG, $ZCCPLNTER, $ZCCSHIPTO, $ZCCSOLDTO, $ZCPGRADE, $ZCPPLNAPP, $ZCPPLNFAM, $ZCPPLNGRP, $ZCPSBU, $ZCPSKU, $ZCXDFP, $ZCXSHTSKU);
END</t>
  </si>
  <si>
    <t>APO</t>
  </si>
  <si>
    <t>FVR_PRI_PS_PROJ_VBUKR_WBS</t>
  </si>
  <si>
    <t>PROJ_VBUKR</t>
  </si>
  <si>
    <t>FVR_PRI_PS_PROJ_IMPRF_WBS</t>
  </si>
  <si>
    <t>PROJ_IMPRF</t>
  </si>
  <si>
    <t>FVR_PUB_FIELD_IS_X</t>
  </si>
  <si>
    <t>This rule os for fields that should be filled with 'X'</t>
  </si>
  <si>
    <t>FVR_PRI_PS_PRHI_UP_WBS</t>
  </si>
  <si>
    <t>PRHI_UP</t>
  </si>
  <si>
    <t>FVR_PRI_PS_PROJ_PSPID_WBS</t>
  </si>
  <si>
    <t>PROJ-PSPID</t>
  </si>
  <si>
    <t>FVR_PRI_PS_PROJ_SCOPE_WBS</t>
  </si>
  <si>
    <t>PROJ-SCOPE</t>
  </si>
  <si>
    <t>FVR_PRI_PS_PROJ_VPROF_WBS</t>
  </si>
  <si>
    <t>PROJ_VPROF</t>
  </si>
  <si>
    <t>FVR_PRI_PS_PRPS_POSID_WBS</t>
  </si>
  <si>
    <t>PRPSS_POSID</t>
  </si>
  <si>
    <t>FVR_PRI_PS_CRHD_VGARB_WC</t>
  </si>
  <si>
    <t>CRHD-VGARB</t>
  </si>
  <si>
    <t>FVR_PRI_PS_PROJ_PROFL_WBS</t>
  </si>
  <si>
    <t>PROJ_PROFL</t>
  </si>
  <si>
    <t>FVR_PRI_PS_PROJ_VERNR_WBS</t>
  </si>
  <si>
    <t>PROJ_VERNR</t>
  </si>
  <si>
    <t>FVR_PRI_PS_PROJ_SCPRF_WBS</t>
  </si>
  <si>
    <t>PROJ_SCPRF</t>
  </si>
  <si>
    <t>FVR_PRI_PS_CRCO_KOSTL_WC</t>
  </si>
  <si>
    <t>CRCO-KOSTL</t>
  </si>
  <si>
    <t>FVR_PRI_PS_KAKO_PLANR_WC</t>
  </si>
  <si>
    <t>KAKO-PLANR</t>
  </si>
  <si>
    <t>FVR_PRI_PS_PROJ_KALID_WBS</t>
  </si>
  <si>
    <t>PROJ_KALID</t>
  </si>
  <si>
    <t>FVR_PRI_PS_PROJ_PPROF_WBS</t>
  </si>
  <si>
    <t>PROJ_PPROF</t>
  </si>
  <si>
    <t>FVR_PRI_PS_PRHI_POSNR_WBS</t>
  </si>
  <si>
    <t>PRHI_POSNR</t>
  </si>
  <si>
    <t>FVR_PRI_PS_PROJ_ZTEHT_WBS</t>
  </si>
  <si>
    <t>PROJ_ZTEHT</t>
  </si>
  <si>
    <t>FVR_PUB_FIELD_IS_X_OR_NULL</t>
  </si>
  <si>
    <t>FVR_PRI_PS_CRHD_ARBPL_WC</t>
  </si>
  <si>
    <t>CRHD-ARBPL</t>
  </si>
  <si>
    <t>FVR_PRI_PS_CRCA_FORKN_WC</t>
  </si>
  <si>
    <t>FVR_PRI_PS_PROJ_BPROF_WBS</t>
  </si>
  <si>
    <t>PROJ_BPROF</t>
  </si>
  <si>
    <t>FVR_PRI_PS_Key For Task List Usage_WC</t>
  </si>
  <si>
    <t>CRHD-PLANV</t>
  </si>
  <si>
    <t>FVR_PRI_PS_PRPS_PBUKR_WBS</t>
  </si>
  <si>
    <t>PRPS_PBUKR</t>
  </si>
  <si>
    <t>FVR_PRI_PS_Person Responsible for WC_WC</t>
  </si>
  <si>
    <t>CRHD-VERAN</t>
  </si>
  <si>
    <t>FVR_PRI_PS_TCJ05_ASTNR_APP</t>
  </si>
  <si>
    <t>TCJ04_VERNR</t>
  </si>
  <si>
    <t>FVR_PRI_PS_CRCO_FORML_WC</t>
  </si>
  <si>
    <t>CRCO-FORML</t>
  </si>
  <si>
    <t>FVR_PRI_PS_PRPS_KOSTL_WBS</t>
  </si>
  <si>
    <t>PRPS_KOSTL</t>
  </si>
  <si>
    <t>FVR_PRI_PS_PROJ_ASTNR_WBS</t>
  </si>
  <si>
    <t>PROJ_ASTNR</t>
  </si>
  <si>
    <t>FVR_PRI_PS_PRPS_PSPRI_WBS</t>
  </si>
  <si>
    <t>PRPS_PSPRI</t>
  </si>
  <si>
    <t>FVR_PRI_PS_CRCO_LSTAR_WC</t>
  </si>
  <si>
    <t>CRCO-LSTAR</t>
  </si>
  <si>
    <t>FVR_PRI_PS_PRPS_FABKL_WBS</t>
  </si>
  <si>
    <t>PRPS_FABKL</t>
  </si>
  <si>
    <t>FVR_PRI_PS_Dimension Of Work_WC</t>
  </si>
  <si>
    <t>CRHD-VGDIM</t>
  </si>
  <si>
    <t>FVR_PRI_PS_PRHI_PSPID_WBS</t>
  </si>
  <si>
    <t>PRHI_PSPID</t>
  </si>
  <si>
    <t>FVR_PRI_PS_TCJ04_VERNR_RP</t>
  </si>
  <si>
    <t>CRHD-WERKS</t>
  </si>
  <si>
    <t>FVR_PRI_PS_PROJ_WERKS_WBS</t>
  </si>
  <si>
    <t>PROJ_WERKS</t>
  </si>
  <si>
    <t>FVR_PRI_PS_PRPS_PRART_WBS</t>
  </si>
  <si>
    <t>PRPS_PRART</t>
  </si>
  <si>
    <t>FVR_PRI_PS_WS Category_WC</t>
  </si>
  <si>
    <t>CRHD-VERWE</t>
  </si>
  <si>
    <t>FVR_PRI_PS_PROJ_TXJCD_WBS</t>
  </si>
  <si>
    <t>PROJ_TXJCD</t>
  </si>
  <si>
    <t>FVR_PRI_PS_PROJ_FMPRF_WBS</t>
  </si>
  <si>
    <t>PROJ_FMPRF</t>
  </si>
  <si>
    <t>FVR_PRI_PS_PRPS_STUFE_WBS</t>
  </si>
  <si>
    <t>PRPS-STUFE
This measure validates the cost center Fanar format.</t>
  </si>
  <si>
    <t>FVR_PRI_PS_KAKO_KAPAR_WC</t>
  </si>
  <si>
    <t>KAKO-KAPAR</t>
  </si>
  <si>
    <t>FVR_PRI_PS_CRCA_VETRN_WC</t>
  </si>
  <si>
    <t>CRCA-VETRN</t>
  </si>
  <si>
    <t>PSIM</t>
  </si>
  <si>
    <t>PROJ</t>
  </si>
  <si>
    <t>$VBUKR</t>
  </si>
  <si>
    <t>$IMPRF</t>
  </si>
  <si>
    <t>TAPRF</t>
  </si>
  <si>
    <t>IVPRO</t>
  </si>
  <si>
    <t>BEGIN RETURN
upper($p0) = 'X';
END</t>
  </si>
  <si>
    <t>PRHI</t>
  </si>
  <si>
    <t>$UP</t>
  </si>
  <si>
    <t>PRPS</t>
  </si>
  <si>
    <t>PSPNR</t>
  </si>
  <si>
    <t>$PSPID</t>
  </si>
  <si>
    <t>DECLARE
$1char varchar(1);
$2char varchar(1);
$34char varchar(2);
$rest varchar(7);
BEGIN 
$1char = substr($PSPID, 1, 1);
$2char = substr($PSPID, 2, 1);
$34char = substr($PSPID, 3, 2);
$rest =  substr($PSPID, 4, 7);
RETURN  $1char in ('A','S','E','I','R') AND upper($2char) = 'X' AND $34char = substr($VBUKR, 1, 2) AND match_pattern($rest, '9999999') AND length($PSPID) = 10;
END</t>
  </si>
  <si>
    <t>$SCOPE</t>
  </si>
  <si>
    <t>BEGIN RETURN
upper($SCOPE) IN ('IV','OC');
END</t>
  </si>
  <si>
    <t>$VPROF</t>
  </si>
  <si>
    <t>TCN41</t>
  </si>
  <si>
    <t>PROFIDNETZ</t>
  </si>
  <si>
    <t>PRPSS</t>
  </si>
  <si>
    <t>$POSID</t>
  </si>
  <si>
    <t>DECLARE
$12char varchar(2);
$34char varchar(2);
BEGIN
$12char = substr($POSID, 1, 2);
$34char = substr($POSID, 3, 2);
RETURN
 match_pattern(upper($12char), 'XX') AND $34char = substr($PBUKR, 1, 2);
END</t>
  </si>
  <si>
    <t>CRHD</t>
  </si>
  <si>
    <t>$VGARB</t>
  </si>
  <si>
    <t>$PROFL</t>
  </si>
  <si>
    <t>TCJ41</t>
  </si>
  <si>
    <t>PROFIDPROJ</t>
  </si>
  <si>
    <t>$VERNR</t>
  </si>
  <si>
    <t>TCJ04</t>
  </si>
  <si>
    <t>VERNR</t>
  </si>
  <si>
    <t>$SCPRF</t>
  </si>
  <si>
    <t>TCXPS</t>
  </si>
  <si>
    <t>PROFIL</t>
  </si>
  <si>
    <t>CRCO</t>
  </si>
  <si>
    <t>KAKO</t>
  </si>
  <si>
    <t>$PLANR</t>
  </si>
  <si>
    <t>TC27</t>
  </si>
  <si>
    <t>PLANR</t>
  </si>
  <si>
    <t>$KALID</t>
  </si>
  <si>
    <t>TFACD</t>
  </si>
  <si>
    <t>IDENT</t>
  </si>
  <si>
    <t>$PPROF</t>
  </si>
  <si>
    <t>TBP1C</t>
  </si>
  <si>
    <t>$POSNR</t>
  </si>
  <si>
    <t>$ZTEHT</t>
  </si>
  <si>
    <t>BEGIN RETURN
upper($p0) = 'X' OR $p0 IS NULL OR length(rtrim(ltrim($p0,' '), ' ')) = 0;
END</t>
  </si>
  <si>
    <t>$ARBPL</t>
  </si>
  <si>
    <t>DECLARE
$companyCode varchar(2);
$hyphen1 varchar(1);
$DepName varchar(2);
$hyphen2 varchar(1);
$WcNumber varchar(2);
BEGIN 
$companyCode = substr($ARBPL, 1, 2);
$hyphen1 = substr($ARBPL, 3, 1);
$DepName = substr($ARBPL, 4, 2);
$hyphen2 = substr($ARBPL, 6, 1);
$WcNumber = substr($ARBPL, 7, 2);
RETURN
$companyCode = substr($WERKS, 1, 2) AND  $hyphen1 = '-' AND $hyphen2 = '-' AND match_pattern($WcNumber, '99') AND length($ARBPL) = 8;
END</t>
  </si>
  <si>
    <t>$FORKN</t>
  </si>
  <si>
    <t>TC25</t>
  </si>
  <si>
    <t>BEGIN RETURN
exists('Fanar_Misc_Lookups', 'EP_MISC_LOOKUPS.TC25', 'IDENT', $FORKN) AND upper($FORKN) = 'SAP008';
END</t>
  </si>
  <si>
    <t>$BPROF</t>
  </si>
  <si>
    <t>$PLANV</t>
  </si>
  <si>
    <t>TC23</t>
  </si>
  <si>
    <t>PLANV</t>
  </si>
  <si>
    <t>$PBUKR</t>
  </si>
  <si>
    <t>$VERAN</t>
  </si>
  <si>
    <t>TC24</t>
  </si>
  <si>
    <t>VERAN</t>
  </si>
  <si>
    <t>$ASTNR / VERNR</t>
  </si>
  <si>
    <t>DECLARE
$empID varchar(5);
$cmpCode varchar(2);
$fullCompanCode varchar(4);
BEGIN 
$empID = substr($ASTNR, 3, 5);
$cmpCode =  substr($ASTNR, 1, 2);
$fullCompanCode = lookup('SIP_Eur_PS_Import', 'SIP_Eur_PS_Import.PA0001', 'PERNR', $empID, 'BUKRS', null);
RETURN
exists('SIP_Eur_PS_Import', 'SIP_Eur_PS_Import.PA0001', 'BUKRS', $fullCompanCode,'PERNR',$empID);
END</t>
  </si>
  <si>
    <t>$FORML</t>
  </si>
  <si>
    <t>$ASTNR</t>
  </si>
  <si>
    <t>TCJ05</t>
  </si>
  <si>
    <t>ASTNR</t>
  </si>
  <si>
    <t>$PSPRI</t>
  </si>
  <si>
    <t>TCN07</t>
  </si>
  <si>
    <t>NPRIO</t>
  </si>
  <si>
    <t>LSTAR</t>
  </si>
  <si>
    <t>$FABKL</t>
  </si>
  <si>
    <t>$VGDIM</t>
  </si>
  <si>
    <t>T006D</t>
  </si>
  <si>
    <t>DIMID</t>
  </si>
  <si>
    <t>PSPID</t>
  </si>
  <si>
    <t>DECLARE
$empID varchar(5);
$cmpCode varchar(2);
$fullCompanCode varchar(4);
BEGIN 
$empID = substr($VERNR, 3, 5);
$cmpCode =  substr($VERNR, 1, 2);
$fullCompanCode = lookup('SIP_Eur_PS_Import', 'SIP_Eur_PS_Import.PA0001', 'PERNR', $empID, 'BUKRS', null);
RETURN
exists('SIP_Eur_PS_Import', 'SIP_Eur_PS_Import.PA0001', 'BUKRS', $fullCompanCode,'PERNR',$empID);
END</t>
  </si>
  <si>
    <t>$PRART</t>
  </si>
  <si>
    <t>TCJ1</t>
  </si>
  <si>
    <t>PRART</t>
  </si>
  <si>
    <t>$VERWE</t>
  </si>
  <si>
    <t>TC30</t>
  </si>
  <si>
    <t>VERWE</t>
  </si>
  <si>
    <t>$TXJCD</t>
  </si>
  <si>
    <t>TTXJ</t>
  </si>
  <si>
    <t>$FMPRF</t>
  </si>
  <si>
    <t>$STUFE</t>
  </si>
  <si>
    <t>BEGIN RETURN
match_regex($STUFE, '([A-Z]{2}-[0-9]{7})(.[0-9]{2}){0,5}$', NULL);
END</t>
  </si>
  <si>
    <t>$KAPAR</t>
  </si>
  <si>
    <t>TC26</t>
  </si>
  <si>
    <t>KAPAR</t>
  </si>
  <si>
    <t>CRCA</t>
  </si>
  <si>
    <t>$VETRN</t>
  </si>
  <si>
    <t>TC29</t>
  </si>
  <si>
    <t>VERTL</t>
  </si>
  <si>
    <t>BEGIN RETURN
exists('SIP_Eur_Misc_Lookups', 'SIP_Eur_Misc_Lookups.TC29', 'VERTL', upper($VETRN)) AND upper($VETRN) = 'SAP020';
END</t>
  </si>
  <si>
    <t>PM</t>
  </si>
  <si>
    <t>FVR_PRI_PM_EQTYP_EQUIPMENT</t>
  </si>
  <si>
    <t>EQUI-EQUIPMENT</t>
  </si>
  <si>
    <t>FVR_PRI_PM_PLWP_PAKET_ETL</t>
  </si>
  <si>
    <t>PLWP_PAKET</t>
  </si>
  <si>
    <t>FVR_PRI_PM_KOSTL_FL</t>
  </si>
  <si>
    <t>IFLOT_FL</t>
  </si>
  <si>
    <t>FVR_PRI_PM_HERLD_FL</t>
  </si>
  <si>
    <t>EQUI-FL</t>
  </si>
  <si>
    <t>FVR_PRI_PM_SWERK_FL</t>
  </si>
  <si>
    <t>IFLOT-FL</t>
  </si>
  <si>
    <t>FVR_PRI_PM_HEQUI_EQUIPMENT</t>
  </si>
  <si>
    <t>IEQT_WL_ITEMS-EQUIPMENT</t>
  </si>
  <si>
    <t>George_Rule</t>
  </si>
  <si>
    <t>FVR_PRI_PM_IWERK_TL</t>
  </si>
  <si>
    <t>EAPL-TL</t>
  </si>
  <si>
    <t>FVR_PRI_PM_INGRP_FL</t>
  </si>
  <si>
    <t>FVR_PRI_PM_PLAN_SORT_MP</t>
  </si>
  <si>
    <t>MPLA-MP</t>
  </si>
  <si>
    <t>FVR_PRI_PM_GEWEI_EQUIPMENT</t>
  </si>
  <si>
    <t>FVR_PRI_PM_ABCKZ_FL</t>
  </si>
  <si>
    <t>ILOA-FL</t>
  </si>
  <si>
    <t>FVR_PRI_PM_CRHD_ARBPL_WC</t>
  </si>
  <si>
    <t>CRHD_ARBPL_WC</t>
  </si>
  <si>
    <t>FVR_PRI_PM_SWERK_EQUIPMENT</t>
  </si>
  <si>
    <t>FVR_PRI_PM_KOSTL_EQUIPMENT</t>
  </si>
  <si>
    <t>FVR_PRI_PM_BUKRS_EQUIPMENT</t>
  </si>
  <si>
    <t>FVR_PRI_PM_PLANR_WC</t>
  </si>
  <si>
    <t>FVR_PRI_PM_HERLD_EQUIPMENT</t>
  </si>
  <si>
    <t>FVR_PRI_PM_QMART_MP</t>
  </si>
  <si>
    <t>MPOS-MP</t>
  </si>
  <si>
    <t>FVR_PRI_PM_PRIOK_MP</t>
  </si>
  <si>
    <t>FVR_PRI_PM_AUART_MP</t>
  </si>
  <si>
    <t>FVR_PRI_PM_AUFNR_EQUIPMENT</t>
  </si>
  <si>
    <t>FVR_PRI_PM_TPLKZ_FL</t>
  </si>
  <si>
    <t>FVR_PRI_PM_ANLUN_EQUIPMENT</t>
  </si>
  <si>
    <t>FVR_PRI_PM_TPLMA_FL</t>
  </si>
  <si>
    <t>FVR_PRI_PM_STEUS_WC</t>
  </si>
  <si>
    <t>CRHD-WC</t>
  </si>
  <si>
    <t>FVR_PRI_PM_ABCKZ_EQUIPMENT</t>
  </si>
  <si>
    <t>FVR_PRI_PM_EAPL_PLNAL_ETL</t>
  </si>
  <si>
    <t>EAPL_PLNAL</t>
  </si>
  <si>
    <t>FVR_PRI_PM_EQART_EQUIPMENT</t>
  </si>
  <si>
    <t>FVR_PRI_PM_HUNIT_MP</t>
  </si>
  <si>
    <t>FVR_PRI_PM_VAGRP_TL</t>
  </si>
  <si>
    <t>PLKO-TL</t>
  </si>
  <si>
    <t>FVR_PRI_PM_CLASS_EQUIPMENT</t>
  </si>
  <si>
    <t>KLAH-EQUIPMENT</t>
  </si>
  <si>
    <t>FVR_PRI_PM_BERGU_FL</t>
  </si>
  <si>
    <t>FVR_PRI_PM_ATNAM_EQUIPMENT</t>
  </si>
  <si>
    <t>CABN-EQUIPMENT</t>
  </si>
  <si>
    <t>FVR_PRI_PM_STEUS_TL</t>
  </si>
  <si>
    <t>PLPO-TL</t>
  </si>
  <si>
    <t>FVR_PRI_PM_PROID_EQUIPMENT</t>
  </si>
  <si>
    <t>FVR_PRI_PM_FORML_WC</t>
  </si>
  <si>
    <t>CRCO_WC</t>
  </si>
  <si>
    <t>FVR_PRI_PM_MATNR_EQUIPMENT</t>
  </si>
  <si>
    <t>FVR_PRI_PM_IWERK_FL</t>
  </si>
  <si>
    <t>EQUZ-FL</t>
  </si>
  <si>
    <t>FVR_PRI_PM_BEBER_EQUIPMENT</t>
  </si>
  <si>
    <t>FVR_PRI_PM_KMATN_EQUIPMENT</t>
  </si>
  <si>
    <t>FVR_PRI_PM_PLNTY_MP</t>
  </si>
  <si>
    <t>FVR_PRI_PM_WPGRP_MP</t>
  </si>
  <si>
    <t>FVR_PRI_PM_MEINS_WC</t>
  </si>
  <si>
    <t>FVR_PRI_PM_BEGRU_EQUIPMENT</t>
  </si>
  <si>
    <t>FVR_PRI_PM_KAPAR_WC</t>
  </si>
  <si>
    <t>KAKO-WC</t>
  </si>
  <si>
    <t>FVR_PRI_PM_VERAN_WC</t>
  </si>
  <si>
    <t>VERAN-WC</t>
  </si>
  <si>
    <t>FVR_PRI_PM_MPTYP_MP</t>
  </si>
  <si>
    <t>FVR_PRI_PM_TPLNR</t>
  </si>
  <si>
    <t>IFLOT-TPLNR and TAPL-TL</t>
  </si>
  <si>
    <t>FVR_PRI_PM_ANLNR_EQUIPMENT</t>
  </si>
  <si>
    <t>FVR_PRI_PM_FORKN_WC</t>
  </si>
  <si>
    <t>CRCA-FL</t>
  </si>
  <si>
    <t>FVR_PRI_PM_FORTN_WC</t>
  </si>
  <si>
    <t>FVR_PRI_PM_EQUNR_EQUIPMENT</t>
  </si>
  <si>
    <t>EQUZ-EQUIPMENT</t>
  </si>
  <si>
    <t>FVR_PRI_PM_SUBMT_EQUIPMENT</t>
  </si>
  <si>
    <t>FVR_PRI_PM_LSTAR</t>
  </si>
  <si>
    <t>CRCO-WC and PLPO-TL</t>
  </si>
  <si>
    <t>FVR_PRI_PM_EQUNR</t>
  </si>
  <si>
    <t>MPOS-MP and EQUI-TL and EAPL-TL</t>
  </si>
  <si>
    <t>FVR_PRI_PM_VERWE_WC</t>
  </si>
  <si>
    <t>FVR_PRI_PM_BEGRU_MP</t>
  </si>
  <si>
    <t>FVR_PRI_PM_PLANV_WC</t>
  </si>
  <si>
    <t>FVR_PRI_PM_FLTYP_FL</t>
  </si>
  <si>
    <t>FVR_PRI_PM_KALID_WC</t>
  </si>
  <si>
    <t>FVR_PRI_PM_WAERS_EQUIPMENT</t>
  </si>
  <si>
    <t>FVR_PRI_PM_DAUFN_EQUIPMENT</t>
  </si>
  <si>
    <t>FVR_PRI_PM_ILART_MP</t>
  </si>
  <si>
    <t>FVR_PRI_PM_IWERK_MP</t>
  </si>
  <si>
    <t>FVR_PRI_PM_RBNR_EQUIPMENT</t>
  </si>
  <si>
    <t>FVR_PRI_PM_STRAT_MP</t>
  </si>
  <si>
    <t>FVR_PRI_PM_ARBEH_TL</t>
  </si>
  <si>
    <t>FVR_PRI_PM_WERKS_WC</t>
  </si>
  <si>
    <t>CRHD=WC</t>
  </si>
  <si>
    <t>FVR_PRI_PM_GEWRK_EQUIPMENT</t>
  </si>
  <si>
    <t>FVR_PRI_PM_MATNR_TL</t>
  </si>
  <si>
    <t>MARC-TL</t>
  </si>
  <si>
    <t>FVR_PRI_PM_INGRP_EQUIPMENT</t>
  </si>
  <si>
    <t>FVR_PRI_PM_PPSID_EQUIPMENT</t>
  </si>
  <si>
    <t>Test_IEQL</t>
  </si>
  <si>
    <t>FVR_PRI_PM_KOSTL_WC</t>
  </si>
  <si>
    <t>CRCO-WC</t>
  </si>
  <si>
    <t>$EQTYP</t>
  </si>
  <si>
    <t>T370T</t>
  </si>
  <si>
    <t>EQTYP</t>
  </si>
  <si>
    <t>PLWP</t>
  </si>
  <si>
    <t>$PAKET</t>
  </si>
  <si>
    <t>BEGIN RETURN
match_regex($PAKET, '[0-9]{1}[0-8]{0,1}', NULL);
END</t>
  </si>
  <si>
    <t>IFLOT</t>
  </si>
  <si>
    <t>BEGIN RETURN
exists('Fanar_Misc_Lookups', 'EP_MISC_LOOKUPS.CSKS', 'KOSTL', $KOSTL) OR $KOSTL IS NULL OR length(rtrim(ltrim($KOSTL,' '), ' ')) = 0;
END</t>
  </si>
  <si>
    <t>EQUI</t>
  </si>
  <si>
    <t>$HERLD</t>
  </si>
  <si>
    <t>BEGIN RETURN
exists('Fanar_Misc_Lookups', 'EP_MISC_LOOKUPS.T005', 'LAND1', upper($HERLD)) OR $HERLD IS NULL OR length(rtrim(ltrim($HERLD,' '), ' ')) = 0;
END</t>
  </si>
  <si>
    <t>$SWERK</t>
  </si>
  <si>
    <t>IEQT_WL_ITEMS</t>
  </si>
  <si>
    <t>$HEQUI</t>
  </si>
  <si>
    <t>EQUNR</t>
  </si>
  <si>
    <t>BEGIN RETURN
exists('Fanar_Misc_Lookups', 'EP_MISC_LOOKUPS.EQUI', 'EQUNR', $HEQUI) OR $HEQUI IS NULL OR length(rtrim(ltrim($HEQUI,' '), ' ')) = 0;
END</t>
  </si>
  <si>
    <t>EAPL</t>
  </si>
  <si>
    <t>$IWERK</t>
  </si>
  <si>
    <t>$INGRP</t>
  </si>
  <si>
    <t>T024I</t>
  </si>
  <si>
    <t>INGRP</t>
  </si>
  <si>
    <t>BEGIN RETURN
exists('Fanar_Misc_Lookups', 'EP_MISC_LOOKUPS.T024I', 'INGRP', $INGRP) OR $INGRP IS NULL OR length(rtrim(ltrim($INGRP,' '), ' ')) = 0;
END</t>
  </si>
  <si>
    <t>MPLA</t>
  </si>
  <si>
    <t>$PLAN_SORT</t>
  </si>
  <si>
    <t>T399G</t>
  </si>
  <si>
    <t>PLAN_SORT</t>
  </si>
  <si>
    <t>BEGIN RETURN
exists('Fanar_Misc_Lookups', 'EP_MISC_LOOKUPS.T399G', 'PLAN_SORT', upper($PLAN_SORT)) OR $PLAN_SORT IS NULL OR length(rtrim(ltrim($PLAN_SORT,' '), ' ')) = 0;
END</t>
  </si>
  <si>
    <t>$GEWEI</t>
  </si>
  <si>
    <t>BEGIN RETURN
exists('Fanar_Misc_Lookups', 'EP_MISC_LOOKUPS.T006', 'MSEHI', $GEWEI) OR $GEWEI IS NULL OR length(rtrim(ltrim($GEWEI,' '), ' ')) = 0;
END</t>
  </si>
  <si>
    <t>ILOA</t>
  </si>
  <si>
    <t>$ABCKZ</t>
  </si>
  <si>
    <t>BEGIN RETURN
upper($ABCKZ) IN ('A','B','C','D','E');
END</t>
  </si>
  <si>
    <t>BEGIN RETURN
(match_regex(upper($ARBPL), '([A-Z]{4})-([0-9]{2})', null) AND upper($VERWE) = 'PM02') OR (match_regex(upper($ARBPL), '([A-Z]{2})-([0-9]{2})', null) AND upper($VERWE) = 'PM03');
END</t>
  </si>
  <si>
    <t>BEGIN RETURN
exists('Fanar_Misc_Lookups', 'EP_MISC_LOOKUPS.T001', 'BUKRS', $BUKRS) OR $BUKRS IS NULL OR length(rtrim(ltrim($BUKRS,' '), ' ')) = 0;
END</t>
  </si>
  <si>
    <t>BEGIN RETURN
exists('Fanar_Misc_Lookups', 'EP_MISC_LOOKUPS.TC27', 'PLANR', $PLANR) OR $PLANR IS NULL OR length(rtrim(ltrim($PLANR,' '), ' ')) = 0;
END</t>
  </si>
  <si>
    <t>MPOS</t>
  </si>
  <si>
    <t>$QMART</t>
  </si>
  <si>
    <t>TQ80</t>
  </si>
  <si>
    <t>QMART</t>
  </si>
  <si>
    <t>$PRIOK</t>
  </si>
  <si>
    <t>T356</t>
  </si>
  <si>
    <t>PRIOK</t>
  </si>
  <si>
    <t>BEGIN RETURN
exists('Fanar_Misc_Lookups', 'EP_MISC_LOOKUPS.T356', 'PRIOK', $PRIOK) OR $PRIOK IS NULL OR length(rtrim(ltrim($PRIOK,' '), ' ')) = 0;
END</t>
  </si>
  <si>
    <t>$AUART</t>
  </si>
  <si>
    <t>AUART</t>
  </si>
  <si>
    <t>$AUFNR</t>
  </si>
  <si>
    <t>AUFNR</t>
  </si>
  <si>
    <t>BEGIN RETURN
exists('Fanar_Misc_Lookups', 'EP_MISC_LOOKUPS.AUFK', 'AUFNR', $AUFNR) OR $AUFNR IS NULL OR length(rtrim(ltrim($AUFNR,' '), ' ')) = 0;
END</t>
  </si>
  <si>
    <t>$TPLKZ</t>
  </si>
  <si>
    <t>T370S</t>
  </si>
  <si>
    <t>TPLKZ</t>
  </si>
  <si>
    <t>$ANLUN</t>
  </si>
  <si>
    <t>ANLN1</t>
  </si>
  <si>
    <t>BEGIN RETURN
exists('Fanar_Misc_Lookups', 'EP_MISC_LOOKUPS.ANLA', 'ANLN1', $ANLUN) OR $ANLUN IS NULL OR length(rtrim(ltrim($ANLUN,' '), ' ')) = 0;
END</t>
  </si>
  <si>
    <t>$TPLMA</t>
  </si>
  <si>
    <t>TPLNR</t>
  </si>
  <si>
    <t>BEGIN RETURN
exists('Fanar_Misc_Lookups', 'EP_MISC_LOOKUPS.IFLOT', 'TPLNR', $TPLMA) OR $TPLMA IS NULL OR length(rtrim(ltrim($TPLMA,' '), ' ')) = 0;
END</t>
  </si>
  <si>
    <t>$STEUS</t>
  </si>
  <si>
    <t>T430</t>
  </si>
  <si>
    <t>STEUS</t>
  </si>
  <si>
    <t>BEGIN RETURN
(exists('Fanar_Misc_Lookups', 'EP_MISC_LOOKUPS.T430', 'STEUS', upper($STEUS)) AND upper($STEUS) IN ('PMIN','PMNC')) OR $STEUS IS NULL OR length(rtrim(ltrim($STEUS,' '), ' ')) = 0;
END</t>
  </si>
  <si>
    <t>$PLNAL</t>
  </si>
  <si>
    <t>BEGIN RETURN
match_regex($PLNAL, '[0-9]{1,2}', NULL);
END</t>
  </si>
  <si>
    <t>$EQART</t>
  </si>
  <si>
    <t>T370K</t>
  </si>
  <si>
    <t>EQART</t>
  </si>
  <si>
    <t>$HUNIT</t>
  </si>
  <si>
    <t>BEGIN RETURN
exists('Fanar_Misc_Lookups', 'EP_MISC_LOOKUPS.T006', 'MSEHI', upper($HUNIT)) OR $HUNIT IS NULL OR length(rtrim(ltrim($HUNIT,' '), ' ')) = 0;
END</t>
  </si>
  <si>
    <t>PLKO</t>
  </si>
  <si>
    <t>$VAGRP</t>
  </si>
  <si>
    <t>BEGIN RETURN
exists('Fanar_Misc_Lookups', 'EP_MISC_LOOKUPS.T024I', 'INGRP', $VAGRP) OR $VAGRP IS NULL OR length(rtrim(ltrim($VAGRP,' '), ' ')) = 0;
END</t>
  </si>
  <si>
    <t>KLAH</t>
  </si>
  <si>
    <t>$CLASS</t>
  </si>
  <si>
    <t>CLASS</t>
  </si>
  <si>
    <t>BEGIN RETURN
exists('Fanar_Misc_Lookups', 'EP_MISC_LOOKUPS.KLAH', 'CLASS', upper($CLASS)) OR $CLASS IS NULL OR length(rtrim(ltrim($CLASS,' '), ' ')) = 0;
END</t>
  </si>
  <si>
    <t>$BEGRU</t>
  </si>
  <si>
    <t>T370B</t>
  </si>
  <si>
    <t>BEGIN RETURN
exists('Fanar_Misc_Lookups', 'EP_MISC_LOOKUPS.T370B', 'BEGRU', upper($BEGRU)) OR $BEGRU IS NULL OR length(rtrim(ltrim($BEGRU,' '), ' ')) = 0;
END</t>
  </si>
  <si>
    <t>CABN</t>
  </si>
  <si>
    <t>$ATNAM</t>
  </si>
  <si>
    <t>ATNAM</t>
  </si>
  <si>
    <t>BEGIN RETURN
exists('Fanar_Misc_Lookups', 'EP_MISC_LOOKUPS.CABN', 'ATNAM', $ATNAM) OR $ATNAM IS NULL OR length(rtrim(ltrim($ATNAM,' '), ' ')) = 0;
END</t>
  </si>
  <si>
    <t>PLPO</t>
  </si>
  <si>
    <t>BEGIN RETURN
exists('Fanar_Misc_Lookups', 'EP_MISC_LOOKUPS.T430', 'STEUS', upper($STEUS)) and Upper($STEUS) IN ('PMIN','PMEX','PMNC');
END</t>
  </si>
  <si>
    <t>$PROID</t>
  </si>
  <si>
    <t>BEGIN RETURN
exists('Fanar_Misc_Lookups', 'EP_MISC_LOOKUPS.PRPS', 'PSPNR', upper($PROID)) OR $PROID IS NULL OR length(rtrim(ltrim($PROID,' '), ' ')) = 0;
END</t>
  </si>
  <si>
    <t>BEGIN RETURN
exists('Fanar_Misc_Lookups', 'EP_MISC_LOOKUPS.TC25', 'IDENT', upper($FORML)) AND upper($FORML) = 'SAP008' OR $FORML IS NULL OR length(rtrim(ltrim($FORML,' '), ' ')) = 0;
END</t>
  </si>
  <si>
    <t>BEGIN RETURN
exists('Fanar_Misc_Lookups', 'EP_MISC_LOOKUPS.MARA', 'MATNR', $MATNR) OR $MATNR IS NULL OR length(rtrim(ltrim($MATNR,' '), ' ')) = 0;
END</t>
  </si>
  <si>
    <t>EQUZ</t>
  </si>
  <si>
    <t>BEGIN RETURN
exists('Fanar_Misc_Lookups', 'EP_MISC_LOOKUPS.T001W', 'WERKS', upper($IWERK)) OR $IWERK IS NULL OR length(rtrim(ltrim($IWERK,' '), ' ')) = 0;
END</t>
  </si>
  <si>
    <t>$BEBER</t>
  </si>
  <si>
    <t>T357</t>
  </si>
  <si>
    <t>BEBER</t>
  </si>
  <si>
    <t>BEGIN RETURN
exists('Fanar_Misc_Lookups', 'EP_MISC_LOOKUPS.T357', 'BEBER', $BEBER) OR $BEBER IS NULL OR length(rtrim(ltrim($BEBER,' '), ' ')) = 0;
END</t>
  </si>
  <si>
    <t>$KMATN</t>
  </si>
  <si>
    <t>BEGIN RETURN
exists('Fanar_Misc_Lookups', 'EP_MISC_LOOKUPS.MARA', 'MATNR', $KMATN) OR $KMATN IS NULL OR length(rtrim(ltrim($KMATN,' '), ' ')) = 0;
END</t>
  </si>
  <si>
    <t>$PLNTY</t>
  </si>
  <si>
    <t>TCA01</t>
  </si>
  <si>
    <t>BEGIN RETURN
exists('Fanar_Misc_Lookups', 'EP_MISC_LOOKUPS.TCA01', 'PLNTY', upper($PLNTY)) OR $PLNTY IS NULL OR length(rtrim(ltrim($PLNTY,' '), ' ')) = 0;
END</t>
  </si>
  <si>
    <t>$WPGRP</t>
  </si>
  <si>
    <t>BEGIN RETURN
exists('Fanar_Misc_Lookups', 'EP_MISC_LOOKUPS.T370B', 'BEGRU', $BEGRU) OR $BEGRU IS NULL OR length(rtrim(ltrim($BEGRU,' '), ' ')) = 0;
END</t>
  </si>
  <si>
    <t>BEGIN RETURN
exists('Fanar_Misc_Lookups', 'EP_MISC_LOOKUPS.TC26', 'KAPAR', upper($KAPAR)) AND $KAPAR = '002' OR $KAPAR IS NULL OR length(rtrim(ltrim($KAPAR,' '), ' ')) = 0;
END</t>
  </si>
  <si>
    <t>BEGIN RETURN
exists('Fanar_Misc_Lookups', 'EP_MISC_LOOKUPS.TC24', 'VERAN', upper($VERAN)) OR $VERAN IS NULL OR length(rtrim(ltrim($VERAN,' '), ' ')) = 0;
END</t>
  </si>
  <si>
    <t>$MPTYP</t>
  </si>
  <si>
    <t>T399W</t>
  </si>
  <si>
    <t>MPTYP</t>
  </si>
  <si>
    <t>$TPLNR</t>
  </si>
  <si>
    <t>DECLARE
$3level varchar(5);
$4level varchar(5);
BEGIN 
$3level = substr($TPLNR, 9, 3);
$4level = substr($TPLNR, 15, 3);
IF(length($TPLNR) = 13)
RETURN match_regex(upper($TPLNR), '([A-Z]{2})|([A-Z]{2}[0-9]{2})|(([A-Z]{2}[0-9]{2})-([0-9]){2})(-([A-Z]){3}[0-9]{2}){0,3}$', NULL) AND exists('Fanar_Misc_Lookups', 'EP_MISC_LOOKUPS.ZPM_FLOC_LEVCHK', 'CODE', $3level,'LEVELNR',3,'SWERK',' ');
ELSE IF (length($TPLNR) = 19)
RETURN match_regex(upper($TPLNR), '([A-Z]{2})|([A-Z]{2}[0-9]{2})|(([A-Z]{2}[0-9]{2})-([0-9]){2})(-([A-Z]){3}[0-9]{2}){0,3}$', NULL) AND exists('Fanar_Misc_Lookups', 'EP_MISC_LOOKUPS.ZPM_FLOC_LEVCHK', 'CODE', $4level,'LEVELNR',4,'SWERK',' ');
ELSE
RETURN match_regex(upper($TPLNR), '([A-Z]{2})|([A-Z]{2}[0-9]{2})|(([A-Z]{2}[0-9]{2})-([0-9]){2})(-([A-Z]){3}[0-9]{2}){0,3}$', NULL);
END</t>
  </si>
  <si>
    <t>$ANLNR</t>
  </si>
  <si>
    <t>ANLH</t>
  </si>
  <si>
    <t>BEGIN 
RETURN
exists('Fanar_Misc_Lookups', 'EP_MISC_LOOKUPS.ANLH', 'ANLN1', $ANLNR) OR $ANLNR IS NULL OR length(rtrim(ltrim($ANLNR,' '), ' ')) = 0;
END</t>
  </si>
  <si>
    <t>BEGIN RETURN
exists('Fanar_Misc_Lookups', 'EP_MISC_LOOKUPS.TC25', 'IDENT', upper($FORKN)) AND upper($FORKN) = 'SAP004' OR $FORKN IS NULL OR length(rtrim(ltrim($FORKN,' '), ' ')) = 0;
END</t>
  </si>
  <si>
    <t>$FORTN</t>
  </si>
  <si>
    <t>BEGIN RETURN
exists('Fanar_Misc_Lookups', 'EP_MISC_LOOKUPS.TC25', 'IDENT', upper($FORTN)) AND upper($FORTN) = 'SAP004' OR $FORTN IS NULL OR length(rtrim(ltrim($FORTN,' '), ' ')) = 0;
END</t>
  </si>
  <si>
    <t>$EQUNR</t>
  </si>
  <si>
    <t>BEGIN RETURN
exists('Fanar_Misc_Lookups', 'EP_MISC_LOOKUPS.EQUI', 'EQUNR', $EQUNR) OR $EQUNR IS NULL OR length(rtrim(ltrim($EQUNR,' '), ' ')) = 0;
END</t>
  </si>
  <si>
    <t>$SUBMT</t>
  </si>
  <si>
    <t>BEGIN RETURN
exists('Fanar_Misc_Lookups', 'EP_MISC_LOOKUPS.MARA', 'MATNR', $SUBMT) OR $SUBMT IS NULL OR length(rtrim(ltrim($SUBMT,' '), ' ')) = 0;
END</t>
  </si>
  <si>
    <t>BEGIN RETURN
exists('Fanar_Misc_Lookups', 'EP_MISC_LOOKUPS.CSLA', 'LSTAR', upper($LSTAR)) AND upper($LSTAR) = '1PM001';
END</t>
  </si>
  <si>
    <t>BEGIN RETURN
exists('Fanar_Misc_Lookups', 'EP_MISC_LOOKUPS.TC30', 'VERWE', upper($VERWE)) AND upper($VERWE) IN ('PM01','PM02','PM03','PM04');
END</t>
  </si>
  <si>
    <t>BEGIN RETURN
exists('Fanar_Misc_Lookups', 'EP_MISC_LOOKUPS.TC23', 'PLANV', $PLANV) OR $PLANV IS NULL OR length(rtrim(ltrim($PLANV,' '), ' ')) = 0;
END</t>
  </si>
  <si>
    <t>$FLTYP</t>
  </si>
  <si>
    <t>T370F</t>
  </si>
  <si>
    <t>FLTYP</t>
  </si>
  <si>
    <t>BEGIN RETURN
exists('Fanar_Misc_Lookups', 'EP_MISC_LOOKUPS.TFACD', 'IDENT', upper($KALID)) OR $KALID IS NULL OR length(rtrim(ltrim($KALID,' '), ' ')) = 0;
END</t>
  </si>
  <si>
    <t>BEGIN RETURN
exists('Fanar_Misc_Lookups', 'EP_MISC_LOOKUPS.TCURC', 'WAERS', Upper($WAERS)) OR $WAERS IS NULL OR length(rtrim(ltrim($WAERS,' '), ' ')) = 0;
END</t>
  </si>
  <si>
    <t>$DAUFN</t>
  </si>
  <si>
    <t>BEGIN RETURN
exists('Fanar_Misc_Lookups', 'EP_MISC_LOOKUPS.AUFK', 'AUFNR', $DAUFN) OR $DAUFN IS NULL OR length(rtrim(ltrim($DAUFN,' '), ' ')) = 0;
END</t>
  </si>
  <si>
    <t>$ILART</t>
  </si>
  <si>
    <t>T353I</t>
  </si>
  <si>
    <t>ILART</t>
  </si>
  <si>
    <t>BEGIN RETURN
exists('Fanar_Misc_Lookups', 'EP_MISC_LOOKUPS.T353I', 'ILART', upper($ILART)) OR $ILART IS NULL OR length(rtrim(ltrim($ILART,' '), ' ')) = 0;
END</t>
  </si>
  <si>
    <t>BEGIN RETURN
exists('Fanar_Misc_Lookups', 'EP_MISC_LOOKUPS.T001W', 'WERKS', $IWERK) OR $IWERK IS NULL OR length(rtrim(ltrim($IWERK,' '), ' ')) = 0;
END</t>
  </si>
  <si>
    <t>$RBNR</t>
  </si>
  <si>
    <t>T352B</t>
  </si>
  <si>
    <t>RBNR</t>
  </si>
  <si>
    <t>BEGIN RETURN
exists('Fanar_Misc_Lookups', 'EP_MISC_LOOKUPS.T352B', 'RBNR', upper($RBNR)) AND upper(substr($RBNR, 1, 3)) = 'ZPM';
END</t>
  </si>
  <si>
    <t>$STRAT</t>
  </si>
  <si>
    <t>T351</t>
  </si>
  <si>
    <t>STRAT</t>
  </si>
  <si>
    <t>$ARBEH</t>
  </si>
  <si>
    <t>BEGIN RETURN
exists('Fanar_Misc_Lookups', 'EP_MISC_LOOKUPS.T006', 'MSEHI', $ARBEH) OR $ARBEH IS NULL OR length(rtrim(ltrim($ARBEH,' '), ' ')) = 0;
END</t>
  </si>
  <si>
    <t>$GEWRK</t>
  </si>
  <si>
    <t>CRID</t>
  </si>
  <si>
    <t>BEGIN RETURN
exists('Fanar_Misc_Lookups', 'EP_MISC_LOOKUPS.CRID', 'OBJID', $GEWRK) OR $GEWRK IS NULL OR length(rtrim(ltrim($GEWRK,' '), ' ')) = 0;
END</t>
  </si>
  <si>
    <t>BEGIN RETURN
exists('Fanar_Misc_Lookups', 'EP_MISC_LOOKUPS.T024I', 'INGRP', UPPER($INGRP)) OR $INGRP IS NULL OR length(rtrim(ltrim($INGRP,' '), ' ')) = 0;
END</t>
  </si>
  <si>
    <t>$PPSID</t>
  </si>
  <si>
    <t>BEGIN RETURN
exists('Fanar_Misc_Lookups', 'EP_MISC_LOOKUPS.CRID', 'OBJID', $PPSID) OR $PPSID IS NULL OR length(rtrim(ltrim($PPSID,' '), ' ')) = 0;
END</t>
  </si>
  <si>
    <t>BEGIN RETURN
exists('Fanar_Misc_Lookups', 'EP_MISC_LOOKUPS.CSKS', 'KOSTL', $KOSTL);
END</t>
  </si>
  <si>
    <t>PPQM</t>
  </si>
  <si>
    <t>FVR_PRI_PPQM_LANGUAGE_KEY</t>
  </si>
  <si>
    <t>Language Key should be E- English</t>
  </si>
  <si>
    <t>FVR_PRI_PPQM_BASE_UNIT OF MEASURE for Gas</t>
  </si>
  <si>
    <t>Base_Unit of Measure:  "Default UOM for HALB mateirals 'TO' ';For Liquid  and Solid  the UOM should be TO;for Gases the UOM should be M3 – Cubic Meter (Volume)</t>
  </si>
  <si>
    <t>FVR_PRI_PPQM_PURCHASING GROUP</t>
  </si>
  <si>
    <t>Purchasing Group : 
Default to global variable $G_Purchasing_Group_Default value '100' if left null</t>
  </si>
  <si>
    <t>FVR_PRI_PPQM_BATCH_MANAGEMENT_1200</t>
  </si>
  <si>
    <t>Batch management requirement indicator for HALB solid materials should be ticked always</t>
  </si>
  <si>
    <t>FVR_PRI_PPQM_TRANSPORTATION_GROUP</t>
  </si>
  <si>
    <t>Default to '0001' for all other Material Types"</t>
  </si>
  <si>
    <t>FVR_PRI_PPQM_LOADING_GROUP</t>
  </si>
  <si>
    <t>Loading Group should be 0002 for HALB polymer mateials</t>
  </si>
  <si>
    <t>FVR_PRI_PPQM_CLASS TYPE</t>
  </si>
  <si>
    <t>Class type for HALB mateials should be 022 for BAtchmange,ment  and 300 for Hadeed</t>
  </si>
  <si>
    <t>FVR_PRI_PPQM_RECIPE ROUTING USAGE INDICATOR</t>
  </si>
  <si>
    <t>Recipe/Routing Usage indicator : Key indicating what the recipe is used for, such as production or repair.
Wednesday, August 13, 2014
Vanrusselt, Luk	1 Production
2 Engineering/design (Not used)
3 Universal
4 Plant maintenance (Not for PP)
5 Goods receipt (Not used)
51 Goods receipt model (Not used)
53 GR external process (Not used)
6 Goods issue
8 Loading planning (Not used)
9 Material check (Not used)
C Confidential Routing
T Turnarounds (Not for PP)</t>
  </si>
  <si>
    <t>FVR_PRI_PPQM_REPETITIVE MANUFACTURING PROFILE</t>
  </si>
  <si>
    <t>FVR_PRI_PPQM_CHECKIING GROUP FOR AVAILABILITY</t>
  </si>
  <si>
    <t>Checking Group for Availability Check should be CH in production Plant</t>
  </si>
  <si>
    <t>FVR_PRI_PPQM_MATERIAL_GROUP</t>
  </si>
  <si>
    <t>Material Group :Input the appropriate Commodity group for each item, 
   NOTE: Click on the material group title field, to veiw the list</t>
  </si>
  <si>
    <t>FVR_PRI_PPQM_QM Work center_LIMS</t>
  </si>
  <si>
    <t>in QM work center the  QDR system should be LWLIMS if it is LIMS interfaced</t>
  </si>
  <si>
    <t>FVR_PRI_PPQM_LOT SIZE</t>
  </si>
  <si>
    <t>Lot size :ZM for production and planning  plants.</t>
  </si>
  <si>
    <t>Test111</t>
  </si>
  <si>
    <t>Test for plant and MRP controllers</t>
  </si>
  <si>
    <t>FVR_PRI_PPQM_DIVISION</t>
  </si>
  <si>
    <t>"Below Divisons have been mapped for SABIC SBU's                   
11 Performance Chemical
20 Polyolefins
30 PVC/Polyester
40 Intermediates
50 Fertilizers
60 Long Products
61 Flat Products
70 Gas
10 Basic Chemicals
90 Innovative Plastics
"</t>
  </si>
  <si>
    <t>FVR_PRI_PPQM_MATERIALTYPE HALB</t>
  </si>
  <si>
    <t>for manufacturing point of view Material type should be only HALB, FERT is not allowed.</t>
  </si>
  <si>
    <t>Uniqueness</t>
  </si>
  <si>
    <t>FVR_PRI_PPQM_MRP TYPE</t>
  </si>
  <si>
    <t>MRP Type should be PD or ND for HALB materials in Production plant</t>
  </si>
  <si>
    <t>FVR_PRI_PPQM_MATERIAL_DESCRIPTION</t>
  </si>
  <si>
    <t>Material Description (Short Text) : Material Description should be as per FANAR design for polymers : Family /  Grade  / Packing code : Ex: LLDPE 218W 112.There is a strict naming convention which must be adhered to in order to maintain the integrity of the system and to ensure there are no duplicate materials</t>
  </si>
  <si>
    <t>FVR_PRI_PPQM_PV REM ALLOWED INDICATOR</t>
  </si>
  <si>
    <t>Repetitive manufacturing allowed for version : Means that the production version can be used in repetitive manufacturing.</t>
  </si>
  <si>
    <t>FVR_PRI_PPQM_WORK CENTER CATEGORY</t>
  </si>
  <si>
    <t>Key which distinguishes the work centers by their category (for example, production work center, maintenance work center).The work center category determines which data can be maintained in the master record for the work center.</t>
  </si>
  <si>
    <t>FVR_PRI_PPQM_VALUATION CLASS</t>
  </si>
  <si>
    <t>FVR_PRI_PPQM_PURCHASING VALUE KEY</t>
  </si>
  <si>
    <t>FVR_PRI_PPQM_BATCH_MANAGEMENT_4100</t>
  </si>
  <si>
    <t>FVR_PRI_PPQM_MRP CONTROLLER</t>
  </si>
  <si>
    <t>MRP Controller : "Example1  BM1: Affiliate Basic Chemicals
Example2  PP1 : Planning Plant Polymers 
Example3  IS1 : Mirror Plant EG Planer
Meaning : 1st Character - Indicates the SBU
2nd Characters - Indicates the plant, either          Manufacturing or Planning or Mirror plant
3rd Characters - Indicates Serial Numbers
"</t>
  </si>
  <si>
    <t>FVR_PRI_PPQM_QM Inspection Plan Usage</t>
  </si>
  <si>
    <t>Inspection plan usage should be 05 or 03.</t>
  </si>
  <si>
    <t>FVR_PRI_PPQM_SALES_ORG</t>
  </si>
  <si>
    <t>Default to global variable $G_Sales_Org_Default value '1000' if left null</t>
  </si>
  <si>
    <t>FVR_PRI_PPQM_PRODUCT HIERARCHY</t>
  </si>
  <si>
    <t>The Product Hierarchy Structure4 Levels:
Level 1            –          BU or SBU representation of Product
Level 2            -           Product Group
Level 3            -           Product Type / Family
Level 4            -           Grade</t>
  </si>
  <si>
    <t>FVR_PRI_PPQM_MIC Plant</t>
  </si>
  <si>
    <t>As per fanar desgin ,the MIC Plant should be always 1000- MIC will be created centerly in plant 1000 and will be used in differant production plants</t>
  </si>
  <si>
    <t>FVR_PRI_PPQM_BOM_USAGE MUST</t>
  </si>
  <si>
    <t>BOM Usage MUST BE "1", "6", "C"or "3" FOR PRODUCTION
This key defines the area (such as engineering/design or production) where a BOM can be used.</t>
  </si>
  <si>
    <t>FVR_PRI_PPQM_PP Order types</t>
  </si>
  <si>
    <t>PP Order types</t>
  </si>
  <si>
    <t>FVR_PRI_PPQM_MATERIAL STATISTICS GROUP</t>
  </si>
  <si>
    <t>Default to global variable $G_MatStatsGroup_Default value '1' if left null</t>
  </si>
  <si>
    <t>FVR_PRI_PPQM_BOM_ITEM CATOGARY IN BOM</t>
  </si>
  <si>
    <t>ITEM CATOGARY IN BOM Stock item MUST BE  "L" and "N"
This item category is used to manage material data that allows an item to be kept in stock.</t>
  </si>
  <si>
    <t>FVR_PRI_PPQM_PROCUREMENT TYPE</t>
  </si>
  <si>
    <t>the Procurment key default to 'E' for Material Types  'HALB' in production plant.</t>
  </si>
  <si>
    <t>FVR_PRI_PPQM_INDUSTRY_SECTOR</t>
  </si>
  <si>
    <t>Industry_sector will be Chemical for all HALB mateials</t>
  </si>
  <si>
    <t>FVR_PRI_PPQM_MIC_NAMEING CONVENTION</t>
  </si>
  <si>
    <t>MIC NAME SHOULD START WITH QM FOR Quantitiave and  QL for Qualititave</t>
  </si>
  <si>
    <t>tsttttt</t>
  </si>
  <si>
    <t>sss</t>
  </si>
  <si>
    <t>FVR_PRI_PPQM_BATCH_MANAGEMENT</t>
  </si>
  <si>
    <t>FVR_PRI_PPQM_REPETITVE MFG ALLOWED</t>
  </si>
  <si>
    <t>Repetitive mfg allowed</t>
  </si>
  <si>
    <t>FVR_PRI_PPQM_INSPECTION METHOD</t>
  </si>
  <si>
    <t>Inspection Method Naming Convention should start with IM_</t>
  </si>
  <si>
    <t>FVR_PRI_PPQM_BOM_Component Quantity</t>
  </si>
  <si>
    <t>ONLY THREE DECIMALS ARE ALLOWED FOR ANY UNIT OF MEASRMENT
You usually enter the quantity without a +/- sign (for example, 66).
For the following materials, you enter the quantity with a - sign
(for example, 22-):</t>
  </si>
  <si>
    <t>FVR_PRI_PPQM_BOM_Component Quantity2</t>
  </si>
  <si>
    <t>FVR_PRI_PPQM_MRP Controler_4100</t>
  </si>
  <si>
    <t>MRP Controler for HALB Materials shoudl be either EM1 for ETP and EM2 for TPO.</t>
  </si>
  <si>
    <t>Copy of FVR_PRI_PPQM_BATCH_MANAGEMENT</t>
  </si>
  <si>
    <t>FVR_PRI_PPQM_QM CHARECTERSTIC CT04</t>
  </si>
  <si>
    <t>CHARACTERSTICS IN CT04 SHOULD START WITH QN</t>
  </si>
  <si>
    <t>FVR_PRI_PPQM_BASE_UNIT OF MEASURE</t>
  </si>
  <si>
    <t>FVR_PRI_PPQM_MATERAIL NUMBER</t>
  </si>
  <si>
    <t>FOR CHANGE , MATEIALS CODE SHOULD START WITH 22*</t>
  </si>
  <si>
    <t>$Language_Key</t>
  </si>
  <si>
    <t>BEGIN RETURN
upper($Language_Key) in ('E','D','S','I','F');
END</t>
  </si>
  <si>
    <t>$Base_Unit_of_Measure</t>
  </si>
  <si>
    <t>BEGIN RETURN
$Base_Unit_of_Measure = 'TO' or upper($Base_Unit_of_Measure) = 'TO' and $Division = '30';
END</t>
  </si>
  <si>
    <t>$Purchasing_Group</t>
  </si>
  <si>
    <t>BEGIN RETURN
$Purchasing_Group = '100';
END</t>
  </si>
  <si>
    <t>$batch_mangment</t>
  </si>
  <si>
    <t>BEGIN RETURN
upper($MTART0) = 'HALB'
AND upper($WRKS1) = '1200'
AND upper($DISPO2) IN ('PM1', 'PM2', 'PM3')
AND upper($MATGR3) IN ('3PP', '3NP', '3SC')
AND upper($batch_mangment) in ('x', 'X');
END</t>
  </si>
  <si>
    <t>$Transportation_Group</t>
  </si>
  <si>
    <t>BEGIN
 RETURN $Transportation_Group IN ('0001','0002','0003','0004','0005','0006','0007') and exists('Fanar_Misc_Lookups', 'EP_MISC_LOOKUPS.TTGR', 'TRAGR', $Transportation_Group);
END</t>
  </si>
  <si>
    <t>$Loading_Group</t>
  </si>
  <si>
    <t>BEGIN RETURN
$Loading_Group = '0002' and exists('Fanar_Misc_Lookups', 'EP_MISC_LOOKUPS.TLGR', 'LADGR', $Loading_Group);
END</t>
  </si>
  <si>
    <t>$Class_Type</t>
  </si>
  <si>
    <t>BEGIN RETURN
$Class_Type = 022
OR $Class_Type = 300;
END</t>
  </si>
  <si>
    <t>$Usage_indicator</t>
  </si>
  <si>
    <t>BEGIN RETURN
$Usage_indicator = '1'
or $Usage_indicator = '3'
or $Usage_indicator = '6'
or $Usage_indicator = '8'
or $Usage_indicator = 'C';
END</t>
  </si>
  <si>
    <t>$Repetitive</t>
  </si>
  <si>
    <t>BEGIN RETURN
$Repetitive = 'SAB02';
END</t>
  </si>
  <si>
    <t>$Checking_Group</t>
  </si>
  <si>
    <t>BEGIN RETURN
$Checking_Group = 'CH';
END</t>
  </si>
  <si>
    <t>$Material_Group</t>
  </si>
  <si>
    <t>BEGIN RETURN
$Material_Group IS NOT NULL
AND $Material_Group != '';
END</t>
  </si>
  <si>
    <t>$LIMS</t>
  </si>
  <si>
    <t>BEGIN RETURN
$LIMS = 'LWLIMS' or lower($LIMS) = 'lwlims';
END</t>
  </si>
  <si>
    <t>$Lot_size</t>
  </si>
  <si>
    <t>BEGIN RETURN
$Lot_size = 'ZM';
END</t>
  </si>
  <si>
    <t>$MRP</t>
  </si>
  <si>
    <t>BEGIN RETURN
$Plant in ('1200','3400') and $type='Chem' and $MRP = 'MC1' OR
$Plant='1100' and $type='Chem' and $MRP = 'PC1' OR
$Plant in ('1200','3400') and $type='Poly' and $MRP = 'MP1' OR
$Plant='1100' and $type='Poly' and $MRP = 'PP1';
END</t>
  </si>
  <si>
    <t>$Division</t>
  </si>
  <si>
    <t>TSPA</t>
  </si>
  <si>
    <t>BEGIN 
RETURN
exists('Fanar_Misc_Lookups', 'EP_MISC_LOOKUPS.TSPA', 'SPART', $Division);
END</t>
  </si>
  <si>
    <t>$HALB</t>
  </si>
  <si>
    <t>BEGIN RETURN
$HALB = 'HALB'
or $HALB = 'halb';
END</t>
  </si>
  <si>
    <t>$MRP_Type</t>
  </si>
  <si>
    <t>BEGIN RETURN
upper($MRP_Type) in ('M0','M1','M2','M3','M4','ND','P1','PD','X0');
END</t>
  </si>
  <si>
    <t>$Material_Description</t>
  </si>
  <si>
    <t>BEGIN RETURN
$Material_Description != '';
END</t>
  </si>
  <si>
    <t>$PV_REM_Allowed</t>
  </si>
  <si>
    <t>BEGIN RETURN
$PV_REM_Allowed = 'X'
or $PV_REM_Allowed = 'x';
END</t>
  </si>
  <si>
    <t>$work_center_category</t>
  </si>
  <si>
    <t>BEGIN RETURN
$work_center_category  = '0007'
OR $work_center_category  = '0008'
OR $work_center_category  = '0016' 
OR $work_center_category  = '0001'and exists('Fanar_Misc_Lookups', 'EP_MISC_LOOKUPS.TC30', 'VERWE', $work_center_category);
END</t>
  </si>
  <si>
    <t>$Valuation_Class</t>
  </si>
  <si>
    <t>BEGIN
 RETURN($Valuation_Class = '7950' or $Valuation_Class ='7900' );
END</t>
  </si>
  <si>
    <t>$Purchasing_Value_Key</t>
  </si>
  <si>
    <t>BEGIN RETURN
$Purchasing_Value_Key IS NULL;
END</t>
  </si>
  <si>
    <t>BEGIN RETURN
upper($MTART0) = 'HALB'
AND upper($WRKS1) = '4100'
AND upper($DISPO2) IN ('EM1', 'EM2')
AND upper($MATGR3) IN ('3PP', '3NP', '3SC')
AND upper($batch_mangment) in ('x', 'X');
END</t>
  </si>
  <si>
    <t>$MRP_Controller</t>
  </si>
  <si>
    <t>BEGIN RETURN
exists('Fanar_Misc_Lookups', 'EP_MISC_LOOKUPS.T024D', 'DISPO', upper($MRP_Controller));
END</t>
  </si>
  <si>
    <t>$Usage</t>
  </si>
  <si>
    <t>BEGIN RETURN
$Usage = '05'
or $Usage = '03';
END</t>
  </si>
  <si>
    <t>$Sales_org</t>
  </si>
  <si>
    <t>BEGIN RETURN
$Sales_org = '1000';
END</t>
  </si>
  <si>
    <t>$PRDHA</t>
  </si>
  <si>
    <t>BEGIN RETURN
$PRDHA IS NOT NULL
AND $PRDHA != '';
END</t>
  </si>
  <si>
    <t>$MIC_PLANT</t>
  </si>
  <si>
    <t>BEGIN RETURN
$MIC_PLANT = '1000';
END</t>
  </si>
  <si>
    <t>$BOM_USAGE</t>
  </si>
  <si>
    <t>BEGIN RETURN
$BOM_USAGE = '1'
or $BOM_USAGE = '6'
or $BOM_USAGE = 'C'
or $BOM_USAGE = '3';
END</t>
  </si>
  <si>
    <t>$Ordertype</t>
  </si>
  <si>
    <t>BEGIN RETURN
$Ordertype = 'PP01';
END</t>
  </si>
  <si>
    <t>$Material_statistics_group</t>
  </si>
  <si>
    <t>BEGIN RETURN
$Material_statistics_group = '1' or rtrim(ltrim($Material_statistics_group,' '),' ') = '' or $Material_statistics_group is null;
END</t>
  </si>
  <si>
    <t>$ITEM_CATOGARY</t>
  </si>
  <si>
    <t>BEGIN RETURN
$ITEM_CATOGARY = 'L' or upper($ITEM_CATOGARY)='L'
OR $ITEM_CATOGARY = 'N' or upper($ITEM_CATOGARY) = 'N'
OR $ITEM_CATOGARY = 'T' or upper($ITEM_CATOGARY) = 'T';
END</t>
  </si>
  <si>
    <t>$Procurement_Type</t>
  </si>
  <si>
    <t>BEGIN RETURN
$Procurement_Type = 'E';
END</t>
  </si>
  <si>
    <t>$Industry_sector</t>
  </si>
  <si>
    <t>BEGIN RETURN
$Industry_sector = 'C';
END</t>
  </si>
  <si>
    <t>$MIC_NAME</t>
  </si>
  <si>
    <t>BEGIN RETURN
match_pattern($MIC_NAME, 'QN*') or
match_pattern($MIC_NAME, 'QL*');
END</t>
  </si>
  <si>
    <t>BEGIN RETURN
$parameter0 = 'PD' Or upper($parameter0) ='PD';
END</t>
  </si>
  <si>
    <t>BEGIN RETURN
$batch_mangment IN ('','x','X');
END</t>
  </si>
  <si>
    <t>$Repetitive_mfg_allowed</t>
  </si>
  <si>
    <t>BEGIN RETURN
$Repetitive_mfg_allowed IN ('','x','X');
END</t>
  </si>
  <si>
    <t>$IM</t>
  </si>
  <si>
    <t>BEGIN
RETURN
match_pattern($IM, 'IM*');
END</t>
  </si>
  <si>
    <t>$Component_quantity</t>
  </si>
  <si>
    <t>BEGIN RETURN
$Component_quantity IS NOT NULL;
END</t>
  </si>
  <si>
    <t>BEGIN
IF( LENGTH($Component_quantity) &gt;0 )
BEGIN RETURN
substr($Component_quantity, 1, 1)  != ' ' AND
(match_regex($Component_quantity, '[0-9.-]+(\,[0-9][0-9][0-9]?)?', NULL) ) ;
END
ELSE RETURN FALSE;
END</t>
  </si>
  <si>
    <t>$MTART0</t>
  </si>
  <si>
    <t>BEGIN RETURN
upper($MTART0) = 'HALB'
AND upper($WRKS1) = '4100'
AND upper($DISPO2) IN ('EM1', 'EM2');
END</t>
  </si>
  <si>
    <t>BEGIN RETURN
($batch_mangment IN ('x','X'))
and ( $HALB  ='halb' or $HALB = 'HALB');
END</t>
  </si>
  <si>
    <t>CT04</t>
  </si>
  <si>
    <t>BEGIN RETURN
$MIC_NAME = 'QN*'
OR $MIC_NAME = 'QL*';
END</t>
  </si>
  <si>
    <t>BEGIN RETURN
$Base_Unit_of_Measure = 'TO' or upper($Base_Unit_of_Measure) = 'TO';
END</t>
  </si>
  <si>
    <t>$Material_Number</t>
  </si>
  <si>
    <t>BEGIN RETURN
$Material_Number &gt;= 000000000022000000 and $Material_Number &lt;= 000000000022999999;
END</t>
  </si>
  <si>
    <t>FVR_PRI_LE_Connection Points Mandatory Fields</t>
  </si>
  <si>
    <t>FVR_PRI_LE_Conn. Pt. Description Mandatory Fields</t>
  </si>
  <si>
    <t>FVR_PRI_LE_Forwarding Agents_Mandat Fields check</t>
  </si>
  <si>
    <t>Check if all mandatory fields are maintained</t>
  </si>
  <si>
    <t>FVR_PRI_LE_Conn. Pt. Address Mandatory Fields</t>
  </si>
  <si>
    <t>FVR_PRI_LE_Route Mandatory Fields</t>
  </si>
  <si>
    <t>FVR_PRI_LE_Routes_Check Numeric Field</t>
  </si>
  <si>
    <t>Make sure that numerical fields contain numbers only.</t>
  </si>
  <si>
    <t>FVR_PRI_LE_TZones Mandatory Fields</t>
  </si>
  <si>
    <t>FVR_PRI_LE_Packaging Materials_Check Numeric Field</t>
  </si>
  <si>
    <t>FVR_PRI_LE_Forwarding Agents_Validate Fixed Values</t>
  </si>
  <si>
    <t>Validate the fields that should have a fixed value</t>
  </si>
  <si>
    <t>FVR_PRI_LE_Packaging Materials_Referential Intgrty</t>
  </si>
  <si>
    <t>Make sure that all fields are within their referential domains.</t>
  </si>
  <si>
    <t>FVR_PRI_LE_Storage Bins_Indicator Validation</t>
  </si>
  <si>
    <t>Validate the values of the indicator fields.</t>
  </si>
  <si>
    <t>FVR_PRI_LE_Storage Bins_Check Number Fields</t>
  </si>
  <si>
    <t>FVR_PRI_LE_Packaging Materials_Validate Fixed Vals</t>
  </si>
  <si>
    <t>FVR_PRI_LE_Storage Bins_Referential Intgrty</t>
  </si>
  <si>
    <t>FVR_PRI_LE_Storage Bins_Validate Inventory Types</t>
  </si>
  <si>
    <t>Make sure that the values used for inventory type are correct.</t>
  </si>
  <si>
    <t>FVR_PRI_LE_Packaging Materials_Validate Mat_No</t>
  </si>
  <si>
    <t>Make sure that all packaging material numbers start with 25</t>
  </si>
  <si>
    <t>FVR_PRI_LE_Connection Points Referential Integrity</t>
  </si>
  <si>
    <t>FVR_PRI_LE_Packaging Materials_Check Mandat Fields</t>
  </si>
  <si>
    <t>Check if all mandatory fields of table MARA are maintained.</t>
  </si>
  <si>
    <t>FVR_PRI_LE_Route Stages Referential Intgrity</t>
  </si>
  <si>
    <t>FVR_PRI_LE_Route_Referential Intgrty</t>
  </si>
  <si>
    <t>FVR_PRI_LE_TZone Referential Integrity</t>
  </si>
  <si>
    <t>FVR_PRI_LE_Forwarding Agents_Referential Intgrty</t>
  </si>
  <si>
    <t>FVR_PRI_LE_Route Stages Mandatory Fields</t>
  </si>
  <si>
    <t>FVR_PRI_LE_Storage Bins_Mandatory Fields</t>
  </si>
  <si>
    <t>Check if all mandatory fields of table LAGP are maintained.</t>
  </si>
  <si>
    <t>FVR_PRI_LE_Route Description Mandatory Fields</t>
  </si>
  <si>
    <t>LE</t>
  </si>
  <si>
    <t>$KNOTE</t>
  </si>
  <si>
    <t>BEGIN RETURN
$KNOTE IS NOT NULL;
END</t>
  </si>
  <si>
    <t>BEGIN RETURN
$SPRAS IS NOT NULL
AND $BEZEI IS NOT NULL;
END</t>
  </si>
  <si>
    <t>BEGIN RETURN
$LIFNR IS NOT NULL
AND $LAND1 IS NOT NULL
AND $NAME1 IS NOT NULL
AND $ORT01 IS NOT NULL
AND $SORTL IS NOT NULL
AND $KTOKK IS NOT NULL;
END</t>
  </si>
  <si>
    <t>$TRANSPZONE</t>
  </si>
  <si>
    <t>BEGIN RETURN
$TRANSPZONE IS NOT NULL
AND $COUNTRY IS NOT NULL
AND $LANGU IS NOT NULL;
END</t>
  </si>
  <si>
    <t>$ROUTE</t>
  </si>
  <si>
    <t>BEGIN RETURN
$ROUTE IS NOT NULL
AND $TRAZTD IS NOT NULL
AND $TDVZTD IS NOT NULL
AND $TDIIX IS NOT NULL
AND $VSART IS NOT NULL;
END</t>
  </si>
  <si>
    <t>$TRAZTD</t>
  </si>
  <si>
    <t>BEGIN RETURN
(is_valid_decimal($TDVZND, '######.##') or $TDVZND is null)
and
is_valid_decimal($TDVZTD, '######.##')
and
is_valid_decimal($TRAZTD, '######.##')
;
END</t>
  </si>
  <si>
    <t>$LAND1</t>
  </si>
  <si>
    <t>BEGIN RETURN
$LAND1 IS NOT NULL
AND $ZONE1 IS NOT NULL;
END</t>
  </si>
  <si>
    <t>$BRGEW</t>
  </si>
  <si>
    <t>BEGIN RETURN
is_valid_decimal($BRGEW, '######.###')
AND is_valid_decimal($VOLUM, '######.###')
AND is_valid_decimal($LAENG, '######.###')
AND is_valid_decimal($BREIT, '######.###')
AND is_valid_decimal($HOEHE, '######.###')
AND is_valid_decimal($ERGEW, '######.###')
AND is_valid_decimal($ERVOL, '######.###')
AND is_valid_decimal($NTGEW, '######.###')
;
END</t>
  </si>
  <si>
    <t>BEGIN RETURN
$KTOKK = '0005';
END</t>
  </si>
  <si>
    <t>$MTART</t>
  </si>
  <si>
    <t>T0134 / T0137 / T023 / T006 / TPTM</t>
  </si>
  <si>
    <t>MTART / MBRSH / MATKL / MSEHI / MTPOS</t>
  </si>
  <si>
    <t>BEGIN RETURN
	exists('Fanar_Misc_Lookups', 'EP_MISC_LOOKUPS.T134', 'MTART', $MTART)
and
exists('Fanar_Misc_Lookups', 'EP_MISC_LOOKUPS.T137', 'MBRSH', $MBRSH)
and
exists('Fanar_Misc_Lookups', 'EP_MISC_LOOKUPS.T023', 'MATKL', $MATKL)
and
exists('Fanar_Misc_Lookups', 'EP_MISC_LOOKUPS.T006', 'MSEHI', upper($MEINS))
and
exists('Fanar_Misc_Lookups', 'EP_MISC_LOOKUPS.T006', 'MSEHI', upper($GEWEI))
and
exists('Fanar_Misc_Lookups', 'EP_MISC_LOOKUPS.T006', 'MSEHI', upper($VOLEH))
and
exists('Fanar_Misc_Lookups', 'EP_MISC_LOOKUPS.T006', 'MSEHI', upper($MEABM))
and
exists('Fanar_Misc_Lookups', 'EP_MISC_LOOKUPS.T006', 'MSEHI', upper($ERGEI))
and
exists('Fanar_Misc_Lookups', 'EP_MISC_LOOKUPS.T006', 'MSEHI', upper($ERVOE))
and
exists('Fanar_Misc_Lookups', 'EP_MISC_LOOKUPS.TPTM', 'MTPOS', $MTPOS_MARA)
;
END</t>
  </si>
  <si>
    <t>$SKZUA</t>
  </si>
  <si>
    <t>$LGEWI</t>
  </si>
  <si>
    <t>BEGIN RETURN
is_valid_decimal($LGEWI, '######.###');
END</t>
  </si>
  <si>
    <t>BEGIN RETURN
upper($MTART) = 'ZPAC'
AND upper($MBRSH) = 'C'
AND upper($MTPOS_MARA) = 'VERP';
END</t>
  </si>
  <si>
    <t>$LGNUM</t>
  </si>
  <si>
    <t>T301/ T302 / T330 / T006</t>
  </si>
  <si>
    <t>LGTYP / LGBER / SPGRU / MSEHI</t>
  </si>
  <si>
    <t>BEGIN RETURN
exists('Fanar_Misc_Lookups', 'EP_MISC_LOOKUPS.T301', 'LGTYP', $LGTYP,'LGNUM', $LGNUM)
and
exists('Fanar_Misc_Lookups', 'EP_MISC_LOOKUPS.T302', 'LGBER', $LGBER)
and
exists('Fanar_Misc_Lookups', 'EP_MISC_LOOKUPS.T330', 'SPGRU', $SPGRU)
and
exists('Fanar_Misc_Lookups', 'EP_MISC_LOOKUPS.T006', 'MSEHI', upper($GEWEI))
;
END</t>
  </si>
  <si>
    <t>$KZINV</t>
  </si>
  <si>
    <t>BEGIN RETURN
upper($KZINV) = 'PE'
OR
upper($KZINV) = 'PN'
OR
upper($KZINV) = 'PZ'
OR
upper($KZINV) = 'ST'
OR
upper($KZINV) = 'MA'
OR
upper($KZINV) = 'CC'
OR
upper($KZINV) = 'DC'
OR
length(ltrim(rtrim($KZINV, ' '), ' ')) = 0;
END</t>
  </si>
  <si>
    <t>BEGIN RETURN
substr($MATNR, 1, 2)='25'
and length($MATNR)= 8;
END</t>
  </si>
  <si>
    <t>BEGIN RETURN
exists('Fanar_Misc_Lookups', 'EP_MISC_LOOKUPS.T001W', 'WERKS', upper($WERKS))
or
$WERKS IS NULL ;
END</t>
  </si>
  <si>
    <t>BEGIN RETURN
$MATNR IS NOT NULL
AND $MTART IS NOT NULL
AND $MBRSH IS NOT NULL
AND $MATKL IS NOT NULL
AND $MEINS IS NOT NULL
AND $GEWEI IS NOT NULL
AND $VOLEH IS NOT NULL
AND $MEABM IS NOT NULL
AND $ERGEI IS NOT NULL
AND $ERVOE IS NOT NULL
AND $MTPOS_MARA IS NOT NULL;
END</t>
  </si>
  <si>
    <t>$VSART</t>
  </si>
  <si>
    <t>T173</t>
  </si>
  <si>
    <t>VSART</t>
  </si>
  <si>
    <t>$SPFBK</t>
  </si>
  <si>
    <t>T173 / TFACD</t>
  </si>
  <si>
    <t>VSART / IDENT</t>
  </si>
  <si>
    <t>DECLARE
   # define variables
BEGIN
   # define validation rule expression
Return exists('Fanar_Misc_Lookups', 'EP_MISC_LOOKUPS.T005', 'LAND1', upper($LAND1))
   ;
END</t>
  </si>
  <si>
    <t>T005 / T005S / T077K</t>
  </si>
  <si>
    <t>LAND1/ BLAND / KTOKK</t>
  </si>
  <si>
    <t>BEGIN RETURN
exists('Fanar_Misc_Lookups', 'EP_MISC_LOOKUPS.T005', 'LAND1', $LAND1)
and
(exists('Fanar_Misc_Lookups', 'EP_MISC_LOOKUPS.T005S', 'BLAND', $REGIO) or $REGIO IS NULL)
and
exists('Fanar_Misc_Lookups', 'EP_MISC_LOOKUPS.T077K', 'KTOKK', $KTOKK)
;
END</t>
  </si>
  <si>
    <t>$ANFRF</t>
  </si>
  <si>
    <t>BEGIN RETURN
$ANFRF IS NOT NULL
AND $KNANF IS NOT NULL
AND $KNEND IS NOT NULL
AND $VSART IS NOT NULL
AND $FRKRL IS NOT NULL;
END</t>
  </si>
  <si>
    <t>LAGP</t>
  </si>
  <si>
    <t>BEGIN RETURN
$LGNUM IS NOT NULL
AND $LGTYP IS NOT NULL
AND $LGPLA IS NOT NULL
AND $LGBER IS NOT NULL
AND $LGEWI IS NOT NULL
AND $GEWEI IS NOT NULL;
END</t>
  </si>
  <si>
    <t>FVR_PRI_KNB1_Reconciliation Account in General Led</t>
  </si>
  <si>
    <t>FVR_PRI_KNB1_Tolerance group for Parnter GL</t>
  </si>
  <si>
    <t>FVR_PRI_KNA1_Attribute 8</t>
  </si>
  <si>
    <t>"Check lookup table TVK8  Attribute 8 (customer master)
filed KATR8"</t>
  </si>
  <si>
    <t>FVR_PRI_KNA1_Country Key</t>
  </si>
  <si>
    <t>"Check lookup table T005  Countries
filed LAND1"</t>
  </si>
  <si>
    <t>FTR_PRI_KNB1_0003_Ma</t>
  </si>
  <si>
    <t>Mandatory fields for customer master company code 0003 Payer: 
Key for sorting according to assignment numbers
Accounting clerk
Terms of Payment Key
Planning group
Indicator for periodic account statements
Indicator: Record Payment History ?</t>
  </si>
  <si>
    <t>FVR_PRI_KNVK_Contact person department</t>
  </si>
  <si>
    <t>FVR_PRI_KNVV_Currency</t>
  </si>
  <si>
    <t>"Check lookup table TCURC  Currency Codes
filed WAERS"</t>
  </si>
  <si>
    <t>FTR_PRI_KNB1_Lookup Tables</t>
  </si>
  <si>
    <t>Check lookup tables for Important fields for business 
Key for sorting according to assignment numbers
Accounting clerk
Reconciliation Account in General Ledger
Planning group
Indicator for periodic account statements
Short Key for a House Bank</t>
  </si>
  <si>
    <t>FVR_PRI_KNVV_Exchange Rate Type</t>
  </si>
  <si>
    <t>"Check lookup table TCURV  Exchange rate types for currency translation
filed KURST"</t>
  </si>
  <si>
    <t>FVR_PRI_KNVK_VIP Partner</t>
  </si>
  <si>
    <t>FVR_PRI_KNVV_0003_Man</t>
  </si>
  <si>
    <t>Mandatory fields Customer Master Sales Data 
Account assignment group for this customer
Terms of Payment Key</t>
  </si>
  <si>
    <t>FVR_PRI_KNVK_Contact person: Attribute 5</t>
  </si>
  <si>
    <t>FVR_PRI_KNMT_Base Unit of  Measure</t>
  </si>
  <si>
    <t>check lookup table T006 Filed MEINS</t>
  </si>
  <si>
    <t>FVR_PRI_Accounts_Statements</t>
  </si>
  <si>
    <t>Checks if the value exists in table T048K, column  XAUSZ</t>
  </si>
  <si>
    <t>FVR_PRI_KNB1_Accounting clerk</t>
  </si>
  <si>
    <t>FVR_PRI_KNA1_Transportation zone</t>
  </si>
  <si>
    <t>it wil check TZONE Table, LZONE</t>
  </si>
  <si>
    <t>FVR_PRI_KNVK_Partners Authority</t>
  </si>
  <si>
    <t>FVR_PRI_KNVI_Tax classification for customer</t>
  </si>
  <si>
    <t>FVR_PRI_KNA1_Attribute 1</t>
  </si>
  <si>
    <t>"Check lookup table TVK1  Attribute 1 (customer master)
filed KATR1"</t>
  </si>
  <si>
    <t>FVR_PRI_KNVP_Distribution Channel</t>
  </si>
  <si>
    <t>FVR_PRI_KNVV_Customer group 1 Indicator</t>
  </si>
  <si>
    <t>"Check lookup table TVV1  Customer Group 1
filed KVGR1"</t>
  </si>
  <si>
    <t>FVR_PRI_KNVK_Contact person: Attribute 9</t>
  </si>
  <si>
    <t>FVR_PRI_KNVV_Sales Group</t>
  </si>
  <si>
    <t>"Check lookup table TVBVK  Organizational Unit: Sales Groups per Sales Office
filed VKGRP"</t>
  </si>
  <si>
    <t>FVR_PRI_KNVP_Sales Organization</t>
  </si>
  <si>
    <t>FVR_PRI_KNA1_Language Key</t>
  </si>
  <si>
    <t>"Check lookup table T002  Language Keys (Component BC-I18)
filed SPRAS"</t>
  </si>
  <si>
    <t>FVR_PRI_KNVK_Call frequency</t>
  </si>
  <si>
    <t>FVR_PRI_KNB5_Dunning Procedure</t>
  </si>
  <si>
    <t>FVR_PRI_KNB1_Accounts_Statements</t>
  </si>
  <si>
    <t>NOT NULL and Checks if the value exists in table T048K, column  XAUSZ</t>
  </si>
  <si>
    <t>FVR_PRI_KNKK_Credit management: Risk category</t>
  </si>
  <si>
    <t>FVR_PRI_KNA1_Attribute 4</t>
  </si>
  <si>
    <t>"Check lookup table TVK4  Attribute 4 (customer master)
filed KATR4"</t>
  </si>
  <si>
    <t>FVR_PRI_KNB1_0001_Ma</t>
  </si>
  <si>
    <t>Mandatory fields for customer master company code: 
Key for sorting according to assignment numbers
Accounting clerk
Terms of Payment Key
Planning group
Indicator for periodic account statements
Indicator: Record Payment History ?</t>
  </si>
  <si>
    <t>FVR_PRI_KNVV_Sales Office</t>
  </si>
  <si>
    <t>"Check lookup table TVBUR  Organizational Unit: Sales Offices
filed VKBUR"</t>
  </si>
  <si>
    <t>FVR_PRI_KNVV_Delivery Priority</t>
  </si>
  <si>
    <t>"Check lookup table TPRIO  Customers: Delivery Priorities
filed LPRIO"</t>
  </si>
  <si>
    <t>FVR_PRI_KNA1_0003_Man</t>
  </si>
  <si>
    <t>All mandatory fields on Customer Master General data for Payer:
- Country Key
- Name 1
- City
- Postal Code
- Sort field (Search Term A)</t>
  </si>
  <si>
    <t>FVR_PRI_KNKK_Credit control area</t>
  </si>
  <si>
    <t>FVR_PRI_KNA1_Customer classification</t>
  </si>
  <si>
    <t>"Check lookup table TKUKL  Customers: Customer Classifications
filed KUKLA"</t>
  </si>
  <si>
    <t>FVR_PRI_KNVK_Marital Status Key</t>
  </si>
  <si>
    <t>FVR_PRI_KNVK_Contact person: Attribute 2</t>
  </si>
  <si>
    <t>FVR_PRI_KNA1_Attribute 10</t>
  </si>
  <si>
    <t>"Check lookup table TVK0  Attribute 10 (customer master)
filed KATR10"</t>
  </si>
  <si>
    <t>FVR_PRI_KNVK_Contact person function</t>
  </si>
  <si>
    <t>FRT_PRI_KNA1_ Lookup Tables</t>
  </si>
  <si>
    <t>check Lookup table for important Business fields</t>
  </si>
  <si>
    <t>FVR_PRI_KNB1_Accounts_Statement</t>
  </si>
  <si>
    <t>Checks if the value exists in table T048K, column XAUSZ</t>
  </si>
  <si>
    <t>FVR_PRI_KNA1_Central order block for customer</t>
  </si>
  <si>
    <t>"Check lookup table TVAST  Sales Document Blocking Reasons: Texts
filed AUFSD"</t>
  </si>
  <si>
    <t>FVR_PRI_KNVV_Alt. Cred.Cntl.Area</t>
  </si>
  <si>
    <t>"Check lookup table TVV2  Customer Group 2
filed KVGR2"</t>
  </si>
  <si>
    <t>FVR_PRI_KNVV_Shipping Conditions</t>
  </si>
  <si>
    <t>"Check lookup table TVSB  Shipping Conditions
filed VSBED"</t>
  </si>
  <si>
    <t>FVR_PRI_KNVV_0002_Man</t>
  </si>
  <si>
    <t>FVR_PRI_KNVV_Sales Organization</t>
  </si>
  <si>
    <t>"Check lookup table TVKO  Organizational Unit: Sales Organizations
filed VKORG"</t>
  </si>
  <si>
    <t>FVR_PRI_KNA1_Attribute 5</t>
  </si>
  <si>
    <t>"Check lookup table TVK5  Attribute 5 (customer master)
filed KATR5"</t>
  </si>
  <si>
    <t>FVR_PRI_KNB5_Dunning block</t>
  </si>
  <si>
    <t>FVR_PRI_KNB1_Short Key for a House Bank</t>
  </si>
  <si>
    <t>FVR_PRI_KNVV_Pricing procedure assigned to this cu</t>
  </si>
  <si>
    <t>"Check lookup table TVKD  Customer Pricing Procedures
filed KALKS"</t>
  </si>
  <si>
    <t>FVR_PRI_KNA1_Attribute 6</t>
  </si>
  <si>
    <t>"Check lookup table TVK6  Attribute 6 (customer master)
filed KATR6"</t>
  </si>
  <si>
    <t>Checks if the value exists in table T001S, column BUSAB</t>
  </si>
  <si>
    <t>FVR_PRI_KNB1_Company Code</t>
  </si>
  <si>
    <t>FVR_PRI_KNVK_Contact person: Attribute 7</t>
  </si>
  <si>
    <t>FVR_PRI_KNA1_Attribute 9</t>
  </si>
  <si>
    <t>"Check lookup table TVK9  Attribute 9 (customer master)
filed KATR9"</t>
  </si>
  <si>
    <t>FVR_PRI_Customer Title</t>
  </si>
  <si>
    <t>it is checked that customer title is either 
Company
Mr.
Ms.</t>
  </si>
  <si>
    <t>FVR_PRI_KNB1_Planning group</t>
  </si>
  <si>
    <t>FRT_PRI_KNA1_0002_Man</t>
  </si>
  <si>
    <t>All mandatory fields on Customer Master General data for Ship to:
- Country Key
- Name 1
- City
- Postal Code
- Sort field (Search Term A)
- Transportation zone to or from which the goods are delivered</t>
  </si>
  <si>
    <t>FVR_PRI_KNVK_Contact person: Attribute 3</t>
  </si>
  <si>
    <t>FVR_PRI_KNVV_Customer Statistics Group</t>
  </si>
  <si>
    <t>"Check lookup table TVSD  Customers: Statistics groups
filed VERSG"</t>
  </si>
  <si>
    <t>FVR_PRI_KNVV_Delivering Plant Own or External</t>
  </si>
  <si>
    <t>"Check lookup table TVKWZ  Org.Unit: Allowed Plants per Sales Organization
filed VWERK"</t>
  </si>
  <si>
    <t>FVR_PRI_KNB1_Block Key for Payment</t>
  </si>
  <si>
    <t>FVR_PRI_KNA1_Region</t>
  </si>
  <si>
    <t>"Check lookup table T005S  Taxes: Region (Province) Key
filed REGIO"</t>
  </si>
  <si>
    <t>FVR_PRI_KNB1_Key for sorting according to assignme</t>
  </si>
  <si>
    <t>FVR_PRI_KNVV_Approved International Trader status</t>
  </si>
  <si>
    <t>"Check lookup table TVV3  Customer Group 3
filed KVGR3"</t>
  </si>
  <si>
    <t>FVR_PRI_KNVV_Invoice dates calendar</t>
  </si>
  <si>
    <t>"Check lookup table TFACD  Factory calendar definition
filed PERFK"</t>
  </si>
  <si>
    <t>FVR_PRI_KNVV_Incoterms Part 1</t>
  </si>
  <si>
    <t>"Check lookup table TINC  Customers: Incoterms
filed INCO1"</t>
  </si>
  <si>
    <t>FVR_PRI_KNKK_Customer Credit Group</t>
  </si>
  <si>
    <t>FVR_PRI_KNVV_Sales district</t>
  </si>
  <si>
    <t>Check lookup table T171  Customers: Sales Districts
filed BZIRK</t>
  </si>
  <si>
    <t>FVR_PRI_KNA1_Attribute 7</t>
  </si>
  <si>
    <t>"Check lookup table TVK7  Attribute 7 (customer master)
filed KATR7"</t>
  </si>
  <si>
    <t>FVR_PRI_KNVK_Contact person: Attribute 4</t>
  </si>
  <si>
    <t>FVR_PRI_KNVK_Buying habits</t>
  </si>
  <si>
    <t>FVR_PRI_KNVP_Division</t>
  </si>
  <si>
    <t>FTR_PRI_KNB1 Lookup Tables</t>
  </si>
  <si>
    <t>FRT_PRI_KNA1_0001_Man</t>
  </si>
  <si>
    <t>All mandatory fields on Customer Master General data for sold to:
- Country Key
- Name 1
- City
- Postal Code
- Sort field (Search Term A)
- Transportation zone to or from which the goods are delivered</t>
  </si>
  <si>
    <t>FVR_PRI_KNB1_Indicator for periodic account statem</t>
  </si>
  <si>
    <t>FVR_PRI_KNVI_Tax category</t>
  </si>
  <si>
    <t>FVR_PRI_KNKK_Credit representative group for credi</t>
  </si>
  <si>
    <t>FVR_PRI_KNVP_Man</t>
  </si>
  <si>
    <t>All Mandetory fileds for table Partner Roles (KNVP)
- Customer number of business partner
- Partner Function
- Division
- Sales Organization
- Distribution Channel</t>
  </si>
  <si>
    <t>FVR_PRI_KNVV_Customer payment guarantee procedure</t>
  </si>
  <si>
    <t>"Check lookup table T691P  Customer payment guarantee procedure
filed KABSS"</t>
  </si>
  <si>
    <t>FVR_PRI_KNVV_0001_Man</t>
  </si>
  <si>
    <t>Mandatory fields Customer Master Sales Data 
Sales Organization
Distribution Channel
Division
Customer Statistics Group
Pricing procedure assigned to this customer
Sales district
Shipping Conditions
Currency
Account assignment group for this customer
Terms of Payment Key
Relevant for POD processing
Timeframe for Confirmation of POD</t>
  </si>
  <si>
    <t>FVR_PRI_KNVV_Customer delivery block SA</t>
  </si>
  <si>
    <t>"Check lookup table TVLS  Deliveries: Blocking Reasons/Criteria
filed LIFSD"</t>
  </si>
  <si>
    <t>FVR_PRI_KNVV_Unit of Measure Group</t>
  </si>
  <si>
    <t>"Check lookup table TWMEG  Unit of measure group
filed MEGRU"</t>
  </si>
  <si>
    <t>FVR_PRI_KNKK_Currency of recommended credit limit</t>
  </si>
  <si>
    <t>FVR_PRI_KNA1_County Code</t>
  </si>
  <si>
    <t>it will check up table T005E, Filed COUNC</t>
  </si>
  <si>
    <t>FVR_PRI_KNMT_Delivery Priority</t>
  </si>
  <si>
    <t>Check lookup table TPRIO filed LPRIO</t>
  </si>
  <si>
    <t>FVR_PRI_KNVV_Account assignment group for this cus</t>
  </si>
  <si>
    <t>"Check lookup table TVKT  Customers: Account Assignment Groups
filed KTGRD"</t>
  </si>
  <si>
    <t>FVR_PRI_KNVK_Contact person: Attribute 6</t>
  </si>
  <si>
    <t>FVR_PRI_KNA1_0004_Man</t>
  </si>
  <si>
    <t>All mandatory fields on Customer Master General data for Bill to:
- Country Key
- Name 1
- City
- Postal Code
- Sort field (Search Term A)</t>
  </si>
  <si>
    <t>FVR_PRI_KNA1_Attribute 3</t>
  </si>
  <si>
    <t>"Check lookup table TVK3  Attribute 3 (customer master)
filed KATR3"</t>
  </si>
  <si>
    <t>FVR_PRI_KNVK_Contact person: Attribute 8</t>
  </si>
  <si>
    <t>FVR_PRI_KNVV_Customer group</t>
  </si>
  <si>
    <t>"Check lookup table T151  Customers: Customer Groups
filed KDGRP"</t>
  </si>
  <si>
    <t>FVR_PRI_KNVK_Contact person: Attribute 10</t>
  </si>
  <si>
    <t>FVR_PRI_KNB5_Dunning clerk</t>
  </si>
  <si>
    <t>FVR_PRI_KNVK_Partner language</t>
  </si>
  <si>
    <t>FVR_PRI_KNVK_Contact person: Attribute 1</t>
  </si>
  <si>
    <t>FVR_PRI_KNA1_Central order billing for customer</t>
  </si>
  <si>
    <t>"Check lookup table TVFS  Billing: Reasons for Blocking
filed FAKSD"</t>
  </si>
  <si>
    <t>SD</t>
  </si>
  <si>
    <t>$AKONT</t>
  </si>
  <si>
    <t>$TOGRU</t>
  </si>
  <si>
    <t>T043G</t>
  </si>
  <si>
    <t>$KATR8</t>
  </si>
  <si>
    <t>TVK8</t>
  </si>
  <si>
    <t>KATR8</t>
  </si>
  <si>
    <t>BEGIN RETURN
length($KATR8) =0 OR exists('Fanar_Misc_Lookups', 'EP_MISC_LOOKUPS.TVK8', 'KATR8', $KATR8);
END</t>
  </si>
  <si>
    <t>BEGIN RETURN
$ZUAWA IS NOT NULL
AND
$BUSAB IS NOT NULL
AND
$ZTERM IS NOT NULL
AND
$FDGRV IS NOT NULL
AND
$XAUSZ IS NOT NULL
AND
$XZVER IS NOT NULL;
END</t>
  </si>
  <si>
    <t>$ABTNR</t>
  </si>
  <si>
    <t>TSAB</t>
  </si>
  <si>
    <t>BEGIN RETURN
$ABTNR IS NULL OR length(rtrim(ltrim($ABTNR,' '), ' ')) = 0 or exists('Fanar_Misc_Lookups', 'EP_MISC_LOOKUPS.TSAB', 'ABTNR', $ABTNR);
END</t>
  </si>
  <si>
    <t>$KURST</t>
  </si>
  <si>
    <t>TCURV</t>
  </si>
  <si>
    <t>$PAVIP</t>
  </si>
  <si>
    <t>TVIP</t>
  </si>
  <si>
    <t>BEGIN RETURN
$PAVIP IS NULL OR length(rtrim(ltrim($PAVIP,' '), ' ')) = 0 OR exists('Fanar_Misc_Lookups', 'EP_MISC_LOOKUPS.TVIP', 'PAVIP', $PAVIP);
END</t>
  </si>
  <si>
    <t>$KTGRD</t>
  </si>
  <si>
    <t>BEGIN RETURN
$KTGRD IS NOT NULL	
AND	
$ZTERM IS NOT NULL;	
END</t>
  </si>
  <si>
    <t>$PARH5</t>
  </si>
  <si>
    <t>TVP5</t>
  </si>
  <si>
    <t>PAAT5</t>
  </si>
  <si>
    <t>BEGIN RETURN
$PARH5 IS NULL OR length(rtrim(ltrim($PARH5,' '), ' ')) = 0 OR exists('Fanar_Misc_Lookups', 'EP_MISC_LOOKUPS.TVP5', 'PAAT5', $PARH5);
END</t>
  </si>
  <si>
    <t>KNMT</t>
  </si>
  <si>
    <t>BEGIN RETURN
$MEINS IS NULL OR length(rtrim(ltrim($MEINS,' '), ' ')) = 0 OR exists('Fanar_Misc_Lookups', 'EP_MISC_LOOKUPS.T006', 'MSEHI', $MEINS);
END</t>
  </si>
  <si>
    <t>$XAUSZ</t>
  </si>
  <si>
    <t>BEGIN RETURN
length($XAUSZ) &gt;= 1;
END</t>
  </si>
  <si>
    <t>$BUSAB</t>
  </si>
  <si>
    <t>$ZONE1</t>
  </si>
  <si>
    <t>TZONE</t>
  </si>
  <si>
    <t>ZONE1</t>
  </si>
  <si>
    <t>$PARVO</t>
  </si>
  <si>
    <t>TVPV</t>
  </si>
  <si>
    <t>BEGIN RETURN
$PARVO IS NULL OR length(rtrim(ltrim($PARVO,' '), ' ')) = 0 OR exists('Fanar_Misc_Lookups', 'EP_MISC_LOOKUPS.TVPV', 'PARVO', $PARVO);
END</t>
  </si>
  <si>
    <t>$TAXKD</t>
  </si>
  <si>
    <t>TSKD</t>
  </si>
  <si>
    <t>$KATR1</t>
  </si>
  <si>
    <t>TVK1</t>
  </si>
  <si>
    <t>KATR1</t>
  </si>
  <si>
    <t>$VTWEG</t>
  </si>
  <si>
    <t>$KVGR1</t>
  </si>
  <si>
    <t>TVV1</t>
  </si>
  <si>
    <t>KVGR1</t>
  </si>
  <si>
    <t>$PAKN4</t>
  </si>
  <si>
    <t>TVP9</t>
  </si>
  <si>
    <t>PAAT9</t>
  </si>
  <si>
    <t>BEGIN RETURN
$PAKN4 IS NULL OR length(rtrim(ltrim($PAKN4,' '), ' ')) = 0 OR exists('Fanar_Misc_Lookups', 'EP_MISC_LOOKUPS.TVP9', 'PAAT9', $PAKN4);
END</t>
  </si>
  <si>
    <t>$VKGRP</t>
  </si>
  <si>
    <t>TVBVK</t>
  </si>
  <si>
    <t>$BRYTH</t>
  </si>
  <si>
    <t>TVBR</t>
  </si>
  <si>
    <t>BEGIN RETURN
$BRYTH IS NULL OR length(rtrim(ltrim($BRYTH,' '), ' ')) = 0 OR exists('Fanar_Misc_Lookups', 'EP_MISC_LOOKUPS.TVBR', 'BRYTH', $BRYTH);
END</t>
  </si>
  <si>
    <t>$MAHNA</t>
  </si>
  <si>
    <t>T047A</t>
  </si>
  <si>
    <t>BEGIN RETURN
length($XAUSZ) &gt;= 1
AND exists('Fanar_Misc_Lookups', 'EP_MISC_LOOKUPS.T048K', 'XAUSZ', $XAUSZ);
END</t>
  </si>
  <si>
    <t>KNKK</t>
  </si>
  <si>
    <t>$CTLPC</t>
  </si>
  <si>
    <t>T691A</t>
  </si>
  <si>
    <t>CTLPC</t>
  </si>
  <si>
    <t>$KATR4</t>
  </si>
  <si>
    <t>TVK4</t>
  </si>
  <si>
    <t>KATR4</t>
  </si>
  <si>
    <t>$VKBUR</t>
  </si>
  <si>
    <t>TVBUR</t>
  </si>
  <si>
    <t>$LPRIO</t>
  </si>
  <si>
    <t>TPRIO</t>
  </si>
  <si>
    <t>$KKBER</t>
  </si>
  <si>
    <t>T014</t>
  </si>
  <si>
    <t>KKBER</t>
  </si>
  <si>
    <t>$KUKLA</t>
  </si>
  <si>
    <t>TKUKL</t>
  </si>
  <si>
    <t>$FAMST</t>
  </si>
  <si>
    <t>T502T</t>
  </si>
  <si>
    <t>BEGIN RETURN
$FAMST IS NULL OR length(rtrim(ltrim($FAMST,' '), ' ')) = 0 OR exists('Fanar_Misc_Lookups', 'EP_MISC_LOOKUPS.T502T', 'FAMST', $FAMST);
END</t>
  </si>
  <si>
    <t>$PARH2</t>
  </si>
  <si>
    <t>TVP2</t>
  </si>
  <si>
    <t>PAAT2</t>
  </si>
  <si>
    <t>BEGIN RETURN
$PARH2 IS NULL OR length(rtrim(ltrim($PARH2,' '), ' ')) = 0 OR exists('Fanar_Misc_Lookups', 'EP_MISC_LOOKUPS.TVP2', 'PAAT2', $PARH2);
END</t>
  </si>
  <si>
    <t>$KATR10</t>
  </si>
  <si>
    <t>TVK0</t>
  </si>
  <si>
    <t>KATR10</t>
  </si>
  <si>
    <t>BEGIN RETURN
$KATR10 IS NULL OR length(rtrim(ltrim($KATR10,' '), ' ')) = 0 OR exists('Fanar_Misc_Lookups', 'EP_MISC_LOOKUPS.TVK0', 'KATR10', $KATR10);
END</t>
  </si>
  <si>
    <t>$PAFKT</t>
  </si>
  <si>
    <t>TPFK</t>
  </si>
  <si>
    <t>BEGIN RETURN
$PAFKT IS NULL OR length(rtrim(ltrim($PAFKT,' '), ' ')) = 0 OR exists('Fanar_Misc_Lookups', 'EP_MISC_LOOKUPS.TPFK', 'PAFKT', $PAFKT);
END</t>
  </si>
  <si>
    <t>T005 / T005S / LFA1 / T005E / T005G / T002 / TZONE</t>
  </si>
  <si>
    <t>LAND1 / BLAND / LIFNR / COUNC / CITYC / SPRAS / LZONE</t>
  </si>
  <si>
    <t>BEGIN RETURN
length($XAUSZ) &gt;= 1 
AND
exists('Fanar_Misc_Lookups', 'EP_MISC_LOOKUPS.T048K', 'XAUSZ', $XAUSZ);
END</t>
  </si>
  <si>
    <t>$AUFSD</t>
  </si>
  <si>
    <t>BEGIN RETURN
$AUFSD IS NOT NULL;
END</t>
  </si>
  <si>
    <t>$KVGR2</t>
  </si>
  <si>
    <t>TVV2</t>
  </si>
  <si>
    <t>KVGR2</t>
  </si>
  <si>
    <t>$VSBED</t>
  </si>
  <si>
    <t>TVSB</t>
  </si>
  <si>
    <t>$KATR5</t>
  </si>
  <si>
    <t>TVK5</t>
  </si>
  <si>
    <t>KATR5</t>
  </si>
  <si>
    <t>BEGIN RETURN
$KATR5 IS NULL OR length(rtrim(ltrim($KATR5,' '), ' ')) = 0 Or exists('Fanar_Misc_Lookups', 'EP_MISC_LOOKUPS.TVK5', 'KATR5', $KATR5);
END</t>
  </si>
  <si>
    <t>$MANSP</t>
  </si>
  <si>
    <t>T040S</t>
  </si>
  <si>
    <t>$HBKID</t>
  </si>
  <si>
    <t>T012</t>
  </si>
  <si>
    <t>$KALKS</t>
  </si>
  <si>
    <t>TVKD</t>
  </si>
  <si>
    <t>$KATR6</t>
  </si>
  <si>
    <t>TVK6</t>
  </si>
  <si>
    <t>KATR6</t>
  </si>
  <si>
    <t>BEGIN RETURN
$KATR6 IS NULL OR length(rtrim(ltrim($KATR6,' '), ' ')) = 0 OR exists('Fanar_Misc_Lookups', 'EP_MISC_LOOKUPS.TVK6', 'KATR6', $KATR6);
END</t>
  </si>
  <si>
    <t>BEGIN RETURN
length ($BUSAB) &gt;= 1
AND
exists('Fanar_Misc_Lookups', 'EP_MISC_LOOKUPS.T001S', 'BUSAB', $BUSAB);
END</t>
  </si>
  <si>
    <t>$PAKN2</t>
  </si>
  <si>
    <t>TVP7</t>
  </si>
  <si>
    <t>PAAT7</t>
  </si>
  <si>
    <t>BEGIN RETURN
$PAKN2 IS NULL OR length(rtrim(ltrim($PAKN2,' '), ' ')) = 0 OR exists('Fanar_Misc_Lookups', 'EP_MISC_LOOKUPS.TVP7', 'PAAT7', $PAKN2);
END</t>
  </si>
  <si>
    <t>$KATR9</t>
  </si>
  <si>
    <t>TVK9</t>
  </si>
  <si>
    <t>KATR9</t>
  </si>
  <si>
    <t>BEGIN RETURN
length($KATR9)=0 OR exists('Fanar_Misc_Lookups', 'EP_MISC_LOOKUPS.TVK9', 'KATR9', $KATR9);
END</t>
  </si>
  <si>
    <t>$ANRED</t>
  </si>
  <si>
    <t>BEGIN RETURN
$ANRED IN ('Company','Mr.','Ms.','',' ');
END</t>
  </si>
  <si>
    <t>$FDGRV</t>
  </si>
  <si>
    <t>$PARH3</t>
  </si>
  <si>
    <t>TVP3</t>
  </si>
  <si>
    <t>PAAT3</t>
  </si>
  <si>
    <t>BEGIN RETURN
$PARH3 IS NULL OR length(rtrim(ltrim($PARH3,' '), ' ')) = 0 OR exists('Fanar_Misc_Lookups', 'EP_MISC_LOOKUPS.TVP3', 'PAAT3', $PARH3);
END</t>
  </si>
  <si>
    <t>$VERSG</t>
  </si>
  <si>
    <t>TVSD</t>
  </si>
  <si>
    <t>STGKU</t>
  </si>
  <si>
    <t>$VWERK</t>
  </si>
  <si>
    <t>TVKWZ</t>
  </si>
  <si>
    <t>$ZAHLS</t>
  </si>
  <si>
    <t>$REGIO</t>
  </si>
  <si>
    <t>$KVGR3</t>
  </si>
  <si>
    <t>TVV3</t>
  </si>
  <si>
    <t>KVGR3</t>
  </si>
  <si>
    <t>$PERFK</t>
  </si>
  <si>
    <t>$INCO1</t>
  </si>
  <si>
    <t>iNCO1</t>
  </si>
  <si>
    <t>$GRUPP</t>
  </si>
  <si>
    <t>T691B</t>
  </si>
  <si>
    <t>$BZIRK</t>
  </si>
  <si>
    <t>T171</t>
  </si>
  <si>
    <t>$KATR7</t>
  </si>
  <si>
    <t>TVK7</t>
  </si>
  <si>
    <t>KATR7</t>
  </si>
  <si>
    <t>BEGIN RETURN
length($KATR7) = 0 OR exists('Fanar_Misc_Lookups', 'EP_MISC_LOOKUPS.TVK7', 'KATR7', $KATR7);
END</t>
  </si>
  <si>
    <t>$PARH4</t>
  </si>
  <si>
    <t>TVP4</t>
  </si>
  <si>
    <t>PAAT4</t>
  </si>
  <si>
    <t>BEGIN RETURN
$PARH4 IS NULL OR length(rtrim(ltrim($PARH4,' '), ' ')) = 0 OR exists('Fanar_Misc_Lookups', 'EP_MISC_LOOKUPS.TVP4', 'PAAT4', $PARH4);
END</t>
  </si>
  <si>
    <t>$AKVER</t>
  </si>
  <si>
    <t>TVAV</t>
  </si>
  <si>
    <t>BEGIN RETURN
$AKVER IS NULL OR length(rtrim(ltrim($AKVER,' '), ' ')) = 0 OR exists('Fanar_Misc_Lookups', 'EP_MISC_LOOKUPS.TVAV', 'AKVER', $AKVER);
END</t>
  </si>
  <si>
    <t>$SPART</t>
  </si>
  <si>
    <t>$TATYP</t>
  </si>
  <si>
    <t>T685A</t>
  </si>
  <si>
    <t>KSCHL</t>
  </si>
  <si>
    <t>$SBGRP</t>
  </si>
  <si>
    <t>T024B</t>
  </si>
  <si>
    <t>SBGRP</t>
  </si>
  <si>
    <t>$KUNN2</t>
  </si>
  <si>
    <t>BEGIN RETURN
$KUNN2 IS NOT NULL
AND length(ltrim(rtrim($KUNN2, ' '), ' ')) &gt;= 1
AND $PARVW IS NOT NULL
AND length(ltrim(rtrim($PARVW, ' '), ' ')) &gt;= 1
AND $SPART IS NOT NULL
AND length(ltrim(rtrim($PARVW, ' '), ' ')) &gt;= 1
AND $VKORG IS NOT NULL
AND length(ltrim(rtrim($PARVW, ' '), ' ')) &gt;= 1
AND $VTWEG IS NOT NULL
AND length(ltrim(rtrim($PARVW, ' '), ' ')) &gt;= 1;
END</t>
  </si>
  <si>
    <t>$KABSS</t>
  </si>
  <si>
    <t>T691P</t>
  </si>
  <si>
    <t>KABSS</t>
  </si>
  <si>
    <t>BEGIN RETURN
$KABSS IS NULL OR length(rtrim(ltrim($KABSS,' '), ' ')) = 0 OR exists('Fanar_Misc_Lookups', 'EP_MISC_LOOKUPS.T691P', 'KABSS', $KABSS);
END</t>
  </si>
  <si>
    <t>$LIFSD</t>
  </si>
  <si>
    <t>TVLS</t>
  </si>
  <si>
    <t>LIFSP</t>
  </si>
  <si>
    <t>BEGIN RETURN
$LIFSD IS NULL OR length(rtrim(ltrim($LIFSD,' '), ' ')) = 0 OR exists('Fanar_Misc_Lookups', 'EP_MISC_LOOKUPS.TVLS', 'LIFSP', $LIFSD);
END</t>
  </si>
  <si>
    <t>$MEGRU</t>
  </si>
  <si>
    <t>TWMEG</t>
  </si>
  <si>
    <t>$DBWAE</t>
  </si>
  <si>
    <t>$COUNC</t>
  </si>
  <si>
    <t>T005E</t>
  </si>
  <si>
    <t>BEGIN RETURN
 length($COUNC) = 0 OR exists('Fanar_Misc_Lookups', 'EP_MISC_LOOKUPS.T005E', 'COUNC', $COUNC);
END</t>
  </si>
  <si>
    <t>BEGIN RETURN
$LPRIO IS NULL OR length(rtrim(ltrim($LPRIO,' '), ' ')) = 0 OR exists('Fanar_Misc_Lookups', 'EP_MISC_LOOKUPS.TPRIO', 'LPRIO', $LPRIO);
END</t>
  </si>
  <si>
    <t>TVKT</t>
  </si>
  <si>
    <t>$PAKN1</t>
  </si>
  <si>
    <t>TVP6</t>
  </si>
  <si>
    <t>PAAT6</t>
  </si>
  <si>
    <t>BEGIN RETURN
$PAKN1 IS NULL OR length(rtrim(ltrim($PAKN1,' '), ' ')) = 0 OR exists('Fanar_Misc_Lookups', 'EP_MISC_LOOKUPS.TVP6', 'PAAT6', $PAKN1);
END</t>
  </si>
  <si>
    <t>$KATR3</t>
  </si>
  <si>
    <t>TVK3</t>
  </si>
  <si>
    <t>KATR3</t>
  </si>
  <si>
    <t>$PAKN3</t>
  </si>
  <si>
    <t>TVP8</t>
  </si>
  <si>
    <t>PAAT8</t>
  </si>
  <si>
    <t>BEGIN RETURN
$PAKN3 IS NULL OR length(rtrim(ltrim($PAKN3,' '), ' ')) = 0 OR exists('Fanar_Misc_Lookups', 'EP_MISC_LOOKUPS.TVP8', 'PAAT8', $PAKN3);
END</t>
  </si>
  <si>
    <t>$KDGRP</t>
  </si>
  <si>
    <t>T151</t>
  </si>
  <si>
    <t>$PAKN5</t>
  </si>
  <si>
    <t>TVP0</t>
  </si>
  <si>
    <t>PAAT0</t>
  </si>
  <si>
    <t>BEGIN RETURN
$PAKN5 IS NULL OR length(rtrim(ltrim($PAKN5,' '), ' ')) = 0 OR exists('Fanar_Misc_Lookups', 'EP_MISC_LOOKUPS.TVP0', 'PAAT0', $PAKN5);
END</t>
  </si>
  <si>
    <t>$PARLA</t>
  </si>
  <si>
    <t>BEGIN RETURN
$PARLA IS NULL OR length(rtrim(ltrim($PARLA,' '), ' ')) = 0 OR exists('Fanar_Misc_Lookups', 'EP_MISC_LOOKUPS.T002', 'SPRAS', $PARLA);
END</t>
  </si>
  <si>
    <t>$PARH1</t>
  </si>
  <si>
    <t>TVPH</t>
  </si>
  <si>
    <t>PARHO</t>
  </si>
  <si>
    <t>BEGIN RETURN
$PARH1 IS NULL OR length(rtrim(ltrim($PARH1,' '), ' ')) = 0 OR exists('Fanar_Misc_Lookups', 'EP_MISC_LOOKUPS.TVPH', 'PARHO', $PARH1);
END</t>
  </si>
  <si>
    <t>$FAKSD</t>
  </si>
  <si>
    <t>TVFS</t>
  </si>
  <si>
    <t>FAKSP</t>
  </si>
  <si>
    <t>BEGIN RETURN
$FAKSD IS NULL OR length(rtrim(ltrim($FAKSD,' '), ' ')) = 0 OR exists('Fanar_Misc_Lookups', 'EP_MISC_LOOKUPS.TVFS', 'FAKSP', $FAKSD);
END</t>
  </si>
  <si>
    <t>IS_Rules01</t>
  </si>
  <si>
    <t>Rule #</t>
  </si>
  <si>
    <t>21 countries use the same phone number system as the US. Nine of those countries are US territoties and posessions: AS, FM, GU, MH, MP, PR, PW, UM, VI
match_regex( $P_I_PhoneNumber, (
^+?(1-?)?([0-9]{3}-?[0-9]{3}-?[0-9]{4}$
) ), NULL );</t>
  </si>
  <si>
    <t>Expression was incorrect, added country code check.</t>
  </si>
  <si>
    <t>match_regex( $P_I_ZIP, ( ^[0-9]{5}-?[0-9]{4}$ ) ), NULL );</t>
  </si>
  <si>
    <t>Expression was incorrect, added country code check.
match_regex( $P_I_ZIP, ( ^[0-9]{5}-?[0-9]{4}$ ) ), NULL );</t>
  </si>
  <si>
    <t>match_regex( $P_I_SSN, ( ^[0-9]{3}-?[0-9]{2}-?[0-9]{4}$ ) ), NULL );</t>
  </si>
  <si>
    <t>21 countries use the same phone number system as the US. Nine of those countries are US territoties and posessions: AS, FM, GU, MH, MP, PR, PW, UM, VI
match_regex( $P_I_PhoneNumber, ('^+?(1-?)?([0-9]{3}-?[0-9]{3}-?[0-9]{4}) ), NULL );</t>
  </si>
  <si>
    <t>21 countries use the same phone number system as the US. Nine of those countries are US territoties and posessions: AS, FM, GU, MH, MP, PR, PW, UM, VI
match_regex( $P_I_PhoneNumber, ('^+?(1-?)?([0-9]{3}-?[0-9]{3}-?[0-9]{4}$') ), NULL );</t>
  </si>
  <si>
    <t>Old:
This will use for vendor number range weather internal or external based on vendor account group. In case of any additonal vendor account group with external number range this rule need to modify.
New:
Verify that when vendor account group = AFV,CPDL,EMP,LIEF,MNFR, or OFV, and it exists in the account group names table, the vendor number is NULL, else vendor number is not NULL.</t>
  </si>
  <si>
    <t>Rule description does not make sense, should describe the requirement logic in functional terms.</t>
  </si>
  <si>
    <t>BEGIN RETURN
exists('Fanar_Misc_Lookups', 'EP_MISC_LOOKUPS.CSKS', 'KOSTL', $RESPCOSTCTR_IO) 
AND substr($RESPCOSTCTR_IO, 1, 3)='000' 
AND $RESPCOSTCTR_IO IS NOT NULL;
END</t>
  </si>
  <si>
    <t>BEGIN
decode(
    ( $USER_RESP_IO IS NULL OR length(rtrim(ltrim($USER_RESP_IO,' '), ' ')) = 0 ), return TRUE,
    ( $USER_RESP_IO IS NOT NULL), return exists('Fanar_Misc_Lookups', 'EP_MISC_LOOKUPS.USR02', 'BNAME', $USER_RESP_IO),
    return TRUE
    );
END</t>
  </si>
  <si>
    <t>BEGIN
IF ($VENDOR_NO_AA IS NULL OR length(rtrim(ltrim($VENDOR_NO_AA,' '), ' ')) = 0)
RETURN TRUE;
ELSE IF($VENDOR_NO_AA IS NOT NULL)  
RETURN exists('Fanar_Misc_Lookups', 'EP_MISC_LOOKUPS.LFA1', 'LIFNR', $VENDOR_NO_AA);
ELSE
RETURN TRUE;
END</t>
  </si>
  <si>
    <t>BEGIN
decode(
    ( $VENDOR_NO_AA IS NULL OR length(rtrim(ltrim($VENDOR_NO_AA,' '), ' ')) = 0 ), return TRUE,
    ( $VENDOR_NO_AA IS NOT NULL ), return exists('Fanar_Misc_Lookups', 'EP_MISC_LOOKUPS.LFA1', 'LIFNR', $VENDOR_NO_AA),
    return TRUE
    );
END</t>
  </si>
  <si>
    <t>BEGIN
IF(length($TARKZ_I) &gt;0)
BEGIN
RETURN $TARKZ_I = '5';
END
ELSE
RETURN TRUE;
END</t>
  </si>
  <si>
    <t>BEGIN
RETURN (match_regex($KSTTY, '[A-Z]*', null) OR $KSTTY = '*') AND length($KSTTY) &lt;= 8;
END</t>
  </si>
  <si>
    <t>DECLARE
$glacct varchar(10);
BEGIN
$glacct = substr($SAKNR, 5, 6);
IF (upper($KTOKS)='AA')
RETURN  ($glacct &gt;= '120000' AND $glacct &lt;= '120299');
ELSE IF (upper($KTOKS)='CASH')
RETURN ($glacct &gt;= '110000' AND $glacct &lt;= '118999');
ELSE IF(upper($KTOKS) = 'EXP')
RETURN  ($glacct &gt;= '400000' AND $glacct &lt;= '499999');
ELSE IF(upper($KTOKS) = 'G.BS')
RETURN ($glacct &gt;= '100000' AND $glacct &lt;= '399999');
ELSE IF(upper($KTOKS) = 'MAT')
RETURN  ($glacct &gt;= '100000' AND $glacct &lt;= '899999');
ELSE IF(upper($KTOKS) = 'REV')
RETURN ($glacct &gt;= '800000' AND $glacct &lt;= '899999');
ELSE IF (upper($KTOKS) = 'BANK')
RETURN ($glacct &gt;= '500000' AND $glacct &lt;= '599999') ;
ELSE IF (upper($KTOKS) = 'GELE')
RETURN ($glacct &gt;= '0' AND $glacct &lt;= '999999') ;
ELSE IF (upper($KTOKS) = 'INCO')
RETURN ($glacct &gt;= '600000' AND $glacct &lt;= '799999') ;
ELSE IF (upper($KTOKS)='RECO')
RETURN ($glacct &gt;= '400000' AND $glacct &lt;= '499999') ;
ELSE IF (upper($KTOKS) = 'CONS')
RETURN ($glacct &gt;= '000000' AND $glacct &lt;= '999999') ;
ELSE IF (upper($KTOKS) = 'TEMP')
RETURN ($glacct &gt;= '000000' AND $glacct &lt;= '000999') ;
RETURN FALSE;
End</t>
  </si>
  <si>
    <t>decode(
    ( upper($KTOKS)='AA' ), RETURN  ($glacct &gt;= '120000' AND $glacct &lt;= '120299'),
    ( upper($KTOKS)='CASH' ), RETURN ($glacct &gt;= '110000' AND $glacct &lt;= '118999'),
    ( upper($KTOKS) = 'EXP' ), RETURN  ($glacct &gt;= '400000' AND $glacct &lt;= '499999'),
    ( upper($KTOKS) = 'G.BS' ), RETURN ($glacct &gt;= '100000' AND $glacct &lt;= '399999'),
    ( upper($KTOKS) = 'MAT' ), RETURN  ($glacct &gt;= '100000' AND $glacct &lt;= '899999'),
    ( upper($KTOKS) = 'REV' ), RETURN ($glacct &gt;= '800000' AND $glacct &lt;= '899999'),
    ( upper($KTOKS) = 'BANK' ), RETURN ($glacct &gt;= '500000' AND $glacct &lt;= '599999'),
    ( upper($KTOKS) = 'GELE' ), RETURN ($glacct &gt;= '0' AND $glacct &lt;= '999999'),
    ( upper($KTOKS) = 'INCO' ), RETURN ($glacct &gt;= '600000' AND $glacct &lt;= '799999'),
    ( upper($KTOKS)='RECO' ), RETURN ($glacct &gt;= '400000' AND $glacct &lt;= '499999'),
    ( upper($KTOKS) = 'CONS' ), RETURN ($glacct &gt;= '000000' AND $glacct &lt;= '999999'),
    ( upper($KTOKS) = 'TEMP' ), RETURN ($glacct &gt;= '000000' AND $glacct &lt;= '000999'),
    RETURN FALSE
    );</t>
  </si>
  <si>
    <t>BEGIN
If(substr($LSTAR, 1, 1) = '1')
BEGIN
RETURN $LATYP = '1';
END
ELSE IF(substr($LSTAR, 1, 1) = '3')
BEGIN
RETURN $LATYP = '3';
END
ELSE IF($LATYP IS NULL)
BEGIN
RETURN TRUE;
END
ELSE
RETURN FALSE;
END</t>
  </si>
  <si>
    <t xml:space="preserve">decode(
    ( substr($LSTAR, 1, 1) = '1' ), return $LATYP = '1',
    ( substr($LSTAR, 1, 1) = '3' ), return $LATYP = '3',
    ( $LATYP is null ), return TRUE,
    return FALSE
    );
</t>
  </si>
  <si>
    <t>BEGIN
RETURN substr($SAKNR, 1, 4) = '0000' AND length($SAKNR) = 10;
END</t>
  </si>
  <si>
    <t>BEGIN
IF (substr($SAKNR, 5, 1) = '4' OR substr($SAKNR, 5, 1) = '8')
   BEGIN
RETURN upper($GVTYP) = 'X';
   END
RETURN $GVTYP IS NULL OR length(rtrim(ltrim($GVTYP, ' '), ' ')) = 0;
END</t>
  </si>
  <si>
    <t>BEGIN 
if ($parameter0 is not null and $parameter0 != '')
begin
	return match_pattern($parameter0, 'X*');
end
else
begin
 return true;
end
END</t>
  </si>
  <si>
    <t>BEGIN
if( $parameter0 is not null and $parameter0 != '' )
    return match_pattern($parameter0, 'X*');
else
    return TRUE;
END</t>
  </si>
  <si>
    <t>BEGIN
return $RELAT in ('002','003','007','008','011','012','Z08','046','045');
END</t>
  </si>
  <si>
    <t>Check length first, as it is the most efficient of the functions present in the expression.  If length test fails, no point in spending resources on the other checks.</t>
  </si>
  <si>
    <t>BEGIN RETURN
(upper($SKZUA) = 'X'
OR $SKZUA IS NULL
OR length(ltrim(rtrim($SKZUA, ' '), ' ')) = 0)
AND
(upper($KZLER) = 'X'
OR $KZLER IS NULL
OR length(ltrim(rtrim($KZLER, ' '), ' ')) = 0)
AND
(upper($SKZUE) = 'X'
OR $SKZUE IS NULL
OR length(ltrim(rtrim($SKZUE, ' '), ' ')) = 0);
END</t>
  </si>
  <si>
    <t>BEGIN RETURN
upper($KZINV) in ( 'PE','PN','PZ','ST','MA','CC','DC')
OR
length(ltrim(rtrim($KZINV, ' '), ' ')) = 0;
END</t>
  </si>
  <si>
    <t>BEGIN RETURN
	exists('Fanar_Misc_Lookups', 'EP_MISC_LOOKUPS.T173', 'VSART', $VSART)
and
(exists('Fanar_Misc_Lookups', 'EP_MISC_LOOKUPS.TFACD', 'IDENT', $SPFBK)
		or $SPFBK IS NULL);
END</t>
  </si>
  <si>
    <t>BEGIN 
RETURN TRUE;
END</t>
  </si>
  <si>
    <t>BEGIN RETURN
length($ZONE1) &gt;= 1
AND
exists('Fanar_Misc_Lookups', 'EP_MISC_LOOKUPS.TZONE', 'ZONE1', $ZONE1);
END</t>
  </si>
  <si>
    <t>BEGIN RETURN
$ZUAWA IS NOT NULL
AND $BUSAB IS NOT NULL
AND $ZTERM IS NOT NULL
AND $FDGRV IS NOT NULL
AND $XAUSZ IS NOT NULL
AND $XZVER IS NOT NULL;
END</t>
  </si>
  <si>
    <t>BEGIN RETURN
$LAND1 IS NOT NULL
AND $NAME1 IS NOT NULL
AND $ORT01 IS NOT NULL
AND $PSTLZ IS NOT NULL
AND $SORTL IS NOT NULL;
END</t>
  </si>
  <si>
    <t>BEGIN RETURN
exists('Fanar_Misc_Lookups', 'EP_MISC_LOOKUPS.T005', 'LAND1', $LAND1)
OR $LAND1 is null
And
exists('Fanar_Misc_Lookups', 'EP_MISC_LOOKUPS.T005S', 'BLAND', $REGIO)
OR $REGIO is null 
And
exists('Fanar_Misc_Lookups', 'EP_MISC_LOOKUPS.LFA1', 'LIFNR', $LIFNR)
OR $LIFNR is null
And
exists('Fanar_Misc_Lookups', 'EP_MISC_LOOKUPS.T005E', 'COUNC', $COUNC)
OR $COUNC is null
And
exists('Fanar_Misc_Lookups', 'EP_MISC_LOOKUPS.T005G', 'CITYC', $CITYC)
OR $CITYC is null
And
exists('Fanar_Misc_Lookups', 'EP_MISC_LOOKUPS.T002', 'SPRAS', $SPRAS)
OR $SPRAS is null
And
exists('Fanar_Misc_Lookups', 'EP_MISC_LOOKUPS.TZONE', 'ZONE1', $LZONE)
OR $LZONE is null;
END</t>
  </si>
  <si>
    <t>BEGIN RETURN
$VSBED IS NOT NULL;
END</t>
  </si>
  <si>
    <t>BEGIN RETURN
$LAND1 IS NOT NULL
AND length(ltrim(rtrim($LAND1, ' '), ' ')) &gt;= 1
AND $NAME1 IS NOT NULL
AND length(ltrim(rtrim($NAME1, ' '), ' ')) &gt;= 1
AND $ORT01 IS NOT NULL
AND length(ltrim(rtrim($ORT01, ' '), ' ')) &gt;= 1
AND $PSTLZ IS NOT NULL
AND length(ltrim(rtrim($PSTLZ, ' '), ' ')) &gt;= 1
AND $SORTL IS NOT NULL
AND length(ltrim(rtrim($SORTL, ' '), ' ')) &gt;= 1
AND $LZONE IS NOT NULL
AND length(ltrim(rtrim($LZONE, ' '), ' ')) &gt;= 1;
END</t>
  </si>
  <si>
    <t>BEGIN RETURN
exists('Fanar_Misc_Lookups', 'EP_MISC_LOOKUPS.TZUN', 'ZUAWA', $ZUAWA)
AND
exists('Fanar_Misc_Lookups', 'EP_MISC_LOOKUPS.T001S', 'BUSAB', $BUSAB)
AND
exists('Fanar_Misc_Lookups', 'EP_MISC_LOOKUPS.T035', 'GRUPP', $FDGRV)
AND
exists('Fanar_Misc_Lookups', 'EP_MISC_LOOKUPS.T048K', 'XAUSZ', $XAUSZ)
AND
exists('Fanar_Misc_Lookups', 'EP_MISC_LOOKUPS.T012', 'HBKID', $HBKID);
END</t>
  </si>
  <si>
    <t>BEGIN RETURN
$VKORG IS NOT NULL	
AND $VTWEG IS NOT NULL	
AND $SPART IS NOT NULL	
AND $VERSG IS NOT NULL	
AND $KALKS IS NOT NULL	
AND $BZIRK IS NOT NULL	
AND $VSBED IS NOT NULL	
AND $WAERS IS NOT NULL	
AND $KTGRD IS NOT NULL	
AND $ZTERM IS NOT NULL	
AND $PODKZ IS NOT NULL	
AND $PODTG IS NOT NULL;	
END</t>
  </si>
  <si>
    <r>
      <t xml:space="preserve">Missing parentheses?
</t>
    </r>
    <r>
      <rPr>
        <sz val="9"/>
        <color theme="1"/>
        <rFont val="Consolas"/>
        <family val="3"/>
      </rPr>
      <t xml:space="preserve">return </t>
    </r>
    <r>
      <rPr>
        <b/>
        <sz val="9"/>
        <color rgb="FFFF0000"/>
        <rFont val="Consolas"/>
        <family val="3"/>
      </rPr>
      <t>(</t>
    </r>
    <r>
      <rPr>
        <sz val="9"/>
        <color theme="1"/>
        <rFont val="Consolas"/>
        <family val="3"/>
      </rPr>
      <t xml:space="preserve"> $Plant in ('1200','3400') and $type='Chem' and $MRP = 'MC1' </t>
    </r>
    <r>
      <rPr>
        <b/>
        <sz val="9"/>
        <color rgb="FFFF0000"/>
        <rFont val="Consolas"/>
        <family val="3"/>
      </rPr>
      <t>)</t>
    </r>
    <r>
      <rPr>
        <sz val="9"/>
        <color theme="1"/>
        <rFont val="Consolas"/>
        <family val="3"/>
      </rPr>
      <t xml:space="preserve"> 
OR </t>
    </r>
    <r>
      <rPr>
        <b/>
        <sz val="9"/>
        <color rgb="FFFF0000"/>
        <rFont val="Consolas"/>
        <family val="3"/>
      </rPr>
      <t>(</t>
    </r>
    <r>
      <rPr>
        <sz val="9"/>
        <color theme="1"/>
        <rFont val="Consolas"/>
        <family val="3"/>
      </rPr>
      <t xml:space="preserve"> $Plant='1100' and $type='Chem' and $MRP = 'PC1' </t>
    </r>
    <r>
      <rPr>
        <b/>
        <sz val="9"/>
        <color rgb="FFFF0000"/>
        <rFont val="Consolas"/>
        <family val="3"/>
      </rPr>
      <t>)</t>
    </r>
    <r>
      <rPr>
        <sz val="9"/>
        <color theme="1"/>
        <rFont val="Consolas"/>
        <family val="3"/>
      </rPr>
      <t xml:space="preserve">
OR </t>
    </r>
    <r>
      <rPr>
        <b/>
        <sz val="9"/>
        <color rgb="FFFF0000"/>
        <rFont val="Consolas"/>
        <family val="3"/>
      </rPr>
      <t>(</t>
    </r>
    <r>
      <rPr>
        <sz val="9"/>
        <color theme="1"/>
        <rFont val="Consolas"/>
        <family val="3"/>
      </rPr>
      <t xml:space="preserve"> $Plant in ('1200','3400') and $type='Poly' and $MRP = 'MP1' </t>
    </r>
    <r>
      <rPr>
        <b/>
        <sz val="9"/>
        <color rgb="FFFF0000"/>
        <rFont val="Consolas"/>
        <family val="3"/>
      </rPr>
      <t>)</t>
    </r>
    <r>
      <rPr>
        <sz val="9"/>
        <color theme="1"/>
        <rFont val="Consolas"/>
        <family val="3"/>
      </rPr>
      <t xml:space="preserve">
OR </t>
    </r>
    <r>
      <rPr>
        <b/>
        <sz val="9"/>
        <color rgb="FFFF0000"/>
        <rFont val="Consolas"/>
        <family val="3"/>
      </rPr>
      <t>(</t>
    </r>
    <r>
      <rPr>
        <sz val="9"/>
        <color theme="1"/>
        <rFont val="Consolas"/>
        <family val="3"/>
      </rPr>
      <t xml:space="preserve"> $Plant='1100' and $type='Poly' and $MRP = 'PP1' </t>
    </r>
    <r>
      <rPr>
        <b/>
        <sz val="9"/>
        <color rgb="FFFF0000"/>
        <rFont val="Consolas"/>
        <family val="3"/>
      </rPr>
      <t>)</t>
    </r>
    <r>
      <rPr>
        <sz val="9"/>
        <color theme="1"/>
        <rFont val="Consolas"/>
        <family val="3"/>
      </rPr>
      <t>;
END+N748</t>
    </r>
  </si>
  <si>
    <r>
      <t xml:space="preserve">Missing parentheses?
</t>
    </r>
    <r>
      <rPr>
        <sz val="9"/>
        <color theme="1"/>
        <rFont val="Consolas"/>
        <family val="3"/>
      </rPr>
      <t xml:space="preserve">BEGIN RETURN
exists('Fanar_Misc_Lookups', 'EP_MISC_LOOKUPS.T005', 'LAND1', $LAND1)
OR 
</t>
    </r>
    <r>
      <rPr>
        <b/>
        <sz val="9"/>
        <color rgb="FFFF0000"/>
        <rFont val="Consolas"/>
        <family val="3"/>
      </rPr>
      <t>(</t>
    </r>
    <r>
      <rPr>
        <sz val="9"/>
        <color theme="1"/>
        <rFont val="Consolas"/>
        <family val="3"/>
      </rPr>
      <t xml:space="preserve"> $LAND1 is null And exists('Fanar_Misc_Lookups', 'EP_MISC_LOOKUPS.T005S', 'BLAND', $REGIO) </t>
    </r>
    <r>
      <rPr>
        <b/>
        <sz val="9"/>
        <color rgb="FFFF0000"/>
        <rFont val="Consolas"/>
        <family val="3"/>
      </rPr>
      <t>)</t>
    </r>
    <r>
      <rPr>
        <sz val="9"/>
        <color theme="1"/>
        <rFont val="Consolas"/>
        <family val="3"/>
      </rPr>
      <t xml:space="preserve">
OR 
</t>
    </r>
    <r>
      <rPr>
        <b/>
        <sz val="9"/>
        <color rgb="FFFF0000"/>
        <rFont val="Consolas"/>
        <family val="3"/>
      </rPr>
      <t>(</t>
    </r>
    <r>
      <rPr>
        <sz val="9"/>
        <color theme="1"/>
        <rFont val="Consolas"/>
        <family val="3"/>
      </rPr>
      <t xml:space="preserve"> $REGIO is null And exists('Fanar_Misc_Lookups', 'EP_MISC_LOOKUPS.LFA1', 'LIFNR', $LIFNR) </t>
    </r>
    <r>
      <rPr>
        <b/>
        <sz val="9"/>
        <color rgb="FFFF0000"/>
        <rFont val="Consolas"/>
        <family val="3"/>
      </rPr>
      <t>)</t>
    </r>
    <r>
      <rPr>
        <sz val="9"/>
        <color theme="1"/>
        <rFont val="Consolas"/>
        <family val="3"/>
      </rPr>
      <t xml:space="preserve">
OR 
</t>
    </r>
    <r>
      <rPr>
        <b/>
        <sz val="9"/>
        <color rgb="FFFF0000"/>
        <rFont val="Consolas"/>
        <family val="3"/>
      </rPr>
      <t>(</t>
    </r>
    <r>
      <rPr>
        <sz val="9"/>
        <color theme="1"/>
        <rFont val="Consolas"/>
        <family val="3"/>
      </rPr>
      <t xml:space="preserve"> $LIFNR is null And exists('Fanar_Misc_Lookups', 'EP_MISC_LOOKUPS.T005E', 'COUNC', $COUNC) </t>
    </r>
    <r>
      <rPr>
        <b/>
        <sz val="9"/>
        <color rgb="FFFF0000"/>
        <rFont val="Consolas"/>
        <family val="3"/>
      </rPr>
      <t>)</t>
    </r>
    <r>
      <rPr>
        <sz val="9"/>
        <color theme="1"/>
        <rFont val="Consolas"/>
        <family val="3"/>
      </rPr>
      <t xml:space="preserve">
OR 
</t>
    </r>
    <r>
      <rPr>
        <b/>
        <sz val="9"/>
        <color rgb="FFFF0000"/>
        <rFont val="Consolas"/>
        <family val="3"/>
      </rPr>
      <t>(</t>
    </r>
    <r>
      <rPr>
        <sz val="9"/>
        <color theme="1"/>
        <rFont val="Consolas"/>
        <family val="3"/>
      </rPr>
      <t xml:space="preserve"> $COUNC is null And exists('Fanar_Misc_Lookups', 'EP_MISC_LOOKUPS.T005G', 'CITYC', $CITYC) </t>
    </r>
    <r>
      <rPr>
        <b/>
        <sz val="9"/>
        <color rgb="FFFF0000"/>
        <rFont val="Consolas"/>
        <family val="3"/>
      </rPr>
      <t>)</t>
    </r>
    <r>
      <rPr>
        <sz val="9"/>
        <color theme="1"/>
        <rFont val="Consolas"/>
        <family val="3"/>
      </rPr>
      <t xml:space="preserve">
OR 
</t>
    </r>
    <r>
      <rPr>
        <b/>
        <sz val="9"/>
        <color rgb="FFFF0000"/>
        <rFont val="Consolas"/>
        <family val="3"/>
      </rPr>
      <t>(</t>
    </r>
    <r>
      <rPr>
        <sz val="9"/>
        <color theme="1"/>
        <rFont val="Consolas"/>
        <family val="3"/>
      </rPr>
      <t xml:space="preserve"> $CITYC is null And exists('Fanar_Misc_Lookups', 'EP_MISC_LOOKUPS.T002', 'SPRAS', $SPRAS) </t>
    </r>
    <r>
      <rPr>
        <b/>
        <sz val="9"/>
        <color rgb="FFFF0000"/>
        <rFont val="Consolas"/>
        <family val="3"/>
      </rPr>
      <t>)</t>
    </r>
    <r>
      <rPr>
        <sz val="9"/>
        <color theme="1"/>
        <rFont val="Consolas"/>
        <family val="3"/>
      </rPr>
      <t xml:space="preserve">
OR 
</t>
    </r>
    <r>
      <rPr>
        <b/>
        <sz val="9"/>
        <color rgb="FFFF0000"/>
        <rFont val="Consolas"/>
        <family val="3"/>
      </rPr>
      <t>(</t>
    </r>
    <r>
      <rPr>
        <sz val="9"/>
        <color theme="1"/>
        <rFont val="Consolas"/>
        <family val="3"/>
      </rPr>
      <t xml:space="preserve"> $SPRAS is null And exists('Fanar_Misc_Lookups', 'EP_MISC_LOOKUPS.TZONE', 'ZONE1', $LZONE) </t>
    </r>
    <r>
      <rPr>
        <b/>
        <sz val="9"/>
        <color rgb="FFFF0000"/>
        <rFont val="Consolas"/>
        <family val="3"/>
      </rPr>
      <t>)</t>
    </r>
    <r>
      <rPr>
        <sz val="9"/>
        <color theme="1"/>
        <rFont val="Consolas"/>
        <family val="3"/>
      </rPr>
      <t xml:space="preserve">
OR 
$LZONE is null;
END</t>
    </r>
  </si>
  <si>
    <r>
      <t xml:space="preserve">If a field has length &gt; 0 then, by definition, it is not null
</t>
    </r>
    <r>
      <rPr>
        <sz val="9"/>
        <color theme="1"/>
        <rFont val="Consolas"/>
        <family val="3"/>
      </rPr>
      <t xml:space="preserve">return length(ltrim(rtrim($LAND1, ' '), ' ')) &gt;= 1
AND length(ltrim(rtrim($NAME1, ' '), ' ')) &gt;= 1
AND length(ltrim(rtrim($ORT01, ' '), ' ')) &gt;= 1
AND length(ltrim(rtrim($PSTLZ, ' '), ' ')) &gt;= 1
AND length(ltrim(rtrim($SORTL, ' '), ' ')) &gt;= 1
AND length(ltrim(rtrim($LZONE, ' '), ' ')) &gt;= 1;
</t>
    </r>
  </si>
  <si>
    <r>
      <t xml:space="preserve">If length of $KUNN2 &gt;=1 then it is, by definition, not null
If length of $PARVW &gt;=1 then it is, by definition, not null
</t>
    </r>
    <r>
      <rPr>
        <sz val="9"/>
        <color theme="1"/>
        <rFont val="Consolas"/>
        <family val="3"/>
      </rPr>
      <t>BEGIN
return length(ltrim(rtrim($KUNN2, ' '), ' ')) &gt;= 1
AND $SPART IS NOT NULL
AND $VKORG IS NOT NULL
AND $VTWEG IS NOT NULL
AND length(ltrim(rtrim($PARVW, ' '), ' ')) &gt;= 1;
END</t>
    </r>
  </si>
  <si>
    <t>"Check lookup tableSKB1  G/L account master (company code) 
filed AKONT"</t>
  </si>
  <si>
    <t>"Check lookup tableT043G  Tolerances for Groups of Customers/Vendors 
filed TOGRU"</t>
  </si>
  <si>
    <t>"Check lookup tableTSAB  Contact persons: standard departments 
filed ABTNR"</t>
  </si>
  <si>
    <t>"Check lookup tableTVIP  Contact Person: VIP Indicator 
filed PAVIP"</t>
  </si>
  <si>
    <t>"Check lookup tableTVP5  Contact Person: Attribute 5 
filed PARH5"</t>
  </si>
  <si>
    <t>"Check lookup tableT001S  Accounting Clerks 
filed BUSAB"</t>
  </si>
  <si>
    <t>"Check lookup tableTVPV  Contact Person: Decision Authority 
filed PARVO"</t>
  </si>
  <si>
    <t>"Check lookup tableTSKD  Customer Taxes 
filed TAXKD"</t>
  </si>
  <si>
    <t>"Check lookup tableTVTW  Organizational Unit: Distribution Channels 
filed VTWEG"</t>
  </si>
  <si>
    <t>"Check lookup tableTVP9  Contact Person: Attribute 9 
filed PAKN4"</t>
  </si>
  <si>
    <t>"Check lookup tableTVKO  Organizational Unit: Sales Organizations 
filed VKORG"</t>
  </si>
  <si>
    <t>"Check lookup tableTVBR  Contact Person: Frequency of Visits 
filed BRYTH"</t>
  </si>
  <si>
    <t>"Check lookup table T047A  Account Level Dunning Control 
filed MAHNA"</t>
  </si>
  <si>
    <t>"Check lookup table T691A  Credit management risk categories 
filed CTLPC"</t>
  </si>
  <si>
    <t>"Check lookup table T014  Credit control areas 
filed KKBER"</t>
  </si>
  <si>
    <t>"Check lookup tableT502T  Marital Status Designators 
filed FAMST"</t>
  </si>
  <si>
    <t>"Check lookup tableTVP2  Contact Person: Attribute 2 
filed PARH2"</t>
  </si>
  <si>
    <t>"Check lookup tableTPFK  Contact Persons: Functions 
filed PAFKT"</t>
  </si>
  <si>
    <t>"Check lookup table T040S  Blocking reasons for dunning notices 
filed MANSP"</t>
  </si>
  <si>
    <t>"Check lookup tableT012  House Banks 
filed HBKID"</t>
  </si>
  <si>
    <t>"Check lookup tableT001  Company Codes 
filed BUKRS"</t>
  </si>
  <si>
    <t>"Check lookup tableTVP7  Contact Person: Attribute 7 
filed PAKN2"</t>
  </si>
  <si>
    <t>"Check lookup tableT035  Planning groups 
filed FDGRV"</t>
  </si>
  <si>
    <t>"Check lookup tableTVP3  Contact Person: Attribute 3 
filed PARH3"</t>
  </si>
  <si>
    <t>"Check lookup tableT008  Blocking Reasons for Automatic Payment Transcations 
filed ZAHLS"</t>
  </si>
  <si>
    <t>"Check lookup tableTZUN  Rules for 'Allocation' Field Layout 
filed ZUAWA"</t>
  </si>
  <si>
    <t>"Check lookup table T691B  Credit Management Groups 
filed GRUPP"</t>
  </si>
  <si>
    <t>"Check lookup tableTVP4  Contact Person: Attribute 4 
filed PARH4"</t>
  </si>
  <si>
    <t>"Check lookup tableTVAV  Contact Person: Buying Habits 
filed AKVER"</t>
  </si>
  <si>
    <t>"Check lookup tableTSPA  Organizational Unit: Sales Divisions 
filed SPART"</t>
  </si>
  <si>
    <t>"Check lookup tableT048K  Indicator for Periodic Account Statements 
filed XAUSZ"</t>
  </si>
  <si>
    <t>"Check lookup tableT685A  Conditions: Types: Additional Price Element Data 
filed TATYP"</t>
  </si>
  <si>
    <t>"Check lookup table T024B  Credit management: Credit representative groups 
filed SBGRP"</t>
  </si>
  <si>
    <t>"Check lookup table TCURC  Currency Codes 
filed DBWAE"</t>
  </si>
  <si>
    <t>"Check lookup tableTVP6  Contact Person: Attribute 6 
filed PAKN1"</t>
  </si>
  <si>
    <t>"Check lookup tableTVP8  Contact Person: Attribute 8 
filed PAKN3"</t>
  </si>
  <si>
    <t>"Check lookup tableTVP0  Contact Person: Attribute 10 
filed PAKN5"</t>
  </si>
  <si>
    <t>"Check lookup table T001S  Accounting Clerks 
filed BUSAB"</t>
  </si>
  <si>
    <t>"Check lookup tableT002  Language Keys (Component BC-I18) 
filed PARLA"</t>
  </si>
  <si>
    <t>"Check lookup tableTVPH  Contact Person: Hobbies 
filed PARH1"</t>
  </si>
  <si>
    <r>
      <t xml:space="preserve">THIS RULE CHECK IF VALUATION TYPE IS WITHIN VALUATION TYPE LIST (T149D)
</t>
    </r>
    <r>
      <rPr>
        <sz val="11"/>
        <color rgb="FFFF0000"/>
        <rFont val="Calibri"/>
        <family val="2"/>
        <scheme val="minor"/>
      </rPr>
      <t>Verify that valuation type exists in table T149D.</t>
    </r>
  </si>
  <si>
    <r>
      <t xml:space="preserve">ONLY VALUES LISTED IN T005 TO BE SELECTED FROM COUNTRY LIST
</t>
    </r>
    <r>
      <rPr>
        <sz val="11"/>
        <color rgb="FFFF0000"/>
        <rFont val="Calibri"/>
        <family val="2"/>
        <scheme val="minor"/>
      </rPr>
      <t>Verify that bank country exists in table T005.</t>
    </r>
  </si>
  <si>
    <r>
      <t xml:space="preserve">ONLY VALUES EXIST IN T059Z TABLE SHOULD BE SELESCTED FOR WITHHOLDING TAX CODE LIST
</t>
    </r>
    <r>
      <rPr>
        <sz val="11"/>
        <color rgb="FFFF0000"/>
        <rFont val="Calibri"/>
        <family val="2"/>
        <scheme val="minor"/>
      </rPr>
      <t>Verify that withholding tax code exists in table T059Z.</t>
    </r>
  </si>
  <si>
    <r>
      <t xml:space="preserve">ONLY VALUES LISTED IN T880 TO BE SELECTED FROM TRADING PARTNER LIST
</t>
    </r>
    <r>
      <rPr>
        <sz val="11"/>
        <color rgb="FFFF0000"/>
        <rFont val="Calibri"/>
        <family val="2"/>
        <scheme val="minor"/>
      </rPr>
      <t>Verify that trading partner code exists in table T880.</t>
    </r>
  </si>
  <si>
    <r>
      <t xml:space="preserve">THIS RULE IS FOR PERIOD INDICATOR FOR SELF LIFE OF PRODUCT IN MATERIAL MASTER.
FILED: MARA – IPRKZ
</t>
    </r>
    <r>
      <rPr>
        <sz val="11"/>
        <color rgb="FFFF0000"/>
        <rFont val="Calibri"/>
        <family val="2"/>
        <scheme val="minor"/>
      </rPr>
      <t>Verify that the period indicator for shelf life of product is D, M, W or Y.</t>
    </r>
  </si>
  <si>
    <r>
      <t xml:space="preserve">THIS RULE IS FOR LOADING GROUP FOR MATERIAL MASTER IN SALES VIEW
FILED: MARC – LADGR (TLGR)
</t>
    </r>
    <r>
      <rPr>
        <sz val="11"/>
        <color rgb="FFFF0000"/>
        <rFont val="Calibri"/>
        <family val="2"/>
        <scheme val="minor"/>
      </rPr>
      <t>Verify the loading group in MM sales view exists in tabls TLGR.</t>
    </r>
  </si>
  <si>
    <r>
      <t xml:space="preserve">THIS RULE IS FOR SCHEDULE MARGIN KEY.
FIELD: MARC – FHORI(T436A)
</t>
    </r>
    <r>
      <rPr>
        <sz val="11"/>
        <color rgb="FFFF0000"/>
        <rFont val="Calibri"/>
        <family val="2"/>
        <scheme val="minor"/>
      </rPr>
      <t>Verify the schedule margin key exists in table T436A.</t>
    </r>
  </si>
  <si>
    <t>$SCHEDULEMARGINKEY</t>
  </si>
  <si>
    <t>$LOADGRP</t>
  </si>
  <si>
    <t>What source field is being evaluated?</t>
  </si>
  <si>
    <t>TQ02</t>
  </si>
  <si>
    <t>BEGIN RETURN
$P_I_Currency IS NOT NULL AND $P_I_Currency != '';
END</t>
  </si>
  <si>
    <t>T416</t>
  </si>
  <si>
    <t>T009</t>
  </si>
  <si>
    <t>TPVD</t>
  </si>
  <si>
    <r>
      <t xml:space="preserve">ONLY VALUES LISTED IN TMKK TO BE SELECTED FROM GROUPS FOR CALUCLATION SCHEMA (VENDOR) LIST
</t>
    </r>
    <r>
      <rPr>
        <sz val="11"/>
        <color rgb="FFFF0000"/>
        <rFont val="Calibri"/>
        <family val="2"/>
        <scheme val="minor"/>
      </rPr>
      <t>Verify that MM group exists in table TMKK.</t>
    </r>
  </si>
  <si>
    <t>IS Parameter</t>
  </si>
  <si>
    <t>$P_I_FairShare_Rule</t>
  </si>
  <si>
    <t/>
  </si>
  <si>
    <t>M_KREDA</t>
  </si>
  <si>
    <t>$P_I_BOMUsage</t>
  </si>
  <si>
    <t>T016</t>
  </si>
  <si>
    <t>T142</t>
  </si>
  <si>
    <t>$P_I_PaymentCardCategory</t>
  </si>
  <si>
    <t>TVCTY</t>
  </si>
  <si>
    <t>CCTYP</t>
  </si>
  <si>
    <t>T042Z</t>
  </si>
  <si>
    <t>ZLSCH</t>
  </si>
  <si>
    <t>TVPR</t>
  </si>
  <si>
    <t>TBRC</t>
  </si>
  <si>
    <t>BRACO</t>
  </si>
  <si>
    <t>TVKBT</t>
  </si>
  <si>
    <t>T306</t>
  </si>
  <si>
    <t>T604</t>
  </si>
  <si>
    <t>TZGR</t>
  </si>
  <si>
    <t>TMFG</t>
  </si>
  <si>
    <t>TVM3</t>
  </si>
  <si>
    <t>TVSM</t>
  </si>
  <si>
    <t>STGMA</t>
  </si>
  <si>
    <t>T059Q</t>
  </si>
  <si>
    <t>T015W</t>
  </si>
  <si>
    <t>TNLS</t>
  </si>
  <si>
    <t>T053A</t>
  </si>
  <si>
    <t>TWYAZ</t>
  </si>
  <si>
    <t>T178</t>
  </si>
  <si>
    <t>TVM5</t>
  </si>
  <si>
    <t>T024L</t>
  </si>
  <si>
    <t>TWVMO</t>
  </si>
  <si>
    <t>T305</t>
  </si>
  <si>
    <t>LGTKZ</t>
  </si>
  <si>
    <t>TVMS</t>
  </si>
  <si>
    <t>TQ05</t>
  </si>
  <si>
    <t>ZGTYP</t>
  </si>
  <si>
    <t>LGTYP</t>
  </si>
  <si>
    <t>T047R</t>
  </si>
  <si>
    <t>T053V</t>
  </si>
  <si>
    <t>T056</t>
  </si>
  <si>
    <t>PRDKZT</t>
  </si>
  <si>
    <t>T46AC</t>
  </si>
  <si>
    <t>T6WP4</t>
  </si>
  <si>
    <t>T437S</t>
  </si>
  <si>
    <t>SFPRO</t>
  </si>
  <si>
    <t>T615T</t>
  </si>
  <si>
    <t>$P_I_ABCIndicator</t>
  </si>
  <si>
    <t>TMABC</t>
  </si>
  <si>
    <t>$P_I_TaxIndicator</t>
  </si>
  <si>
    <t>TMKM1</t>
  </si>
  <si>
    <t>TAXIM</t>
  </si>
  <si>
    <t>T190S</t>
  </si>
  <si>
    <t>T077D</t>
  </si>
  <si>
    <t>TMQ2</t>
  </si>
  <si>
    <t>TQ01B</t>
  </si>
  <si>
    <t>QMATAUTH</t>
  </si>
  <si>
    <t>TVEGR</t>
  </si>
  <si>
    <t>T439A</t>
  </si>
  <si>
    <t>T377P</t>
  </si>
  <si>
    <t>SERAIL</t>
  </si>
  <si>
    <t>TSAD3T</t>
  </si>
  <si>
    <t>TITLE_MEDI</t>
  </si>
  <si>
    <t>T338</t>
  </si>
  <si>
    <t>TVFCD</t>
  </si>
  <si>
    <t>TVM1</t>
  </si>
  <si>
    <t>TMFPF</t>
  </si>
  <si>
    <t>TWSPR</t>
  </si>
  <si>
    <t>T143</t>
  </si>
  <si>
    <t>TKKH1</t>
  </si>
  <si>
    <t>TWBO1</t>
  </si>
  <si>
    <t>$P_I_PaymentCardType</t>
  </si>
  <si>
    <t>TVCIN</t>
  </si>
  <si>
    <t>CCINS</t>
  </si>
  <si>
    <t>T189</t>
  </si>
  <si>
    <t>T6WP3</t>
  </si>
  <si>
    <t>$P_I_PlanningPlant</t>
  </si>
  <si>
    <t>T604F</t>
  </si>
  <si>
    <t>T307</t>
  </si>
  <si>
    <t>LETYP</t>
  </si>
  <si>
    <t>T134</t>
  </si>
  <si>
    <t>T304</t>
  </si>
  <si>
    <t>TVBO</t>
  </si>
  <si>
    <t>T144</t>
  </si>
  <si>
    <t>TNTP</t>
  </si>
  <si>
    <t>T044G</t>
  </si>
  <si>
    <t>TVGF</t>
  </si>
  <si>
    <t>TSFG</t>
  </si>
  <si>
    <t>T438M</t>
  </si>
  <si>
    <t>TLOG</t>
  </si>
  <si>
    <t>M_PLKSA</t>
  </si>
  <si>
    <t>TVM4</t>
  </si>
  <si>
    <t>TVM2</t>
  </si>
  <si>
    <t>TQ02B</t>
  </si>
  <si>
    <t>QSSYSFAM</t>
  </si>
  <si>
    <t>T163L</t>
  </si>
  <si>
    <t>J_1ATODC</t>
  </si>
  <si>
    <t>TCO48</t>
  </si>
  <si>
    <t>GPROFILE</t>
  </si>
  <si>
    <t>$P_I_PaymentCardBlock</t>
  </si>
  <si>
    <t>TVCLK</t>
  </si>
  <si>
    <t>CCLOCK</t>
  </si>
  <si>
    <t>T049L</t>
  </si>
  <si>
    <t>TVFM</t>
  </si>
  <si>
    <t>T188</t>
  </si>
  <si>
    <t>TQ08</t>
  </si>
  <si>
    <t>QM_PUR</t>
  </si>
  <si>
    <t>T439L</t>
  </si>
  <si>
    <t>$P_I_PhoneNumber</t>
  </si>
  <si>
    <t>$P_I_SchedKey</t>
  </si>
  <si>
    <t>$P_I_TaxJurisdiction</t>
  </si>
  <si>
    <t>$P_I_EmailAddress</t>
  </si>
  <si>
    <t>$P_I_2StepPicking</t>
  </si>
  <si>
    <t>BEGIN RETURN
$P_I_PricingDateControl IS NOT NULL
AND $P_I_TaxCategory != '';
END</t>
  </si>
  <si>
    <t>$P_I_PricingDateControl
$P_I_TaxCategory</t>
  </si>
  <si>
    <t>$P_I_Currency_Key</t>
  </si>
  <si>
    <t>$P_I_PersonDepartment</t>
  </si>
  <si>
    <t>$P_I_CheckFlagDoubleInvoice</t>
  </si>
  <si>
    <t>$P_I_VATRegNumber</t>
  </si>
  <si>
    <t>$P_I_Country
$P_I_PostalCode</t>
  </si>
  <si>
    <t>$P_I_IndividualOrCollective</t>
  </si>
  <si>
    <t>$P_I_PersonFunction</t>
  </si>
  <si>
    <t>$P_I_BackFlushDomain</t>
  </si>
  <si>
    <t>LATYP</t>
  </si>
  <si>
    <t>Entity</t>
  </si>
  <si>
    <t>Inventory</t>
  </si>
  <si>
    <r>
      <t xml:space="preserve">to check that material number should be part of MARA table
</t>
    </r>
    <r>
      <rPr>
        <sz val="11"/>
        <color rgb="FFFF0000"/>
        <rFont val="Calibri"/>
        <family val="2"/>
        <scheme val="minor"/>
      </rPr>
      <t>Verify the material number exists in table MARA.</t>
    </r>
  </si>
  <si>
    <r>
      <t xml:space="preserve">THIS RULE IS FOR TITLE
</t>
    </r>
    <r>
      <rPr>
        <sz val="11"/>
        <color rgb="FFFF0000"/>
        <rFont val="Calibri"/>
        <family val="2"/>
        <scheme val="minor"/>
      </rPr>
      <t>Verify the title is one of these values: Company, Messers, Mr and Mrs, Mr, Mrs or Miss.</t>
    </r>
  </si>
  <si>
    <t>Field Description</t>
  </si>
  <si>
    <t>Fields to Include in Result</t>
  </si>
  <si>
    <t>IS_Rules02</t>
  </si>
  <si>
    <t>Address Details</t>
  </si>
  <si>
    <t>CA_STRAS_R1_PO_BOX</t>
  </si>
  <si>
    <t>Identifies customers with the following values in the Street field: 'PO BOX', 'P.O. BOX', 'BP', 'B.P.' (excludes account groups Y102, Y103, Y199, Y903, Y909)</t>
  </si>
  <si>
    <t>Street should not contain 'PO BOX', 'P.O. BOX', 'BP', 'B.P.'
Exclude account groups Y102, Y103, Y199, Y903, Y909, AND exclude country in (US,CA,PR)</t>
  </si>
  <si>
    <t>Customer, Account Group, Name1, Street, Region, Country, Created By, Creation Date</t>
  </si>
  <si>
    <t>CA_STRAS_R2_ATTN</t>
  </si>
  <si>
    <t>Identifies customers with the following values in the Street field: 'ATTN TO', 'ATTN:' (excludes account group Y909)</t>
  </si>
  <si>
    <t>Street should not contain 'ATTN TO', 'ATTN:'
Exclude account group Y909 exclude country in (US,CA,PR)</t>
  </si>
  <si>
    <t>CA_STRAS_R3_POBOX_NULL</t>
  </si>
  <si>
    <t>Identifies customers where Street is blank and PO Box is populated (excludes account group Y909)</t>
  </si>
  <si>
    <t>Street cannot be null when PO Box (PFACH) is null
Exclude account group Y909 exclude country in (US,CA,PR)</t>
  </si>
  <si>
    <t>CA_STRAS_R4_STREET_NULL</t>
  </si>
  <si>
    <t>Identifies customers in account group Y104 where Street address is blank</t>
  </si>
  <si>
    <t>Cannot have a null street address
exclude country in (US,CA,PR)</t>
  </si>
  <si>
    <t>CA_STRAS_R6_DUMMY</t>
  </si>
  <si>
    <t>Identifies customers with the following values in the Street field: 'NO ADDRESS', 'NEED ADDR', 'AWAITING DETAIL', 'N/A', 'DUMMY', 'DRAWER', ' BUS ', 'CEDEX' (excludes account group Y909)</t>
  </si>
  <si>
    <t>Street should not contain 'NO ADDRESS', 'NEED ADDR', 'AWAITING DETAIL', 'N/A', 'DUMMY', 'DRAWER', ' BUS ', 'CEDEX'
Exclude account group Y909 exclude country in (US,CA,PR)</t>
  </si>
  <si>
    <t>Customer Name</t>
  </si>
  <si>
    <t>CA_NAME1_R1_INVALID_CHAR</t>
  </si>
  <si>
    <t>Identifies customers where Name 1 contains values other than: A-Z, 0-9, spaces or any of the following characters ' - . , / &amp; (excludes account groups Y001, Y909)</t>
  </si>
  <si>
    <t>Name 1 should only contain the following characters A-Z, 0-9, single spaces or the following characters ' - . , / &amp; (unless Name1 is 'ZOUP!')
Exclude account groups Y001 and Y909 exclude country in (US,CA,PR)</t>
  </si>
  <si>
    <t>Customer, Account Group, Name1, Country, Created By, Creation Date</t>
  </si>
  <si>
    <t>CA_NAME1_R2_CAPS</t>
  </si>
  <si>
    <t>Identifies customers where Name 1 is not in all capital letters (excludes account groups Y001, Y909)</t>
  </si>
  <si>
    <t>Name 1 should be in all capital letters
Exclude account groups Y001 and Y909 exclude country in (US,CA,PR)</t>
  </si>
  <si>
    <t>CA_NAME1_R3_Char35</t>
  </si>
  <si>
    <t>Identifies customers in 'US' and 'CA' where Name 1 exceeds 30 characters and customers in other countries where Name 1 exceeds 35 characters (excludes account groups Y001, Y909)</t>
  </si>
  <si>
    <t>Name 1 cannot exceed 30 characters when country = US or CA, and cannot exceed 35 characters for all other countries
Exclude account groups Y001 and Y909 exclude country in (US,CA,PR)</t>
  </si>
  <si>
    <t>CA_NAME1_R4_DASH</t>
  </si>
  <si>
    <t>Identifies customers where Name 1 ends with a dash (-) (excludes account groups Y001, Y909)</t>
  </si>
  <si>
    <t>Name 1 cannot end with a dash (-)
Exclude account groups Y001 and Y909  exclude country in (US,CA,PR)</t>
  </si>
  <si>
    <t>CA_NAME1_R5_NA</t>
  </si>
  <si>
    <t>Identifies customers with the following values in the Name 1 field: 'ACN MAIL', 'NA', 'N/A' or Name 1 starts with a dash (-) (excludes account groups Y001, Y909)</t>
  </si>
  <si>
    <t>Name 1 should not contain 'ACN MAIL', 'NA', 'N/A' or start with a dash (-)
Exclude account groups Y001 and Y909  exclude country in (US,CA,PR)</t>
  </si>
  <si>
    <t>CA_REGIO_R1_NULL</t>
  </si>
  <si>
    <t>Identifies customers in US, CA or ES where Region is blank (excludes account groups Y001, Y909)</t>
  </si>
  <si>
    <t>Region should not be null 
Exclude account groups Y001 and Y909  exclude country in (US,CA,PR)</t>
  </si>
  <si>
    <t>Customer, Account Group, Name1, Region, Country, Created By, Creation Date</t>
  </si>
  <si>
    <t>CA_REGIO_R2_INVALID_CHAR</t>
  </si>
  <si>
    <t>Identifies customers where Region contains any of the following punctuation , . _ : ; " / (excludes account groups Y001, Y909)</t>
  </si>
  <si>
    <t>Region should not contain the following punctuation , . _ " / : ;
Exclude account groups Y001 and Y909  exclude country in (US,CA,PR)</t>
  </si>
  <si>
    <t>CA_NAME3_R1_CAPS</t>
  </si>
  <si>
    <t>Identifies customers where Name 3 is not in all capital letters (excludes account groups Y001, Y909)</t>
  </si>
  <si>
    <t>Name 3 must be in all capital letters
Exclude account groups Y001 and Y909  exclude country in (US,CA,PR)</t>
  </si>
  <si>
    <t>Customer, Account Group, Name 1-4, Country, Created By, Creation Date</t>
  </si>
  <si>
    <t>CA_NAME3_R2_STE_FLOOR</t>
  </si>
  <si>
    <t>Identifies customers with the following values in Name 3: 'STE ', 'SUITE', 'FLOOR', 'FL ', ' RM ',  'ROOM ', 'BLDG ', 'BUILDING' (excludes account groups Y001, Y909)</t>
  </si>
  <si>
    <t>Name 3 should not contain location information unless it identifies business complex; Name3 should not contain: 'STE ', 'SUITE', 'FLOOR', 'FL ', ' RM ',  'ROOM ', 'BLDG ', 'BUILDING'
Exclude account groups Y001 and Y909  exclude country in (US,CA,PR)</t>
  </si>
  <si>
    <t>CA_NAME3_R3_ATTN</t>
  </si>
  <si>
    <t>Identifies customers with the following values in Name 3: 'ATTN',  'ATTENTION', 'ATT:' (excludes account groups Y001, Y909)</t>
  </si>
  <si>
    <t>Name 3 should not contain 'ATTN',  'ATTENTION', 'ATT:'
Exclude account groups Y001 and Y909  exclude country in (US,CA,PR)</t>
  </si>
  <si>
    <t>CA_NAME2_R1_Caps</t>
  </si>
  <si>
    <t>Identifies customers where Name 2 is not in all capital letters (excludes account groups Y001, Y909)</t>
  </si>
  <si>
    <t>Name 2 must be in all capital letters
Exclude account groups Y001 and Y909  exclude country in (US,CA,PR)</t>
  </si>
  <si>
    <t>CA_NAME2_R2_Char35</t>
  </si>
  <si>
    <t>Identifies customers in 'US' and 'CA' where Name 2 exceeds 30 characters and customers in other countries where Name 2 exceeds 35 characters (excludes account groups Y001, Y909)</t>
  </si>
  <si>
    <t>Name 2 cannot exceed 30 characters when country = US or CA, and cannot exceed 35 characters for all other countries
Exclude account groups Y001 and Y909  exclude country in (US,CA,PR)</t>
  </si>
  <si>
    <t>CA_NAME2_R3</t>
  </si>
  <si>
    <t>Identifies customers where Name 2 starts with double quotes ("); ends with a dash (-)' or contains values other than A-Z, 0-9, spaces or any of the following characters # ( ) &amp; , . ' -  (excludes account groups Y001, Y909)</t>
  </si>
  <si>
    <t>Name 2 should only contain single spaces or the following characters # ( ) &amp; , . ' - a-z A-Z 0-9 and cannot start with double quotes (") or end with a dash (-)
Exclude account groups Y001 and Y909  exclude country in (US,CA,PR)</t>
  </si>
  <si>
    <t>CA_NAME2_R4</t>
  </si>
  <si>
    <t>Identifies US and Canada customers with the following values in Name 2: 'PO BOX', 'ATTN', 'ATT:', 'DRAWER', 'POST' (excludes account groups Y001, Y909)</t>
  </si>
  <si>
    <t>Name 2 should not contain 'PO BOX', 'ATTN', 'ATT:', 'DRAWER', 'POST' when country &lt;&gt; US or CA
Exclude account groups Y001 and Y909  exclude country in (US,CA,PR)</t>
  </si>
  <si>
    <t>CA_KTOKD_R2</t>
  </si>
  <si>
    <t>Identifies customers in account groups Y101, Y104 or Y901 where country is not US, CA or PR</t>
  </si>
  <si>
    <t xml:space="preserve">When account group = Y101, Y104 or Y901, country should = 'US', 'CA' or 'PR'
</t>
  </si>
  <si>
    <t>Customer, Account Group, Name 1, Country, Created By, Creation Date</t>
  </si>
  <si>
    <t>CA_KTOKD_R3_AL_AT_BE</t>
  </si>
  <si>
    <t>Identifies customers in account group Y102 or Y104 where country is not a European country (AL, AT, BE, BA, BG, HR, CY, CZ, DK, EE, FI, FR, DE, GB, GR, GL, HU, IS, IE, IT, LV, LT, LU, MK, MT, MD, ME, NL, ND, NO, PL, PT, RO, RS, SK, SI, ES, SE, CH, KO)</t>
  </si>
  <si>
    <t xml:space="preserve">When account group = Y102, Y202 or Y902, country should be in Europe ('AL','AT','BE','BA','BG','HR','CY','CZ','DK','EE','FI','FR','DE','GB','GR','GL','HU','IS','IE','IT','LV','LT','LU','MK','MT','MD','ME','NL','ND','NO','PL','PT','RO','RS','SK','SI','ES','SE','CH','KO')
</t>
  </si>
  <si>
    <t>CA_KTOKD_R4_US_CA</t>
  </si>
  <si>
    <t>Identifies customers in Accoung Group Y103 or Y203 where country is not US or CA</t>
  </si>
  <si>
    <t xml:space="preserve">When account group = Y103 or Y203, country should not be 'US' or 'CA'
</t>
  </si>
  <si>
    <t>CA_KTOKD_R5_US_PR</t>
  </si>
  <si>
    <t>Identifies customers in Accoung Group Y201 where country is not US or PR</t>
  </si>
  <si>
    <t xml:space="preserve">When account group = Y201, country should be 'US' or 'PR'
</t>
  </si>
  <si>
    <t>CA_KTOKD_R6_AG_AR_AW</t>
  </si>
  <si>
    <t>Identifies customers in account group Y911 where country is not a Latin American or Pacific country (AG, AR, AW, BS, BB, BZ, BM, BO, BR, TC, CL, CO, CR, CT, DM, DO, EC, SV, GF, GD, GP, GT, GY, HT, HN, JM, MQ, MX, MS, NI, PA, PY, PE, KN, LC, VC, SR, TT, UY, VE, PR, US, AS, AU, BN, KH, CN, FJ, PF, GU, HK, ID, JP, LA, MO, MY, MN, MM, NR, NC, NZ, MP, PG, PH, WS, SG, SB, TW, TH, TO, VU, VN, IN, KR)</t>
  </si>
  <si>
    <t xml:space="preserve">When account group = Y904, country should be 'PR', 'US', in Latin America or the Pacific ('AG','AR','AW','BS','BB','BZ','BM','BO','BR','TC','CL','CO','CR','CT','DM','DO','EC','SV','GF','GD','GP','GT','GY','HT','HN','JM','MQ','MX','MS','NI','PA','PY','PE','KN','LC','VC','SR','TT','UY','VE','PR','US','AS','AU','BN','KH','CN','FJ','PF','GU','HK','ID','JP','LA','MO','MY','MN','MM','NR','NC','NZ','MP','PG','PH','WS','SG','SB','TW','TH','TO','VU','VN','IN','KR')
</t>
  </si>
  <si>
    <t>CA_KTOKD_R7_PR</t>
  </si>
  <si>
    <t>Identifies customers in Accoung Group Y905 where country is not PR</t>
  </si>
  <si>
    <t xml:space="preserve">When account group = Y905, country should be 'PR'
</t>
  </si>
  <si>
    <t>CA_KTOKD_R8_IT</t>
  </si>
  <si>
    <t>Identifies customers in Accoung Group Y909 where country is not IT</t>
  </si>
  <si>
    <t xml:space="preserve">When account group = Y909, country should be 'IT'
</t>
  </si>
  <si>
    <t>CA_KTOKD_R9</t>
  </si>
  <si>
    <t>Identifies customers in account group Y911 where country is not a Latin American country (AG, AR, AW, BS, BB, BZ, BM, BO, BR, TC, CL, CO, CR, CT, DM, DO, EC, SV, GF, GD, GP, GT, GY, HT, HN, JM, MQ, MX, MS, NI, PA, PY, PE, KN, LC, VC, SR, TT, UY, VE)</t>
  </si>
  <si>
    <t xml:space="preserve">When account group = Y911, country should be in Latin America
('AG', 'AR', 'AW', 'BS', 'BB', 'BZ', 'BM', 'BO', 'BR', 'TC', 'CL', 'CO', 'CR', 'CT', 'DM', 'DO', 'EC', 'SV', 'GF', 'GD', 'GP', 'GT', 'GY', 'HT', 'HN', 'JM', 'MQ', 'MX', 'MS', 'NI', 'PA', 'PY', 'PE', 'KN', 'LC', 'VC', 'SR', 'TT', 'UY', 'VE')
</t>
  </si>
  <si>
    <t>CA_KTOKD_R10_Customer</t>
  </si>
  <si>
    <t>Identifies customers in account groups Y105, Y205 or Y912</t>
  </si>
  <si>
    <t xml:space="preserve">There should be no customers in account groups Y105, Y205 or Y912
</t>
  </si>
  <si>
    <t>CA_ORT01_R1_Null</t>
  </si>
  <si>
    <t>Identifies customers in account group Y910 where City is blank</t>
  </si>
  <si>
    <t>City should not be blank or null 
Exclude account groups Y001 and Y909  exclude country in (US,CA,PR)</t>
  </si>
  <si>
    <t>Customer, Account Group, Country, Created By, Creation Date, City</t>
  </si>
  <si>
    <t>CA_ORT01_R2_Caps</t>
  </si>
  <si>
    <t>Identifies customers where City is not in all capital letters (excludes account groups Y902, Y909)</t>
  </si>
  <si>
    <t>City should be in all capital letters
Exclude account groups Y001 and Y909  exclude country in (US,CA,PR)</t>
  </si>
  <si>
    <t>CA_ORT01_R3_INVALID_CHAR</t>
  </si>
  <si>
    <t>Identifies customers where City contains the following characters , . _ " / : ; (excludes account groups Y001, Y909)</t>
  </si>
  <si>
    <t>City should not contain the following punctuation , . _ " / : ;
Exclude account groups Y001 and Y909  exclude country in (US,CA,PR)</t>
  </si>
  <si>
    <t>CA_ORT01_R4_CEDEX</t>
  </si>
  <si>
    <t>Identifies customers where City contains 'CEDEX' (excludes account groups Y902, Y909)</t>
  </si>
  <si>
    <t>City should not contain 'CEDEX'
Exclude account groups Y001 and Y909  exclude country in (US,CA,PR)</t>
  </si>
  <si>
    <t>Identifies Argentina customers where Postal code is not populated or format is not ANNNNAAA (where N = 0-9) (excludes account groups Y902, Y909)</t>
  </si>
  <si>
    <t>Argentina (AR) postal code is required and must be in the format ANNNNAAA (where A = A-Z, N = 0-9)
Exclude account groups Y001 and Y909  exclude country in (US,CA,PR)</t>
  </si>
  <si>
    <t>Customer, Account Group, Country, Name 1, Postal Code, Created By, Creation Date</t>
  </si>
  <si>
    <t>Identifies Brazil customers where Postal code is not populated or format is not NNNNN-NNN (where N = 0-9) (excludes account groups Y902, Y909)</t>
  </si>
  <si>
    <t>Brazil (BR) postal code is required and must be in the format NNNNN-NNN (where N = 0-9)
Exclude account groups Y001 and Y909  exclude country in (US,CA,PR)</t>
  </si>
  <si>
    <t>Identifies Canada customers where Postal code is not populated or format is not ANA NAN (where N = 0-9) (excludes account groups Y902, Y909)</t>
  </si>
  <si>
    <t>Canada (CA) postal code is required and must be in the format ANA NAN (where A = A-Z, N = 0-9)
Exclude account groups Y001 and Y909  exclude country in (US,CA,PR)</t>
  </si>
  <si>
    <t>Identifies Chile customers where Postal code format (if populated) is not NNNNNNN (where N = 0-9) (excludes account groups Y902 and Y909)</t>
  </si>
  <si>
    <t>Chile (CL) postal code is not required, but if used it must be in the format NNNNNNN (where N = 0-9)
Exclude account groups Y001 and Y909  exclude country in (US,CA,PR)</t>
  </si>
  <si>
    <t>Identifies Costa Rica customers where Postal code format (if populated) is not NNNNN (where N = 0-9) (excludes account groups Y902 and Y909)</t>
  </si>
  <si>
    <t>Costa Rica (CR) and Guatamala (GT) postal code is not required, but if used it must be in the format NNNNN (where N = 0-9)
Exclude account groups Y001 and Y909  exclude country in (US,CA,PR)</t>
  </si>
  <si>
    <t>Identifies Faroe Islands customers where Postal code is not populated or format is not NNN (where N = 0-9) (excludes account groups Y902 and Y909)</t>
  </si>
  <si>
    <t>Faroe Islands (FO) postal code is required and must be in the format NNN (where N = 0-9)
Exclude account groups Y001 and Y909  exclude country in (US,CA,PR)</t>
  </si>
  <si>
    <t>Identifies China, India, Russian Federation and Singapore customers where Postal code is not populated or format is not NNNNN (where N = 0-9) (excludes account groups Y902 and Y909)</t>
  </si>
  <si>
    <t>China (CN), Ecuador (EC), India (IN), Russia (RU) and Singapore (SG) postal code is required and must be in the format NNNNNN (where N = 0-9)
Exclude account groups Y001 and Y909  exclude country in (US,CA,PR)</t>
  </si>
  <si>
    <t>Great Britain (GB) and Northern Ireland (ND) postal code is required and must be in the format AN NAA, ANA NAA, ANN NAA, AAN NAA, AANA NAA or AANN NAA (where A = A-Z, N = 0-9)
Exclude account groups Y001 and Y909  exclude country in (US,CA,PR)</t>
  </si>
  <si>
    <t>Identifies Nigeria customers where Postal code format (if populated) is not NNNNNN (where N = 0-9) (excludes account groups Y902 and Y909)</t>
  </si>
  <si>
    <t>Nigeria (NG) postal code is not required, but if used it must be in the format NNNNN (where N = 0-9)
Exclude account groups Y001 and Y909  exclude country in (US,CA,PR)</t>
  </si>
  <si>
    <t>Identifies Portugal customers where Postal code is not populated or format is not NNNN-NNN or NNNN (where N = 0-9) (excludes account groups Y902 and Y909)</t>
  </si>
  <si>
    <t>Portugal (PT) postal code is required and must be in the format NNNN-NNN OR NNNN (where N = 0-9)
Exclude account groups Y001 and Y909  exclude country in (US,CA,PR)</t>
  </si>
  <si>
    <t>Identifies US customers where Postal code is not populated or format is not NNNNN-NNNN or NNNNN (where N = 0-9) (excludes account groups Y902 and Y909)</t>
  </si>
  <si>
    <t>US postal code is required and must be in the format NNNNN-NNNN or NNNNN (where N = 0-9)
Exclude account groups Y001 and Y909  exclude country in (US,CA,PR)</t>
  </si>
  <si>
    <t>Identifies Czech Republic and Slovakia customers where Postal code is not populated or format is not NNN NN (where N = 0-9) (excludes account groups Y902 and Y909)</t>
  </si>
  <si>
    <t>Czech Republic (CZ) and Slovakia (SK) postal code is required and must be in the format NNN NN (where N = 0-9)
Exclude account groups Y001 and Y909  exclude country in (US,CA,PR)</t>
  </si>
  <si>
    <t>Identifies AT, AU, BE, BG, CH, CY, DK, HU, LI, LU, NO, NZ, PH, PY, TN, ZA customers where Postal code is not populated or format is not NNNN (where N = 0-9) (excludes account groups Y902 and Y909)</t>
  </si>
  <si>
    <t>When country = 'AT', 'AU', 'BE', 'BG', 'CH', 'CY', 'DK', 'HU', 'LI', 'LU', 'NO', 'NZ', 'PH', 'PY', 'TN' or 'ZA' postal code is required and must be in the format NNNN (where N = 0-9)
Exclude account groups Y001 and Y909  exclude country in (US,CA,PR)</t>
  </si>
  <si>
    <t>Identifies ME, DE, DZ, ES, FI, FR, GR, HR, ID, IT, KE, KW, MA, MC, ME, MX, MY, PK, RS, SA, TH, TR, UA, UY, YU customers where Postal code is not populated or format is not NNNNN (where N = 0-9) (excludes account groups Y902 and Y909)</t>
  </si>
  <si>
    <t>CA_PSTLZ_R15_US_PH</t>
  </si>
  <si>
    <t>Identifies customers (in countries besides US and Philippines) where Postal Code contains '1234' (excludes account groups Y902, Y909)</t>
  </si>
  <si>
    <t>Postal code cannot contain '1234' unless country is 'US' or 'PH'
Exclude account groups Y001 and Y909  exclude country in (US,CA,PR)</t>
  </si>
  <si>
    <t>CA_PSTLZ_R16</t>
  </si>
  <si>
    <t>Identifies customers where Postal Code contains double quote '' or asterisk * (excludes account groups Y902, Y909)</t>
  </si>
  <si>
    <t>Postal code cannot contain " (double quote) or * (asterisk)
Exclude account groups Y001 and Y909  exclude country in (US,CA,PR)</t>
  </si>
  <si>
    <t>CA_PSTLZ_R17_0</t>
  </si>
  <si>
    <t>Identifies customers where Postal Code equals '0' (excludes account groups Y902, Y909)</t>
  </si>
  <si>
    <t>Postal code cannot be 0
Exclude account groups Y001 and Y909  exclude country in (US,CA,PR)</t>
  </si>
  <si>
    <t>CA_PSTLZ_R18_JP</t>
  </si>
  <si>
    <t>Identifies customers (in countries besides Japan) where Postal Code contains '0000' (unless Postal Code is '1000001','1000002','1000003','1000004','1000005','1000006') (excludes account groups Y902, Y909)</t>
  </si>
  <si>
    <t>Postal code cannot contain '00000' unless the country is Japan (JP) or the postal code is: '1000001', '1000002', '1000003', '1000004', '1000005', '1000006'
Exclude account groups Y001 and Y909  exclude country in (US,CA,PR)</t>
  </si>
  <si>
    <t>CA_PFACH_R1_US</t>
  </si>
  <si>
    <t>Identifies US customers where PO Box does not contain numbers 0-9 (excludes account groups Y902, Y909)</t>
  </si>
  <si>
    <t>PO Box should only contain numbers 0-9 when country = 'US'
Exclude account groups Y001, Y902 and Y909</t>
  </si>
  <si>
    <t>Customer, Account Group, Name 1, PO Box, Country, Created By, Creation Date</t>
  </si>
  <si>
    <t>CA_PFACH_R2</t>
  </si>
  <si>
    <t>Identifies customers where PO Box contains '1234', '9999', equals '0' or starts with '00' (excludes account groups Y001, Y902, Y909)</t>
  </si>
  <si>
    <t>PO Box should not contain '1234' or '9999', should not equal '0' or should not start with '00'
Exclude account groups Y001 and Y909  exclude country in (US,CA,PR)</t>
  </si>
  <si>
    <t>CA_PFACH_R3_Null</t>
  </si>
  <si>
    <t>Identifies US customers where both Street and PO Box are not populated (excludes account groups Y902, Y909)</t>
  </si>
  <si>
    <t>PO Box cannot be null when Street is null and country = 'US'
Exclude account groups Y001 and Y909  exclude country in (US,CA,PR)</t>
  </si>
  <si>
    <t>Identifies customers where Disctrict contains the following values: 'COUNTY ' or start with 'CO ' or 'CO. ' (excludes account groups Y902, Y909)</t>
  </si>
  <si>
    <t>ADRC</t>
  </si>
  <si>
    <t>CITY2</t>
  </si>
  <si>
    <t>District should not contain 'COUNTY ' or start with 'CO ' or 'CO. '
Exclude account groups Y001 and Y909  exclude country in (US,CA,PR)</t>
  </si>
  <si>
    <t>Customer, Account Group, Name 1, District, Country, Created By, Creation Date</t>
  </si>
  <si>
    <t>CA_NAME4_R1_Caps</t>
  </si>
  <si>
    <t>Identifies customers where Name 4 is not in all capital letters (excludes account groups Y001, Y909)</t>
  </si>
  <si>
    <t>Name 4 should be all capital letters
Exclude account groups Y001 and Y909  exclude country in (US,CA,PR)</t>
  </si>
  <si>
    <t>CA_NAME4_R2_PO_BP</t>
  </si>
  <si>
    <t>Identifies customers with the following values in Name 4: 'P.O.', 'BP', 'POST', 'DRAWER', ' BUS ', 'CEDEX' or 'BOX' (unless Name 4 contains 'JACK IN THE BOX') (excludes account groups Y001, Y909)</t>
  </si>
  <si>
    <t>Name 4 should not contain 'P.O.', 'BP', 'POST', 'DRAWER', ' BUS ', 'CEDEX' or 'BOX' (unless Name 4 contains 'JACK IN THE BOX')
Exclude account groups Y001 and Y909  exclude country in (US,CA,PR)</t>
  </si>
  <si>
    <t>CA_NAME4_R3_ATTN</t>
  </si>
  <si>
    <t>Identifies US and CA customers in account group Y101, Y104 or Y901 with the following values in Name 4: 'ATTN:', 'ATTN ', 'ATTENTION', 'C/O', 'CARE OF' (excludes account groups Y001, Y909)</t>
  </si>
  <si>
    <t>Name 4 should not contain 'ATTN:', 'ATTN ', 'ATTENTION', 'C/O', 'CARE OF' when country = US or CA and account group = Y101, Y104 or Y901
Exclude account groups Y001 and Y909  exclude country in (US,CA,PR)</t>
  </si>
  <si>
    <t>Tax Information</t>
  </si>
  <si>
    <t>Identifies if multiple customers have the same VAT (excludes customers in account group Y909)</t>
  </si>
  <si>
    <t>Two customers cannot have the same VAT (some exceptions may be made upon review)
Exclude account groups Y001 and Y909  exclude country in (US,CA,PR)</t>
  </si>
  <si>
    <t>Customer, Account Group, Name 1, VAT, Country, Created By, Creation Date</t>
  </si>
  <si>
    <t>CA_STCEG_R2_11111_NA</t>
  </si>
  <si>
    <t>Identifies customers with a VAT = 'NA', 'N/A', '0', '1' or that contain '12345', '00000', '11111' (excludes customers in account group Y909)</t>
  </si>
  <si>
    <t>VAT cannot contain '12345', '00000', '11111'; cannot equal 'NA', 'N/A', '0', '1'; and cannot be all 9's (regardless of length)
Exclude account groups Y001 and Y909  exclude country in (US,CA,PR)</t>
  </si>
  <si>
    <t>CA_STCEG_R3_PH_CH_ID</t>
  </si>
  <si>
    <t>Identifies customers in countries besides Switzerland, Indonesia and Philippines where VAT contains a period (.) or a dash (-) (excludes customers in account group Y909)</t>
  </si>
  <si>
    <t>When country is not 'PH', 'CH' ot 'ID', VAT cannot contain a period (.) or dash (-)
Exclude account groups Y001 and Y909  exclude country in (US,CA,PR)</t>
  </si>
  <si>
    <t>Identifies Austria customers where VAT format is not ATUXXXXXXXX (where X = 0-9 or A-Z) (excludes customers in account group Y909)</t>
  </si>
  <si>
    <t>When country = 'AT', VAT format (if populated) must be ATUXXXXXXXX (where X = 0-9 or A-Z)
Exclude account groups Y001 and Y909  exclude country in (US,CA,PR)</t>
  </si>
  <si>
    <t>Identifies Belgium customers where VAT format is not BE0NNNNNNNNN (where N = 0-9) (excludes customers in account group Y909)</t>
  </si>
  <si>
    <t>6) When country = 'BE', VAT format (if populated) must be BE0NNNNNNNNN (where N = 0-9)
Exclude account groups Y001 and Y909  exclude country in (US,CA,PR)</t>
  </si>
  <si>
    <t>Identifies Bulgaria customers where VAT format is not BGNNNNNNNNN or BGNNNNNNNNNN (where N = 0-9) (excludes customers in account group Y909)</t>
  </si>
  <si>
    <t>7) When country = 'BG', VAT format (if populated) must be BGNNNNNNNNN or BGNNNNNNNNNN (where N = 0-9)
Exclude account groups Y001 and Y909  exclude country in (US,CA,PR)</t>
  </si>
  <si>
    <t>Identifies Switzerland customers where VAT format is not CHE-NNN.NNN.NNN MWST or CHE-NNN.NNN.NNN IVA or CHE-NNN.NNN.NNN TVA (where N = 0-9) (excludes customers in account group Y909)</t>
  </si>
  <si>
    <t>8) When country = 'CH', VAT format (if populated) must be CHE-NNN.NNN.NNN MWST or CHE-NNN.NNN.NNN IVA ir CHE-NNN.NNN.NNN TVA (where N = 0-9)
Exclude account groups Y001 and Y909  exclude country in (US,CA,PR)</t>
  </si>
  <si>
    <t>Identifies Cyprus customers where VAT format is not CYNNNNNNNNX (where N = 0-9, X = A-Z) (excludes customers in account group Y909)</t>
  </si>
  <si>
    <t>9) When country = 'CY', VAT format (if populated) must be CYNNNNNNNNX (where N = 0-9, X = A-Z)
Exclude account groups Y001 and Y909  exclude country in (US,CA,PR)</t>
  </si>
  <si>
    <t>Identifies Czech Republic customers where VAT format is not CZNNNNNNNN, CZNNNNNNNNN or CZNNNNNNNNNN (where N = 0-9) (excludes customers in account group Y909)</t>
  </si>
  <si>
    <t>10) When country = 'CZ', VAT format (if populated) must be CZNNNNNNNN, CZNNNNNNNNN or CZNNNNNNNNNN (where N = 0-9)
Exclude account groups Y001 and Y909  exclude country in (US,CA,PR)</t>
  </si>
  <si>
    <t>Identifies customers in Germany, Estonia, Greece and Portugal where VAT format is not the Country Code + NNNNNNNNN (where N = 0-9); e.g. DENNNNNNNNN (excludes customers in account group Y909)</t>
  </si>
  <si>
    <t>11) When country = 'DE','EE','PT', VAT format (if populated) must be Country Code + NNNNNNNNN (where N = 0-9); e.g. DENNNNNNNNN
Exclude account groups Y001 and Y909  exclude country in (US,CA,PR)</t>
  </si>
  <si>
    <t>Identifies Denmark customers where VAT format is not DKNNNNNNNN (where N = 0-9) (excludes customers in account group Y909)</t>
  </si>
  <si>
    <t>When country = 'GR', VAT format (if populated) must be ELNNNNNNNNN (where N = 0-9)
Exclude account groups Y001 and Y909  exclude country in (US,CA,PR)</t>
  </si>
  <si>
    <t>Identifies Spain customers where VAT format is not ESXXXXXXXXX (where X = 0-9 or A-Z) (excludes customers in account group Y909)</t>
  </si>
  <si>
    <t>13) When country = 'ES', VAT format (if populated) must be ESXXXXXXXXX (where X = 0-9 or A-Z)
Exclude account groups Y001 and Y909  exclude country in (US,CA,PR)</t>
  </si>
  <si>
    <t>Identifies customers in Finland, Hungary, Luxembourg, Malta, Slovenia where VAT format is not the Country code + NNNNNNNN (where N = 0-9); e.g. FINNNNNNNN (excludes customers in account group Y909)</t>
  </si>
  <si>
    <t>14) When country = 'DK','FI','HU','LU','MT','SI', VAT format (if populated) must be Country code + NNNNNNNN (where N = 0-9); e.g. FINNNNNNNN
Exclude account groups Y001 and Y909  exclude country in (US,CA,PR)</t>
  </si>
  <si>
    <t>Identifies France customers where VAT format is not FRXXNNNNNNNNN (where N is 0-9, X is 0-9 or A-Z) (excludes customers in account group Y909)</t>
  </si>
  <si>
    <t>15) When country = 'FR', VAT format (if populated) must be FRXXNNNNNNNNN (where X is 0-9 or A-Z, N is 0-9)
Exclude account groups Y001 and Y909  exclude country in (US,CA,PR)</t>
  </si>
  <si>
    <t>Identifies United Kingdom customers where VAT format is not GBNNNNNNNNN or GBNNNNNNNNNNNN or GBGDXXX or GBHAXXX (excludes customers in account group Y909)</t>
  </si>
  <si>
    <t>16) When country = 'GB', VAT format (if populated) must be GBNNNNNNNNN or GBNNNNNNNNNNNN or GBGDXXX or GBHAXXX (where N is 0-9, X is 0-9 or A-Z)
Exclude account groups Y001 and Y909  exclude country in (US,CA,PR)</t>
  </si>
  <si>
    <t>Identifies Indonesia customers where VAT format is not NN.NNN.NNN.N-NNN.NNN (where N = 0-9) (excludes customers in account group Y909)</t>
  </si>
  <si>
    <t>17) When country = 'ID', VAT format (if populated) must be NN.NNN.NNN.N-NNN.NNN (where N = 0-9)
Exclude account groups Y001 and Y909  exclude country in (US,CA,PR)</t>
  </si>
  <si>
    <t>Identifies Ireland customers where VAT format is not IENSNNNNNX or IENSNNNNNXX (where N is 0-9, X is 0-9 or A-Z, S is A-Z or 0-9 or + or *) (excludes customers in account group Y909)</t>
  </si>
  <si>
    <t>18) When country = 'IE', VAT format (if populated) must be IENSNNNNNX or IENSNNNNNXX (where N is 0-9, X is 0-9 or A-Z, S is A-Z or 0-9 or + or *)
Exclude account groups Y001 and Y909  exclude country in (US,CA,PR)</t>
  </si>
  <si>
    <t>Identifies Italy customers where VAT format is not ITNNNNNNNNNNN (where N = 0-9) (excludes customers in account group Y909)</t>
  </si>
  <si>
    <t>19) When country = 'IT', VAT format (if populated) must be ITNNNNNNNNNNN (where N = 0-9)
Exclude account groups Y001 and Y909  exclude country in (US,CA,PR)</t>
  </si>
  <si>
    <t>Identifies Lithuania where VAT format is not LTNNNNNNNNN or LTNNNNNNNNNNNN (where N = 0-9) (excludes customers in account group Y909)</t>
  </si>
  <si>
    <t>20) When country = 'LT', VAT format (if populated) must be LTNNNNNNNNN or LTNNNNNNNNNNNN (where N = 0-9)
Exclude account groups Y001 and Y909  exclude country in (US,CA,PR)</t>
  </si>
  <si>
    <t>Identifies Latvia customers where VAT format is not LVNNNNNNNNNNN (where N = 0-9) (excludes customers in account group Y909)</t>
  </si>
  <si>
    <t>21) When country = 'LV', VAT format (if populated) must be LVNNNNNNNNNNN (where N = 0-9)
Exclude account groups Y001 and Y909  exclude country in (US,CA,PR)</t>
  </si>
  <si>
    <t>Identifies Netherlands customers where VAT format is not NLNNNNNNNNNBNN (where N = 0-9) (excludes customers in account group Y909)</t>
  </si>
  <si>
    <t>22) When country = 'NL', VAT format (if populated) must be NLNNNNNNNNNBNN (where N = 0-9)
Exclude account groups Y001 and Y909  exclude country in (US,CA,PR)</t>
  </si>
  <si>
    <t>Identifies Poland customers where the VAT format is not PLNNNNNNNNNN (where N = 0-9) (excludes customers in account group Y909)</t>
  </si>
  <si>
    <t>23) When country = 'PL', VAT format (if populated) must be PLNNNNNNNNNN (where N = 0-9)
Exclude account groups Y001 and Y909  exclude country in (US,CA,PR)</t>
  </si>
  <si>
    <t>Identifies Romania customers where VAT format is not RONN, RONNN, RONNNN, RONNNNN, RONNNNNN, RONNNNNNN, RONNNNNNNN, RONNNNNNNNN or RONNNNNNNNNN (where N = 0-9) (excludes customers in account group Y909)</t>
  </si>
  <si>
    <t>24) When country = 'RO', VAT format (if populated) must be RONN, RONNN, RONNNN, RONNNNN, RONNNNNN, RONNNNNNN, RONNNNNNNN, RONNNNNNNNN, RONNNNNNNNNN (where N = 0-9)
Exclude account groups Y001 and Y909  exclude country in (US,CA,PR)</t>
  </si>
  <si>
    <t>Identifies Sweden customers where VAT format is not SENNNNNNNNNNNN (where N = 0-9) (excludes customers in account group Y909)</t>
  </si>
  <si>
    <t>25) When country = 'SE', VAT format (if populated) must be SENNNNNNNNNNNN (where N = 0-9)
Exclude account groups Y001 and Y909  exclude country in (US,CA,PR)</t>
  </si>
  <si>
    <t>Identifies Slovakia customers where VAT format is not SKNNNNNNNNNN (where N = 0-9) (excludes customers in account group Y909)</t>
  </si>
  <si>
    <t>26) When country = 'SK', VAT format (if populated) must be SKNNNNNNNNNN (where N = 0-9)
Exclude account groups Y001 and Y909  exclude country in (US,CA,PR)</t>
  </si>
  <si>
    <t>Identifies Singapore customers where VAT format is not NNNNNNNNA, NNNNNNNNNA, NNNNNNNNNNA, MNNNNNNNNA, MNNNNNNNNN, MANNNNNNNN, TNNFCNNNNA, TNNLLNNNNA, ANNSSNNNNA, or TNNSSNNNNA (where N is 0-9, A is A-Z) (excludes customers in account group Y909)</t>
  </si>
  <si>
    <t>27) When country = 'SG', VAT format (if populated) must be NNNNNNNNA, NNNNNNNNNA, NNNNNNNNNNA, MNNNNNNNNA, MNNNNNNNNN, MANNNNNNNA, TNNFCNNNNA, TNNLLNNNNA, ANNSSNNNNA, or TNNSSNNNNA (where N is 0-9, A is A-Z')
Exclude account groups Y001 and Y909  exclude country in (US,CA,PR)</t>
  </si>
  <si>
    <t xml:space="preserve">TAX ID not null </t>
  </si>
  <si>
    <t>26) When country = 'MX', Tax Id should not be blank or null
Exclude account groups Y001 and Y909  exclude country in (US,CA,PR)</t>
  </si>
  <si>
    <t>Duplicates</t>
  </si>
  <si>
    <t>Duplicate Check:
Identify customer duplicates using combination of NAME1, NAME2, STRAS, PFACH, First 5 of PSTLZ, ADRC.NAME_CO, ADRC.ROOMNUMBER where ADRC.NATION = '' after removing all spaces and the following characters ( ) , . - ' " # (excludes account groups Y001, Y910)</t>
  </si>
  <si>
    <t xml:space="preserve">NAME, STRAS, etc. </t>
  </si>
  <si>
    <t>Name &amp; Address</t>
  </si>
  <si>
    <t>Customer (KUNNR), Account Group (KTOKD), Name1, Name2, Street (STRAS), PO Box (PFACH), Postal Code (PSTLZ), ADRC.NAME_CO, ADRC.ROOMNUMBER</t>
  </si>
  <si>
    <t>Identifies Great Britain and Northern Ireland customers where Postal code is not populated or format is not AN NAA, ANA NAA, ANN NAA, AAN NAA, AANA NAA or AANN NAA (where N = 0-9) (excludes account groups Y902 and Y909)</t>
  </si>
  <si>
    <t>select 
  NAME1,NAME2,STRAS,PFACH,left(PSTLZ,5),NAME_CO,ROOMNUMBER
from ADRC
where NATION = ''
group by NAME1,NAME2,STRAS,PFACH,left(PSTLZ,5),NAME_CO,ROOMNUMBER
Combine the values of the following fields after removing all spaces and the following characters , . - ' " # ( )
NAME1,NAME2,STRAS,PFACH,left(PSTLZ,5),ADRC.NAME_CO,ADRC.ROOMNUMBER
(where ADRC.NATION = '')
Compare this value to all other customers to identify matches
Exclude account groups Y001 and Y909  exclude country in (US,CA,PR)</t>
  </si>
  <si>
    <t>Verify the VAT Tax Number is formatted correctly for the specified countries:   
- AT = ATUXXXXXXXX (X = 0-9 or A-Z)   
- BE = BE0NNNNNNNNN (N = 0-9)  
- BG = BGNNNNNNNNN or BGNNNNNNNNNN (N = 0-9)   
- CH = CHE-NNN.NNN.NNN MWST or CHE-NNN.NNN.NNN IVA or CHE-NNN.NNN.NNN TVA (N = 0-9)   
- CY = CYNNNNNNNNX (N = 0-9, X = A-Z)   
- CZ = CZNNNNNNNN, CZNNNNNNNNN or CZNNNNNNNNNN (N = 0-9)   - DE, EE, GR, PT = Country Code + NNNNNNNNN (N = 0-9)   
- DK = DKNNNNNNNN (N = 0-9)   
- ES = ESXXXXXXXXX (X = 0-9 or A-Z)   
- FI, HU, LU, MT, SI = Country code + NNNNNNNN (N = 0-9)   
- FR = FRXXNNNNNNNNN (N is 0-9, X is 0-9 or A-Z)  
- GB = GBNNNNNNNNN or GBNNNNNNNNNNNN or GBGDXXX or GBHAXXX
- ID = NN.NNN.NNN.N-NNN.NNN (N = 0-9)   
- IE = IENSNNNNNX or IENSNNNNNXX (N is 0-9, X is 0-9 or A-Z, S is A-Z or 0-9 or + or *)   
- IT = ITNNNNNNNNNNN (N = 0-9)   
- LT = LTNNNNNNNNN or LTNNNNNNNNNNNN (N = 0-9)   
- LV = LVNNNNNNNNNNN (N = 0-9)   
- NL = NLNNNNNNNNNBNN (N = 0-9)   
- PL = PLNNNNNNNNNN (N = 0-9)   
- RO = RONN, RONNN, RONNNN, RONNNNN, RONNNNNN, RONNNNNNN, RONNNNNNNN, RONNNNNNNNN or RONNNNNNNNNN (N = 0-9)   
- SE = SENNNNNNNNNNNN (N = 0-9)   - SK = SKNNNNNNNNNN (N = 0-9)   
- SG = NNNNNNNNA, NNNNNNNNNA, NNNNNNNNNNA, MNNNNNNNNA, MNNNNNNNNN, MANNNNNNNN, TNNFCNNNNA, TNNLLNNNNA, ANNSSNNNNA, or TNNSSNNNNA (N = 0-9, X = A-Z)</t>
  </si>
  <si>
    <t>Replaces rules 968-990.</t>
  </si>
  <si>
    <t>Required QM System for Vendor</t>
  </si>
  <si>
    <t xml:space="preserve"> Sales Organization</t>
  </si>
  <si>
    <t>VCNUM</t>
  </si>
  <si>
    <t>Payment cards: Card category</t>
  </si>
  <si>
    <t>VBKD</t>
  </si>
  <si>
    <t>Payment method</t>
  </si>
  <si>
    <t>Accounting Clerk</t>
  </si>
  <si>
    <t>Country Code</t>
  </si>
  <si>
    <t>Fax number</t>
  </si>
  <si>
    <t>TELF1
TELF2</t>
  </si>
  <si>
    <t>Customer Group</t>
  </si>
  <si>
    <t>Dunning Clerk</t>
  </si>
  <si>
    <t>LAND1
PSTLZ</t>
  </si>
  <si>
    <t>Country Key
Postal Code</t>
  </si>
  <si>
    <t>Sales Disctict</t>
  </si>
  <si>
    <t>Customer Number</t>
  </si>
  <si>
    <t>Payment cards: Card type</t>
  </si>
  <si>
    <t>CompanyCodeData</t>
  </si>
  <si>
    <t>Correspondence</t>
  </si>
  <si>
    <t>PaymentTransactions</t>
  </si>
  <si>
    <t>GeneralData</t>
  </si>
  <si>
    <t>ContactPerson</t>
  </si>
  <si>
    <t>Control</t>
  </si>
  <si>
    <t>ExportData</t>
  </si>
  <si>
    <t>SalesAreaData</t>
  </si>
  <si>
    <t>BillingDocuments</t>
  </si>
  <si>
    <t>PartnerFunctions</t>
  </si>
  <si>
    <t>Shipping</t>
  </si>
  <si>
    <t>Accounting1</t>
  </si>
  <si>
    <t>ForeignTradeExport</t>
  </si>
  <si>
    <t>GeneralPlantData</t>
  </si>
  <si>
    <t>Storage1</t>
  </si>
  <si>
    <t>MRP1</t>
  </si>
  <si>
    <t>MRP2</t>
  </si>
  <si>
    <t>MRP3</t>
  </si>
  <si>
    <t>MRP4</t>
  </si>
  <si>
    <t>Purchasing</t>
  </si>
  <si>
    <t>QualityManagement</t>
  </si>
  <si>
    <t>SalesGeneral</t>
  </si>
  <si>
    <t>PlantData</t>
  </si>
  <si>
    <t>SalesOrg1</t>
  </si>
  <si>
    <t>SalesOrg2</t>
  </si>
  <si>
    <t>AccountManagement</t>
  </si>
  <si>
    <t>Marketing</t>
  </si>
  <si>
    <t>BasicData1</t>
  </si>
  <si>
    <t>AccountingInformation</t>
  </si>
  <si>
    <t>PurchaseOrgData</t>
  </si>
  <si>
    <t>Storage2</t>
  </si>
  <si>
    <t>WorkScheduling</t>
  </si>
  <si>
    <t>BasicData2</t>
  </si>
  <si>
    <t>Costing1</t>
  </si>
  <si>
    <t>Costing2</t>
  </si>
  <si>
    <t>Forecasting</t>
  </si>
  <si>
    <t>BRG1</t>
  </si>
  <si>
    <t>BRG2</t>
  </si>
  <si>
    <t>ZB_G15_CUST_CityExists</t>
  </si>
  <si>
    <t>source</t>
  </si>
  <si>
    <t>entity</t>
  </si>
  <si>
    <t>brg1</t>
  </si>
  <si>
    <t>brg2</t>
  </si>
  <si>
    <t>brg3</t>
  </si>
  <si>
    <t>objname</t>
  </si>
  <si>
    <t>rule_doc</t>
  </si>
  <si>
    <t>dimension</t>
  </si>
  <si>
    <t>parameter</t>
  </si>
  <si>
    <t>tabname</t>
  </si>
  <si>
    <t>fieldname</t>
  </si>
  <si>
    <t>fielddesc</t>
  </si>
  <si>
    <t>lookup_tabname</t>
  </si>
  <si>
    <t>lookup_fieldname</t>
  </si>
  <si>
    <t>resultfields</t>
  </si>
  <si>
    <t>notes</t>
  </si>
  <si>
    <t>num</t>
  </si>
  <si>
    <t>old_dim</t>
  </si>
  <si>
    <t>Price List Type</t>
  </si>
  <si>
    <t>Region (state, province, county)</t>
  </si>
  <si>
    <t>Legal Status</t>
  </si>
  <si>
    <t>KNAZK</t>
  </si>
  <si>
    <t>Working Time Calendar</t>
  </si>
  <si>
    <t>Form-of-Address Key</t>
  </si>
  <si>
    <t>Dunning</t>
  </si>
  <si>
    <t>Payment cards: Reason for payment card block</t>
  </si>
  <si>
    <t>First telephone number
Second telephone number</t>
  </si>
  <si>
    <t>Region name</t>
  </si>
  <si>
    <t>Verify that interest calculation frequency is the same as interest cycle</t>
  </si>
  <si>
    <t>How is this referenced from a customer record?</t>
  </si>
  <si>
    <t>LAND1
STCD1</t>
  </si>
  <si>
    <t>Country Key
Tax Number 1</t>
  </si>
  <si>
    <t>$P_I_BiochemWarfare</t>
  </si>
  <si>
    <t>LAND1
PSTLZ2</t>
  </si>
  <si>
    <t>Country Key
PO Box Postal Code</t>
  </si>
  <si>
    <t>VBUP</t>
  </si>
  <si>
    <t>Verify whether this is the correct TABLE-FIELD</t>
  </si>
  <si>
    <t>SDN boycott list for export control</t>
  </si>
  <si>
    <t>TDO boycott list for export control</t>
  </si>
  <si>
    <t>License</t>
  </si>
  <si>
    <t>This rule is for fields that should be filled with 'X'</t>
  </si>
  <si>
    <t>Where is exchange rate type stored in vendor master tables?</t>
  </si>
  <si>
    <t>Number of Vendor or Creditor.
Marital Status Key</t>
  </si>
  <si>
    <t>Account Number of Vendor or Creditor.
VIP Partner.</t>
  </si>
  <si>
    <t>dunning01v</t>
  </si>
  <si>
    <t>dunning01c</t>
  </si>
  <si>
    <t>dunning02v</t>
  </si>
  <si>
    <t>dunning02c</t>
  </si>
  <si>
    <t>dunning04c</t>
  </si>
  <si>
    <t>dunning06c</t>
  </si>
  <si>
    <t>dunning06v</t>
  </si>
  <si>
    <t>Vendor Number</t>
  </si>
  <si>
    <t>ZB_G14_CUST_DunningRecipientCompCodeRef</t>
  </si>
  <si>
    <t>KUNNR,BUKRS</t>
  </si>
  <si>
    <t>dunning03c2</t>
  </si>
  <si>
    <t>dunning03c1</t>
  </si>
  <si>
    <t>Customer Number, Company Code</t>
  </si>
  <si>
    <t>Vendor Number, Company Code</t>
  </si>
  <si>
    <t>dunning03v2</t>
  </si>
  <si>
    <t>dunning03v1</t>
  </si>
  <si>
    <t>VW_KNB5</t>
  </si>
  <si>
    <t>VW_LFB5</t>
  </si>
  <si>
    <t>Use KNB1-KNRZB for alt payee by company code.</t>
  </si>
  <si>
    <t>next_payee01c</t>
  </si>
  <si>
    <t>next_payee01v</t>
  </si>
  <si>
    <t>QUACrule</t>
  </si>
  <si>
    <t>matchPattern(pattern) or
matchRegex(regexpattern)</t>
  </si>
  <si>
    <t>inactive</t>
  </si>
  <si>
    <t>x</t>
  </si>
  <si>
    <t>Inactive</t>
  </si>
  <si>
    <t>Tax Classification for customer</t>
  </si>
  <si>
    <t>Customer Classification</t>
  </si>
  <si>
    <t>Interest Calculation Indicator</t>
  </si>
  <si>
    <t>Account Assignment Group for this customer</t>
  </si>
  <si>
    <t>RelatedRules</t>
  </si>
  <si>
    <t>PotentialRule</t>
  </si>
  <si>
    <t>KNVV-KUNNR that does not exist in KNA1</t>
  </si>
  <si>
    <t>Price Group (customer)</t>
  </si>
  <si>
    <t>Contact Person Function</t>
  </si>
  <si>
    <t>Optional field?  The rule expression evaluates to true if value exists in TSAD3T or if source field is NULL/empty.  This rule should not be testing empty source fields:
BEGIN RETURN
not($P_I_Title IS NULL OR $P_I_Title='') and exists('SAP', 'TSAD3T', 'TITLE_MEDI', $P_I_Title);
END</t>
  </si>
  <si>
    <t>Note: KNB1-WAKON has no check table.</t>
  </si>
  <si>
    <t>Dunning Block</t>
  </si>
  <si>
    <t>Verify the customer Office of Entry exists.</t>
  </si>
  <si>
    <t>Verify the customer Customer Number and Company Code exist.</t>
  </si>
  <si>
    <t>Verify the vendor Statistics Group exists.</t>
  </si>
  <si>
    <t>Verify the vendor Exchange Rate Type exists.</t>
  </si>
  <si>
    <t>dunning04v</t>
  </si>
  <si>
    <t>Verify the vendor Fiscal Year Variant exists.</t>
  </si>
  <si>
    <t>Verify that vendor Contact Person Function exists.</t>
  </si>
  <si>
    <t>Verify the vendor Industry Code exists.</t>
  </si>
  <si>
    <t>Verify that vendor contact Marital Status Key exists.</t>
  </si>
  <si>
    <t>Verify the vendor Partner Function exists.</t>
  </si>
  <si>
    <t>Verify the material Currency exists.</t>
  </si>
  <si>
    <t>/XLSO/PARTNER</t>
  </si>
  <si>
    <t>Business Partner Number</t>
  </si>
  <si>
    <t>Look for vendors in KNA1 that do not exist in KNB1.
Right outer join on KNA1-KUNNR = KNB1-KUNNR</t>
  </si>
  <si>
    <t>Verify the Canadian PO box postcode is valid.</t>
  </si>
  <si>
    <t>Verify the CA postal code has the correct format</t>
  </si>
  <si>
    <t>Verify the DE postal code has the correct format</t>
  </si>
  <si>
    <t>Verify the US postal code has the correct format</t>
  </si>
  <si>
    <t>Verify the US PO box postal code has the correct format</t>
  </si>
  <si>
    <t>Verify the CA PO box postal code has the correct format</t>
  </si>
  <si>
    <t>Vendor_CheckTaxCodeFormat</t>
  </si>
  <si>
    <t>pcode07c</t>
  </si>
  <si>
    <t>pcode08c</t>
  </si>
  <si>
    <t>pcode09c</t>
  </si>
  <si>
    <t>pcode01c</t>
  </si>
  <si>
    <t>pcode02c</t>
  </si>
  <si>
    <t>pcode03c</t>
  </si>
  <si>
    <t>pcode04c</t>
  </si>
  <si>
    <t>pcode05c</t>
  </si>
  <si>
    <t>pcode06c</t>
  </si>
  <si>
    <t>pcode10c</t>
  </si>
  <si>
    <t>pcode11c</t>
  </si>
  <si>
    <t>pcode12c</t>
  </si>
  <si>
    <t>pcode13c</t>
  </si>
  <si>
    <t>pcode14c</t>
  </si>
  <si>
    <r>
      <t xml:space="preserve">BEGIN RETURN
</t>
    </r>
    <r>
      <rPr>
        <strike/>
        <sz val="9"/>
        <color rgb="FFFF0000"/>
        <rFont val="Consolas"/>
        <family val="3"/>
      </rPr>
      <t>$P_I_Country = 'DE'</t>
    </r>
    <r>
      <rPr>
        <strike/>
        <sz val="9"/>
        <color theme="1"/>
        <rFont val="Consolas"/>
        <family val="3"/>
      </rPr>
      <t xml:space="preserve">
AND match_pattern($P_I_ZIP, '99999');
END</t>
    </r>
  </si>
  <si>
    <r>
      <t xml:space="preserve">BEGIN RETURN
</t>
    </r>
    <r>
      <rPr>
        <strike/>
        <sz val="9"/>
        <color rgb="FFFF0000"/>
        <rFont val="Consolas"/>
        <family val="3"/>
      </rPr>
      <t>$P_I_Country = US'</t>
    </r>
    <r>
      <rPr>
        <strike/>
        <sz val="9"/>
        <color theme="1"/>
        <rFont val="Consolas"/>
        <family val="3"/>
      </rPr>
      <t xml:space="preserve">
AND ( match_pattern($P_I_ZIP, '99999')
OR match_pattern($P_I_ZIP, '99999-9999') );
END</t>
    </r>
  </si>
  <si>
    <r>
      <t xml:space="preserve">BEGIN RETURN
</t>
    </r>
    <r>
      <rPr>
        <strike/>
        <sz val="9"/>
        <color rgb="FFFF0000"/>
        <rFont val="Consolas"/>
        <family val="3"/>
      </rPr>
      <t xml:space="preserve">$P_I_Country = 'US'
</t>
    </r>
    <r>
      <rPr>
        <strike/>
        <sz val="9"/>
        <color theme="1"/>
        <rFont val="Consolas"/>
        <family val="3"/>
      </rPr>
      <t>AND ( match_pattern($P_I_ZIP, '99999')
OR match_pattern($P_I_ZIP, '99999-9999') );
END</t>
    </r>
  </si>
  <si>
    <t>distchannel01c</t>
  </si>
  <si>
    <t>distchannel01m</t>
  </si>
  <si>
    <t>email01c</t>
  </si>
  <si>
    <t>email01v</t>
  </si>
  <si>
    <t>gender01c</t>
  </si>
  <si>
    <t>gender01v</t>
  </si>
  <si>
    <t>pod01v</t>
  </si>
  <si>
    <t>pod01c</t>
  </si>
  <si>
    <t>intcycle01c</t>
  </si>
  <si>
    <t>intcycle01v</t>
  </si>
  <si>
    <t>lang01c</t>
  </si>
  <si>
    <t>lang01v</t>
  </si>
  <si>
    <t>license01v</t>
  </si>
  <si>
    <t>license01c</t>
  </si>
  <si>
    <t>license02c</t>
  </si>
  <si>
    <t>license02v</t>
  </si>
  <si>
    <t>license03v</t>
  </si>
  <si>
    <t>license03c</t>
  </si>
  <si>
    <t>partnerfn01v</t>
  </si>
  <si>
    <t>partnerfn01c</t>
  </si>
  <si>
    <t>phone01v</t>
  </si>
  <si>
    <t>phone01c</t>
  </si>
  <si>
    <t>phone</t>
  </si>
  <si>
    <t>In order to standardize phone numbers, and maintain phone data quality, only one format can be correct.  Also, phone country codes and phone extensions should be stored in separate fields.  The most common US formats are (999) 999-9999 and 999-999-9999, so this rule should fail for any other format
21 countries use the same phone number system as the US. Nine of those countries are US territoties and posessions: AS, FM, GU, MH, MP, PR, PW, UM, VI
match_regex( $P_I_PhoneNumber, (
'^+?(1-?)?([0-9]{3}-?[0-9]{3}-?[0-9]{4}$'
) ), NULL );</t>
  </si>
  <si>
    <t>$P_I_Country
$P_I_PhoneNumber</t>
  </si>
  <si>
    <t xml:space="preserve">BEGIN RETURN
match_pattern($P_I_PhoneNumber, '9999999999')
OR match_pattern($P_I_PhoneNumber, '999-999-9999')
OR match_pattern($P_I_PhoneNumber, '(999)-999-9999')
OR match_pattern($P_I_PhoneNumber, '1-999-999-9999')
OR match_pattern($P_I_PhoneNumber, '1-(999)-999-9999')
OR match_pattern($P_I_PhoneNumber, '19999999999')
OR match_pattern($P_I_PhoneNumber, '+1-999-999-9999')
OR match_pattern($P_I_PhoneNumber, '+1-(999)-999-9999')
OR match_pattern($P_I_PhoneNumber, '+19999999999');
END
</t>
  </si>
  <si>
    <t>phoneus01c</t>
  </si>
  <si>
    <t>phoneus02c</t>
  </si>
  <si>
    <t>phoneus01v</t>
  </si>
  <si>
    <t>phoneus02v</t>
  </si>
  <si>
    <t>In order to standardize phone numbers, and maintain phone data quality, only one format can be correct.  Also, phone country codes and phone extensions should be stored in separate fields.  The most common US formats are (999) 999-9999 and 999-999-9999, so this rule should fail for any other format
21 countries use the same phone number system as the US. Nine of those countries are US territoties and posessions: AS, FM, GU, MH, MP, PR, PW, UM, VI.</t>
  </si>
  <si>
    <t>American Samoa</t>
  </si>
  <si>
    <t>Anguilla</t>
  </si>
  <si>
    <t>Antigua and Barbuda</t>
  </si>
  <si>
    <t>Bahamas</t>
  </si>
  <si>
    <t>Barbados</t>
  </si>
  <si>
    <t>Bermuda</t>
  </si>
  <si>
    <t>British Virgin Islands</t>
  </si>
  <si>
    <t>Canada</t>
  </si>
  <si>
    <t>Cayman Islands</t>
  </si>
  <si>
    <t>Dominica</t>
  </si>
  <si>
    <t>Dominican Republic</t>
  </si>
  <si>
    <t>Grenada</t>
  </si>
  <si>
    <t>Guam</t>
  </si>
  <si>
    <t>Jamaica</t>
  </si>
  <si>
    <t>Montserrat</t>
  </si>
  <si>
    <t>Northern Mariana Islands</t>
  </si>
  <si>
    <t>Puerto Rico</t>
  </si>
  <si>
    <t>Saint Kitts and Nevis</t>
  </si>
  <si>
    <t>Saint Lucia</t>
  </si>
  <si>
    <t>Saint Vincent and the Grenadines</t>
  </si>
  <si>
    <t>Sint Maarten</t>
  </si>
  <si>
    <t>Trinidad and Tobago</t>
  </si>
  <si>
    <t>Turks and Caicos Islands</t>
  </si>
  <si>
    <t>United States</t>
  </si>
  <si>
    <t>United States Virgin Islands</t>
  </si>
  <si>
    <t>AI</t>
  </si>
  <si>
    <t>BM</t>
  </si>
  <si>
    <t>MS</t>
  </si>
  <si>
    <t>AG</t>
  </si>
  <si>
    <t>CA</t>
  </si>
  <si>
    <t>BS</t>
  </si>
  <si>
    <t>BB</t>
  </si>
  <si>
    <t>VG</t>
  </si>
  <si>
    <t>KY</t>
  </si>
  <si>
    <t>DM</t>
  </si>
  <si>
    <t>DO</t>
  </si>
  <si>
    <t>GD</t>
  </si>
  <si>
    <t>JM</t>
  </si>
  <si>
    <t>KN</t>
  </si>
  <si>
    <t>LC</t>
  </si>
  <si>
    <t>VC</t>
  </si>
  <si>
    <t>TC</t>
  </si>
  <si>
    <t>SX</t>
  </si>
  <si>
    <t>TT</t>
  </si>
  <si>
    <t>US</t>
  </si>
  <si>
    <t>Rule to check if Postal Code exists for Business Partner (Customer / Vendor) Master data in a standard SAP ECC 6.0 system</t>
  </si>
  <si>
    <t>salesorg01m</t>
  </si>
  <si>
    <t>salesorg01c</t>
  </si>
  <si>
    <t>searchterm01c</t>
  </si>
  <si>
    <t>searchterm01v</t>
  </si>
  <si>
    <t>sort01c</t>
  </si>
  <si>
    <t>sort02c</t>
  </si>
  <si>
    <t>sort01v</t>
  </si>
  <si>
    <t>sort02v</t>
  </si>
  <si>
    <t>Rule to validate if vendor's First Telephone Number exists</t>
  </si>
  <si>
    <t>BEGIN RETURN
$P_I_PhoneNumber IS NOT NULL
AND $P_I_PhoneNumber != '';
END</t>
  </si>
  <si>
    <t>top01c</t>
  </si>
  <si>
    <t>top01v</t>
  </si>
  <si>
    <t>top02c</t>
  </si>
  <si>
    <t>Rule to check if Terms of payment key exists for Vendor master data for a standard SAP ECC 6.0 system</t>
  </si>
  <si>
    <t>Country
Postal Code</t>
  </si>
  <si>
    <t>LAND1
PSTLZ
KTOKD</t>
  </si>
  <si>
    <t>Country
Postal Code
Account Group</t>
  </si>
  <si>
    <t>Filter the account groups via a view
BEGIN
$PSTLZ_Format = decode(
    ( $P_I_Country = 'AR' ), '^[A-Z][0-9]{4}[A-Z]{3}$',
    ( $P_I_Country = 'BR' ), '^[0-9]{5}-[0-9]{4}$',
    ( $P_I_Country = 'CA' ), '^[^DFIOQUWZ][0-9][^DFIOQU] ?[0-9][^DFIOQU][0-9]$',
    ( $P_I_Country = 'FO' ), '^[0-9]{3}$',
    ( $P_I_Country in ('CN','EC','IN','RU','SG') ), '^[0-9]{6}$',
    ( $P_I_Country in ('GB','NB') ), '^([A-Z]{2}[0-9]{1,2}|[A-Z][0-9]{1,2]}|[A-Z]{1,2}[0-9][A-Z]?) [0-9][A-Z]{2}$',
    ( $P_I_Country = 'PT' ), '^[0-9]{4}-[0-9]{3}$',
    ( $P_I_Country = 'US' ), '^[0-9]{5}(-[0-9]{4})?$',
    ( $P_I_Country in ('CZ','SK') ), '^[0-9]{3}-[0-9]{2}$',
    ( $P_I_Country in ('AT', 'AU', 'BE', 'BG', 'CH', 'CY', 'DK', 'HU', 'LI', 'LU', 'NO', 'NZ', 'PH', 'PY', 'TN', 'ZA') ), '^[0-9]{4}$',
    ( $P_I_Country in ('CR', 'DE', 'DZ', 'ES', 'FI', 'FR', 'GR', 'GT', 'HR', 'ID', 'IT', 'KE', 'KW', 'MA', 'MC', 'ME', 'MX', 'MY', 'PK', 'RS', 'SA', 'TH', 'TR', 'UA', 'UY' ), '^[0-9]{5}$', 
    ( $P_I_Country = 'CL' ), '^[0-9]{6}$',
    ( $P_I_Country = 'NG' ), '^[0-9]{7}$',
    null
    )
return match_regex( $P_I_PostalCode, $PSTLZ_Format, CASE_INSENSITIVE );
END</t>
  </si>
  <si>
    <t>$P_I_Country in ('A2','AM','AR','AT','AU','AZ','BA','BD','BE','BG','BN','BR','BY','CA','CH','CN','CS','CY','CZ','DE','DK','DZ','EC','EE','EN','ES','FI','FO','FR','GB','GL','GR','HR','HU','ID','IL','IN','IT','JP','KE','KG','KO','KR','KW','KZ','LI','LK','LT','LU','LV','MA','MC','ME','MG','MK','MX','MY','NB','NL','NO','NZ','PH','PK','PL','PT','PY','RS','RU','SA','SE','SG','SI','SK','TH','TJ','TM','TN','TR','TW','UA','US','UY','UZ','VN','ZA') and $P_I_PostalCode is not NULL and not $P_I_PostalCode = ''</t>
  </si>
  <si>
    <t xml:space="preserve">When country = 'ME', 'DE', 'DZ', 'ES', 'FI', 'FR', 'GR', 'HR', 'ID', 'IT', 'KE', 'KW', 'MA', 'MC', 'ME', 'MX', 'MY', 'PK', 'RS', 'SA', 'TH', 'TR', 'UA', 'UY', 'YU' postal code is required and must be in the format NNNNN
</t>
  </si>
  <si>
    <t>$P_I_Country
$P_I_PostalCode
$P_I_AcctGroup</t>
  </si>
  <si>
    <t>$P_I_Country in ('A2','AM','AR','AT','AU','AZ','BA','BD','BE','BG','BN','BR','BY','CA','CH','CN','CS','CY','CZ','DE','DK','DZ','EC','EE','EN','ES','FI','FO','FR','GB','GL','GR','HR','HU','ID','IL','IN','IT','JP','KE','KG','KO','KR','KW','KZ','LI','LK','LT','LU','LV','MA','MC','ME','MG','MK','MX','MY','NB','NL','NO','NZ','PH','PK','PL','PT','PY','RS','RU','SA','SE','SG','SI','SK','TH','TJ','TM','TN','TR','TW','UA','US','UY','UZ','VN','ZA') and $P_I_PostalCode is not NULL and not $P_I_PostCode = ''</t>
  </si>
  <si>
    <t>$P_I_Country
$P_I_TIN</t>
  </si>
  <si>
    <t>BEGIN RETURN
match_pattern($P_I_TIN, '999-99-9999')
AND $P_I_Country = 'US';
END</t>
  </si>
  <si>
    <t>BEGIN RETURN
$P_I_Country = 'CA'
AND match_pattern($P_I_TIN, '999-999-999');
END</t>
  </si>
  <si>
    <t>$P_I_VAT</t>
  </si>
  <si>
    <t>Verify the VAT Tax Number is formatted correctly for the specified countries:   
- AT = ATUXXXXXXXX (X = 0-9 or A-Z)   
- BE = BE0NNNNNNNNN (N = 0-9)  
- BG = BGNNNNNNNNN or BGNNNNNNNNNN (N = 0-9)   
- CH = CHE-NNN.NNN.NNN MWST or CHE-NNN.NNN.NNN IVA or CHE-NNN.NNN.NNN TVA (N = 0-9)   
- CY = CYNNNNNNNNX (N = 0-9, X = A-Z)   
- CZ = CZNNNNNNNN, CZNNNNNNNNN or CZNNNNNNNNNN (N = 0-9)   - DE, EE, GR, PT = Country Code + NNNNNNNNN (N = 0-9)   
- DK = DKNNNNNNNN (N = 0-9)   
- ES = ESXXXXXXXXX (X = 0-9 or A-Z)   
- FI, HU, LU, MT, SI = Country code + NNNNNNNN (N = 0-9)   
- FR = FRXXNNNNNNNNN (N is 0-9, X is 0-9 or A-Z)  
- GB = GBNNNNNNNNN or GBNNNNNNNNNNNN or GBGDXXX or GBHAXXX
- ID = NN.NNN.NNN.N-NNN.NNN (N = 0-9)   
- IE = IENSNNNNNX or IENSNNNNNXX (N is 0-9, X is 0-9 or A-Z, S is A-Z or 0-9 or + or *)   
- IT = ITNNNNNNNNNNN (N = 0-9)   
- LT = LTNNNNNNNNN or LTNNNNNNNNNNNN (N = 0-9)   
- LV = LVNNNNNNNNNNN (N = 0-9)   
- NL = NLNNNNNNNNNBNN (N = 0-9)   
- PL = PLNNNNNNNNNN (N = 0-9)   
- RO = RONN, RONNN, RONNNN, RONNNNN, RONNNNNN, RONNNNNNN, RONNNNNNNN, RONNNNNNNNN or RONNNNNNNNNN (N = 0-9)   
- SE = SENNNNNNNNNNNN (N = 0-9)   - SK = SKNNNNNNNNNN (N = 0-9)   
- SG = NNNNNNNNA, NNNNNNNNNA, NNNNNNNNNNA, MNNNNNNNNA, MNNNNNNNNN, MANNNNNNNN, TNNFCNNNNA, TNNLLNNNNA, ANNSSNNNNA, or TNNSSNNNNA (N = 0-9, X = A-Z)
Optional: Exclude customers in user-specified acocunt groups KTOKD.</t>
  </si>
  <si>
    <t>$P_I_Country
$P_I_VAT</t>
  </si>
  <si>
    <t>Country
VAT Registration Number</t>
  </si>
  <si>
    <t>LAND1
STCEG</t>
  </si>
  <si>
    <t>Filter the account groups in via a view
BEGIN
$STCEG_Format = decode(
    ( $P_I_Country = 'AT' ), '^' || $P_I_Country || 'U[0-9A-Z]{8}$',
    ( $P_I_Country = 'BE' ), '^' || $P_I_Country || '0[0-9]{9}$',    ( $P_I_Country = 'BG' ), '^' || $P_I_Country || '[0-9]{9,10}$',
    ( $P_I_Country = 'CH' ), '^' || $P_I_Country || 'E-[0-9]{3}\.[0-9]{3}\.[0-9]{3} (MWST|IVA|TVA)$',
    ( $P_I_Country = 'CY' ), '^' || $P_I_Country || '[0-9]{8}[A-Z]$',
    ( $P_I_Country = 'CZ' ), '^' || $P_I_Country || '[0-9]{8,10}$',
    ( $P_I_Country = 'DE' ), '^' || $P_I_Country || '[0-9]{9}$',
    ( $P_I_Country = 'EE' ), '^' || $P_I_Country || '[0-9]{9}$',
    ( $P_I_Country = 'GR' ), '^' || $P_I_Country || '[0-9]{9}$',
    ( $P_I_Country = 'PT' ), '^' || $P_I_Country || '[0-9]{9}$',
    ( $P_I_Country = 'DK' ), '^' || $P_I_Country || '[0-9]{8}$',
    ( $P_I_Country = 'ES' ), '^' || $P_I_Country || '[0-9A-Z]{9}$',
    ( $P_I_Country = 'FI' ), '^' || $P_I_Country || '[0-9]{8}$',
    ( $P_I_Country = 'HU' ), '^' || $P_I_Country || '[0-9]{8}$',
    ( $P_I_Country = 'LU' ), '^' || $P_I_Country || '[0-9]{8}$',
    ( $P_I_Country = 'MT' ), '^' || $P_I_Country || '[0-9]{8}$',
    ( $P_I_Country = 'SI' ), '^' || $P_I_Country || '[0-9]{8}$',
    ( $P_I_Country = 'FR' ), '^' || $P_I_Country || '[0-9A-Z]{2}[0-9]{9}$',
    ( $P_I_Country = 'GB' ), '^' || $P_I_Country || '([0-9]{9}(NNN)?|(GD|HA)[A-Z]{3})$',
    ( $P_I_Country = 'ID' ), '^' || $P_I_Country || '[0-9]{2}\.[0-9]{3}\.[0-9]{3}\.[0-9]-[0-9]{3}\.[0-9]{3}$',
    ( $P_I_Country = 'IE' ), '^' || $P_I_Country || '[0-9][0-9A-Z\+\*][0-9]{5}[0-9A-Z]{1,2}$',
    ( $P_I_Country = 'IT' ), '^' || $P_I_Country || '[0-9]{11}$',
    ( $P_I_Country = 'LT' ), '^' || $P_I_Country || '[0-9]{9}([0-9]{3})?$',    ( $P_I_Country = 'LV' ), '^' || $P_I_Country || '[0-9]{11}$',
    ( $P_I_Country = 'NL' ), '^' || $P_I_Country || '[0-9]{9}B[0-9]{2}$',    ( $P_I_Country = 'PL' ), '^' || $P_I_Country || '[0-9]{10}$',
    ( $P_I_Country = 'RO' ), '^' || $P_I_Country || '[0-9]{2,10}$',
    ( $P_I_Country = 'SE' ), '^' || $P_I_Country || '[0-9]{12}$',
    ( $P_I_Country = 'SK' ), '^' || $P_I_Country || '[0-9]{10}$',
    ( $P_I_Country = 'SG' ), '^([0-9]{8,10}[A-Z]|M([A-Z][0-9]{8}|[0-9]{8}[A-Z]|[0-9]{9})|T[0-9]{2}(FC|LL|SS)[0-9]{4}[A-Z]|[A-Z][0-9]{2}SS[0-9]{4}[A-Z])$',
    null
    )
return match_regex( $P_I_VAT, $STCEG_Format, CASE_INSENSITIVE );
END</t>
  </si>
  <si>
    <t>BEGIN
$SCD1 = decode(
    ( $P_I_Country = 'CA' ), '^[0-9]{3}-[0-9]{3}-[0-9]{3}$',
    ( $P_I_Country = 'US' ), '^[0-9]{3}-[0-9]{3}-[0-9]{4}$',
    NULL
    );
match_regex($P_I_TIN, $STCD1, NULL );
RETURN 
END</t>
  </si>
  <si>
    <t>Replaces rules 210, 296</t>
  </si>
  <si>
    <t>Replaces rules 128, 239</t>
  </si>
  <si>
    <t>Rule to check if the Tax Identification Number is in the valid format.  Ignore blank field.</t>
  </si>
  <si>
    <t>Rule to check if the Tax Identification Number exists.</t>
  </si>
  <si>
    <t>$P_I_TIN</t>
  </si>
  <si>
    <t>BEGIN RETURN
$P_I_TIN IS NOT NULL
AND $P_I_TIN != '';
END</t>
  </si>
  <si>
    <t>$P_I_OrderUnit</t>
  </si>
  <si>
    <t>VAT</t>
  </si>
  <si>
    <t>TIN</t>
  </si>
  <si>
    <t>Postcode</t>
  </si>
  <si>
    <t>Disctrict</t>
  </si>
  <si>
    <t>Street, PO Box</t>
  </si>
  <si>
    <t>name</t>
  </si>
  <si>
    <t xml:space="preserve">VOMEM </t>
  </si>
  <si>
    <t>Credit Card</t>
  </si>
  <si>
    <t>Sales Data</t>
  </si>
  <si>
    <t>Master Licenses</t>
  </si>
  <si>
    <t>General Section</t>
  </si>
  <si>
    <t>Plant Data</t>
  </si>
  <si>
    <t>Material Data</t>
  </si>
  <si>
    <t>Warehouse</t>
  </si>
  <si>
    <t>Sorting</t>
  </si>
  <si>
    <t>TaxInformation</t>
  </si>
  <si>
    <t>CompanyCode</t>
  </si>
  <si>
    <t>SalesInformation</t>
  </si>
  <si>
    <t>DunningData</t>
  </si>
  <si>
    <t>BankDetails</t>
  </si>
  <si>
    <t>LegalControl</t>
  </si>
  <si>
    <t>Rule to check if Fiscal Address value for Vendor master data exists.</t>
  </si>
  <si>
    <t>Rule to check if Buying Habits value for Vendor master data exists.</t>
  </si>
  <si>
    <t>Rule to check if Authority value for Vendor master data exists.</t>
  </si>
  <si>
    <t>Rule to check if Call Frequency value for Vendor master data exists.</t>
  </si>
  <si>
    <t>Rule to check if Dunning Recipient value for Vendor master data and company code exists.</t>
  </si>
  <si>
    <t>Block Key for Payment</t>
  </si>
  <si>
    <t>Does a vendor contact have buying habits?</t>
  </si>
  <si>
    <t>Physical inventory indicator for cycle counting</t>
  </si>
  <si>
    <t>Catalog Profile</t>
  </si>
  <si>
    <t>QUAC.checkValueExists('{$lookuptabname}','{$lookupfieldname}')</t>
  </si>
  <si>
    <t xml:space="preserve">QUAC.checkValueIsEmpty() </t>
  </si>
  <si>
    <t>matgrp03</t>
  </si>
  <si>
    <t>matgrp05</t>
  </si>
  <si>
    <t>matgrp01</t>
  </si>
  <si>
    <t>matgrp04</t>
  </si>
  <si>
    <t>matgrp02</t>
  </si>
  <si>
    <t>Label form</t>
  </si>
  <si>
    <t>Hazardous material number</t>
  </si>
  <si>
    <t>Temperature conditions indicator</t>
  </si>
  <si>
    <t>plant01</t>
  </si>
  <si>
    <t>plant02</t>
  </si>
  <si>
    <t>plant03</t>
  </si>
  <si>
    <t>MDTB</t>
  </si>
  <si>
    <t>T438R</t>
  </si>
  <si>
    <t>Container requirements</t>
  </si>
  <si>
    <t>mtart01</t>
  </si>
  <si>
    <t>mtart02</t>
  </si>
  <si>
    <t>Logistics handling group for workload calculation</t>
  </si>
  <si>
    <t>Key for Task List Group</t>
  </si>
  <si>
    <t>Overall profile for order change management</t>
  </si>
  <si>
    <t>T461P</t>
  </si>
  <si>
    <t>T149C</t>
  </si>
  <si>
    <t>Storage</t>
  </si>
  <si>
    <t>WarehouseManagement</t>
  </si>
  <si>
    <t>Movement</t>
  </si>
  <si>
    <t>Rounding rule for calculation of SLED</t>
  </si>
  <si>
    <t>Also KNVP-VTWEG</t>
  </si>
  <si>
    <t>Also KNVP-VKORG</t>
  </si>
  <si>
    <t>Also LFM2-EKGRP</t>
  </si>
  <si>
    <t>Also LFM2-WAERS</t>
  </si>
  <si>
    <t>Also LFM2-BONPR</t>
  </si>
  <si>
    <t>exchrate01v</t>
  </si>
  <si>
    <t>exchrate01c</t>
  </si>
  <si>
    <t>Also KNB1-ZAHLS</t>
  </si>
  <si>
    <t>SPERZ</t>
  </si>
  <si>
    <t>Payment Block</t>
  </si>
  <si>
    <t>MLAN</t>
  </si>
  <si>
    <t>Tax indicator for material (Purchasing)</t>
  </si>
  <si>
    <t>TaxClassification</t>
  </si>
  <si>
    <t>MatlReqPlanning</t>
  </si>
  <si>
    <t>BRG3</t>
  </si>
  <si>
    <t>new_brg1</t>
  </si>
  <si>
    <t>NEW_BRG1</t>
  </si>
  <si>
    <t>new_brg2</t>
  </si>
  <si>
    <t>new_brg3</t>
  </si>
  <si>
    <t>NEW_BRG2</t>
  </si>
  <si>
    <t>NEW_BRG3</t>
  </si>
  <si>
    <t>Logistics</t>
  </si>
  <si>
    <t>Material Master</t>
  </si>
  <si>
    <t>Plant Data for Material</t>
  </si>
  <si>
    <t>Customer Master</t>
  </si>
  <si>
    <t>General Data in Customer Master</t>
  </si>
  <si>
    <t>SalesAndDistribution</t>
  </si>
  <si>
    <t>Billing</t>
  </si>
  <si>
    <t>Customer Master Licenses</t>
  </si>
  <si>
    <t>Finance</t>
  </si>
  <si>
    <t>Financial Accounting</t>
  </si>
  <si>
    <t>Customer Master (Company Code)</t>
  </si>
  <si>
    <t>Vendor Master (General Section)</t>
  </si>
  <si>
    <t>Customer Master Tax Indicator</t>
  </si>
  <si>
    <t>Customer Master Sales Data</t>
  </si>
  <si>
    <t>General Material Data</t>
  </si>
  <si>
    <t>Payment Cards</t>
  </si>
  <si>
    <t>Credit card master</t>
  </si>
  <si>
    <t>Sales Document: Business Data</t>
  </si>
  <si>
    <t>Sales Data for Material</t>
  </si>
  <si>
    <t>Material Data for Each Warehouse Number</t>
  </si>
  <si>
    <t>Vendor Master (Dunning Data)</t>
  </si>
  <si>
    <t>Vendor Master (Company Code)</t>
  </si>
  <si>
    <t>Vendor Master</t>
  </si>
  <si>
    <t>Partner Functions</t>
  </si>
  <si>
    <t>Basis</t>
  </si>
  <si>
    <t>Address Management/Business Address</t>
  </si>
  <si>
    <t>E-Mail Addresses (Business Address Services)</t>
  </si>
  <si>
    <t>Vendor Master (Bank Details)</t>
  </si>
  <si>
    <t>Vendor Master Record purchasing organization Data</t>
  </si>
  <si>
    <t>Basic Functions</t>
  </si>
  <si>
    <t>Customer Master: Legal Control - Sanctioned Party List</t>
  </si>
  <si>
    <t>Customer Master Contact Partner</t>
  </si>
  <si>
    <t>Customer Master (Bank Details)</t>
  </si>
  <si>
    <t>Customer Master (Dunning Data)</t>
  </si>
  <si>
    <t>Material Valuation</t>
  </si>
  <si>
    <t>Tax Classification for Material</t>
  </si>
  <si>
    <t>Material Descriptions</t>
  </si>
  <si>
    <t>Storage Location Data for Material</t>
  </si>
  <si>
    <t>Customer Master Partner Functions</t>
  </si>
  <si>
    <t>Addresses (Business Address Services)</t>
  </si>
  <si>
    <t>Plant Master</t>
  </si>
  <si>
    <t>Plants/Branches</t>
  </si>
  <si>
    <t>CrossApplication</t>
  </si>
  <si>
    <t>Classes</t>
  </si>
  <si>
    <t>Class Header Data</t>
  </si>
  <si>
    <t>Characteristics</t>
  </si>
  <si>
    <t>Characteristic</t>
  </si>
  <si>
    <t>Customer-Material Info Record Data Table</t>
  </si>
  <si>
    <t>Customer Master Credit Management: Control area Data</t>
  </si>
  <si>
    <t>ADR6</t>
  </si>
  <si>
    <t>sut01</t>
  </si>
  <si>
    <t>$P_I_SUT2</t>
  </si>
  <si>
    <t>$P_I_SUT3</t>
  </si>
  <si>
    <t>sut02</t>
  </si>
  <si>
    <t>sut03</t>
  </si>
  <si>
    <t>$P_I_SUT1</t>
  </si>
  <si>
    <t>Verify telephone number 1 is in the valid format if it exists.</t>
  </si>
  <si>
    <t>Verify telephone number 2 is in the valid format if it exists.</t>
  </si>
  <si>
    <t>LAND1
TELF1</t>
  </si>
  <si>
    <t>Country
Second telephone number</t>
  </si>
  <si>
    <t>LAND1
TELF2</t>
  </si>
  <si>
    <t>LAND1
TELFX</t>
  </si>
  <si>
    <t>Country
Fax Number</t>
  </si>
  <si>
    <t>Verify telephone number 3 is in the valid format if it exists.</t>
  </si>
  <si>
    <t>Country
First telephone number</t>
  </si>
  <si>
    <t>Vendor_PhoneNumber1Format</t>
  </si>
  <si>
    <t>phone02v</t>
  </si>
  <si>
    <t>phone02c</t>
  </si>
  <si>
    <t>tabdesc</t>
  </si>
  <si>
    <t>datamodel</t>
  </si>
  <si>
    <t>busobj</t>
  </si>
  <si>
    <t>Customer master</t>
  </si>
  <si>
    <t>Sales Document</t>
  </si>
  <si>
    <t>Address data</t>
  </si>
  <si>
    <t>Sales Document: Item Status</t>
  </si>
  <si>
    <t>Sales Status</t>
  </si>
  <si>
    <t>Credit Card Master</t>
  </si>
  <si>
    <t>Application development requirements planning</t>
  </si>
  <si>
    <t>Requirements planning</t>
  </si>
  <si>
    <t>General data</t>
  </si>
  <si>
    <t>Licenses</t>
  </si>
  <si>
    <t>Tax data</t>
  </si>
  <si>
    <t>Plant data</t>
  </si>
  <si>
    <t>Customer sales data</t>
  </si>
  <si>
    <t>Sales document</t>
  </si>
  <si>
    <t>Sales data</t>
  </si>
  <si>
    <t>Warehouse data</t>
  </si>
  <si>
    <t>Dunning data</t>
  </si>
  <si>
    <t>Purchasing data</t>
  </si>
  <si>
    <t>Bank data</t>
  </si>
  <si>
    <t>Legal control data</t>
  </si>
  <si>
    <t>Contact data</t>
  </si>
  <si>
    <t>Valuation data</t>
  </si>
  <si>
    <t>Storage location</t>
  </si>
  <si>
    <t>Partner data</t>
  </si>
  <si>
    <t>BRG4</t>
  </si>
  <si>
    <t>BRG32</t>
  </si>
  <si>
    <t>BRG33</t>
  </si>
  <si>
    <t xml:space="preserve">QUAC.checkIfValueIsOneOf( valueArr ) </t>
  </si>
  <si>
    <t>QUAC.checkIfValueIsEmpty( )</t>
  </si>
  <si>
    <t xml:space="preserve">QUAC.checkValueLength(min,max) </t>
  </si>
  <si>
    <t>QUAC.checkValueIsEmpty_OrOneOf(valueArr)</t>
  </si>
  <si>
    <t xml:space="preserve">QUAC.checkValueIsNotEmpty() </t>
  </si>
  <si>
    <t>QUAC.checkValueIsNotEmpty_OrOneOf(valueArr)</t>
  </si>
  <si>
    <t>QUAC.checkValueLength(min,max)</t>
  </si>
  <si>
    <t>QUAC.checkIfValueIsNotEmpty( )</t>
  </si>
  <si>
    <t>DISMM
MABST</t>
  </si>
  <si>
    <t>$P_I_MRPType
$P_I_MaxStockLevel</t>
  </si>
  <si>
    <r>
      <t xml:space="preserve">THIS RULE IS FOR MAXIMUM STOCK LEVEL
FIELD: MARC – MABST. THIS FIELD CAN ONLY FILL IF MRP TYPE IS ZB AND VB OTHER CASE IT SHOULD BE BLANK.
</t>
    </r>
    <r>
      <rPr>
        <sz val="11"/>
        <color rgb="FFFF0000"/>
        <rFont val="Calibri"/>
        <family val="2"/>
        <scheme val="minor"/>
      </rPr>
      <t xml:space="preserve">Verify that MRP Type exists in table T438A. (see rule #11)
</t>
    </r>
  </si>
  <si>
    <r>
      <rPr>
        <sz val="9"/>
        <rFont val="Consolas"/>
        <family val="3"/>
      </rPr>
      <t xml:space="preserve">BEGIN
</t>
    </r>
    <r>
      <rPr>
        <sz val="9"/>
        <color rgb="FFFF0000"/>
        <rFont val="Consolas"/>
        <family val="3"/>
      </rPr>
      <t xml:space="preserve">return ($P_I_MRPType in ('VB','ZB') and $P_I_MaxStockLevel is not null) or $P_I_MaxStockLevel is null;
</t>
    </r>
    <r>
      <rPr>
        <sz val="9"/>
        <rFont val="Consolas"/>
        <family val="3"/>
      </rPr>
      <t>END</t>
    </r>
  </si>
  <si>
    <t>$P_I_MRPType
$P_I_ReorderPoint</t>
  </si>
  <si>
    <r>
      <t xml:space="preserve">BEGIN
</t>
    </r>
    <r>
      <rPr>
        <sz val="9"/>
        <color rgb="FFFF0000"/>
        <rFont val="Consolas"/>
        <family val="3"/>
      </rPr>
      <t>return ($P_I_MRPType in ('VB','ZB') and $P_I_ReorderPoint is not null) or $P_I_ReorderPoint is null;</t>
    </r>
    <r>
      <rPr>
        <sz val="9"/>
        <color theme="1"/>
        <rFont val="Consolas"/>
        <family val="3"/>
      </rPr>
      <t xml:space="preserve">
END</t>
    </r>
  </si>
  <si>
    <t>DISMM
DISLS</t>
  </si>
  <si>
    <t>$P_I_MRPType
$P_I_LotSize</t>
  </si>
  <si>
    <t>DISMM
DISLS
BSTFE</t>
  </si>
  <si>
    <t>$P_I_MRPType
$P_I_LotSize
$P_I_FixedLotSize</t>
  </si>
  <si>
    <r>
      <t xml:space="preserve">BEGIN
</t>
    </r>
    <r>
      <rPr>
        <sz val="9"/>
        <color rgb="FFFF0000"/>
        <rFont val="Consolas"/>
        <family val="3"/>
      </rPr>
      <t>return ($P_I_MRPType in ('VB','ZB') and $P_I_LotSize = 'HB') or   
        ($P_I_MRPType = 'PD'         and $P_I_LotSize = 'EX') or $P_I_LotSize is null;</t>
    </r>
    <r>
      <rPr>
        <sz val="9"/>
        <color theme="1"/>
        <rFont val="Consolas"/>
        <family val="3"/>
      </rPr>
      <t xml:space="preserve">
END</t>
    </r>
  </si>
  <si>
    <r>
      <t xml:space="preserve">BEGIN
</t>
    </r>
    <r>
      <rPr>
        <sz val="9"/>
        <color rgb="FFFF0000"/>
        <rFont val="Consolas"/>
        <family val="3"/>
      </rPr>
      <t xml:space="preserve">return ($P_I_MRPType = 'PD' and $P_I_LotSize = 'EX' and match_regex($P_I_FixedLotSize, '[0-9]*')) or $P_I_FixedLotSize is null;
</t>
    </r>
    <r>
      <rPr>
        <sz val="9"/>
        <color theme="1"/>
        <rFont val="Consolas"/>
        <family val="3"/>
      </rPr>
      <t>END</t>
    </r>
  </si>
  <si>
    <t>General</t>
  </si>
  <si>
    <t>Valuation</t>
  </si>
  <si>
    <t>Tax classification</t>
  </si>
  <si>
    <t>Descriptions</t>
  </si>
  <si>
    <t>Bank details</t>
  </si>
  <si>
    <t>Purchasing org.</t>
  </si>
  <si>
    <t>Partner functions</t>
  </si>
  <si>
    <t>Company Code data</t>
  </si>
  <si>
    <t>E-Mail addresses</t>
  </si>
  <si>
    <t>Tax indicator</t>
  </si>
  <si>
    <t>Legal Control - Sanctioned Party List</t>
  </si>
  <si>
    <t>Bank Details</t>
  </si>
  <si>
    <t>Contact partner</t>
  </si>
  <si>
    <t>inactive_reason</t>
  </si>
  <si>
    <t>Inactive Reason</t>
  </si>
  <si>
    <t>ZB_G14_CUST_CanadaPOBoxPostalCodeValid</t>
  </si>
  <si>
    <t>ZB_G14_CUST_CanadaPostalCodeValid</t>
  </si>
  <si>
    <t>FVR_PRI_MM_IR_ORDER UNIT WITHIN LIST</t>
  </si>
  <si>
    <t>CA_PSTLZ_R1_AR</t>
  </si>
  <si>
    <t>CA_PSTLZ_R2_BR</t>
  </si>
  <si>
    <t>CA_PSTLZ_R3_CA</t>
  </si>
  <si>
    <t>CA_PSTLZ_R4_CL</t>
  </si>
  <si>
    <t>CA_PSTLZ_R5_CR_GT</t>
  </si>
  <si>
    <t>CA_PSTLZ_R6_FO</t>
  </si>
  <si>
    <t>CA_PSTLZ_R7_CN_EU_IN_RU_SG</t>
  </si>
  <si>
    <t>CA_PSTLZ_R8_GB_ND</t>
  </si>
  <si>
    <t>CA_PSTLZ_R9_NG</t>
  </si>
  <si>
    <t>CA_PSTLZ_R10_PT</t>
  </si>
  <si>
    <t>CA_PSTLZ_R11_US</t>
  </si>
  <si>
    <t>CA_PSTLZ_R12_CZ_SK</t>
  </si>
  <si>
    <t>CA_PSTLZ_R13_AT_AU_BE</t>
  </si>
  <si>
    <t>CA_PSTLZ_R14_ME_DE_DZ</t>
  </si>
  <si>
    <t>CA_STCEG_R4_AT</t>
  </si>
  <si>
    <t>CA_STCEG_R5_BE</t>
  </si>
  <si>
    <t>CA_STCEG_R6_BG</t>
  </si>
  <si>
    <t>CA_STCEG_R7_CH</t>
  </si>
  <si>
    <t>CA_STCEG_R8_CY</t>
  </si>
  <si>
    <t>CA_STCEG_R9_CZ</t>
  </si>
  <si>
    <t>CA_STCEG_R10_DE_GR_EE_PT</t>
  </si>
  <si>
    <t>CA_STCEG_R11_DK</t>
  </si>
  <si>
    <t>CA_STCEG_R12_ES</t>
  </si>
  <si>
    <t>CA_STCEG_R13_FI_HU_LU_SI</t>
  </si>
  <si>
    <t>CA_STCEG_R14_FR</t>
  </si>
  <si>
    <t>CA_STCEG_R15_GB</t>
  </si>
  <si>
    <t>CA_STCEG_R16_ID</t>
  </si>
  <si>
    <t>CA_STCEG_R17_IE</t>
  </si>
  <si>
    <t>CA_STCEG_R18_IT</t>
  </si>
  <si>
    <t>CA_STCEG_R19_LT</t>
  </si>
  <si>
    <t>CA_STCEG_R20_LV</t>
  </si>
  <si>
    <t>CA_STCEG_R21_NL</t>
  </si>
  <si>
    <t>CA_STCEG_R22_PL</t>
  </si>
  <si>
    <t>CA_STCEG_R23_RO</t>
  </si>
  <si>
    <t>CA_STCEG_R24_SE</t>
  </si>
  <si>
    <t>CA_STCEG_R25_SK</t>
  </si>
  <si>
    <t>CA_STCEG_R26_SG</t>
  </si>
  <si>
    <t>=O1027CA_STCD1_R1_MX</t>
  </si>
  <si>
    <t>Verify that purchase org exists in table T024E.</t>
  </si>
  <si>
    <t>MLGT</t>
  </si>
  <si>
    <t>Verify plant exists in table T001L</t>
  </si>
  <si>
    <t>FVR_PRI_MM_Plant</t>
  </si>
  <si>
    <t>ONLY VALUES EXIST IN T001S TABLE SHOULD BE SELECTED FOR ACCOUNTING CLERK LIST</t>
  </si>
  <si>
    <t>Material currency maintained in vendor purch org</t>
  </si>
  <si>
    <t>$P_I_ProfitCenter</t>
  </si>
  <si>
    <t>$P_I_ValuationType</t>
  </si>
  <si>
    <t>Valuation Type</t>
  </si>
  <si>
    <r>
      <t xml:space="preserve">THIS IS RULE FOR ORDER CURRENCY FOR VENDOR MASTER
</t>
    </r>
    <r>
      <rPr>
        <strike/>
        <sz val="11"/>
        <color rgb="FFFF0000"/>
        <rFont val="Calibri"/>
        <family val="2"/>
        <scheme val="minor"/>
      </rPr>
      <t>Verifyt that currency exists in table TCURC.</t>
    </r>
  </si>
  <si>
    <t>Purchasing Org Data</t>
  </si>
  <si>
    <t>$P_I_PurchasingOrg</t>
  </si>
  <si>
    <r>
      <t xml:space="preserve">THIS RULE IS FOR MRP CONTROLLER IN MATERIAL MASTER MRP 1 VIEW
FILED: MARC – DISPO (T024D)
</t>
    </r>
    <r>
      <rPr>
        <strike/>
        <sz val="11"/>
        <color rgb="FFFF0000"/>
        <rFont val="Calibri"/>
        <family val="2"/>
        <scheme val="minor"/>
      </rPr>
      <t>Verify that MRP controller tyoe exists in table T024D.</t>
    </r>
  </si>
  <si>
    <t>T615</t>
  </si>
  <si>
    <t>Manufacturer number</t>
  </si>
  <si>
    <t>????</t>
  </si>
  <si>
    <t>Unable to identify source field</t>
  </si>
  <si>
    <t>where</t>
  </si>
  <si>
    <t>Where clause</t>
  </si>
  <si>
    <t>QUAC rule</t>
  </si>
  <si>
    <t>ADDRGROUP='BP'</t>
  </si>
  <si>
    <t>There is no KNVK counterpart on the vendor side</t>
  </si>
  <si>
    <t>BRAN1,BRAN2,BRAN3,BRAN4,BRAN5</t>
  </si>
  <si>
    <t>Industry code 1-5</t>
  </si>
  <si>
    <t>Industry codes don't exist on vendor side</t>
  </si>
  <si>
    <t>Contact person on vendor side does not exist</t>
  </si>
  <si>
    <t>Customer number</t>
  </si>
  <si>
    <t>No buying habits exist for vendor</t>
  </si>
  <si>
    <t>Authority does not exist for vendor</t>
  </si>
  <si>
    <t>No call frequency for vendor</t>
  </si>
  <si>
    <t>Vendor number</t>
  </si>
  <si>
    <t>CVI_VEND_LINK</t>
  </si>
  <si>
    <t>VENDOR</t>
  </si>
  <si>
    <t>QUAC.checkValueIsNotEmpty()</t>
  </si>
  <si>
    <t>brg1_old</t>
  </si>
  <si>
    <t>brg2_old</t>
  </si>
  <si>
    <t>brg3_old</t>
  </si>
  <si>
    <t>inerror</t>
  </si>
  <si>
    <t>In error state</t>
  </si>
  <si>
    <t>QUAC.checkValueIsDomainFixedValue(false)</t>
  </si>
  <si>
    <t>Unknown source table</t>
  </si>
  <si>
    <t>Industry code 1</t>
  </si>
  <si>
    <t>QUAC.checkValueIsEmpty_OrOneOf(['1'],['2'])</t>
  </si>
  <si>
    <t>tableviewcode</t>
  </si>
  <si>
    <t>Table View Code</t>
  </si>
  <si>
    <t>This rule requires a view that joins KNA1/ADR6</t>
  </si>
  <si>
    <t>KUNNR,VKORG,VTWEG,SPART</t>
  </si>
  <si>
    <t>KUNNR,VKORG,VTWEG,SPART,VSBED</t>
  </si>
  <si>
    <t>KUNNR,VKORG,VTWEG</t>
  </si>
  <si>
    <t>Potential multiple values for KUNNR/VTWEG.  Join KNA1 and KNVV on KUNNR, group by KUNNR,VKORG,VTWEG. View name: VW_KNVVVTWEG.</t>
  </si>
  <si>
    <t>KUNNR,VKORG,VTWEG,SPART,KALKS</t>
  </si>
  <si>
    <t>KUNNR,ALAND,TATYP</t>
  </si>
  <si>
    <t>viewname</t>
  </si>
  <si>
    <t>View Name</t>
  </si>
  <si>
    <t>Unable to determine the meaning of 'Name of an Address'.  Assume this is KNA1-NAME1.</t>
  </si>
  <si>
    <t>Unable to determine the meaning of 'Name of an Address'.  Assume this is LFA1-NAME1.</t>
  </si>
  <si>
    <t>AVIK</t>
  </si>
  <si>
    <t>BUKRS,KOART,KONTO,AVSID,SREGL</t>
  </si>
  <si>
    <t>KUNNR,VKORG,VTWEG,SPART,PODKZ</t>
  </si>
  <si>
    <t>KUNNR,VKORG,VTWEG,SPART,OIABTNR</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</si>
  <si>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</si>
  <si>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</si>
  <si>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</si>
  <si>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</si>
  <si>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</si>
  <si>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</si>
  <si>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</si>
  <si>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</si>
  <si>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</si>
  <si>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</si>
  <si>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</si>
  <si>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</si>
  <si>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</si>
  <si>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</si>
  <si>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</si>
  <si>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</si>
  <si>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</si>
  <si>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</si>
  <si>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</si>
  <si>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</si>
  <si>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</si>
  <si>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</si>
  <si>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</si>
  <si>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</si>
  <si>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</si>
  <si>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</si>
  <si>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</si>
  <si>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</si>
  <si>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</si>
  <si>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</si>
  <si>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</si>
  <si>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</si>
  <si>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</si>
  <si>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</si>
  <si>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</si>
  <si>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</si>
  <si>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</si>
  <si>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</si>
  <si>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</si>
  <si>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</si>
  <si>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</si>
  <si>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</si>
  <si>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</si>
  <si>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</si>
  <si>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</si>
  <si>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</si>
  <si>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</si>
  <si>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</si>
  <si>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</si>
  <si>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</si>
  <si>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</si>
  <si>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</si>
  <si>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</si>
  <si>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</si>
  <si>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</si>
  <si>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</si>
  <si>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</si>
  <si>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</si>
  <si>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</si>
  <si>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</si>
  <si>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</si>
  <si>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</si>
  <si>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</si>
  <si>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</si>
  <si>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</si>
  <si>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</si>
  <si>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</si>
  <si>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</si>
  <si>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</si>
  <si>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</si>
  <si>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</si>
  <si>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</si>
  <si>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</si>
  <si>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</si>
  <si>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</si>
  <si>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</si>
  <si>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</si>
  <si>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</si>
  <si>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</si>
  <si>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</si>
  <si>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</si>
  <si>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</si>
  <si>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</si>
  <si>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</si>
  <si>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</si>
  <si>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</si>
  <si>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</si>
  <si>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</si>
  <si>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</si>
  <si>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</si>
  <si>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</si>
  <si>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</si>
  <si>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</si>
  <si>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</si>
  <si>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</si>
  <si>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</si>
  <si>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</si>
  <si>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</si>
  <si>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</si>
  <si>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</si>
  <si>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</si>
  <si>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</si>
  <si>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</si>
  <si>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</si>
  <si>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</si>
  <si>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</si>
  <si>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</si>
  <si>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</si>
  <si>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</si>
  <si>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</si>
  <si>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</si>
  <si>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</si>
  <si>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</si>
  <si>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</si>
  <si>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</si>
  <si>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</si>
  <si>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</si>
  <si>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</si>
  <si>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</si>
  <si>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</si>
  <si>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</si>
  <si>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</si>
  <si>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</si>
  <si>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</si>
  <si>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</si>
  <si>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</si>
  <si>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</si>
  <si>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</si>
  <si>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</si>
  <si>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</si>
  <si>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</si>
  <si>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</si>
  <si>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</si>
  <si>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</si>
  <si>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</si>
  <si>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</si>
  <si>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</si>
  <si>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</si>
  <si>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</si>
  <si>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</si>
  <si>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</si>
  <si>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</si>
  <si>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</si>
  <si>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</si>
  <si>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</si>
  <si>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</si>
  <si>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</si>
  <si>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</si>
  <si>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</si>
  <si>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</si>
  <si>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</si>
  <si>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</si>
  <si>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</si>
  <si>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</si>
  <si>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</si>
  <si>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</si>
  <si>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</si>
  <si>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</si>
  <si>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</si>
  <si>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</si>
  <si>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</si>
  <si>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</si>
  <si>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</si>
  <si>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</si>
  <si>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</si>
  <si>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</si>
  <si>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</si>
  <si>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</si>
  <si>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</si>
  <si>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</si>
  <si>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</si>
  <si>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</si>
  <si>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</si>
  <si>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</si>
  <si>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</si>
  <si>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</si>
  <si>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</si>
  <si>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</si>
  <si>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</si>
  <si>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</si>
  <si>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</si>
  <si>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</si>
  <si>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</si>
  <si>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</si>
  <si>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</si>
  <si>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</si>
  <si>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</si>
  <si>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</si>
  <si>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</si>
  <si>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</si>
  <si>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</si>
  <si>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</si>
  <si>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</si>
  <si>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</si>
  <si>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</si>
  <si>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</si>
  <si>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</si>
  <si>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</si>
  <si>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</si>
  <si>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</si>
  <si>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</si>
  <si>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</si>
  <si>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</si>
  <si>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</si>
  <si>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</si>
  <si>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</si>
  <si>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</si>
  <si>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</si>
  <si>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</si>
  <si>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</si>
  <si>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</si>
  <si>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</si>
  <si>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</si>
  <si>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</si>
  <si>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</si>
  <si>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</si>
  <si>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</si>
  <si>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</si>
  <si>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</si>
  <si>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</si>
  <si>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</si>
  <si>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</si>
  <si>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</si>
  <si>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</si>
  <si>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</si>
  <si>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</si>
  <si>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</si>
  <si>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</si>
  <si>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</si>
  <si>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</si>
  <si>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</si>
  <si>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</si>
  <si>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</si>
  <si>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</si>
  <si>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</si>
  <si>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</si>
  <si>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</si>
  <si>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</si>
  <si>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</si>
  <si>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</si>
  <si>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</si>
  <si>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</si>
  <si>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</si>
  <si>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</si>
  <si>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</si>
  <si>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</si>
  <si>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</si>
  <si>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</si>
  <si>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</si>
  <si>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</si>
  <si>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</si>
  <si>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</si>
  <si>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</si>
  <si>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</si>
  <si>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</si>
  <si>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</si>
  <si>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</si>
  <si>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</si>
  <si>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</si>
  <si>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</si>
  <si>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</si>
  <si>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</si>
  <si>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</si>
  <si>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</si>
  <si>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</si>
  <si>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</si>
  <si>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</si>
  <si>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</si>
  <si>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</si>
  <si>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</si>
  <si>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</si>
  <si>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</si>
  <si>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</si>
  <si>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</si>
  <si>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</si>
  <si>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</si>
  <si>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</si>
  <si>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</si>
  <si>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</si>
  <si>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</si>
  <si>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</si>
  <si>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</si>
  <si>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</si>
  <si>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</si>
  <si>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</si>
  <si>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</si>
  <si>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</si>
  <si>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</si>
  <si>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</si>
  <si>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</si>
  <si>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</si>
  <si>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</si>
  <si>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</si>
  <si>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</si>
  <si>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</si>
  <si>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</si>
  <si>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</si>
  <si>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</si>
  <si>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</si>
  <si>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</si>
  <si>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</si>
  <si>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</si>
  <si>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</si>
  <si>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</si>
  <si>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</si>
  <si>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</si>
  <si>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</si>
  <si>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</si>
  <si>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</si>
  <si>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</si>
  <si>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</si>
  <si>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</si>
  <si>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</si>
  <si>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</si>
  <si>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</si>
  <si>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</si>
  <si>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</si>
  <si>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</si>
  <si>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</si>
  <si>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</si>
  <si>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</si>
  <si>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</si>
  <si>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</si>
  <si>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</si>
  <si>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</si>
  <si>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</si>
  <si>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</si>
  <si>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</si>
  <si>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</si>
  <si>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</si>
  <si>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</si>
  <si>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</si>
  <si>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</si>
  <si>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</si>
  <si>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</si>
  <si>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</si>
  <si>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</si>
  <si>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</si>
  <si>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</si>
  <si>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</si>
  <si>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</si>
  <si>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</si>
  <si>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</si>
  <si>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</si>
  <si>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</si>
  <si>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</si>
  <si>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</si>
  <si>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</si>
  <si>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</si>
  <si>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</si>
  <si>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</si>
  <si>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</si>
  <si>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</si>
  <si>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</si>
  <si>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</si>
  <si>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</si>
  <si>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</si>
  <si>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</si>
  <si>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</si>
  <si>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</si>
  <si>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</si>
  <si>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</si>
  <si>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</si>
  <si>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</si>
  <si>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</si>
  <si>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</si>
  <si>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</si>
  <si>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</si>
  <si>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</si>
  <si>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</si>
  <si>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</si>
  <si>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</si>
  <si>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</si>
  <si>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</si>
  <si>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</si>
  <si>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</si>
  <si>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</si>
  <si>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</si>
  <si>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</si>
  <si>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</si>
  <si>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</si>
  <si>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</si>
  <si>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</si>
  <si>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</si>
  <si>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</si>
  <si>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</si>
  <si>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</si>
  <si>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</si>
  <si>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</si>
  <si>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</si>
  <si>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</si>
  <si>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</si>
  <si>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</si>
  <si>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</si>
  <si>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</si>
  <si>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</si>
  <si>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</si>
  <si>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</si>
  <si>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</si>
  <si>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</si>
  <si>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</si>
  <si>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</si>
  <si>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</si>
  <si>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</si>
  <si>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</si>
  <si>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</si>
  <si>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</si>
  <si>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</si>
  <si>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</si>
  <si>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</si>
  <si>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</si>
  <si>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</si>
  <si>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</si>
  <si>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</si>
  <si>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</si>
  <si>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</si>
  <si>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</si>
  <si>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</si>
  <si>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</si>
  <si>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</si>
  <si>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</si>
  <si>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</si>
  <si>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</si>
  <si>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</si>
  <si>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</si>
  <si>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</si>
  <si>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</si>
  <si>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</si>
  <si>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</si>
  <si>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</si>
  <si>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</si>
  <si>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</si>
  <si>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</si>
  <si>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</si>
  <si>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</si>
  <si>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</si>
  <si>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</si>
  <si>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</si>
  <si>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</si>
  <si>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</si>
  <si>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</si>
  <si>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</si>
  <si>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</si>
  <si>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</si>
  <si>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</si>
  <si>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</si>
  <si>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</si>
  <si>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</si>
  <si>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</si>
  <si>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</si>
  <si>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</si>
  <si>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</si>
  <si>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</si>
  <si>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</si>
  <si>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</si>
  <si>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</si>
  <si>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</si>
  <si>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</si>
  <si>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</si>
  <si>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</si>
  <si>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</si>
  <si>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</si>
  <si>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</si>
  <si>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</si>
  <si>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</si>
  <si>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</si>
  <si>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</si>
  <si>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</si>
  <si>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</si>
  <si>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</si>
  <si>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</si>
  <si>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</si>
  <si>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</si>
  <si>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</si>
  <si>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</si>
  <si>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</si>
  <si>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</si>
  <si>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</si>
  <si>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</si>
  <si>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</si>
  <si>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</si>
  <si>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</si>
  <si>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</si>
  <si>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</si>
  <si>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</si>
  <si>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</si>
  <si>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</si>
  <si>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</si>
  <si>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</si>
  <si>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</si>
  <si>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</si>
  <si>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</si>
  <si>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</si>
  <si>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</si>
  <si>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</si>
  <si>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</si>
  <si>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</si>
  <si>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</si>
  <si>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</si>
  <si>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</si>
  <si>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</si>
  <si>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</si>
  <si>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</si>
  <si>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</si>
  <si>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</si>
  <si>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</si>
  <si>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</si>
  <si>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</si>
  <si>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</si>
  <si>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</si>
  <si>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</si>
  <si>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</si>
  <si>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</si>
  <si>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</si>
  <si>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</si>
  <si>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</si>
  <si>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</si>
  <si>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</si>
  <si>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</si>
  <si>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</si>
  <si>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</si>
  <si>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</si>
  <si>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</si>
  <si>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</si>
  <si>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</si>
  <si>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</si>
  <si>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</si>
  <si>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</si>
  <si>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</si>
  <si>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</si>
  <si>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</si>
  <si>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</si>
  <si>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</si>
  <si>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</si>
  <si>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</si>
  <si>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</si>
  <si>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</si>
  <si>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</si>
  <si>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</si>
  <si>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</si>
  <si>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</si>
  <si>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</si>
  <si>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</si>
  <si>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</si>
  <si>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</si>
  <si>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</si>
  <si>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</si>
  <si>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</si>
  <si>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</si>
  <si>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</si>
  <si>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</si>
  <si>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</si>
  <si>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</si>
  <si>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</si>
  <si>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</si>
  <si>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</si>
  <si>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</si>
  <si>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</si>
  <si>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</si>
  <si>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</si>
  <si>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</si>
  <si>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</si>
  <si>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</si>
  <si>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</si>
  <si>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</si>
  <si>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</si>
  <si>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</si>
  <si>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</si>
  <si>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</si>
  <si>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</si>
  <si>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</si>
  <si>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</si>
  <si>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</si>
  <si>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</si>
  <si>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</si>
  <si>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</si>
  <si>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</si>
  <si>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</si>
  <si>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</si>
  <si>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</si>
  <si>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</si>
  <si>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</si>
  <si>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</si>
  <si>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</si>
  <si>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</si>
  <si>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</si>
  <si>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</si>
  <si>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</si>
  <si>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</si>
  <si>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</si>
  <si>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</si>
  <si>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</si>
  <si>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</si>
  <si>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</si>
  <si>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</si>
  <si>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</si>
  <si>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</si>
  <si>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</si>
  <si>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</si>
  <si>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</si>
  <si>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</si>
  <si>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</si>
  <si>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</si>
  <si>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</si>
  <si>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</si>
  <si>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</si>
  <si>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</si>
  <si>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</si>
  <si>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</si>
  <si>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</si>
  <si>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</si>
  <si>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</si>
  <si>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</si>
  <si>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</si>
  <si>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</si>
  <si>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</si>
  <si>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</si>
  <si>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</si>
  <si>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bank105v</t>
  </si>
  <si>
    <t>banbk105c</t>
  </si>
  <si>
    <t>Do vendors have marital status?</t>
  </si>
  <si>
    <t>marital106c</t>
  </si>
  <si>
    <t>marital106v</t>
  </si>
  <si>
    <t>pmtblock119c</t>
  </si>
  <si>
    <t>contact120v</t>
  </si>
  <si>
    <t>contact120c</t>
  </si>
  <si>
    <t>intcalc124v</t>
  </si>
  <si>
    <t>intcalc124c</t>
  </si>
  <si>
    <t>sortkey137v</t>
  </si>
  <si>
    <t>sortkey137c</t>
  </si>
  <si>
    <t>shipcond139c</t>
  </si>
  <si>
    <t>shipcond139v</t>
  </si>
  <si>
    <t>lang142v</t>
  </si>
  <si>
    <t>lang142c</t>
  </si>
  <si>
    <t>relgrp145c</t>
  </si>
  <si>
    <t>relgrp145v</t>
  </si>
  <si>
    <t>acctgrp152c</t>
  </si>
  <si>
    <t>acctgrp152v</t>
  </si>
  <si>
    <t>ooeref157c</t>
  </si>
  <si>
    <t>ooeref157v</t>
  </si>
  <si>
    <t>reconacctref181c</t>
  </si>
  <si>
    <t>reconacctref181v</t>
  </si>
  <si>
    <t>titledomref194v</t>
  </si>
  <si>
    <t>titledomref194c</t>
  </si>
  <si>
    <t>indref20c</t>
  </si>
  <si>
    <t>indref20v</t>
  </si>
  <si>
    <t>currency224c</t>
  </si>
  <si>
    <t>currency224v</t>
  </si>
  <si>
    <t>currency224m</t>
  </si>
  <si>
    <t>bupan228v</t>
  </si>
  <si>
    <t>bupan228c</t>
  </si>
  <si>
    <t>partfunc242v</t>
  </si>
  <si>
    <t>partfunc242c</t>
  </si>
  <si>
    <t>tolgrp251c</t>
  </si>
  <si>
    <t>tolgrp251v</t>
  </si>
  <si>
    <t>bankkey276c</t>
  </si>
  <si>
    <t>bankkey276v</t>
  </si>
  <si>
    <t>pmtmeth31c</t>
  </si>
  <si>
    <t>pmtmeth31v</t>
  </si>
  <si>
    <t>expctrl83c</t>
  </si>
  <si>
    <t>expctrl83v</t>
  </si>
  <si>
    <t>expctrl02c</t>
  </si>
  <si>
    <t>expctrl</t>
  </si>
  <si>
    <t>2</t>
  </si>
  <si>
    <t>17</t>
  </si>
  <si>
    <t>50</t>
  </si>
  <si>
    <t>54</t>
  </si>
  <si>
    <t>64</t>
  </si>
  <si>
    <t>contact320v</t>
  </si>
  <si>
    <t>contact320c</t>
  </si>
  <si>
    <t>incoterms322v</t>
  </si>
  <si>
    <t>incoterms322c</t>
  </si>
  <si>
    <t>acctclerk38c</t>
  </si>
  <si>
    <t>acctclerk38v</t>
  </si>
  <si>
    <t>indcode39c</t>
  </si>
  <si>
    <t>indcode39v</t>
  </si>
  <si>
    <t>bank42v</t>
  </si>
  <si>
    <t>bank42c</t>
  </si>
  <si>
    <t>grpkey49v</t>
  </si>
  <si>
    <t>grpkey49c</t>
  </si>
  <si>
    <t>tradpart4c</t>
  </si>
  <si>
    <t>tradpart4v</t>
  </si>
  <si>
    <t>transzone58v</t>
  </si>
  <si>
    <t>transzone58c</t>
  </si>
  <si>
    <t>addrctry60m</t>
  </si>
  <si>
    <t>addrctry60c</t>
  </si>
  <si>
    <t>bankacct71v</t>
  </si>
  <si>
    <t>bankacct71c</t>
  </si>
  <si>
    <t>addrctrycode01c</t>
  </si>
  <si>
    <t>addrctrycode01v</t>
  </si>
  <si>
    <t>addrctrykey72v</t>
  </si>
  <si>
    <t>addrctrykey72c</t>
  </si>
  <si>
    <t>selectrule74v</t>
  </si>
  <si>
    <t>selectrule74c</t>
  </si>
  <si>
    <t>uomgrp85v</t>
  </si>
  <si>
    <t>compcode8c</t>
  </si>
  <si>
    <t>compcode8v</t>
  </si>
  <si>
    <t>bankctrykey91c</t>
  </si>
  <si>
    <t>bankctrykey91v</t>
  </si>
  <si>
    <t>statgrp9v</t>
  </si>
  <si>
    <t>statgrp9c</t>
  </si>
  <si>
    <t>taxvat01c</t>
  </si>
  <si>
    <t>taxvat01v</t>
  </si>
  <si>
    <t>taxvat1c</t>
  </si>
  <si>
    <t>taxvat1v</t>
  </si>
  <si>
    <t>taxclass12c</t>
  </si>
  <si>
    <t>taxclass</t>
  </si>
  <si>
    <t>taxctry</t>
  </si>
  <si>
    <t>taxcat</t>
  </si>
  <si>
    <t>taxwithhold</t>
  </si>
  <si>
    <t>taxnumber</t>
  </si>
  <si>
    <t>taxjurisdiction</t>
  </si>
  <si>
    <t>taxindicator</t>
  </si>
  <si>
    <t>taxidnumber01_c</t>
  </si>
  <si>
    <t>taxidnumber01c</t>
  </si>
  <si>
    <t>taxidnumber02v</t>
  </si>
  <si>
    <t>taxidnumber02c</t>
  </si>
  <si>
    <t>taxidnumber01v</t>
  </si>
  <si>
    <t>taxidnumber01_v</t>
  </si>
  <si>
    <t>taxidnumber02_c</t>
  </si>
  <si>
    <t>taxidnumber02_v</t>
  </si>
  <si>
    <t>addr01c</t>
  </si>
  <si>
    <t>addrfiscal01v</t>
  </si>
  <si>
    <t>addrfiscal01c</t>
  </si>
  <si>
    <t>addrtype</t>
  </si>
  <si>
    <t>addr</t>
  </si>
  <si>
    <t>addrcity01v</t>
  </si>
  <si>
    <t>addrcity01c</t>
  </si>
  <si>
    <t>addrpcode01v</t>
  </si>
  <si>
    <t>addrpcode01c</t>
  </si>
  <si>
    <t>addrregion240m</t>
  </si>
  <si>
    <t>addrregion01c</t>
  </si>
  <si>
    <t>addrregion240v</t>
  </si>
  <si>
    <t>addrregion240c</t>
  </si>
  <si>
    <t>addrregion01v</t>
  </si>
  <si>
    <t>addrregion</t>
  </si>
  <si>
    <t>addrpcodefmtde1c</t>
  </si>
  <si>
    <t>addrpcodefmtus2c</t>
  </si>
  <si>
    <t>addrpcodefmtus2v</t>
  </si>
  <si>
    <t>addrpcodefmtus1v</t>
  </si>
  <si>
    <t>addrpcodefmtde1v</t>
  </si>
  <si>
    <t>addrpcodepcodefmtca1v</t>
  </si>
  <si>
    <t>addrpcodevldca1v</t>
  </si>
  <si>
    <t>addrpcodefmtca2c</t>
  </si>
  <si>
    <t>addrpcodevldca2c</t>
  </si>
  <si>
    <t>addrpcodefmtus1c</t>
  </si>
  <si>
    <t>addrpcodefmtca1c</t>
  </si>
  <si>
    <t>addrpcodevldca1c</t>
  </si>
  <si>
    <t>addrpcodevldca2v</t>
  </si>
  <si>
    <t>addrpcodeexists1v</t>
  </si>
  <si>
    <t>addrpcodeexists1c</t>
  </si>
  <si>
    <t>addrpcodevalid1v</t>
  </si>
  <si>
    <t>addrpcodevalid1c</t>
  </si>
  <si>
    <t>qms</t>
  </si>
  <si>
    <t>tasklist</t>
  </si>
  <si>
    <t>currency</t>
  </si>
  <si>
    <t>curremcy</t>
  </si>
  <si>
    <t>availcheck</t>
  </si>
  <si>
    <t>mrpttype</t>
  </si>
  <si>
    <t>division</t>
  </si>
  <si>
    <t>division154c</t>
  </si>
  <si>
    <t>division154m</t>
  </si>
  <si>
    <t>transgrp</t>
  </si>
  <si>
    <t>transzone</t>
  </si>
  <si>
    <t>transzonechem</t>
  </si>
  <si>
    <t>translane</t>
  </si>
  <si>
    <t>transzonepoly</t>
  </si>
  <si>
    <t>scheduling</t>
  </si>
  <si>
    <t>loadgrp</t>
  </si>
  <si>
    <t>prodproposal</t>
  </si>
  <si>
    <t>prodalloc</t>
  </si>
  <si>
    <t>prodgrp</t>
  </si>
  <si>
    <t>prodstat</t>
  </si>
  <si>
    <t>prodhier</t>
  </si>
  <si>
    <t>fiscalyrvarient136m</t>
  </si>
  <si>
    <t>fiscalyrvarient136c</t>
  </si>
  <si>
    <t>fiscalyrarient136v</t>
  </si>
  <si>
    <t>bom</t>
  </si>
  <si>
    <t>billofexch</t>
  </si>
  <si>
    <t>salesorg</t>
  </si>
  <si>
    <t>salesoffice</t>
  </si>
  <si>
    <t>salesdist</t>
  </si>
  <si>
    <t>salesgrp</t>
  </si>
  <si>
    <t>uomgrp</t>
  </si>
  <si>
    <t>uom</t>
  </si>
  <si>
    <t>uomrp</t>
  </si>
  <si>
    <t>catalog</t>
  </si>
  <si>
    <t>inventory</t>
  </si>
  <si>
    <t>This view needs a way to link to a customer or vendor</t>
  </si>
  <si>
    <t>T159C</t>
  </si>
  <si>
    <t>Invalid lookup table</t>
  </si>
  <si>
    <t>The specified lookup table is a generated view, which is not valid for lookups.  Does does MARA-SATNR have a corresponding lookup table?</t>
  </si>
  <si>
    <t>MGEF</t>
  </si>
  <si>
    <t>key fields: STOFF, REGKZ</t>
  </si>
  <si>
    <t>Verify that a KNA1-KUNNR exists for the specified KNA1-KNZRA</t>
  </si>
  <si>
    <t>MVGN</t>
  </si>
  <si>
    <t>FVR_PRI_MM_PROFIT_CENTER_IS_WITHIN_LIST</t>
  </si>
  <si>
    <t>Verify that a KNA1-KUNNR exists for the specified KNA1-FISKN</t>
  </si>
  <si>
    <t>Need table where vendor exchange rate type is stored</t>
  </si>
  <si>
    <t>Verify that LFA1-LIFNR exists for each LFA1-LNRZA</t>
  </si>
  <si>
    <t>Verify that a KNA1-KUNNR exists for each LFA1-KUNNR</t>
  </si>
  <si>
    <t>Verify that each LFA1-LIFNR has a corresponding LFB5-LFRMA</t>
  </si>
  <si>
    <t>create view VW_DunningRecipientReference as 
     select 
          LIFNR 
     from LFA1</t>
  </si>
  <si>
    <t>InfoSteward exists() function allows lookup on one field only.  If lookup on customer and company code is required, then IS can create a view on LFB1 that combines LIFNR and BUKRS:</t>
  </si>
  <si>
    <t>KUNNR,BUKRS,KUNNRBUKRS</t>
  </si>
  <si>
    <t>InfoSteward exists() function allows lookup on one field only.  If lookup on customer and company code is required, then IS can create a view on KNB1 that combines KUNNR and BUKRS:</t>
  </si>
  <si>
    <t>KUNNRBUKRS</t>
  </si>
  <si>
    <t>LIFNRBUKRS</t>
  </si>
  <si>
    <t>FVR_PRI_MM_VALUATION_TYPE_IS_WITHIN_LIST</t>
  </si>
  <si>
    <t>MVGN is used by ECC.  MLGN has identical fields, but it is used in CRM.</t>
  </si>
  <si>
    <t>KUNNR,LAND1,PSTLZ</t>
  </si>
  <si>
    <t>KUNNR,LAND1,STCEG</t>
  </si>
  <si>
    <t>ZB_G14_CUST_CheckTaxCodeFormat</t>
  </si>
  <si>
    <t>ZB_G14_CUST_PhoneNumber1Format</t>
  </si>
  <si>
    <t>ZB_G14_CUST_PhoneNumber2Format</t>
  </si>
  <si>
    <t>ZB_G14_CUST_PhoneNumber3Format</t>
  </si>
  <si>
    <t>KUNNR,LAND1,TELF1</t>
  </si>
  <si>
    <t>KUNNR,LAND1,TELFX</t>
  </si>
  <si>
    <t>ZB_G14_CUST_TIN_Format</t>
  </si>
  <si>
    <t>KUNNR,LAND1,STCD1</t>
  </si>
  <si>
    <t>contact</t>
  </si>
  <si>
    <t>There does not appear to be a vendor master license table in ECC, but CRM has a table OIHL with fields for both customer and vendor numbers.</t>
  </si>
  <si>
    <t>Table KNVP has a LIFNR field,  but it is not a key field.</t>
  </si>
  <si>
    <t xml:space="preserve">This rule requires a view that joins LFA1/ADR6:
</t>
  </si>
  <si>
    <t># Ignore blank phone numbers
BEGIN RETURN
$PhoneFormat = decode(
    ( $P_I_Country in ('AI', 'AG', 'BS', 'BB', 'BM', 'VG', 'CA', 'KY', 'DM', 'DO', 'GD', 'JM', 'MS', 'KN', 'LC', 'VC', 'SX', 'TT', 'TC', 'US') ), '^[0-9]{3}-[0-9]{3}-[0-9]{4}$',
    ( $P_I_Country = 'AT' ), '^43 (1|[0-9]{3,4}) [0-9]{3} [0-9]{4}$',
    ( $P_I_Country = 'AU' ), '^61 [23478] [0-9]{4} [0-9]{4}$',
    ( $P_I_Country = 'BE' ), '^32 [0-9]{1,3} [0-9]{3} [0-9]{4}$',
    ( $P_I_Country = 'CH' ), '^41 [0-9]{2} [0-9]{3} [0-9]{4}$',
    ( $P_I_Country = 'CN' ), '^86 ([0-9]{2,3}|1[3-9][0-9])( [0-9]{4}){2}$',
    ( $P_I_Country = 'DE' ), '^49 [0-9]{2,4} [0-9]{4} [0-9]{4}$',
    ( $P_I_Country = 'FR' ), '^33 ([^\D8]|495)( [0-9]{2}){4}$',
    ( $P_I_Country = '&lt;iso_code_here&gt;' ), '^&lt;regex_here&gt;$',
    NULL
    );
return match_regex( $P_I_PhoneNumber, $PhoneFormat, NULL );
END</t>
  </si>
  <si>
    <t># Ignore blank phone numbers
BEGIN RETURN
decode(
$PhoneFormat = ( 
    ( $P_I_Country in ('AI', 'AG', 'BS', 'BB', 'BM', 'VG', 'CA', 'KY', 'DM', 'DO', 'GD', 'JM', 'MS', 'KN', 'LC', 'VC', 'SX', 'TT', 'TC', 'US') ), '^[0-9]{3}-[0-9]{3}-[0-9]{4}$',
    ( $P_I_Country = 'AT' ), '^43 (1|[0-9]{3,4}) [0-9]{3} [0-9]{4}$',
    ( $P_I_Country = 'AU' ), '^61 [23478] [0-9]{4} [0-9]{4}$',
    ( $P_I_Country = 'BE' ), '^32 [0-9]{1,3} [0-9]{3} [0-9]{4}$',
    ( $P_I_Country = 'CH' ), '^41 [0-9]{2} [0-9]{3} [0-9]{4}$',
    ( $P_I_Country = 'CN' ), '^86 ([0-9]{2,3}|1[3-9][0-9])( [0-9]{4}){2}$',
    ( $P_I_Country = 'DE' ), '^49 [0-9]{2,4} [0-9]{4} [0-9]{4}$',
    ( $P_I_Country = 'FR' ), '^33 ([^\D8]|495)( [0-9]{2}){4}$',
    ( $P_I_Country = '&lt;iso_code_here&gt;' ), '^&lt;regex_here&gt;$',    NULL
    );
return match_regex( $P_I_PhoneNumber, $PhoneFormat, NULL );
END</t>
  </si>
  <si>
    <t># Ignore blank phone numbers
BEGIN RETURN
$PhoneFormat = decode(
    ( $P_I_Country in ('AI', 'AG', 'BS', 'BB', 'BM', 'VG', 'CA', 'KY', 'DM', 'DO', 'GD', 'JM', 'MS', 'KN', 'LC', 'VC', 'SX', 'TT', 'TC', 'US') ), '^[0-9]{3}-[0-9]{3}-[0-9]{4}$',
    ( $P_I_Country = 'AT' ), '^43 (1|[0-9]{3,4}) [0-9]{3} [0-9]{4}$',
    ( $P_I_Country = 'AU' ), '^61 [23478] [0-9]{4} [0-9]{4}$',
    ( $P_I_Country = 'BE' ), '^32 [0-9]{1,3} [0-9]{3} [0-9]{4}$',
    ( $P_I_Country = 'CH' ), '^41 [0-9]{2} [0-9]{3} [0-9]{4}$',
    ( $P_I_Country = 'CN' ), '^86 ([0-9]{2,3}|1[3-9][0-9])( [0-9]{4}){2}$',
    ( $P_I_Country = 'DE' ), '^49 [0-9]{2,4} [0-9]{4} [0-9]{4}$',
    ( $P_I_Country = 'FR' ), '^33 ([^\D8]|495)( [0-9]{2}){4}$',
    ( $P_I_Country = '&lt;iso_code_here&gt;' ), '^&lt;regex_here&gt;$',    NULL
    );
return match_regex( $P_I_PhoneNumber, $PhoneFormat, NULL );
END</t>
  </si>
  <si>
    <t>THIS RULE IS FOR FIXED LOT SIZE IN MATERIAL MASTER MRP 1 VIEW.
THIS FIELD CAN ONLY BE FILLED IN CASE OF MRP TYPE PD AND LOT SIZE EX.
FILED: MARC – BSTFE</t>
  </si>
  <si>
    <t>MATNR,WERKS,DISMM,DISLS,BSTFE</t>
  </si>
  <si>
    <t>MATNR,WERKS,DISMM,DISLS</t>
  </si>
  <si>
    <t>create view VW_FIXED LOTSIZE as 
     select 
          MATNR,
          WERKS,
          DISMM,
          DISLS,
          BSTFE 
     from MARC</t>
  </si>
  <si>
    <t>create view VW_LOT_SIZE as 
     select 
          MATNR,
          WERKS,
          DISMM,
          DISLS
     from MARC</t>
  </si>
  <si>
    <t>FVR_PRI_MM_LOT_SIZE</t>
  </si>
  <si>
    <t>FVR_PRI_MM_FIXED_LOTSIZE</t>
  </si>
  <si>
    <t>MATNR,WERKS,DISMM,MABST</t>
  </si>
  <si>
    <t>create view VW_LOT_SIZE as 
     select 
          MATNR,
          WERKS,
          DISMM,
          MABST
     from MARC</t>
  </si>
  <si>
    <t>FVR_PRI_MM_MAXIMUM_STOCK_LEVEL</t>
  </si>
  <si>
    <t>MARA-MFRNR maps to LFA1-LIFNR, so that the material is associated with a vendor.</t>
  </si>
  <si>
    <t>MARA is the check table for MARC-STDPD.  This is a foreign key relationship, so entries are restricted to those that appear within the primary key of the check table.</t>
  </si>
  <si>
    <t>LIFNR,EKORG,LTSNR,WERKS,PARVW</t>
  </si>
  <si>
    <t>Need to verify fields</t>
  </si>
  <si>
    <t>Verify that each KNA1-KUNNR has a corresponding LFB5-KNRMA</t>
  </si>
  <si>
    <t>MARA is the check table for MARA-RMATP.  This is a foreign key relationship, so entries are restricted to those that appear within the primary key of the check table.</t>
  </si>
  <si>
    <t>DTNUM,DTPOS,WRK01</t>
  </si>
  <si>
    <t>KUNNR,ADRNR,SMTP_ADDR</t>
  </si>
  <si>
    <t>LIFNR,LAND1,PSTLZ</t>
  </si>
  <si>
    <t>create view VW_PostcodeRequired as 
     select 
          LIFNR,
          LAND1,
          PSTLZ 
     from LFA1</t>
  </si>
  <si>
    <t>QUAC.checkValueIsDomainFixedValue()</t>
  </si>
  <si>
    <t>Email address</t>
  </si>
  <si>
    <t>Email address data</t>
  </si>
  <si>
    <t>VW_LFA1_ADR6</t>
  </si>
  <si>
    <t>VW_KNA1_ADR6</t>
  </si>
  <si>
    <t>Material Data for Each Storage Type</t>
  </si>
  <si>
    <t>Storage data</t>
  </si>
  <si>
    <t>Payment advice</t>
  </si>
  <si>
    <t>Payment Advice Header</t>
  </si>
  <si>
    <t>new_objname</t>
  </si>
  <si>
    <t>New Rule Name</t>
  </si>
  <si>
    <t>1</t>
  </si>
  <si>
    <t>Old Rule #</t>
  </si>
  <si>
    <t>327</t>
  </si>
  <si>
    <t>storageloc</t>
  </si>
  <si>
    <t>storage</t>
  </si>
  <si>
    <t>paymentcard</t>
  </si>
  <si>
    <t>salescurr</t>
  </si>
  <si>
    <t>purchgrpmatl</t>
  </si>
  <si>
    <t>purchgrpvend</t>
  </si>
  <si>
    <t>This entity not evaluated</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</si>
  <si>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</si>
  <si>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</si>
  <si>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</si>
  <si>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</si>
  <si>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</si>
  <si>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</si>
  <si>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</si>
  <si>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</si>
  <si>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</si>
  <si>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</si>
  <si>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</si>
  <si>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</si>
  <si>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</si>
  <si>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</si>
  <si>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</si>
  <si>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</si>
  <si>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</si>
  <si>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</si>
  <si>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</si>
  <si>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</si>
  <si>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</si>
  <si>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</si>
  <si>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</si>
  <si>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Rule # by Entity</t>
  </si>
  <si>
    <t>Old view name formula1: "VW_"&amp;MID(SUBSTITUTE([@[Rule Name]],"_","|",3),SEARCH("|",SUBSTITUTE([@[Rule Name]],"_","|",3))+1,LEN([@[Rule Name]]))</t>
  </si>
  <si>
    <t>Old view name formula2: =RIGHT("00"&amp;[@[Rule '#]],3)&amp;"_"&amp;IF([@Entity]="Material","MATL",LEFT(UPPER([@Entity]),4))&amp;"_"&amp;MID(SUBSTITUTE([@[Rule Name]],"_","|",3),SEARCH("|",SUBSTITUTE([@[Rule Name]],"_","|",3))+1,LEN([@[Rule Name]]))</t>
  </si>
  <si>
    <t>ZB_G14_CUST_TradingPartnerRef</t>
  </si>
  <si>
    <t>ZB_G14_CUST_IndustryRef</t>
  </si>
  <si>
    <t>ZB_G14_CUST_ProductProposalProcedureRef</t>
  </si>
  <si>
    <t>ZB_G14_CUST_PaymentCardCategoryRef</t>
  </si>
  <si>
    <t>ZB_G14_CUST_PaymentMethodRef</t>
  </si>
  <si>
    <t>ZB_G14_CUST_AccountingClerkRef</t>
  </si>
  <si>
    <t>ZB_G14_CUST_IndustryCodeRef</t>
  </si>
  <si>
    <t>ZB_G14_CUST_SalesOfficeRef</t>
  </si>
  <si>
    <t>ZB_G14_CUST_TermsOfPaymentRef</t>
  </si>
  <si>
    <t>ZB_G14_CUST_NextPayeeRef</t>
  </si>
  <si>
    <t>ZB_G14_CUST_NielsenIDRef</t>
  </si>
  <si>
    <t>ZB_G14_CUST_CustomerGroupRef</t>
  </si>
  <si>
    <t>ZB_G14_CUST_UnitOfMeasureGroupRef</t>
  </si>
  <si>
    <t>ZB_G14_CUST_DunningClerkRef</t>
  </si>
  <si>
    <t>ZB_G14_CUST_SalesDistrictRef</t>
  </si>
  <si>
    <t>ZB_G14_CUST_TaxClassificationRef</t>
  </si>
  <si>
    <t>ZB_G14_CUST_PaymentBlockRef</t>
  </si>
  <si>
    <t>ZB_G14_CUST_ReasonCodeConversionRef</t>
  </si>
  <si>
    <t>ZB_G14_CUST_ClassificationRef</t>
  </si>
  <si>
    <t>ZB_G14_CUST_FIYearVariantRef</t>
  </si>
  <si>
    <t>ZB_G14_CUST_ShippingConditionsRef</t>
  </si>
  <si>
    <t>ZB_G14_CUST_ReleaseGroupRef</t>
  </si>
  <si>
    <t>ZB_G14_CUST_OfficeOfEntryRef</t>
  </si>
  <si>
    <t>ZB_G14_CUST_DivisionRef</t>
  </si>
  <si>
    <t>ZB_G14_CUST_SelectionRuleRef</t>
  </si>
  <si>
    <t>ZB_G14_CUST_TransportationZoneRef</t>
  </si>
  <si>
    <t>ZB_G14_CUST_AccountAssignmentGroupRef</t>
  </si>
  <si>
    <t>ZB_G14_CUST_DistributionChannelRef</t>
  </si>
  <si>
    <t>ZB_G14_CUST_BillOfExchangePaymentTermRef</t>
  </si>
  <si>
    <t>ZB_G14_CUST_DunningRecipientRef</t>
  </si>
  <si>
    <t>ZB_G14_CUST_CurrencyRef</t>
  </si>
  <si>
    <t>ZB_G14_CUST_PaymentCardTypeRef</t>
  </si>
  <si>
    <t>ZB_G14_CUST_SalesGroupRef</t>
  </si>
  <si>
    <t>ZB_G14_CUST_PriceListTypeRef</t>
  </si>
  <si>
    <t>ZB_G14_CUST_ToleranceGroupRef</t>
  </si>
  <si>
    <t>ZB_G14_CUST_MaritalStatusRef</t>
  </si>
  <si>
    <t>ZB_G14_CUST_DunningBlockRef</t>
  </si>
  <si>
    <t>ZB_G14_CUST_RegionRef</t>
  </si>
  <si>
    <t>ZB_G14_CUST_ValueAdjustmentKeyRef</t>
  </si>
  <si>
    <t>ZB_G14_CUST_BankStatementIndicatorRef</t>
  </si>
  <si>
    <t>ZB_G14_CUST_DunningNoticeGroupingKeyRef</t>
  </si>
  <si>
    <t>ZB_G14_CUST_LegalStatusRef</t>
  </si>
  <si>
    <t>ZB_G14_CUST_PricingProcedureRef</t>
  </si>
  <si>
    <t>ZB_G14_CUST_HouseBankRef</t>
  </si>
  <si>
    <t>ZB_G14_CUST_InvoicingDateRef</t>
  </si>
  <si>
    <t>ZB_G14_CUST_TaxCategoryRef</t>
  </si>
  <si>
    <t>ZB_G14_CUST_DunningProcedureRef</t>
  </si>
  <si>
    <t>ZB_G14_CUST_ContactPersonDepartmentRef</t>
  </si>
  <si>
    <t>ZB_G14_CUST_SortKeyRef</t>
  </si>
  <si>
    <t>ZB_G14_CUST_PaymentCardBlockRef</t>
  </si>
  <si>
    <t>ZB_G14_CUST_ExchangeRateTypeRef</t>
  </si>
  <si>
    <t>ZB_G14_CUST_IncotermsPart1Ref</t>
  </si>
  <si>
    <t>ZB_G14_CUST_LockBoxRef</t>
  </si>
  <si>
    <t>ZB_G14_CUST_VendorAccountRef</t>
  </si>
  <si>
    <t>ZB_G14_CUST_LanguageRef</t>
  </si>
  <si>
    <t>ZB_G14_CUST_PriceGroupRef</t>
  </si>
  <si>
    <t>ZB_G14_CUST_ContactPersonFunctionRef</t>
  </si>
  <si>
    <t>ZB_G14_CUST_PartnerFunctionRef</t>
  </si>
  <si>
    <t>ZB_G14_CUST_AlternatePayerRef</t>
  </si>
  <si>
    <t>Verify the material fiscal year variant exists in the Fiscal Year Variants table.</t>
  </si>
  <si>
    <t>Verify the physical inventory indicator value for cycle counting exists in reference table T159C.</t>
  </si>
  <si>
    <t>Verify the material freight group value exists in the Material Freight Groups table.</t>
  </si>
  <si>
    <t>Verify the material group 3 value exists in the Material Pricing Group 3 table.</t>
  </si>
  <si>
    <t>Verify the material's country of origin exists in the Countries table.</t>
  </si>
  <si>
    <t>Verify that material's region (state, province, county) exists in the Tax Region table.</t>
  </si>
  <si>
    <t>Verify the account assignment group value exists in the Account Assignment Groups table.</t>
  </si>
  <si>
    <t>Verify the Target QM System value exists in the QM system definition table.</t>
  </si>
  <si>
    <t>Verify the task list type value exists in the Task List Types table.</t>
  </si>
  <si>
    <t>Verify the MRP Type value exists in the MRP Type table.</t>
  </si>
  <si>
    <t>Verify the scheduling margin key value exists in the Floats for Scheduling table.</t>
  </si>
  <si>
    <t>Verify the BOM usage value exists in the BOM Usage - Item Statuses table.</t>
  </si>
  <si>
    <t>Verify the storage condition value exists in the Storage Conditions for Materials table.</t>
  </si>
  <si>
    <t>Verify the availability check value exists in the Availability Check Control table.</t>
  </si>
  <si>
    <t>Verify the catalog profile value exists in the Technical Report table.</t>
  </si>
  <si>
    <t>Verify the special movement value exists in the Special Movement Indicators table.</t>
  </si>
  <si>
    <t>Verify the commodity / import code value exists in reference table T604.</t>
  </si>
  <si>
    <t>Verify the industry sector value exists in the Industries for Materials table.</t>
  </si>
  <si>
    <t>Verify the distribution Channel value exists in the Org Unit Distribution Channels table.</t>
  </si>
  <si>
    <t>Verify the material pricing group value exists in the Conditions: Groups for Materials table.</t>
  </si>
  <si>
    <t>Verify the sales organization value exists in the Org Unit: Sales Organizations table.</t>
  </si>
  <si>
    <t>Verify the unit of measure group value exists in the Unit of Measure Group table.</t>
  </si>
  <si>
    <t>Rule to check if Group value exists.</t>
  </si>
  <si>
    <t>Verify the material group 5 value exists in the Material Pricing Group 5 table.</t>
  </si>
  <si>
    <t>Verify the laboratory / office value exists in the Laboratory/Office for Material table.</t>
  </si>
  <si>
    <t>Verify the stock removal or replacement value exists in the Storage Type Indicators table.</t>
  </si>
  <si>
    <t>Verify the cross distribution chain status value exists in the Materials: Status in Sales and Distribution table.</t>
  </si>
  <si>
    <t>Verify the general item category group value exists in the Materials: Item Category Groups in Material Master table.</t>
  </si>
  <si>
    <t>Verify the certificate type value exists in the QM Certificate Categories for Procurement table.</t>
  </si>
  <si>
    <t>Verify the picking storage type value exists in the WM Storage Types table.</t>
  </si>
  <si>
    <t>Verify the base unit of measure value exists in the Assign Internal To Language-Dependent Unit table.</t>
  </si>
  <si>
    <t>Verify the period indicator for SLED value exists in the Language-Dependent Texts for SLED Period Indicator table.</t>
  </si>
  <si>
    <t>Verify the plant value exists in the Plants/Branches table.</t>
  </si>
  <si>
    <t>Verify the action control value exists in the Action Control table.</t>
  </si>
  <si>
    <t>Verify the lab form value exists in the Check Table for Label Shape table.</t>
  </si>
  <si>
    <t>Verify the REM profile value exists in the Repetitive Manufacturing Profile  table.</t>
  </si>
  <si>
    <t>Verify the plant specific material status value exists in the Material Status From Materials Management/PPC View table.</t>
  </si>
  <si>
    <t>Verify the loading group value exists in the Routes: Loading Groups table.</t>
  </si>
  <si>
    <t>Verify the configurable material value exists in the General Material Data table.</t>
  </si>
  <si>
    <t>Verify the variance key value exists in the Variance Keys: Cost Centers/Costing table.</t>
  </si>
  <si>
    <t>Verify the manufacturer value exists in the Vendor Master (General Section) table.</t>
  </si>
  <si>
    <t>Verify the tax indicator for material reference exists in the Taxes: Materials (Purchasing) table.</t>
  </si>
  <si>
    <t>Verify the product allocation value exists in the Product Allocation: Definition Procedure table.</t>
  </si>
  <si>
    <t>Verify the material group value exists in the Material Groups table.</t>
  </si>
  <si>
    <t>Verify the quota arrangement usage value exists in the Quota Arrangement Rules table.</t>
  </si>
  <si>
    <t>Verify the purchasing value key exists in the Purchasing Value Key table.</t>
  </si>
  <si>
    <t>Verify the QM material authorization value exists in the Material Authorization Groups in Quality Management table.</t>
  </si>
  <si>
    <t>Verify the material group packaging materials value exists in the Material Group: Packaging Materials table.</t>
  </si>
  <si>
    <t>Verify the lot size value exists in the MRP Lot Sizes table.</t>
  </si>
  <si>
    <t>Verify the hazardous material number value exists in the Hazardous Materials table.</t>
  </si>
  <si>
    <t>Verify the serial number profile value exists in the Serial Number Management Profiles table.</t>
  </si>
  <si>
    <t>Verify the bulk storage value exists in the Bulk Storage Indicators table.</t>
  </si>
  <si>
    <t>Verify the delivering plant value exists in the Plants/Branches table.</t>
  </si>
  <si>
    <t>Verify the material group 1 value exists in the Material Pricing Group 1 table.</t>
  </si>
  <si>
    <t>Verify the distribution profile value exists in the Distribution Profile of Material in DC table.</t>
  </si>
  <si>
    <t>Verify the material division value exists in the Organizational Unit: Sales Divisions table.</t>
  </si>
  <si>
    <t>Verify the basic material value exists in the Check Table for Basic Material Field table.</t>
  </si>
  <si>
    <t>Verify the temperature condition value exists in the Temperature Conditions for Storing Materials table.</t>
  </si>
  <si>
    <t>Verify the origin group value exists in the Origin in CO Object table.</t>
  </si>
  <si>
    <t>Verify the reference material for packaging value exists in the General Material Data table.</t>
  </si>
  <si>
    <t>Verify the valuation class value exists in the Valuation Classes table.</t>
  </si>
  <si>
    <t>Verify the label type value exists in the Check Table for Labelling Type table.</t>
  </si>
  <si>
    <t>Verify the planning plant value exists in the Plants/Branches table.</t>
  </si>
  <si>
    <t>Verify the control code value exists in the Import Processing: Control Code table.</t>
  </si>
  <si>
    <t>Verify the material type value exists in the Material Types table.</t>
  </si>
  <si>
    <t>Verify the storage section Indicator value exists in the Storage Section indicators table.</t>
  </si>
  <si>
    <t>Verify the storage location value exists in the Storage Locations table.</t>
  </si>
  <si>
    <t>Verify the volume rebate group value exists in the Sales Rebate Groups table.</t>
  </si>
  <si>
    <t>Verify the coverage profile value exists in the Range of Coverage Profile table.</t>
  </si>
  <si>
    <t>Verify the container requirements value exists in the Container Requirements for Storing Materials table.</t>
  </si>
  <si>
    <t>Verify the EAN category value exists in the international Article Number (EAN) Categories table.</t>
  </si>
  <si>
    <t>Verify the transportation group value exists in the Delivery Scheduling: Transportation Groups table.</t>
  </si>
  <si>
    <t>Verify the MRP group value exists in the Control Parameter for MRP -Material Level table.</t>
  </si>
  <si>
    <t>Verify the log handling group value exists in the Logistics Handling Group for Workload Calculation table.</t>
  </si>
  <si>
    <t>Verify the purchasing group value exists in the Purchasing Groups table.</t>
  </si>
  <si>
    <t>Verify the material group 4 value exists in the Material Pricing Group 4 table.</t>
  </si>
  <si>
    <t>Verify the material group 2 value exists in the Material Pricing Group 2 table.</t>
  </si>
  <si>
    <t>Verify the overall profile value exists in the Total Change Profile for Order Change Management table.</t>
  </si>
  <si>
    <t>Verify the MRP controller value exists in the MRP Controllers table.</t>
  </si>
  <si>
    <t>Verify the strategy group value exists in the Planning Strategy Group table.</t>
  </si>
  <si>
    <t>Verify the valuation category value exists in the Global Valuation Categories table.</t>
  </si>
  <si>
    <t>Verify the export or import group value exists in the foreign Trade: Material Pricing Groups in Export table.</t>
  </si>
  <si>
    <t>Verify the QM control key value exists in the Control of QM in Procurement table.</t>
  </si>
  <si>
    <t>Verify the availability check field is not empty.</t>
  </si>
  <si>
    <t>Verify the material statistics group value exists in the Material Statistics Group table.</t>
  </si>
  <si>
    <t>Verify the transportation group field Is not empty.</t>
  </si>
  <si>
    <t>Verify the loading group field is not empty.</t>
  </si>
  <si>
    <t>Verify the warehouse number field is not empty.</t>
  </si>
  <si>
    <t>Verify the scheduling margin key for floats field is not empty.</t>
  </si>
  <si>
    <t>Verify the purchasing group field is not empty.</t>
  </si>
  <si>
    <t>Verify the base unit of measure field is not empty.</t>
  </si>
  <si>
    <t>Verify the distribution channel field is not empty.</t>
  </si>
  <si>
    <t>Verify the sales organization field is not empty.</t>
  </si>
  <si>
    <t>Verify the plant Field is not empty.</t>
  </si>
  <si>
    <t>Verify the price control field is not empty.</t>
  </si>
  <si>
    <t>Verify the price unit field is not empty.</t>
  </si>
  <si>
    <t>Verify the material description field is not empty.</t>
  </si>
  <si>
    <t>Verify the storage location field is not empty.</t>
  </si>
  <si>
    <t>Verify the MRP controller field is not empty.</t>
  </si>
  <si>
    <t>Verify the MRP type field is not empty.</t>
  </si>
  <si>
    <t>Verify the material group field is not empty.</t>
  </si>
  <si>
    <t>Verify the valuation class field is not empty.</t>
  </si>
  <si>
    <t>Verify the material type field is not empty.</t>
  </si>
  <si>
    <t>Verify the industry sector field is not empty</t>
  </si>
  <si>
    <t>Verify the material number is not empty.</t>
  </si>
  <si>
    <t>Verify the cross plant CM value exists in the Material Master Data table.</t>
  </si>
  <si>
    <t>T439G</t>
  </si>
  <si>
    <t>Verify the ABC indicator value exists in the 'Values Table for the ABC indicator for Materials' table.</t>
  </si>
  <si>
    <t>Verify the customer trading partner value exists in the Global Company Data (for KONS Ledger) table.</t>
  </si>
  <si>
    <t>Verify the customer industry key value exists in the Industries table.</t>
  </si>
  <si>
    <t>Verify the customer product proposal procedure value exists in the Product Proposal: Definition of Customer Procedure table.</t>
  </si>
  <si>
    <t>Verify the customer sales organization value exists in the Organizational Unit: Sales Organizations table.</t>
  </si>
  <si>
    <t>Verify the customer statistics group value exists in the Customers: Statistics Groups table.</t>
  </si>
  <si>
    <t>Verify the customer payment card category value exists in the Payment Card Category table.</t>
  </si>
  <si>
    <t>Verify the customer payment method value exists in the Payment Methods for Automatic Payment table.</t>
  </si>
  <si>
    <t>Verify the customer accounting clerk value exists in the Accounting Clerks table.</t>
  </si>
  <si>
    <t>Verify the customer industry code value exists in the Industry Code (Customer Master) table.</t>
  </si>
  <si>
    <t>Verify the customer sales office value exists in the Organizational Unit: Sales Offices: Texts table.</t>
  </si>
  <si>
    <t>Verify the customer terms of payment key value exists in the Terms of Payment table.</t>
  </si>
  <si>
    <t>Verify the customer next payee value has a corresponding customer number in the General Data in Customer Master table.</t>
  </si>
  <si>
    <t>Verify the customer Nielsen ID value exists in the General Data in Customer Master Table.</t>
  </si>
  <si>
    <t>Verify the customer group value exists in the Customers: Customer Groups table.</t>
  </si>
  <si>
    <t>Verify the customer unit of ueasure group value exists in the Unit of Measure Group table.</t>
  </si>
  <si>
    <t>Verify the customer dunning clerk value exists in the Accountin Clerks table.</t>
  </si>
  <si>
    <t>Verify the customer tax classification value exists in the Customer Taxes table.</t>
  </si>
  <si>
    <t>Verify the customer reason code conversion version value exists in the Reason Code Conversion Version table.</t>
  </si>
  <si>
    <t>Verify the customer classification value exists in the Customers: Customer Classifications table.</t>
  </si>
  <si>
    <t>Verify the customer interest calculation indicator value exists in the Interest Settlement table.</t>
  </si>
  <si>
    <t>Verify the customer fiscal year variant value exists in the Fiscal Year Variants table.</t>
  </si>
  <si>
    <t>Verify the customer shipping conditions value exists in the Shipping Conditions table.</t>
  </si>
  <si>
    <t>Verify the customer release approval group value exists in the Release Groups table.</t>
  </si>
  <si>
    <t>Verify the customer master country key value exists in the Countries table.</t>
  </si>
  <si>
    <t>Verify the customer selection rule value exists in the Selection Rules for Payment Advices table.</t>
  </si>
  <si>
    <t>Verify the customer transportation zone value exists in the Customers: Regional zones table.</t>
  </si>
  <si>
    <t>Verify the customer account group value exists in the Customer Account Groups table.</t>
  </si>
  <si>
    <t>Verify the customer account assignment group value exists in the Customers: Account Assignment Groups table.</t>
  </si>
  <si>
    <t>Verify the customer reconciliation account value exists in the G/L account master (company code) table.</t>
  </si>
  <si>
    <t>Verify the customer distribution channel value exists in the Organizational Unit: Distribution Channels table.</t>
  </si>
  <si>
    <t>Verify the customer bill of exchange key value exists in the Terms of Payment table.</t>
  </si>
  <si>
    <t>Verify the customer dunning recipient value exists in the Customer master (dunning data) table.</t>
  </si>
  <si>
    <t>Verify the customer currency value exists in the Currency Codes table.</t>
  </si>
  <si>
    <t>Verify the customer company code value exists in the Company Codes table.</t>
  </si>
  <si>
    <t>Verify the customer payment card type value exists in the Payment cards: Type table.</t>
  </si>
  <si>
    <t>Verify the customer sales group value exists in the Organizational Unit: Sales Groups per Sales Office table.</t>
  </si>
  <si>
    <t>Verify the customer price list type value exists in the Conditions: Price List Categories table.</t>
  </si>
  <si>
    <t>Verify the customer tolerance group value exists in the Tolerances for Groups of Customers/Vendors table.</t>
  </si>
  <si>
    <t>Verify the customer dunning block value exists in the Blocking Reasons for Dunning Notices table.</t>
  </si>
  <si>
    <t>Verify that customer master region (state, province, county) exists in the Taxes: Region (Province) Key table.</t>
  </si>
  <si>
    <t>Verify the customer value adjustment key value exists in the Valuation Adjustment Key table.</t>
  </si>
  <si>
    <t>Verify the customer bank statement indicator value exists in the Indicator for Periodic Account Statements table.</t>
  </si>
  <si>
    <t>Verify the customer dunning notice grouping key value exists in the Grouping Rules for Dunning Notices table.</t>
  </si>
  <si>
    <t>Verify the customer legal status value exists in the Legal Status (Customer Master) table.</t>
  </si>
  <si>
    <t>Verify the customer pricing procedure value exists in the Customer Pricing Procedures table.</t>
  </si>
  <si>
    <t>Verify the customer house bank value exists in the House Banks table.</t>
  </si>
  <si>
    <t>Verify the customer working time calendar value exists in the Factory Calendar Definition table.</t>
  </si>
  <si>
    <t>Verify the customer tax category value exists in the Conditions: Types: Additional Price Element Data table.</t>
  </si>
  <si>
    <t>Verify the customer dunning procedure value exists in the Account Level Dunning Control table.</t>
  </si>
  <si>
    <t>Verify the customer sort key value exists in the Rules for 'Allocation' Field Layout table.</t>
  </si>
  <si>
    <t>Verify the customer payment card block reason value exists in the Block Reason (payment card) table.</t>
  </si>
  <si>
    <t>Verify the customer exchange rate type value exists in the Exchange Rate Types for Currency Translation table.</t>
  </si>
  <si>
    <t>Verify the customer incoterms (Part 1) value exists in the Customers: Incoterms table.</t>
  </si>
  <si>
    <t>Verify the customer lockbox value exists in the Lockboxes at our House Banks table.</t>
  </si>
  <si>
    <t>Verify that vendor account number value for customer master data exists in the Vendor Master (General Section) table.</t>
  </si>
  <si>
    <t>Verify the customer language key value exists in the Language Keys (Component BC-I18) table.</t>
  </si>
  <si>
    <t>Verify the customer price group value exists in the Conditions: Groups for Customer Classifications table.</t>
  </si>
  <si>
    <t>Verify the customer partner function value exists in the Business Partner: Functions table.</t>
  </si>
  <si>
    <t>Verify the customer alternative payer has a corresponding customer number in the General Data in Customer Master table.</t>
  </si>
  <si>
    <t>Verify the customer key for payment grouping value exists in the Grouping Rules for Automatic Payments table.</t>
  </si>
  <si>
    <t>ZB_G14_CUST_CivilianUseIsValid</t>
  </si>
  <si>
    <t>ZB_G14_CUST_NationalSecurityIndicatorIsValid</t>
  </si>
  <si>
    <t>ZB_G14_CUST_InterestCycleIsValid</t>
  </si>
  <si>
    <t>ZB_G14_CUST_GenderIsValid</t>
  </si>
  <si>
    <t>ZB_G14_CUST_PODRelevantIsValid</t>
  </si>
  <si>
    <t>ZB_G14_CUST_ContactPersonFunctionPopulated</t>
  </si>
  <si>
    <t>Verify the license valid to date is valid.</t>
  </si>
  <si>
    <t>Verify the license valid from date is valid.</t>
  </si>
  <si>
    <t>ZB_G14_CUST_SalesCurrencyPopulated</t>
  </si>
  <si>
    <t>ZB_G14_CUST_CompanyCodePopulated</t>
  </si>
  <si>
    <t>ZB_G14_CUST_TaxClassificationPopulated</t>
  </si>
  <si>
    <t>ZB_G14_CUST_DivisionPopulated</t>
  </si>
  <si>
    <t>ZB_G14_CUST_TaxJurisdictionPopulated</t>
  </si>
  <si>
    <t>ZB_G14_CUST_PricingProcedurePopulated</t>
  </si>
  <si>
    <t>ZB_G14_CUST_EmailAddressPopulated</t>
  </si>
  <si>
    <t>ZB_G14_CUST_CountryCodePopulated</t>
  </si>
  <si>
    <t>ZB_G14_CUST_BankCountryKeyPopulated</t>
  </si>
  <si>
    <t>ZB_G14_CUST_TaxCategoryPopulated</t>
  </si>
  <si>
    <t>ZB_G14_CUST_RegionPopulated</t>
  </si>
  <si>
    <t>ZB_G14_CUST_ContactPersonDepartmentPopulated</t>
  </si>
  <si>
    <t>ZB_G14_CUST_CountryKeyPopulated</t>
  </si>
  <si>
    <t>ZB_G14_CUST_AccountGroupPopulated</t>
  </si>
  <si>
    <t>ZB_G14_CUST_PostalCodePopulated</t>
  </si>
  <si>
    <t>ZB_G14_CUST_PlanningGroupPopulated</t>
  </si>
  <si>
    <t>ZB_G14_CUST_DistributionChannelPopulated</t>
  </si>
  <si>
    <t>ZB_G14_CUST_TransportationZonePopulated</t>
  </si>
  <si>
    <t>ZB_G14_CUST_VATRegistrationNumberPopulated</t>
  </si>
  <si>
    <t>ZB_G14_CUST_ReconAccountPopulated</t>
  </si>
  <si>
    <t>ZB_G14_CUST_SortFieldPopulated</t>
  </si>
  <si>
    <t>ZB_G14_CUST_LanguageKeyPopulated</t>
  </si>
  <si>
    <t>ZB_G14_CUST_CityPopulated</t>
  </si>
  <si>
    <t>ZB_G14_CUST_BankKeyPopulated</t>
  </si>
  <si>
    <t>ZB_G14_CUST_SearchTerm1Populated</t>
  </si>
  <si>
    <t>ZB_G14_CUST_BankAccountNumberPopulated</t>
  </si>
  <si>
    <t>ZB_G14_CUST_ShippingConditionsPopulated</t>
  </si>
  <si>
    <t>ZB_G14_CUST_SalesOrgPopulated</t>
  </si>
  <si>
    <t>ZB_G14_CUST_LicenseNumberPopulated</t>
  </si>
  <si>
    <t>ZB_G14_CUST_PartnerFunctionPopulated</t>
  </si>
  <si>
    <t>Verify the customer sales currency field is not empty.</t>
  </si>
  <si>
    <t>Verify the company code field is not empty.</t>
  </si>
  <si>
    <t>Verify the tax classification field is not empty.</t>
  </si>
  <si>
    <t>Verify the customer tax jurisdiction field is not empty.</t>
  </si>
  <si>
    <t>Verify the pricing procedure field is not empty.</t>
  </si>
  <si>
    <t>Verify the country code field is not empty.</t>
  </si>
  <si>
    <t>Verify the terms of payment key field is not empty.</t>
  </si>
  <si>
    <t>Verify the bank country key field is not empty.</t>
  </si>
  <si>
    <t>Verify the tax category field is not empty.</t>
  </si>
  <si>
    <t>Verify the region (State, County, Province) field is not empty.</t>
  </si>
  <si>
    <t>Verify the customer contact person department field is not empty.</t>
  </si>
  <si>
    <t>Verify the country field is not empty.</t>
  </si>
  <si>
    <t>Verify the name of address field is not empty.</t>
  </si>
  <si>
    <t>ZB_G14_CUST_NameOfAddressPopulated</t>
  </si>
  <si>
    <t>Verify the customer planning group field is not empty.</t>
  </si>
  <si>
    <t>Verify the transportation zone field is not empty.</t>
  </si>
  <si>
    <t>Verify the VAT registration number field is not empty.</t>
  </si>
  <si>
    <t>Verify the reconciliation account field is not empty.</t>
  </si>
  <si>
    <t>Verify the sort Field field is not empty.</t>
  </si>
  <si>
    <t>Verify the language key field is not empty.</t>
  </si>
  <si>
    <t>Verify the city field is not empty.</t>
  </si>
  <si>
    <t>Verify the bank key field is not empty.</t>
  </si>
  <si>
    <t>Verify the earch terms part 1 field is not empty.</t>
  </si>
  <si>
    <t>Verify the bank account number field is not empty.</t>
  </si>
  <si>
    <t>Verify the shipping conditions field is not empty.</t>
  </si>
  <si>
    <t>Verify the customer contact person function field is not empty.</t>
  </si>
  <si>
    <t>Verify the license number field is not empty.</t>
  </si>
  <si>
    <t>Verify the partner function field is not empty.</t>
  </si>
  <si>
    <t>Verify the division field is not empty.</t>
  </si>
  <si>
    <t>Verify the division value exists in the Organizational Unit: Sales Divisions table.</t>
  </si>
  <si>
    <t>ZB_G14_CUST_PaymentGroupingKeyRef</t>
  </si>
  <si>
    <t>ZB_G14_CUST_CountryCodeRef</t>
  </si>
  <si>
    <t>Verify the telephone number 1 field is not empty.</t>
  </si>
  <si>
    <t>ZB_G14_CUST_PhoneNumber1Populated</t>
  </si>
  <si>
    <t>VBRK</t>
  </si>
  <si>
    <t>LANDTX</t>
  </si>
  <si>
    <t>Tax departure country</t>
  </si>
  <si>
    <t>ZB_G14_CUST_TaxDepartureCountryPopulated</t>
  </si>
  <si>
    <t>Verify the tax departure country is not empty.</t>
  </si>
  <si>
    <t>ZB_G14_CUST_TermsOfPaymentKeyPopulated</t>
  </si>
  <si>
    <t>ZB_G14_CUST_LicenseValidToDatePopulated</t>
  </si>
  <si>
    <t>ZB_G14_CUST_LicenseValidFromDatePopulated</t>
  </si>
  <si>
    <t>Verify the customer planning group exists in the Planning Group table.</t>
  </si>
  <si>
    <t>ZB_G14_CUST_PlanningGroupRef</t>
  </si>
  <si>
    <t>ZB_G14_CUST_BoycottDHRListIsValid</t>
  </si>
  <si>
    <t>ZB_G14_CUST_BoycottSDNListIsValid</t>
  </si>
  <si>
    <t>ZB_G14_CUST_BoycottTDOListIsValid</t>
  </si>
  <si>
    <t>Verify the customer e-mail address field is not empty.</t>
  </si>
  <si>
    <t>ZB_G14_CUST_InterestCalcIndicatorRef</t>
  </si>
  <si>
    <t>Verify that customer contact Marital Status Key exists in the Marital Status Designators table.</t>
  </si>
  <si>
    <t>Verify the missile technology indicator value is valid according to the appropriate reference domain or value range.</t>
  </si>
  <si>
    <t>Verify the nuclear nonproliferation indicator value is valid according to the appropriate reference domain or value range.</t>
  </si>
  <si>
    <t>Verify the fair share rule value is valid according to the appropriate reference domain or value range.</t>
  </si>
  <si>
    <t>Verify the national security indicator value is valid according to the appropriate reference domain or value range.</t>
  </si>
  <si>
    <t>Verify the interest cycle value is valid according to the appropriate reference domain or value range.</t>
  </si>
  <si>
    <t>Verify the serial number level value is valid according to the appropriate reference domain or value range.</t>
  </si>
  <si>
    <t>Verify the proposed UoM from material value is valid according to the appropriate reference domain or value range.</t>
  </si>
  <si>
    <t>Verify the DHR boycott list value is valid according to the appropriate reference domain or value range.</t>
  </si>
  <si>
    <t>Verify the SDN boycott list value is valid according to the appropriate reference domain or value range.</t>
  </si>
  <si>
    <t>Verify the safety time indicator value is valid according to the appropriate reference domain or value range.</t>
  </si>
  <si>
    <t>Verify the TDO boycott list value is valid according to the appropriate reference domain or value range.</t>
  </si>
  <si>
    <t>Verify the 2-step picking value is valid according to the appropriate reference domain or value range.</t>
  </si>
  <si>
    <t>Verify the requirements group value is valid according to the appropriate reference domain or value range.</t>
  </si>
  <si>
    <t>Rule to check if Sex value for a Business Partner / Customer / Vendor is valid according to the appropriate reference domain or value range.</t>
  </si>
  <si>
    <t>Verify the cross-project value is valid according to the appropriate reference domain or value range.</t>
  </si>
  <si>
    <t>Verify the exemption certificate value is valid according to the appropriate reference domain or value range.</t>
  </si>
  <si>
    <t>Verify the price determination value is valid according to the appropriate reference domain or value range.</t>
  </si>
  <si>
    <t>Verify the qualify for free goods discount value is valid according to the appropriate reference domain or value range.</t>
  </si>
  <si>
    <t>Verify the gender value is valid according to the appropriate reference domain or value range.</t>
  </si>
  <si>
    <t>Rule to check if Sort Criterion value for a Business Partner / Customer / Vendor master is valid according to the appropriate reference domain or value range.</t>
  </si>
  <si>
    <t>Verify the discontinuation indicator value is valid according to the appropriate reference domain or value range.</t>
  </si>
  <si>
    <t>Rule to validate if Business Partner / Customer / Vendor number exists for Business Partner / Customer / Vendor data respectively.</t>
  </si>
  <si>
    <t>Verify the POD relevant value is valid according to the appropriate reference domain or value range.</t>
  </si>
  <si>
    <t>Verify the batch entry value for a material master is valid according to the appropriate reference domain or value range.</t>
  </si>
  <si>
    <t>Rule to check if Gender value for a Business Partner / Customer / Vendor is valid according to the appropriate reference domain or value range.</t>
  </si>
  <si>
    <t>Verify the individual or collective requirements value for a Material master is valid according to the appropriate reference domain or value range.</t>
  </si>
  <si>
    <t>Verify the mixed MRP value for a Material master is valid according to the appropriate reference domain or value range.</t>
  </si>
  <si>
    <t>Verify the JIT scheduling indicator value for a Material master is valid according to the appropriate reference domain or value range.</t>
  </si>
  <si>
    <t>Verify the selection method value for a Material master is valid according to the appropriate reference domain or value range.</t>
  </si>
  <si>
    <t>Verify the MRP dependent requirement value for a Material master is valid according to the appropriate reference domain or value range.</t>
  </si>
  <si>
    <t>Verify the OB management value for a Material master is valid according to the appropriate reference domain or value range.</t>
  </si>
  <si>
    <t>Verify the push distribution value for a Material master is valid according to the appropriate reference domain or value range.</t>
  </si>
  <si>
    <t>Verify the consumption mode value for a Material master is valid according to the appropriate reference domain or value range.</t>
  </si>
  <si>
    <t>Verify the price control value for a Material master is valid according to the appropriate reference domain or value range.</t>
  </si>
  <si>
    <t>Verify the procurement type value for a Material master is valid according to the appropriate reference domain or value range.</t>
  </si>
  <si>
    <t>Verify the period indicator value for a Material master is valid according to the appropriate reference domain or value range.</t>
  </si>
  <si>
    <t>Verify the civilian use value is valid according to the appropriate reference domain or value range.</t>
  </si>
  <si>
    <t>Verify the backflush value for a Material master is valid according to the appropriate reference domain or value range.</t>
  </si>
  <si>
    <t>Verify the partial delivery per item value for a customer is valid according to the appropriate reference domain or value range.</t>
  </si>
  <si>
    <t>ZB_G14_CUST_PartialDeliveryperItemIsValid</t>
  </si>
  <si>
    <t>Verify the customer payment block key for payment value exists in the 'Blocking Reasons for Automatic Payment Transactions' table.</t>
  </si>
  <si>
    <t>Verify the customer sales district value exists in the Customers: Sales Districts table.</t>
  </si>
  <si>
    <t>Unable to identify/verify source field</t>
  </si>
  <si>
    <t>Possible source field is VKDFS-SORTKRI.  However, this is a 20-character field, and the rule expression expects 1-character domain values.</t>
  </si>
  <si>
    <t xml:space="preserve">Rule tests two things: 
1) Does the ADRC-TITLE value exist as a primary key in table TAD3T
2) If the primary key exists, is the TAD3T-TITLE_MEDI field populated
</t>
  </si>
  <si>
    <t>$P_I_Title, $P_I_Language</t>
  </si>
  <si>
    <t>ZB_G14_CUST_TitleRef</t>
  </si>
  <si>
    <t>For the customer form-of-address key, verify the key exists in the Titles (Texts) (Business Address Services) table, and in that table there is a corresponding long text.</t>
  </si>
  <si>
    <t>DHR boycott list for export control</t>
  </si>
  <si>
    <t>Verify the customer account group field is not empty.</t>
  </si>
  <si>
    <t>ZB_G14_CUST_AccountGroupRef</t>
  </si>
  <si>
    <t>ZB_G14_CUST_FiscalAddressRef</t>
  </si>
  <si>
    <t>Verify the account number of the customer master record with fiscal address has a corresponding customer number in the General Data in Customer Master table.</t>
  </si>
  <si>
    <t>ZB_G14_CUST_BiochemWarfareIndicatorIsValid</t>
  </si>
  <si>
    <t>ZB_G14_CUST_NuclearNonprolifIndicatorIsValid</t>
  </si>
  <si>
    <t>ZB_G14_CUST_MissileTechIndicatorIsValid</t>
  </si>
  <si>
    <t>Verify the biochemical warfare indicator value is valid according to the appropriate reference domain or value range.</t>
  </si>
  <si>
    <t>ZB_G14_CUST_CompanyCodeRef</t>
  </si>
  <si>
    <t>ZB_G14_CUST_ReconAccountRef</t>
  </si>
  <si>
    <t>TITLE, LANGU</t>
  </si>
  <si>
    <t>Verify the contact person department value exists in the Contact Persons: Standard Departments table.</t>
  </si>
  <si>
    <t>Verify that contact person function value exists in the Contact Persons: Functions table.</t>
  </si>
  <si>
    <t>ZB_G14_CUST_SalesOrgRef</t>
  </si>
  <si>
    <t>create view VW_KNA1_ADR6 as
     select
          t1.KUNNR,
          t1.ADRNR,
          t2.SMTP_ADDR
     from KNA1 t1
     inner join ADR6 t2
     on t2.ADDRNUMBER = t1.ADRNR</t>
  </si>
  <si>
    <t xml:space="preserve">create view VW_LFA1_ADR6 as 
     select 
          t1.LIFNR,
          t1.ADRNR,
          t2.SMTP_ADDR
     from LFA1 t1
     inner join ADR6 t2
     on t2.ADDRNUMBER = t1.ADRNR
</t>
  </si>
  <si>
    <t>KNA1, ADR6</t>
  </si>
  <si>
    <t>KUNNR,ADDRNUMBER,SMTP_ADDR</t>
  </si>
  <si>
    <t>ZB_G14_CUST_StatisticsGroupRef</t>
  </si>
  <si>
    <t xml:space="preserve">declare 
   $PSTLZ_Format varchar(128); # Needs to be large enough to handle long regular expressions
begin
$PSTLZ_Format = decode(
    ( $P_I_Country = 'AR' ), '^[A-Z][0-9]{4}[A-Z]{3}$',
    ( $P_I_Country = 'BR' ), '^[0-9]{5}-[0-9]{4}$',
    ( $P_I_Country = 'CA' ), '^[^DFIOQUWZ][0-9][^DFIOQU] ?[0-9][^DFIOQU][0-9]$',
    ( $P_I_Country = 'FO' ), '^[0-9]{3}$',
    ( $P_I_Country in ('CN','EC','IN','RU','SG') ), '^[0-9]{6}$',
    ( $P_I_Country in ('GB','NB') ), '^([A-Z]{2}[0-9]{1,2}|[A-Z][0-9]{1,2]}|[A-Z]{1,2}[0-9][A-Z]?) [0-9][A-Z]{2}$',
    ( $P_I_Country = 'PT' ), '^[0-9]{4}-[0-9]{3}$',
    ( $P_I_Country = 'US' ), '^[0-9]{5}(-[0-9]{4})?$',
    ( $P_I_Country in ('CZ','SK') ), '^[0-9]{3}-[0-9]{2}$',
    ( $P_I_Country in ('AT', 'AU', 'BE', 'BG', 'CH', 'CY', 'DK', 'HU', 'LI', 'LU', 'NO', 'NZ', 'PH', 'PY', 'TN', 'ZA') ), '^[0-9]{4}$',
    ( $P_I_Country in ('CR', 'DE', 'DZ', 'ES', 'FI', 'FR', 'GR', 'GT', 'HR', 'ID', 'IT', 'KE', 'KW', 'MA', 'MC', 'ME', 'MX', 'MY', 'PK', 'RS', 'SA', 'TH', 'TR', 'UA', 'UY' ) ), '^[0-9]{5}$', 
    ( $P_I_Country = 'CL' ), '^[0-9]{6}$',
    ( $P_I_Country = 'NG' ), '^[0-9]{7}$',
   NULL
   );
if( $PSTLZ_Format is NULL )
   return TRUE;
else
return match_regex( $P_I_PostalCode, $PSTLZ_Format, 'CASE_INSENSITIVE' );
end
</t>
  </si>
  <si>
    <t>LAND1,PSTLZ</t>
  </si>
  <si>
    <t>398</t>
  </si>
  <si>
    <t>LAND1,PSTL2</t>
  </si>
  <si>
    <t>Country
PO Box Postal Code</t>
  </si>
  <si>
    <t>Verify the customer postal code exists for countries that require it..
Reference: https://www.ups.com/worldshiphelp/WS15/ENU/AppHelp/Codes/Countries_Territories_Requiring_Postal_Codes.htm):
Optional: Exclude customers by user-specified account groups KTOKD.</t>
  </si>
  <si>
    <t>399</t>
  </si>
  <si>
    <t>BEGIN RETURN
exists('DS_IS_RDS', 'TSAD3T', 'TITLE_MEDI', $P_I_Title)
OR $P_I_Title IS NULL OR $P_I_Title='';
END
*Need to separate these validations</t>
  </si>
  <si>
    <t>ZB_G14_CUST_SexIsValid</t>
  </si>
  <si>
    <t>ZB_G14_CUST_SortCriterionIsValid</t>
  </si>
  <si>
    <t>ZB_G14_CUST_BUPANumberPopulated</t>
  </si>
  <si>
    <t>FVR_PRI_GL_Account Number Populated_GL</t>
  </si>
  <si>
    <t>FVR_PRI_PS_Plant Populated_WC</t>
  </si>
  <si>
    <t>ZB_G14_CUST_TIN_Populated</t>
  </si>
  <si>
    <t>LIFNR,ADDRNUMBER,SMTP_ADDR</t>
  </si>
  <si>
    <t>Vendor Number
Address number
Email address</t>
  </si>
  <si>
    <t>LIFNR,ADRNR,SMTP_ADDR</t>
  </si>
  <si>
    <t>LFA1,ADR6</t>
  </si>
  <si>
    <t xml:space="preserve">Verify the tax Number value exists in the </t>
  </si>
  <si>
    <t>Verify the tax number type value exist in the Type of Identification table.</t>
  </si>
  <si>
    <t>Verify a corresponding customer number exists in the Customer Master General Data table.</t>
  </si>
  <si>
    <t>Verify the next payee value has a corresponding vendor number in the Vendor Master General Data table.</t>
  </si>
  <si>
    <t>Verify the dunning recipient value exists in the Vendor Master General Data table.</t>
  </si>
  <si>
    <t>Verify the vendor reconciliation rccount exists in the G/L Account Master table.</t>
  </si>
  <si>
    <t>Verify the vendor accounting clerk exists in the Vendor Master Company Code table.</t>
  </si>
  <si>
    <t>Verify the vendor dunning clerk exists in the Vendor Master Dunning Data table.</t>
  </si>
  <si>
    <t>Verify the vendor language key exists in the Language Keys table.</t>
  </si>
  <si>
    <t>Verify the vendor country key value exists in the Countries table.</t>
  </si>
  <si>
    <t>Verify that vendor master region (state, province, county) exists in the Tax Region Key table.</t>
  </si>
  <si>
    <t>Verify the vendor payment block exists in the Blocking Reasons for Automatic Payment Transcations table.</t>
  </si>
  <si>
    <t>Verify the vendor house bank exists in the House Banks table.</t>
  </si>
  <si>
    <t>Verify the vendor industry key value exists in the Industries table.</t>
  </si>
  <si>
    <t>Verify the vendor payment method value exists in the Payment Methods for Automatic Payment table.</t>
  </si>
  <si>
    <t>Verify the vendor dunning block value exists in the Blocking Reasons for Dunning Notices table.</t>
  </si>
  <si>
    <t>Verify the vendor tolerance group value exists in the Tolerances for Groups of Customers/Vendors table.</t>
  </si>
  <si>
    <t>Verify the vendor dunning procedure exists in the Account Level Dunning Control table.</t>
  </si>
  <si>
    <t>Verify the vendor dunning notice grouping key exists in the Grouping Rules for Dunning Notices table.</t>
  </si>
  <si>
    <t>Verify the vendor bank statement indicator value exists in the Indicator for Periodic Account Statements table.</t>
  </si>
  <si>
    <t>Verify the vendor terms of payment key value exists in the Terms of Payment table.</t>
  </si>
  <si>
    <t>Verify the vendor selection rule value exists in the Selection Rules for Payment Advices table.</t>
  </si>
  <si>
    <t>Verify the vendor interest calculation indicator value exists in the Interest Settlement table.</t>
  </si>
  <si>
    <t>Verify the withholding tax code value exists in the Withholding Tax table.</t>
  </si>
  <si>
    <t>Verify the vendor account group value exists in the Vendor Account Groups table.</t>
  </si>
  <si>
    <t>Verify the confirmation control value exists in the Confirmation Control Keys table.</t>
  </si>
  <si>
    <t>Verify the vendor Ooffice of entry value exists in the Foreign Trade: Customs Offices - Descriptions table.</t>
  </si>
  <si>
    <t>Verify the vendor trading partner value exists in the Global Company Data (for KONS Ledger) table.</t>
  </si>
  <si>
    <t>Verify the vendor currency code value exists in the Currency Codes table.</t>
  </si>
  <si>
    <t>Verify the vendor incoterms (part 1) value exists in the Customers: Incoterms table.</t>
  </si>
  <si>
    <t>verify the group for calculaion schema value exists in the Group for Calculation Schema (Vendor) table.</t>
  </si>
  <si>
    <t>Verify the QM system value exists in the QM system table.</t>
  </si>
  <si>
    <t>Verify the vendor contact person department value exists in the Contact Persons: Standard Departments table.</t>
  </si>
  <si>
    <t>Verify the carrier frieght group value exists in the Forwarding Agent Freight Group table.</t>
  </si>
  <si>
    <t>Verify the service agent procedure group value exists in the Service Agent Procedure Group for Shipment Costs table.</t>
  </si>
  <si>
    <t>Verify the VIP partner value exists in the Contact Person: VIP Indicator table.</t>
  </si>
  <si>
    <t>Verify the vendor vhipping conditions value exists in the Shipping Conditions table.</t>
  </si>
  <si>
    <t>Verify the order optimization restriction value exists in the Customizing Table for Opt. PO-Based Load Building Profiles table.</t>
  </si>
  <si>
    <t>Verify the vendor unit of measure group value exists in the Unit of Measure Group table.</t>
  </si>
  <si>
    <t>Verify the PROACT control profile value exists in the Control Profiles for Tansferring Material Data to Vendor table.</t>
  </si>
  <si>
    <t>Verify the price marking agreed value exists in the Price Marking Agreement table.</t>
  </si>
  <si>
    <t>Verify the vendor group key value exists in the Grouping Rules for Automatic Payments table.</t>
  </si>
  <si>
    <t>Verify the vendor transportation zone value exists in the Customers: Regional Zones table.</t>
  </si>
  <si>
    <t>Verify the vendor sort key value exists in the Rules for 'Allocation' Field Layout table.</t>
  </si>
  <si>
    <t>Verify the vendor release approval group value exists in the Release Groups table.</t>
  </si>
  <si>
    <t>Verify the DME indicator value is valid according to the appropriate refeence domain or value range.</t>
  </si>
  <si>
    <t>Verify the exemption authority value is valid according to the appropriate reference domain or value range.</t>
  </si>
  <si>
    <t>Verify the pricing date control value is valid according to the appropriate reference domain or value range.</t>
  </si>
  <si>
    <t>Verify the vendor city field is not empty.</t>
  </si>
  <si>
    <t>Verify the purchase order currency field is not empty.</t>
  </si>
  <si>
    <t>Verify the check flag double invoice field is not empty.</t>
  </si>
  <si>
    <t>Verify the vendor account group field is not empty.</t>
  </si>
  <si>
    <t>Verify the vendor Name of address field is not empty.</t>
  </si>
  <si>
    <t>Verify thevendor VAT registration number field is not empty.</t>
  </si>
  <si>
    <t>Verify the vendor email address field is not empty.</t>
  </si>
  <si>
    <t>Verify the sort field is not empty.</t>
  </si>
  <si>
    <t>Verify the bank key  field is not empty.</t>
  </si>
  <si>
    <t>Verify the search terms part 1 field is not empty.</t>
  </si>
  <si>
    <t>Verify the country key field is not empty.</t>
  </si>
  <si>
    <t>Verify the customer postal code exists for countries that require it.
Reference:
https://www.ups.com/worldshiphelp/WS15/ENU/AppHelp/Codes/Countries_Territories_Requiring_Postal_Codes.htm):</t>
  </si>
  <si>
    <t>Verify the PO box postal code is in the correct format.
Optional: Exclude customers by user-specified account groups KTOKD.</t>
  </si>
  <si>
    <t>Verify the postal code is in the correct format.
Optional: Exclude customers by user-specified account groups KTOKD.</t>
  </si>
  <si>
    <t>Verify the PO box postal code is in the correct format.
Optional: Exclude customers by user-specified account groups.</t>
  </si>
  <si>
    <t>ZB_G14_CUST_PostalCodeFormat</t>
  </si>
  <si>
    <t>ZB_G14_CUST_PostcodePopulated</t>
  </si>
  <si>
    <t>ZB_G14_CUST_PostalCodePOBFormat</t>
  </si>
  <si>
    <t>Vendor master data license table not found</t>
  </si>
  <si>
    <t>Vendor master data statistics group table not found</t>
  </si>
  <si>
    <t>LFA1-STCD1 does not have a lookup table reference</t>
  </si>
  <si>
    <t>Source table not found</t>
  </si>
  <si>
    <t>ZB_G13_MATL_TargetQMSystemRef</t>
  </si>
  <si>
    <t>ZB_G13_MATL_FairShareRuleIsValid</t>
  </si>
  <si>
    <t>ZB_G13_MATL_TaskListTypeRef</t>
  </si>
  <si>
    <t>ZB_G13_MATL_AvailabilityCheckPopulated</t>
  </si>
  <si>
    <t>ZB_G13_MATL_MRPTypeRef</t>
  </si>
  <si>
    <t>ZB_G13_MATL_TransportationGroupPopulated</t>
  </si>
  <si>
    <t>ZB_G13_MATL_SchedulingMarginKeyRef</t>
  </si>
  <si>
    <t>ZB_G13_MATL_LoadingGroupPopulated</t>
  </si>
  <si>
    <t>ZB_G13_MATL_BOMUsageRef</t>
  </si>
  <si>
    <t>ZB_G13_MATL_FIYearVariantRef</t>
  </si>
  <si>
    <t>ZB_G13_MATL_CCPhysicalInventoryIndicatorRef</t>
  </si>
  <si>
    <t>ZB_G13_MATL_UnitofMeasureGroupRef</t>
  </si>
  <si>
    <t>ZB_G13_MATL_StorageConditionRef</t>
  </si>
  <si>
    <t>ZB_G13_MATL_AvailabilityCheckRef</t>
  </si>
  <si>
    <t>ZB_G13_MATL_CatalogProfileRef</t>
  </si>
  <si>
    <t>ZB_G13_MATL_CommissionGroupRef</t>
  </si>
  <si>
    <t>ZB_G13_MATL_PurchasingGroupPopulated</t>
  </si>
  <si>
    <t>ZB_G13_MATL_WarehouseNumberPopulated</t>
  </si>
  <si>
    <t>ZB_G13_MATL_SerialNumberLevelIsValid</t>
  </si>
  <si>
    <t>ZB_G13_MATL_ProposedUOMfromMatIsValid</t>
  </si>
  <si>
    <t>ZB_G13_MATL_SpecialMovementRef</t>
  </si>
  <si>
    <t>ZB_G13_MATL_CommodityorImportCodeRef</t>
  </si>
  <si>
    <t>ZB_G13_MATL_SlocMRPIndicatorIsValid</t>
  </si>
  <si>
    <t>ZB_G13_MATL_SafetyTimeIndicatorIsValid</t>
  </si>
  <si>
    <t>ZB_G13_MATL_MaterialGroup3Ref</t>
  </si>
  <si>
    <t>ZB_G13_MATL_SalesOrgPopulated</t>
  </si>
  <si>
    <t>ZB_G13_MATL_CountryRef</t>
  </si>
  <si>
    <t>ZB_G13_MATL_MaterialStatisticsGroupRef</t>
  </si>
  <si>
    <t>ZB_G13_MATL_RegionRef</t>
  </si>
  <si>
    <t>ZB_G13_MATL_AccountAssignmentGroupRef</t>
  </si>
  <si>
    <t>ZB_G13_MATL_CrossPlantCMRef</t>
  </si>
  <si>
    <t>ZB_G13_MATL_MaterialPricingGroupRef</t>
  </si>
  <si>
    <t>ZB_G13_MATL_IndustrySectorRef</t>
  </si>
  <si>
    <t>ZB_G13_MATL_2StepPickingIsValid</t>
  </si>
  <si>
    <t>ZB_G13_MATL_RequirementsGroupIsValid</t>
  </si>
  <si>
    <t>ZB_G13_MATL_DistributionChannelPopulated</t>
  </si>
  <si>
    <t>ZB_G13_MATL_DistributionChannelRef</t>
  </si>
  <si>
    <t>ZB_G13_MATL_CrossProjectIsValid</t>
  </si>
  <si>
    <t>ZB_G13_MATL_MaterialGroup5Ref</t>
  </si>
  <si>
    <t>ZB_G13_MATL_LaboratoryOfficeRef</t>
  </si>
  <si>
    <t>ZB_G13_MATL_ExemptionCertificateIsValid</t>
  </si>
  <si>
    <t>ZB_G13_MATL_GeneralItemCategoryGroupRef</t>
  </si>
  <si>
    <t>ZB_G13_MATL_StockRemovalorReplacementRef</t>
  </si>
  <si>
    <t>ZB_G13_MATL_CrossDistributionChainStatusRef</t>
  </si>
  <si>
    <t>ZB_G13_MATL_MaterialNumberPopulated</t>
  </si>
  <si>
    <t>ZB_G13_MATL_CertificateTypeRefeference</t>
  </si>
  <si>
    <t>ZB_G13_MATL_PickingStorageTypeRef</t>
  </si>
  <si>
    <t>ZB_G13_MATL_BaseUnitofMeasureRef</t>
  </si>
  <si>
    <t>ZB_G13_MATL_PeriodIndicatorforSLEDRef</t>
  </si>
  <si>
    <t>ZB_G13_MATL_PlantRef</t>
  </si>
  <si>
    <t>ZB_G13_MATL_BaseUnitOfMeasurePopulated</t>
  </si>
  <si>
    <t>ZB_G13_MATL_ActionControlRef</t>
  </si>
  <si>
    <t>ZB_G13_MATL_PriceDeterminationIsValid</t>
  </si>
  <si>
    <t>ZB_G13_MATL_LabFormRef</t>
  </si>
  <si>
    <t>ZB_G13_MATL_QualforFreeGoodsDiscIsValid</t>
  </si>
  <si>
    <t>ZB_G13_MATL_REMProfileRef</t>
  </si>
  <si>
    <t>ZB_G13_MATL_PlantSpecificMaterialStatusRef</t>
  </si>
  <si>
    <t>ZB_G13_MATL_LoadingGroupRef</t>
  </si>
  <si>
    <t>ZB_G13_MATL_ConfigurableMaterialRef</t>
  </si>
  <si>
    <t>ZB_G13_MATL_VarianceKeyRef</t>
  </si>
  <si>
    <t>ZB_G13_MATL_PlantPopulated</t>
  </si>
  <si>
    <t>ZB_G13_MATL_ManufacturerRef</t>
  </si>
  <si>
    <t>ZB_G13_MATL_PriceControlPopulated</t>
  </si>
  <si>
    <t>ZB_G13_MATL_PlanningCycleRef</t>
  </si>
  <si>
    <t>ZB_G13_MATL_ABCIndicatorRef</t>
  </si>
  <si>
    <t>ZB_G13_MATL_ProductAllocationRef</t>
  </si>
  <si>
    <t>ZB_G13_MATL_MaterialGroupRef</t>
  </si>
  <si>
    <t>ZB_G13_MATL_QuotaArrangementUsageRef</t>
  </si>
  <si>
    <t>ZB_G13_MATL_PurchasingValueKeyRef</t>
  </si>
  <si>
    <t>ZB_G13_MATL_QMMaterialAuthorizationRef</t>
  </si>
  <si>
    <t>ZB_G13_MATL_MaterialGroupPackagingMatlsRef</t>
  </si>
  <si>
    <t>ZB_G13_MATL_LotSizeRef</t>
  </si>
  <si>
    <t>ZB_G13_MATL_HazardousMaterialNumberRef</t>
  </si>
  <si>
    <t>ZB_G13_MATL_SerialNumberProfileRef</t>
  </si>
  <si>
    <t>ZB_G13_MATL_DescriptionPopulated</t>
  </si>
  <si>
    <t>ZB_G13_MATL_DeliveringPlantRef</t>
  </si>
  <si>
    <t>ZB_G13_MATL_MaterialGroup1Ref</t>
  </si>
  <si>
    <t>ZB_G13_MATL_DistributionProfileRef</t>
  </si>
  <si>
    <t>ZB_G13_MATL_DivisionRef</t>
  </si>
  <si>
    <t>ZB_G13_MATL_BasicMaterialRef</t>
  </si>
  <si>
    <t>ZB_G13_MATL_PriceUnitPopulated</t>
  </si>
  <si>
    <t>ZB_G13_MATL_TemperatureConditionRef</t>
  </si>
  <si>
    <t>ZB_G13_MATL_StorageLocationPopulated</t>
  </si>
  <si>
    <t>ZB_G13_MATL_DiscontinuationIndIsValid</t>
  </si>
  <si>
    <t>ZB_G13_MATL_OriginGroupRef</t>
  </si>
  <si>
    <t>ZB_G13_MATL_MRPControllerPopulated</t>
  </si>
  <si>
    <t>ZB_G13_MATL_MRPTypePopulated</t>
  </si>
  <si>
    <t>ZB_G13_MATL_BatchEntryIsValid</t>
  </si>
  <si>
    <t>ZB_G13_MATL_ValuationClassRef</t>
  </si>
  <si>
    <t>ZB_G13_MATL_LabelTypeRef</t>
  </si>
  <si>
    <t>ZB_G13_MATL_PlanningPlantRef</t>
  </si>
  <si>
    <t>ZB_G13_MATL_ControlCodeRef</t>
  </si>
  <si>
    <t>ZB_G13_MATL_IndividualOrCollectiveIsValid</t>
  </si>
  <si>
    <t>ZB_G13_MATL_SUT1Ref</t>
  </si>
  <si>
    <t>ZB_G13_MATL_MixedMRPIndicatorIsValid</t>
  </si>
  <si>
    <t>ZB_G13_MATL_JITSchedulingIndicatorIsValid</t>
  </si>
  <si>
    <t>ZB_G13_MATL_MaterialGroupPopulated</t>
  </si>
  <si>
    <t>ZB_G13_MATL_MaterialTypeRef</t>
  </si>
  <si>
    <t>ZB_G13_MATL_StorageSectionIndicatorRef</t>
  </si>
  <si>
    <t>ZB_G13_MATL_StorageLocationRef</t>
  </si>
  <si>
    <t>ZB_G13_MATL_VolumeRebateGroupRef</t>
  </si>
  <si>
    <t>ZB_G13_MATL_SelectionMethodIsValid</t>
  </si>
  <si>
    <t>ZB_G13_MATL_CurrencyRef</t>
  </si>
  <si>
    <t>ZB_G13_MATL_CoverageProfileRef</t>
  </si>
  <si>
    <t>ZB_G13_MATL_ContainerRequirementsRef</t>
  </si>
  <si>
    <t>ZB_G13_MATL_EANCategoryRef</t>
  </si>
  <si>
    <t>ZB_G13_MATL_TransportationGroupRef</t>
  </si>
  <si>
    <t>ZB_G13_MATL_MRPGroupRef</t>
  </si>
  <si>
    <t>ZB_G13_MATL_OBManagementIsValid</t>
  </si>
  <si>
    <t>ZB_G13_MATL_ValuationClassPopulated</t>
  </si>
  <si>
    <t>ZB_G13_MATL_LogHandlingGroupRef</t>
  </si>
  <si>
    <t>ZB_G13_MATL_GroupRef</t>
  </si>
  <si>
    <t>ZB_G13_MATL_PurchasingGroupRef</t>
  </si>
  <si>
    <t>ZB_G13_MATL_PushDistributionIsValid</t>
  </si>
  <si>
    <t>ZB_G13_MATL_MaterialGroup4Ref</t>
  </si>
  <si>
    <t>ZB_G13_MATL_MaterialGroup2Ref</t>
  </si>
  <si>
    <t>ZB_G13_MATL_MaterialTypePopulated</t>
  </si>
  <si>
    <t>ZB_G13_MATL_OverallProfileRef</t>
  </si>
  <si>
    <t>ZB_G13_MATL_MRPControllerRef</t>
  </si>
  <si>
    <t>ZB_G13_MATL_IndustrySectorPopulated</t>
  </si>
  <si>
    <t>ZB_G13_MATL_ConsumptionModeIsValid</t>
  </si>
  <si>
    <t>ZB_G13_MATL_PriceControlIsValid</t>
  </si>
  <si>
    <t>ZB_G13_MATL_StrategyGroupRef</t>
  </si>
  <si>
    <t>ZB_G13_MATL_ProcurementTypeIsValid</t>
  </si>
  <si>
    <t>ZB_G13_MATL_ValuationCategoryRef</t>
  </si>
  <si>
    <t>ZB_G13_MATL_PeriodIndicatorIsValid</t>
  </si>
  <si>
    <t>ZB_G13_MATL_ExportOrImportGroupRef</t>
  </si>
  <si>
    <t>ZB_G13_MATL_RoundingRuleSLEDIsValid</t>
  </si>
  <si>
    <t>ZB_G13_MATL_QMControlKeyRef</t>
  </si>
  <si>
    <t>ZB_G13_MATL_StorageCostsIndicatorRef</t>
  </si>
  <si>
    <t>ZB_G13_MATL_BackflushIsValid</t>
  </si>
  <si>
    <t>ZB_G13_MATL_SUT2Ref</t>
  </si>
  <si>
    <t>ZB_G13_MATL_SUT3Ref</t>
  </si>
  <si>
    <t>ZB_G15_VNDR_LicensevalidToDatePopulated</t>
  </si>
  <si>
    <t>ZB_G15_VNDR_StatisticeGroupRef</t>
  </si>
  <si>
    <t>See Note
ZB_G15_VNDR_TaxNumberRef</t>
  </si>
  <si>
    <t>ZB_G15_VNDR_DMEIndicatorIsValid</t>
  </si>
  <si>
    <t>ZB_G15_VNDR_DunningClerkRef</t>
  </si>
  <si>
    <t>ZB_G15_VNDR_BankStatementIndicatorRef</t>
  </si>
  <si>
    <t>ZB_G15_VNDR_ExchangeRateTypeRef</t>
  </si>
  <si>
    <t>ZB_G15_VNDR_PartnerFunctionPopulated</t>
  </si>
  <si>
    <t>ZB_G15_VNDR_GroupingKeyRef</t>
  </si>
  <si>
    <t>ZB_G15_VNDR_CountryKeyRef</t>
  </si>
  <si>
    <t>ZB_G15_VNDR_TransportationZoneRef</t>
  </si>
  <si>
    <t>ZB_G15_VNDR_ExcemptionAuthorityIsValid</t>
  </si>
  <si>
    <t>ZB_G15_VNDR_WitholdingTaxRef</t>
  </si>
  <si>
    <t>ZB_G15_VNDR_BankAccountNumberPopulated</t>
  </si>
  <si>
    <t>ZB_G15_VNDR_SelectionRuleRef</t>
  </si>
  <si>
    <t>ZB_G15_VNDR_PriceMarkingAgreedRef</t>
  </si>
  <si>
    <t>ZB_G15_VNDR_CityPopulated</t>
  </si>
  <si>
    <t>ZB_G15_VNDR_CompanyCodePopulated</t>
  </si>
  <si>
    <t>ZB_G15_VNDR_PricingDateControlIsValid</t>
  </si>
  <si>
    <t>ZB_G15_VNDR_LicenseNumberPopulated</t>
  </si>
  <si>
    <t>ZB_G15_VNDR_PROACTControlProfileRef</t>
  </si>
  <si>
    <t>ZB_G15_VNDR_HouseBankRef</t>
  </si>
  <si>
    <t>ZB_G15_VNDR_MaritalStatusRef</t>
  </si>
  <si>
    <t>ZB_G15_VNDR_POCurrencyPopulated</t>
  </si>
  <si>
    <t>ZB_G15_VNDR_PostalCodeAndCityPopulated</t>
  </si>
  <si>
    <t>ZB_G15_VNDR_UnitOfMeasureGroupRef</t>
  </si>
  <si>
    <t>ZB_G15_VNDR_ReconAccountPopulated</t>
  </si>
  <si>
    <t>ZB_G15_VNDR_DunningNoticeGroupingKeyRef</t>
  </si>
  <si>
    <t>ZB_G15_VNDR_ContactPersonDepartmentRef</t>
  </si>
  <si>
    <t>ZB_G15_VNDR_InterestCalculationIndicatorRef</t>
  </si>
  <si>
    <t>ZB_G15_VNDR_InterestCycleIsValid</t>
  </si>
  <si>
    <t>ZB_G15_VNDR_CompanyCodeRef</t>
  </si>
  <si>
    <t>ZB_G15_VNDR_SortKeyRef</t>
  </si>
  <si>
    <t>ZB_G15_VNDR_FiscalAddressRef</t>
  </si>
  <si>
    <t>ZB_G15_VNDR_AccountingClerkRef</t>
  </si>
  <si>
    <t>ZB_G15_VNDR_CheckFlagDoubleInvoicePopulated</t>
  </si>
  <si>
    <t>ZB_G15_VNDR_ReleaseGroupRef</t>
  </si>
  <si>
    <t>ZB_G15_VNDR_TitleIsValid</t>
  </si>
  <si>
    <t>ZB_G15_VNDR_TradingPartnerRef</t>
  </si>
  <si>
    <t>ZB_G15_VNDR_BankCountryKeyPopulated</t>
  </si>
  <si>
    <t>ZB_G15_VNDR_AccountGroupPopulated</t>
  </si>
  <si>
    <t>ZB_G15_VNDR_FIYearVariantRef</t>
  </si>
  <si>
    <t>ZB_G15_VNDR_ServiceAgentProcedureGroupRef</t>
  </si>
  <si>
    <t>ZB_G15_VNDR_PODRelevantIsValid</t>
  </si>
  <si>
    <t>ZB_G15_VNDR_TermsOfPaymentRef</t>
  </si>
  <si>
    <t>ZB_G15_VNDR_CanadaPostalCodeValid</t>
  </si>
  <si>
    <t>ZB_G15_VNDR_LicenseValidFromDatePopulated</t>
  </si>
  <si>
    <t>ZB_G15_VNDR_SortCriterionIsValid</t>
  </si>
  <si>
    <t>ZB_G15_VNDR_PurchasingGroupRef</t>
  </si>
  <si>
    <t>ZB_G15_VNDR_SexIsValid</t>
  </si>
  <si>
    <t>ZB_G15_VNDR_NameOfAnAddressPopulated</t>
  </si>
  <si>
    <t>ZB_G15_VNDR_BUPANumberPopulated</t>
  </si>
  <si>
    <t>ZB_G15_VNDR_VATRegistrationNumberPopulated</t>
  </si>
  <si>
    <t>ZB_G15_VNDR_OrderOptimizationRestVendorRef</t>
  </si>
  <si>
    <t>ZB_G15_VNDR_POCurrencyRef</t>
  </si>
  <si>
    <t>ZB_G15_VNDR_PartnerFunctionRef</t>
  </si>
  <si>
    <t>ZB_G15_VNDR_RegionRef</t>
  </si>
  <si>
    <t>ZB_G15_VNDR_IndustryRef</t>
  </si>
  <si>
    <t>ZB_G15_VNDR_EmailAddressPopulated</t>
  </si>
  <si>
    <t>ZB_G15_VNDR_GenderIsValid</t>
  </si>
  <si>
    <t>ZB_G15_VNDR_SortFieldPopulated</t>
  </si>
  <si>
    <t>ZB_G15_VNDR_CanadaPOBoxPostalCodeValid</t>
  </si>
  <si>
    <t>ZB_G15_VNDR_NextPayeeRef</t>
  </si>
  <si>
    <t>ZB_G15_VNDR_VIPPartnerRef</t>
  </si>
  <si>
    <t>ZB_G15_VNDR_RegionPopulated</t>
  </si>
  <si>
    <t>ZB_G15_VNDR_BankKeyPopulated</t>
  </si>
  <si>
    <t>ZB_G15_VNDR_ReconAccountRef</t>
  </si>
  <si>
    <t>ZB_G15_VNDR_OfficeOfEntryRef</t>
  </si>
  <si>
    <t>ZB_G15_VNDR_SearchTerm1Populated</t>
  </si>
  <si>
    <t>ZB_G15_VNDR_CarrierFreightGroupRef</t>
  </si>
  <si>
    <t>ZB_G15_VNDR_LanguageKeyPopulated</t>
  </si>
  <si>
    <t>ZB_G15_VNDR_PaymentBlockRef</t>
  </si>
  <si>
    <t>ZB_G15_VNDR_IndustryCodeRef</t>
  </si>
  <si>
    <t>ZB_G15_VNDR_SchemaGroupVendorRef</t>
  </si>
  <si>
    <t>ZB_G15_VNDR_ContactPersonFunctionRef</t>
  </si>
  <si>
    <t>ZB_G15_VNDR_IncotermsPart1Ref</t>
  </si>
  <si>
    <t>ZB_G15_VNDR_ToleranceGroupRef</t>
  </si>
  <si>
    <t>ZB_G15_VNDR_QMSystemRef</t>
  </si>
  <si>
    <t>ZB_G15_VNDR_ConfirmationControlRef</t>
  </si>
  <si>
    <t>ZB_G15_VNDR_PaymentMethodRef</t>
  </si>
  <si>
    <t>ZB_G15_VNDR_DunningBlockRef</t>
  </si>
  <si>
    <t>ZB_G15_VNDR_TaxNumberTypeRef</t>
  </si>
  <si>
    <t>ZB_G15_VNDR_CustomerNumber1Ref</t>
  </si>
  <si>
    <t>ZB_G15_VNDR_DunningRecipientRef</t>
  </si>
  <si>
    <t>ZB_G15_VNDR_BuyingHabitsRef</t>
  </si>
  <si>
    <t>ZB_G15_VNDR_AccountGroupRef</t>
  </si>
  <si>
    <t>ZB_G15_VNDR_ShippingConditionsRef</t>
  </si>
  <si>
    <t>ZB_G15_VNDR_AuthorityRef</t>
  </si>
  <si>
    <t>ZB_G15_VNDR_CountryCodePopulated</t>
  </si>
  <si>
    <t>ZB_G15_VNDR_CallFrequencyRef</t>
  </si>
  <si>
    <t>ZB_G15_VNDR_CountryKeyPopulated</t>
  </si>
  <si>
    <t>ZB_G15_VNDR_DunningProcedureRef</t>
  </si>
  <si>
    <t>ZB_G15_VNDR_PostcodePopulated</t>
  </si>
  <si>
    <t>ZB_G15_VNDR_PostalCodeFormat</t>
  </si>
  <si>
    <t>ZB_G15_VNDR_PostalCodePOBFormat</t>
  </si>
  <si>
    <t>ZB_G15_VNDR_DunningRecipientCompCodeRef</t>
  </si>
  <si>
    <t>ZB_G15_VNDR_FirstTelephoneNumberPopulated</t>
  </si>
  <si>
    <t>ZB_G15_VNDR_TermsOfPaymentPopulated</t>
  </si>
  <si>
    <t>ZB_G15_VNDR_TINFormat</t>
  </si>
  <si>
    <t>ZB_G15_VNDR_TIN_Populated</t>
  </si>
  <si>
    <t>ZB_G15_VNDR_PhoneNumber2Format</t>
  </si>
  <si>
    <t>ZB_G15_VNDR_PhoneNumber1Format</t>
  </si>
  <si>
    <t>Verify the company code value exists in the Company Code table.</t>
  </si>
  <si>
    <t>Verify this fiscal address vendor number exists in the Vendor Master table.</t>
  </si>
  <si>
    <t>ZB_G15_VNDR_LanguageKeyRef</t>
  </si>
  <si>
    <t>ZB_G15_VNDR_DMEInstructionKeyRef</t>
  </si>
  <si>
    <t>Verify the DME instruction key value exists in the Instruction Key table.</t>
  </si>
  <si>
    <t>ZB_G13_MATL_MaterialFreightGroupRef</t>
  </si>
  <si>
    <t>ZB_G13_MATL_SchedulingMarginKeyPopulated</t>
  </si>
  <si>
    <t>Requirements Group domain reference parameter</t>
  </si>
  <si>
    <t>Picking storage type reference parameter</t>
  </si>
  <si>
    <t>ZB_G13_MATL_TaxIndicatorForMaterialRef</t>
  </si>
  <si>
    <t>ZB_G13_MATL_BulkStorageRef</t>
  </si>
  <si>
    <t>MAT0320_ReferenceMatlForPackagingRef</t>
  </si>
  <si>
    <t>ZB_G13_MATL_MRPDependentReqtIsValid</t>
  </si>
  <si>
    <t>Verify the rounding rule for calculating shelf life expiration date (SLED) of a material is valid according to the appropriate reference domain or value range.</t>
  </si>
  <si>
    <t>Verify the storage costs Indicator value exists in the Warehouse Costs for MRP Lot Size table.</t>
  </si>
  <si>
    <t>Filter Expression</t>
  </si>
  <si>
    <t>ISfilter</t>
  </si>
  <si>
    <t>ISrule</t>
  </si>
  <si>
    <t>ZB_G13_MATL_ReferenceMatlForPackagingRef</t>
  </si>
  <si>
    <t>Verify the 2nd storage unit type value exists in the Storage Unit Types table.</t>
  </si>
  <si>
    <t>Verify the 3rd storage unit type value exists in the Storage Unit Types table.</t>
  </si>
  <si>
    <t>Verify the 1st storage unit type value exists in the Storage Unit Types table.</t>
  </si>
  <si>
    <t>Not needed.  The input field is a primary key, so it can never be NULL or empty</t>
  </si>
  <si>
    <t>DISKX</t>
  </si>
  <si>
    <t>0981</t>
  </si>
  <si>
    <t>0982</t>
  </si>
  <si>
    <t>MAT0981_StorageLocationPopulated</t>
  </si>
  <si>
    <t>MAT0982_StorageLocationRef</t>
  </si>
  <si>
    <t>Verify the storage location MRP indicator value for a Material is valid according to the appropriate reference domain or value range.</t>
  </si>
  <si>
    <t>$P_I_StorageLocMRPInd</t>
  </si>
  <si>
    <t>BEGIN RETURN
   $P_I_FairShare_Rule IN ('A', 'B', 'X');
END</t>
  </si>
  <si>
    <t>BEGIN RETURN
   $P_I_SerialNoDomain IN ('1');
END</t>
  </si>
  <si>
    <t>BEGIN RETURN
   $P_I_ProposedUOM IN ('A','B', 'K', 'L', 'M', 'N');
END</t>
  </si>
  <si>
    <t>BEGIN RETURN
   $P_I_StorageLocMRP_ind IN ('1', '2');
END</t>
  </si>
  <si>
    <t>BEGIN RETURN
   $P_I_SafetyTimeInd IN ('1','2');
END</t>
  </si>
  <si>
    <t>BEGIN RETURN
   $P_I_2StepPicking IN ('2');
END</t>
  </si>
  <si>
    <t>BEGIN RETURN
   $P_I_RequirementGroup IN ('T', '0');
END</t>
  </si>
  <si>
    <t>BEGIN RETURN
   $P_I_CrossProjectDomain IN ('1');
END</t>
  </si>
  <si>
    <t>BEGIN RETURN
   $P_I_ExcemptionCertificate IN ('A', 'B', 'C');
END</t>
  </si>
  <si>
    <t>BEGIN RETURN
   $P_I_PriceDetermination IN ('2', '3');
END</t>
  </si>
  <si>
    <t>BEGIN RETURN
   $P_I_QualForFreeGoodsDis IN ('1', '2', '3');
END</t>
  </si>
  <si>
    <t>$P_I_QualForFreeGoodsDisc</t>
  </si>
  <si>
    <t>BEGIN RETURN
   $P_I_DiscontinuationInd IN ('1', '3');
END</t>
  </si>
  <si>
    <t>BEGIN RETURN
   $P_I_BatchEntryDomain IN ('1', '2', '3');
END</t>
  </si>
  <si>
    <t>BEGIN RETURN
$P_I_IndividualOrCollective IS NULL
   $P_I_IndividualOrCollective IN ('1', '2');
END</t>
  </si>
  <si>
    <t>BEGIN RETURN
   $P_I_MixedMRP IN ('1','2', '3');
END</t>
  </si>
  <si>
    <t>BEGIN RETURN
   $P_I_JITSchedulingInd IN ('1');
END</t>
  </si>
  <si>
    <t>BEGIN RETURN
   $P_I_SelectionMethod IN ('1', '2', '3');
END</t>
  </si>
  <si>
    <t>BEGIN RETURN
   $P_I_MRPDependent IN ('1');
END</t>
  </si>
  <si>
    <t>BEGIN RETURN
   $P_I_OBManagement IN ('1');
END</t>
  </si>
  <si>
    <t>BEGIN RETURN
   $P_I_PushDistribution IN ('P', 'X');
END</t>
  </si>
  <si>
    <t>BEGIN RETURN
   $P_I_ConsuptionMode IN ('1','2', '3', '4');
END</t>
  </si>
  <si>
    <t>BEGIN RETURN
   $P_I_ProcurementType IN ('E', 'F', 'X');
END</t>
  </si>
  <si>
    <t>BEGIN RETURN
   $P_I_PriceControl IN ('S', 'V');
END</t>
  </si>
  <si>
    <t>BEGIN RETURN
   $P_I_PeriodInd IN ('P','M', 'W', 'T');
END</t>
  </si>
  <si>
    <t>BEGIN RETURN
   $P_I_RoundingRuleSLED IN ('-', '+', 'F');
END</t>
  </si>
  <si>
    <t>BEGIN RETURN
   $P_I_BackFlushDomain IN ('1', '2');
END</t>
  </si>
  <si>
    <t>BEGIN RETURN
   $P_I_NuclearNonProliferation = 'X';
END</t>
  </si>
  <si>
    <t>BEGIN RETURN
   $P_I_NationalSecurityInd = 'X';
END</t>
  </si>
  <si>
    <t>BEGIN RETURN
   $P_I_InterestCycle IN ('01', '02', '03', '04', '05', '06', '07', '08', '09', '10', '11', '12');
END</t>
  </si>
  <si>
    <t>BEGIN RETURN
   $P_I_BoycottList = 'X';
END</t>
  </si>
  <si>
    <t>BEGIN RETURN
   $P_I_LicenseValidToDate != to_date('', 'yyyy.mm.dd');
END</t>
  </si>
  <si>
    <t>BEGIN RETURN
   $P_I_Gender IN ('1', '2');
END</t>
  </si>
  <si>
    <t>BEGIN RETURN
   $P_I_LicenseValidFromDate != to_date('', 'yyyy.mm.dd');
END</t>
  </si>
  <si>
    <t>BEGIN RETURN
   $P_I_PODRelevant = 'X';
END</t>
  </si>
  <si>
    <t>BEGIN RETURN
   $P_I_MissleTechnologyInd = 'X';
END</t>
  </si>
  <si>
    <t>BEGIN RETURN
   $P_I_PartialDelivery IN ('A', 'B', 'C', 'D');
END</t>
  </si>
  <si>
    <t>BEGIN RETURN
   $P_I_CivilianUse = 'X';
END</t>
  </si>
  <si>
    <t>BEGIN RETURN
   $P_I_BiochemWarfare = 'X';
END</t>
  </si>
  <si>
    <t>Checking group for availability check</t>
  </si>
  <si>
    <t>Verify the commission group value exists in the Commission Groups table.</t>
  </si>
  <si>
    <t>Special movement indicator for warehouse mgmt.</t>
  </si>
  <si>
    <t>Commodity Code/Import Code number for foreign trade</t>
  </si>
  <si>
    <t>Distribution channel</t>
  </si>
  <si>
    <t>Sales organization</t>
  </si>
  <si>
    <t>Period indicator for shelf life expiration date</t>
  </si>
  <si>
    <t>Base unit of measure</t>
  </si>
  <si>
    <t>Loading group</t>
  </si>
  <si>
    <t>Plant-specific material status</t>
  </si>
  <si>
    <t>Variance key</t>
  </si>
  <si>
    <t>Verify the planning cycle value exists in T439G: PPplanning periods: header table.</t>
  </si>
  <si>
    <t>Material group</t>
  </si>
  <si>
    <t>Material authorization group for activities in QM</t>
  </si>
  <si>
    <t>Material Group: Packaging materials</t>
  </si>
  <si>
    <t>Serial number profile</t>
  </si>
  <si>
    <t>Basic material</t>
  </si>
  <si>
    <t>Origin Group as subdivision of Cost Element</t>
  </si>
  <si>
    <t>Valuation class</t>
  </si>
  <si>
    <t>Material type</t>
  </si>
  <si>
    <t>Planning plant</t>
  </si>
  <si>
    <t>Storage section indicators</t>
  </si>
  <si>
    <t>Transportation group</t>
  </si>
  <si>
    <t>Purchasing group</t>
  </si>
  <si>
    <t>Valuation category</t>
  </si>
  <si>
    <t>Control key for quality management in procurement</t>
  </si>
  <si>
    <t>Warehouse number / Warehouse complex</t>
  </si>
  <si>
    <t>Scheduling margin key for floats</t>
  </si>
  <si>
    <t>MRP controller (Materials Planner)</t>
  </si>
  <si>
    <t>MRP type</t>
  </si>
  <si>
    <t>ZB_G13_MATL_SalesOrgRef</t>
  </si>
  <si>
    <t>MDIP</t>
  </si>
  <si>
    <t>VPWRK</t>
  </si>
  <si>
    <t>Also MDTB-WRK02 (Planning/production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</si>
</sst>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8"/>
      <name val="Calibri"/>
      <family val="2"/>
      <scheme val="minor"/>
    </font>
    <font>
      <sz val="9"/>
      <color theme="1"/>
      <name val="Consolas"/>
      <family val="3"/>
    </font>
    <font>
      <sz val="9"/>
      <color rgb="FFFF0000"/>
      <name val="Consolas"/>
      <family val="3"/>
    </font>
    <font>
      <b/>
      <sz val="9"/>
      <color rgb="FFFF0000"/>
      <name val="Consolas"/>
      <family val="3"/>
    </font>
    <font>
      <sz val="11"/>
      <color rgb="FFFF0000"/>
      <name val="Calibri"/>
      <family val="2"/>
      <scheme val="minor"/>
    </font>
    <font>
      <strike/>
      <sz val="11"/>
      <color theme="1"/>
      <name val="Calibri"/>
      <family val="2"/>
      <scheme val="minor"/>
    </font>
    <font>
      <strike/>
      <sz val="9"/>
      <color theme="1"/>
      <name val="Consolas"/>
      <family val="3"/>
    </font>
    <font>
      <sz val="8"/>
      <color theme="1"/>
      <name val="Consolas"/>
      <family val="3"/>
    </font>
    <font>
      <sz val="9"/>
      <color theme="1"/>
      <name val="Calibri"/>
      <family val="2"/>
      <scheme val="minor"/>
    </font>
    <font>
      <sz val="11"/>
      <color rgb="FF9C0006"/>
      <name val="Calibri"/>
      <family val="2"/>
      <scheme val="minor"/>
    </font>
    <font>
      <strike/>
      <sz val="9"/>
      <color rgb="FFFF0000"/>
      <name val="Consolas"/>
      <family val="3"/>
    </font>
    <font>
      <sz val="9"/>
      <name val="Consolas"/>
      <family val="3"/>
    </font>
    <font>
      <b/>
      <sz val="11"/>
      <color rgb="FFFF0000"/>
      <name val="Calibri"/>
      <family val="2"/>
      <scheme val="minor"/>
    </font>
    <font>
      <strike/>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C7CE"/>
      </patternFill>
    </fill>
    <fill>
      <patternFill patternType="solid">
        <fgColor theme="0" tint="-4.9989318521683403E-2"/>
        <bgColor indexed="64"/>
      </patternFill>
    </fill>
    <fill>
      <patternFill patternType="solid">
        <fgColor theme="2"/>
        <bgColor indexed="64"/>
      </patternFill>
    </fill>
  </fills>
  <borders count="3">
    <border>
      <left/>
      <right/>
      <top/>
      <bottom/>
      <diagonal/>
    </border>
    <border>
      <left/>
      <right/>
      <top style="thin">
        <color theme="4" tint="0.39997558519241921"/>
      </top>
      <bottom style="thin">
        <color theme="4" tint="0.39997558519241921"/>
      </bottom>
      <diagonal/>
    </border>
    <border>
      <left/>
      <right/>
      <top/>
      <bottom style="thin">
        <color indexed="64"/>
      </bottom>
      <diagonal/>
    </border>
  </borders>
  <cellStyleXfs count="2">
    <xf numFmtId="0" fontId="0" fillId="0" borderId="0"/>
    <xf numFmtId="0" fontId="10" fillId="3" borderId="0" applyNumberFormat="0" applyBorder="0" applyAlignment="0" applyProtection="0"/>
  </cellStyleXfs>
  <cellXfs count="59">
    <xf numFmtId="0" fontId="0" fillId="0" borderId="0" xfId="0"/>
    <xf numFmtId="49" fontId="0" fillId="0" borderId="0" xfId="0" applyNumberFormat="1"/>
    <xf numFmtId="49" fontId="0" fillId="0" borderId="0" xfId="0" applyNumberFormat="1" applyAlignment="1">
      <alignment wrapText="1"/>
    </xf>
    <xf numFmtId="0" fontId="0" fillId="0" borderId="0" xfId="0" applyAlignment="1">
      <alignment vertical="top"/>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wrapText="1"/>
    </xf>
    <xf numFmtId="49" fontId="0" fillId="0" borderId="0" xfId="0" applyNumberFormat="1" applyAlignment="1">
      <alignment vertical="center"/>
    </xf>
    <xf numFmtId="49" fontId="0" fillId="0" borderId="0" xfId="0" applyNumberFormat="1" applyAlignment="1">
      <alignment vertical="center" wrapText="1"/>
    </xf>
    <xf numFmtId="49" fontId="0" fillId="0" borderId="0" xfId="0" applyNumberFormat="1" applyAlignment="1">
      <alignment horizontal="center" vertical="center"/>
    </xf>
    <xf numFmtId="49" fontId="2" fillId="0" borderId="0" xfId="0" applyNumberFormat="1" applyFont="1" applyAlignment="1">
      <alignment vertical="center" wrapText="1"/>
    </xf>
    <xf numFmtId="0" fontId="2" fillId="0" borderId="0" xfId="0" applyFont="1" applyAlignment="1">
      <alignment vertical="center" wrapText="1"/>
    </xf>
    <xf numFmtId="0" fontId="0" fillId="0" borderId="0" xfId="0" applyAlignment="1">
      <alignment horizontal="center"/>
    </xf>
    <xf numFmtId="0" fontId="0" fillId="0" borderId="0" xfId="0" applyAlignment="1">
      <alignment vertical="center" wrapText="1"/>
    </xf>
    <xf numFmtId="49" fontId="6" fillId="0" borderId="0" xfId="0" applyNumberFormat="1" applyFont="1" applyAlignment="1">
      <alignment horizontal="center" vertical="center"/>
    </xf>
    <xf numFmtId="49" fontId="6" fillId="0" borderId="0" xfId="0" applyNumberFormat="1" applyFont="1" applyAlignment="1">
      <alignment vertical="center"/>
    </xf>
    <xf numFmtId="49" fontId="6" fillId="0" borderId="0" xfId="0" applyNumberFormat="1" applyFont="1" applyAlignment="1">
      <alignment vertical="center" wrapText="1"/>
    </xf>
    <xf numFmtId="0" fontId="7" fillId="0" borderId="0" xfId="0" applyFont="1" applyAlignment="1">
      <alignment vertical="center" wrapText="1"/>
    </xf>
    <xf numFmtId="0" fontId="6" fillId="0" borderId="0" xfId="0" applyFont="1" applyAlignment="1">
      <alignment vertical="center" wrapText="1"/>
    </xf>
    <xf numFmtId="0" fontId="6" fillId="0" borderId="0" xfId="0" applyFont="1"/>
    <xf numFmtId="0" fontId="0" fillId="0" borderId="0" xfId="0" applyAlignment="1">
      <alignment vertical="center"/>
    </xf>
    <xf numFmtId="0" fontId="8" fillId="0" borderId="0" xfId="0" applyFont="1" applyAlignment="1">
      <alignment vertical="center" wrapText="1"/>
    </xf>
    <xf numFmtId="0" fontId="9" fillId="0" borderId="0" xfId="0" applyFont="1" applyAlignment="1">
      <alignment vertical="center" wrapText="1"/>
    </xf>
    <xf numFmtId="49" fontId="0" fillId="2" borderId="0" xfId="0" applyNumberFormat="1" applyFill="1" applyAlignment="1">
      <alignment vertical="center"/>
    </xf>
    <xf numFmtId="49" fontId="0" fillId="2" borderId="0" xfId="0" applyNumberFormat="1" applyFill="1" applyAlignment="1">
      <alignment vertical="center" wrapText="1"/>
    </xf>
    <xf numFmtId="49" fontId="0" fillId="2" borderId="0" xfId="0" applyNumberFormat="1" applyFill="1" applyAlignment="1">
      <alignment vertical="top"/>
    </xf>
    <xf numFmtId="49" fontId="7" fillId="0" borderId="0" xfId="0" applyNumberFormat="1" applyFont="1" applyAlignment="1">
      <alignment vertical="center" wrapText="1"/>
    </xf>
    <xf numFmtId="0" fontId="6" fillId="0" borderId="0" xfId="0" applyFont="1" applyAlignment="1">
      <alignment vertical="center"/>
    </xf>
    <xf numFmtId="49" fontId="10" fillId="3" borderId="0" xfId="1" applyNumberFormat="1" applyAlignment="1">
      <alignment vertical="center"/>
    </xf>
    <xf numFmtId="49" fontId="0" fillId="0" borderId="1" xfId="0" applyNumberFormat="1" applyBorder="1" applyAlignment="1">
      <alignment vertical="center"/>
    </xf>
    <xf numFmtId="49" fontId="0" fillId="0" borderId="1" xfId="0" applyNumberFormat="1" applyBorder="1" applyAlignment="1">
      <alignment vertical="center" wrapText="1"/>
    </xf>
    <xf numFmtId="0" fontId="0" fillId="0" borderId="0" xfId="0" applyAlignment="1">
      <alignment horizontal="center" vertical="center"/>
    </xf>
    <xf numFmtId="0" fontId="10" fillId="3" borderId="0" xfId="1" applyAlignment="1">
      <alignment vertical="center" wrapText="1"/>
    </xf>
    <xf numFmtId="0" fontId="10" fillId="3" borderId="0" xfId="1" applyAlignment="1">
      <alignment vertical="center"/>
    </xf>
    <xf numFmtId="0" fontId="10" fillId="3" borderId="0" xfId="1"/>
    <xf numFmtId="0" fontId="10" fillId="3" borderId="0" xfId="1" applyAlignment="1"/>
    <xf numFmtId="0" fontId="10" fillId="3" borderId="0" xfId="1" applyAlignment="1">
      <alignment horizontal="center" vertical="center"/>
    </xf>
    <xf numFmtId="0" fontId="10" fillId="3" borderId="0" xfId="1" applyAlignment="1">
      <alignment wrapText="1"/>
    </xf>
    <xf numFmtId="0" fontId="6" fillId="0" borderId="0" xfId="0" applyFont="1" applyAlignment="1">
      <alignment vertical="top"/>
    </xf>
    <xf numFmtId="49" fontId="6" fillId="2" borderId="0" xfId="0" applyNumberFormat="1" applyFont="1" applyFill="1" applyAlignment="1">
      <alignment vertical="center"/>
    </xf>
    <xf numFmtId="49" fontId="6" fillId="2" borderId="0" xfId="0" applyNumberFormat="1" applyFont="1" applyFill="1" applyAlignment="1">
      <alignment vertical="center" wrapText="1"/>
    </xf>
    <xf numFmtId="49" fontId="2" fillId="0" borderId="0" xfId="0" quotePrefix="1" applyNumberFormat="1" applyFont="1" applyAlignment="1">
      <alignment vertical="center" wrapText="1"/>
    </xf>
    <xf numFmtId="49" fontId="5" fillId="0" borderId="0" xfId="0" applyNumberFormat="1" applyFont="1" applyAlignment="1">
      <alignment vertical="center" wrapText="1"/>
    </xf>
    <xf numFmtId="0" fontId="3" fillId="0" borderId="0" xfId="0" applyFont="1" applyAlignment="1">
      <alignment vertical="center" wrapText="1"/>
    </xf>
    <xf numFmtId="0" fontId="0" fillId="4" borderId="0" xfId="0" applyFill="1"/>
    <xf numFmtId="0" fontId="5" fillId="0" borderId="0" xfId="0" applyFont="1" applyAlignment="1">
      <alignment vertical="center"/>
    </xf>
    <xf numFmtId="49" fontId="0" fillId="5" borderId="0" xfId="0" applyNumberFormat="1" applyFill="1" applyAlignment="1">
      <alignment vertical="center"/>
    </xf>
    <xf numFmtId="49" fontId="0" fillId="5" borderId="0" xfId="0" applyNumberFormat="1" applyFill="1" applyAlignment="1">
      <alignment vertical="center" wrapText="1"/>
    </xf>
    <xf numFmtId="49" fontId="6" fillId="5" borderId="0" xfId="0" applyNumberFormat="1" applyFont="1" applyFill="1" applyAlignment="1">
      <alignment vertical="center"/>
    </xf>
    <xf numFmtId="49" fontId="6" fillId="5" borderId="0" xfId="0" applyNumberFormat="1"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vertical="center" wrapText="1"/>
    </xf>
    <xf numFmtId="0" fontId="6" fillId="0" borderId="0" xfId="0" applyFont="1" applyAlignment="1">
      <alignment horizontal="center" vertical="center"/>
    </xf>
    <xf numFmtId="49" fontId="0" fillId="0" borderId="2" xfId="0" applyNumberFormat="1" applyBorder="1" applyAlignment="1">
      <alignment vertical="center" wrapText="1"/>
    </xf>
    <xf numFmtId="0" fontId="5" fillId="0" borderId="0" xfId="0" applyFont="1" applyAlignment="1">
      <alignment vertical="center" wrapText="1"/>
    </xf>
    <xf numFmtId="0" fontId="10" fillId="3" borderId="0" xfId="1" applyNumberFormat="1" applyAlignment="1">
      <alignment vertical="center" wrapText="1"/>
    </xf>
    <xf numFmtId="0" fontId="14" fillId="0" borderId="0" xfId="0" applyFont="1" applyAlignment="1">
      <alignment vertical="center" wrapText="1"/>
    </xf>
    <xf numFmtId="0" fontId="13" fillId="0" borderId="0" xfId="0" applyFont="1" applyAlignment="1">
      <alignment vertical="center" wrapText="1"/>
    </xf>
    <xf numFmtId="0" fontId="0" fillId="0" borderId="0" xfId="0" quotePrefix="1" applyAlignment="1">
      <alignment horizontal="center" vertical="center"/>
    </xf>
  </cellXfs>
  <cellStyles count="2">
    <cellStyle name="Bad" xfId="1" builtinId="27"/>
    <cellStyle name="Normal" xfId="0" builtinId="0"/>
  </cellStyles>
  <dxfs count="46">
    <dxf>
      <alignment horizontal="general" vertical="bottom"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numFmt numFmtId="30" formatCode="@"/>
      <alignment horizontal="general" vertical="center" textRotation="0" wrapText="1" indent="0" justifyLastLine="0" shrinkToFit="0" readingOrder="0"/>
    </dxf>
    <dxf>
      <font>
        <outline val="0"/>
        <shadow val="0"/>
        <u val="none"/>
        <vertAlign val="baseline"/>
        <sz val="9"/>
        <name val="Consolas"/>
        <family val="3"/>
        <scheme val="none"/>
      </font>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9"/>
        <color theme="1"/>
        <name val="Consolas"/>
        <family val="3"/>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1"/>
        <name val="Consolas"/>
        <family val="3"/>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1"/>
        <name val="Consolas"/>
        <family val="3"/>
        <scheme val="none"/>
      </font>
      <alignment horizontal="general" vertical="center" textRotation="0" wrapText="1" indent="0" justifyLastLine="0" shrinkToFit="0" readingOrder="0"/>
    </dxf>
    <dxf>
      <font>
        <strike val="0"/>
        <outline val="0"/>
        <shadow val="0"/>
        <u val="none"/>
        <vertAlign val="baseline"/>
        <sz val="9"/>
        <color theme="1"/>
        <name val="Consolas"/>
        <family val="3"/>
        <scheme val="none"/>
      </font>
      <alignment horizontal="general" vertical="center" textRotation="0" wrapText="1" indent="0" justifyLastLine="0" shrinkToFit="0" readingOrder="0"/>
    </dxf>
    <dxf>
      <numFmt numFmtId="30" formatCode="@"/>
      <alignment horizontal="general" vertical="center" textRotation="0" indent="0" justifyLastLine="0" shrinkToFit="0" readingOrder="0"/>
    </dxf>
    <dxf>
      <numFmt numFmtId="30" formatCode="@"/>
      <alignment horizontal="general" vertical="center" textRotation="0"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indent="0" justifyLastLine="0" shrinkToFit="0" readingOrder="0"/>
    </dxf>
    <dxf>
      <numFmt numFmtId="30" formatCode="@"/>
      <alignment horizontal="general" vertical="center" textRotation="0" indent="0" justifyLastLine="0" shrinkToFit="0" readingOrder="0"/>
    </dxf>
    <dxf>
      <numFmt numFmtId="30" formatCode="@"/>
      <alignment horizontal="general" vertical="center" textRotation="0" wrapText="0" indent="0" justifyLastLine="0" shrinkToFit="0" readingOrder="0"/>
    </dxf>
    <dxf>
      <numFmt numFmtId="30" formatCode="@"/>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9"/>
        <color theme="1"/>
        <name val="Consolas"/>
        <family val="3"/>
        <scheme val="none"/>
      </font>
      <numFmt numFmtId="0" formatCode="General"/>
      <alignment horizontal="general" vertical="center" textRotation="0" wrapText="1" indent="0" justifyLastLine="0" shrinkToFit="0" readingOrder="0"/>
    </dxf>
    <dxf>
      <font>
        <b val="0"/>
      </font>
      <alignment horizontal="general" vertical="center" textRotation="0" indent="0" justifyLastLine="0" shrinkToFit="0" readingOrder="0"/>
    </dxf>
    <dxf>
      <numFmt numFmtId="0" formatCode="General"/>
      <alignment horizontal="general" vertical="center" textRotation="0" wrapText="1" indent="0" justifyLastLine="0" shrinkToFit="0" readingOrder="0"/>
    </dxf>
    <dxf>
      <numFmt numFmtId="30" formatCode="@"/>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30" formatCode="@"/>
      <alignment horizontal="general" vertical="center" textRotation="0" indent="0" justifyLastLine="0" shrinkToFit="0" readingOrder="0"/>
    </dxf>
    <dxf>
      <numFmt numFmtId="30" formatCode="@"/>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30" formatCode="@"/>
      <alignment horizontal="center" vertical="center" textRotation="0" wrapText="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http://www.sap.com/ICC/Rule' xmlns:ns2='http://www.sap.com/ICC/VirtualView'">
  <Schema ID="Schema1" Namespace="http://www.sap.com/ICC/Rule">
    <xsd:schema xmlns:xsd="http://www.w3.org/2001/XMLSchema" xmlns:ns0="http://www.sap.com/ICC/Rule" xmlns="" targetNamespace="http://www.sap.com/ICC/Rule">
      <xsd:element nillable="true" name="RuleExport">
        <xsd:complexType>
          <xsd:sequence minOccurs="0">
            <xsd:element minOccurs="0" nillable="true" name="RuleInfo" form="qualified">
              <xsd:complexType>
                <xsd:sequence minOccurs="0">
                  <xsd:element minOccurs="0" nillable="true" name="Rule" form="qualified">
                    <xsd:complexType>
                      <xsd:sequence minOccurs="0">
                        <xsd:element minOccurs="0" nillable="true" type="xsd:string" name="name" form="qualified"/>
                        <xsd:element minOccurs="0" nillable="true" type="xsd:string" name="grammar_version" form="qualified"/>
                        <xsd:element minOccurs="0" nillable="true" type="xsd:string" name="description" form="qualified"/>
                        <xsd:element minOccurs="0" nillable="true" name="Categories" form="qualified">
                          <xsd:complexType>
                            <xsd:sequence minOccurs="0">
                              <xsd:element minOccurs="0" maxOccurs="unbounded" nillable="true" name="Category" form="qualified">
                                <xsd:complexType>
                                  <xsd:simpleContent>
                                    <xsd:extension base="xsd:string">
                                      <xsd:attribute name="name" form="unqualified" type="xsd:string"/>
                                    </xsd:extension>
                                  </xsd:simpleContent>
                                </xsd:complexType>
                              </xsd:element>
                            </xsd:sequence>
                          </xsd:complexType>
                        </xsd:element>
                        <xsd:element minOccurs="0" nillable="true" name="Parameters" form="qualified">
                          <xsd:complexType>
                            <xsd:sequence minOccurs="0">
                              <xsd:element minOccurs="0" nillable="true" name="Parameter" form="qualified">
                                <xsd:complexType>
                                  <xsd:sequence minOccurs="0">
                                    <xsd:element minOccurs="0" nillable="true" type="xsd:string" name="technical_name" form="qualified"/>
                                    <xsd:element minOccurs="0" nillable="true" type="xsd:string" name="description" form="qualified"/>
                                    <xsd:element minOccurs="0" nillable="true" type="xsd:string" name="data_type" form="qualified"/>
                                  </xsd:sequence>
                                  <xsd:attribute name="score" form="unqualified" type="xsd:boolean"/>
                                </xsd:complexType>
                              </xsd:element>
                            </xsd:sequence>
                          </xsd:complexType>
                        </xsd:element>
                        <xsd:element minOccurs="0" nillable="true" name="ValidationDefinition" form="qualified">
                          <xsd:complexType>
                            <xsd:sequence minOccurs="0">
                              <xsd:element minOccurs="0" nillable="true" type="xsd:string" name="expression" form="qualified"/>
                            </xsd:sequence>
                            <xsd:attribute name="usage" form="unqualified" type="xsd:string"/>
                          </xsd:complexType>
                        </xsd:element>
                        <xsd:element minOccurs="0" nillable="true" name="FilterDefinition" form="qualified">
                          <xsd:complexType>
                            <xsd:sequence minOccurs="0">
                              <xsd:element minOccurs="0" nillable="true" type="xsd:string" name="expression" form="qualified"/>
                              <xsd:element minOccurs="0" maxOccurs="unbounded" nillable="true" name="Structured" form="qualified">
                                <xsd:complexType>
                                  <xsd:sequence minOccurs="0">
                                    <xsd:element minOccurs="0" nillable="true" type="xsd:string" name="parameter_name" form="qualified"/>
                                    <xsd:element minOccurs="0" nillable="true" type="xsd:string" name="operator" form="qualified"/>
                                    <xsd:element minOccurs="0" nillable="true" type="xsd:string" name="value" form="qualified"/>
                                  </xsd:sequence>
                                </xsd:complexType>
                              </xsd:element>
                            </xsd:sequence>
                            <xsd:attribute name="usage" form="unqualified" type="xsd:string"/>
                          </xsd:complexType>
                        </xsd:element>
                      </xsd:sequence>
                      <xsd:attribute name="guid" form="unqualified" type="xsd:string"/>
                    </xsd:complexType>
                  </xsd:element>
                </xsd:sequence>
              </xsd:complexType>
            </xsd:element>
          </xsd:sequence>
          <xsd:attribute name="version" form="unqualified" type="xsd:string"/>
        </xsd:complexType>
      </xsd:element>
    </xsd:schema>
  </Schema>
  <Schema ID="Schema2" Namespace="http://www.sap.com/ICC/VirtualView">
    <xsd:schema xmlns:xsd="http://www.w3.org/2001/XMLSchema" xmlns:ns0="http://www.sap.com/ICC/VirtualView" xmlns="" targetNamespace="http://www.sap.com/ICC/VirtualView">
      <xsd:element nillable="true" name="Table">
        <xsd:complexType>
          <xsd:sequence minOccurs="0">
            <xsd:element minOccurs="0" nillable="true" type="xsd:integer" name="object_type" form="qualified"/>
            <xsd:element minOccurs="0" nillable="true" type="xsd:integer" name="object_UID" form="qualified"/>
            <xsd:element minOccurs="0" nillable="true" type="xsd:string" name="qualified_table_name" form="qualified"/>
            <xsd:element minOccurs="0" nillable="true" type="xsd:string" name="connection_name" form="qualified"/>
            <xsd:element minOccurs="0" nillable="true" type="xsd:string" name="schema_name" form="qualified"/>
            <xsd:element minOccurs="0" nillable="true" type="xsd:string" name="table_name" form="qualified"/>
          </xsd:sequence>
          <xsd:attribute name="id" form="unqualified" type="xsd:string"/>
        </xsd:complexType>
      </xsd:element>
    </xsd:schema>
  </Schema>
  <Schema ID="Schema3" SchemaRef="Schema2" Namespace="http://www.sap.com/ICC/Rule">
    <xsd:schema xmlns:xsd="http://www.w3.org/2001/XMLSchema" xmlns:ns0="http://www.sap.com/ICC/VirtualView" xmlns:ns1="http://www.sap.com/ICC/Rule" xmlns="" targetNamespace="http://www.sap.com/ICC/Rule">
      <xsd:import namespace="http://www.sap.com/ICC/VirtualView"/>
      <xsd:element nillable="true" name="RuleBindingExport">
        <xsd:complexType>
          <xsd:sequence minOccurs="0">
            <xsd:element minOccurs="0" maxOccurs="unbounded" nillable="true" name="RuleBinding" form="qualified">
              <xsd:complexType>
                <xsd:sequence minOccurs="0">
                  <xsd:element minOccurs="0" nillable="true" name="Parameter" form="qualified">
                    <xsd:complexType>
                      <xsd:simpleContent>
                        <xsd:extension base="xsd:string">
                          <xsd:attribute name="name" form="unqualified" type="xsd:string"/>
                        </xsd:extension>
                      </xsd:simpleContent>
                    </xsd:complexType>
                  </xsd:element>
                </xsd:sequence>
                <xsd:attribute name="lowThreshold" form="unqualified" type="xsd:integer"/>
                <xsd:attribute name="highThreshold" form="unqualified" type="xsd:integer"/>
                <xsd:attribute name="tableId" form="unqualified" type="xsd:string"/>
                <xsd:attribute name="ruleName" form="unqualified" type="xsd:string"/>
              </xsd:complexType>
            </xsd:element>
            <xsd:element minOccurs="0" nillable="true" name="RelatedTables" form="qualified">
              <xsd:complexType>
                <xsd:sequence minOccurs="0">
                  <xsd:element minOccurs="0" ref="ns0:Table"/>
                </xsd:sequence>
              </xsd:complexType>
            </xsd:element>
          </xsd:sequence>
          <xsd:attribute name="version" form="unqualified" type="xsd:string"/>
        </xsd:complexType>
      </xsd:element>
    </xsd:schema>
  </Schema>
  <Schema ID="Schema5" Namespace="http://www.sap.com/ICC/VirtualView">
    <xsd:schema xmlns:xsd="http://www.w3.org/2001/XMLSchema" xmlns:ns0="http://www.sap.com/ICC/VirtualView" xmlns="" targetNamespace="http://www.sap.com/ICC/VirtualView">
      <xsd:element nillable="true" name="VirtualView">
        <xsd:complexType>
          <xsd:sequence minOccurs="0">
            <xsd:element minOccurs="0" nillable="true" type="xsd:string" name="name" form="qualified"/>
            <xsd:element minOccurs="0" nillable="true" type="xsd:string" name="grammar_version" form="qualified"/>
            <xsd:element minOccurs="0" nillable="true" type="xsd:string" name="description" form="qualified"/>
            <xsd:element minOccurs="0" nillable="true" name="OutputSchema" form="qualified">
              <xsd:complexType>
                <xsd:sequence minOccurs="0">
                  <xsd:element minOccurs="0" maxOccurs="unbounded" nillable="true" name="Column" form="qualified">
                    <xsd:complexType>
                      <xsd:sequence minOccurs="0">
                        <xsd:element minOccurs="0" nillable="true" type="xsd:string" name="name" form="qualified"/>
                        <xsd:element minOccurs="0" nillable="true" name="Mapping" form="qualified">
                          <xsd:complexType>
                            <xsd:sequence minOccurs="0">
                              <xsd:element minOccurs="0" nillable="true" type="xsd:string" name="mapping_text" form="qualified"/>
                              <xsd:element minOccurs="0" nillable="true" name="ColumnReference" form="qualified">
                                <xsd:complexType>
                                  <xsd:sequence minOccurs="0">
                                    <xsd:element minOccurs="0" nillable="true" name="column" form="qualified">
                                      <xsd:complexType>
                                        <xsd:simpleContent>
                                          <xsd:extension base="xsd:string">
                                            <xsd:attribute name="table_id" form="unqualified" type="xsd:string"/>
                                          </xsd:extension>
                                        </xsd:simpleContent>
                                      </xsd:complexType>
                                    </xsd:element>
                                  </xsd:sequence>
                                </xsd:complexType>
                              </xsd:element>
                            </xsd:sequence>
                            <xsd:attribute name="mapping-type" form="unqualified" type="xsd:string"/>
                          </xsd:complexType>
                        </xsd:element>
                        <xsd:element minOccurs="0" nillable="true" type="xsd:string" name="description" form="qualified"/>
                        <xsd:element minOccurs="0" nillable="true" name="Data_type" form="qualified">
                          <xsd:complexType>
                            <xsd:all>
                              <xsd:element minOccurs="0" nillable="true" type="xsd:string" name="data_type" form="qualified"/>
                              <xsd:element minOccurs="0" nillable="true" type="xsd:integer" name="length" form="qualified"/>
                              <xsd:element minOccurs="0" nillable="true" type="xsd:integer" name="precision" form="qualified"/>
                              <xsd:element minOccurs="0" nillable="true" type="xsd:integer" name="scale" form="qualified"/>
                            </xsd:all>
                          </xsd:complexType>
                        </xsd:element>
                      </xsd:sequence>
                      <xsd:attribute name="isNullable" form="unqualified" type="xsd:boolean"/>
                    </xsd:complexType>
                  </xsd:element>
                </xsd:sequence>
              </xsd:complexType>
            </xsd:element>
            <xsd:element minOccurs="0" nillable="true" name="RelatedTables" form="qualified">
              <xsd:complexType>
                <xsd:sequence minOccurs="0">
                  <xsd:element minOccurs="0" maxOccurs="unbounded" nillable="true" name="Table" form="qualified">
                    <xsd:complexType>
                      <xsd:sequence minOccurs="0">
                        <xsd:element minOccurs="0" nillable="true" type="xsd:integer" name="object_type" form="qualified"/>
                        <xsd:element minOccurs="0" nillable="true" type="xsd:integer" name="object_UID" form="qualified"/>
                        <xsd:element minOccurs="0" nillable="true" type="xsd:string" name="qualified_table_name" form="qualified"/>
                        <xsd:element minOccurs="0" nillable="true" type="xsd:string" name="connection_name" form="qualified"/>
                        <xsd:element minOccurs="0" nillable="true" type="xsd:string" name="schema_name" form="qualified"/>
                        <xsd:element minOccurs="0" nillable="true" type="xsd:string" name="table_name" form="qualified"/>
                      </xsd:sequence>
                      <xsd:attribute name="id" form="unqualified" type="xsd:string"/>
                      <xsd:attribute name="table_subtype" form="unqualified" type="xsd:string"/>
                      <xsd:attribute name="join_rank" form="unqualified" type="xsd:integer"/>
                      <xsd:attribute name="cache" form="unqualified" type="xsd:string"/>
                    </xsd:complexType>
                  </xsd:element>
                </xsd:sequence>
              </xsd:complexType>
            </xsd:element>
            <xsd:element minOccurs="0" nillable="true" name="JoinCondition" form="qualified">
              <xsd:complexType>
                <xsd:sequence minOccurs="0">
                  <xsd:element minOccurs="0" maxOccurs="unbounded" nillable="true" name="Join" form="qualified">
                    <xsd:complexType>
                      <xsd:all>
                        <xsd:element minOccurs="0" nillable="true" name="left_table" form="qualified">
                          <xsd:complexType>
                            <xsd:attribute name="table_id" form="unqualified" type="xsd:string"/>
                          </xsd:complexType>
                        </xsd:element>
                        <xsd:element minOccurs="0" nillable="true" name="right_table" form="qualified">
                          <xsd:complexType>
                            <xsd:attribute name="table_id" form="unqualified" type="xsd:string"/>
                          </xsd:complexType>
                        </xsd:element>
                        <xsd:element minOccurs="0" nillable="true" type="xsd:string" name="join_type" form="qualified"/>
                        <xsd:element minOccurs="0" nillable="true" type="xsd:string" name="join_expression" form="qualified"/>
                        <xsd:element minOccurs="0" nillable="true" name="ColumnReference" form="qualified">
                          <xsd:complexType>
                            <xsd:sequence minOccurs="0">
                              <xsd:element minOccurs="0" maxOccurs="unbounded" nillable="true" name="column" form="qualified">
                                <xsd:complexType>
                                  <xsd:simpleContent>
                                    <xsd:extension base="xsd:string">
                                      <xsd:attribute name="table_id" form="unqualified" type="xsd:string"/>
                                    </xsd:extension>
                                  </xsd:simpleContent>
                                </xsd:complexType>
                              </xsd:element>
                            </xsd:sequence>
                          </xsd:complexType>
                        </xsd:element>
                      </xsd:all>
                    </xsd:complexType>
                  </xsd:element>
                </xsd:sequence>
              </xsd:complexType>
            </xsd:element>
            <xsd:element minOccurs="0" nillable="true" name="FilterCondition" form="qualified">
              <xsd:complexType>
                <xsd:sequence minOccurs="0">
                  <xsd:element minOccurs="0" nillable="true" type="xsd:string" name="expression" form="qualified"/>
                  <xsd:element minOccurs="0" nillable="true" name="Structured" form="qualified">
                    <xsd:complexType>
                      <xsd:sequence minOccurs="0">
                        <xsd:element minOccurs="0" nillable="true" type="xsd:string" name="parameter_name" form="qualified"/>
                        <xsd:element minOccurs="0" nillable="true" type="xsd:string" name="operator" form="qualified"/>
                        <xsd:element minOccurs="0" nillable="true" type="xsd:string" name="value" form="qualified"/>
                        <xsd:element minOccurs="0" nillable="true" name="Data_type" form="qualified">
                          <xsd:complexType>
                            <xsd:sequence minOccurs="0">
                              <xsd:element minOccurs="0" nillable="true" type="xsd:string" name="data_type" form="qualified"/>
                            </xsd:sequence>
                          </xsd:complexType>
                        </xsd:element>
                      </xsd:sequence>
                      <xsd:attribute name="table_id" form="unqualified" type="xsd:string"/>
                    </xsd:complexType>
                  </xsd:element>
                  <xsd:element minOccurs="0" nillable="true" name="ColumnReference" form="qualified">
                    <xsd:complexType>
                      <xsd:sequence minOccurs="0">
                        <xsd:element minOccurs="0" nillable="true" name="column" form="qualified">
                          <xsd:complexType>
                            <xsd:simpleContent>
                              <xsd:extension base="xsd:string">
                                <xsd:attribute name="table_id" form="unqualified" type="xsd:string"/>
                              </xsd:extension>
                            </xsd:simpleContent>
                          </xsd:complexType>
                        </xsd:element>
                      </xsd:sequence>
                    </xsd:complexType>
                  </xsd:element>
                </xsd:sequence>
                <xsd:attribute name="usage" form="unqualified" type="xsd:string"/>
              </xsd:complexType>
            </xsd:element>
            <xsd:element minOccurs="0" nillable="true" name="AdvancedOptions" form="qualified">
              <xsd:complexType>
                <xsd:sequence minOccurs="0">
                  <xsd:element minOccurs="0" nillable="true" name="Option" form="qualified">
                    <xsd:complexType>
                      <xsd:attribute name="name" form="unqualified" type="xsd:string"/>
                      <xsd:attribute name="value" form="unqualified" type="xsd:string"/>
                    </xsd:complexType>
                  </xsd:element>
                </xsd:sequence>
              </xsd:complexType>
            </xsd:element>
          </xsd:sequence>
        </xsd:complexType>
      </xsd:element>
    </xsd:schema>
  </Schema>
  <Map ID="2" Name="RuleBindingExport_Map" RootElement="RuleBindingExport" SchemaID="Schema3" ShowImportExportValidationErrors="false" AutoFit="true" Append="false" PreserveSortAFLayout="true" PreserveFormat="true"/>
  <Map ID="1" Name="RuleExport_Map" RootElement="RuleExport" SchemaID="Schema1" ShowImportExportValidationErrors="false" AutoFit="true" Append="false" PreserveSortAFLayout="true" PreserveFormat="true"/>
  <Map ID="5" Name="VirtualView_Map" RootElement="VirtualView" SchemaID="Schema5"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xmlMaps" Target="xmlMaps.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Noll, Bernd" id="{9C1F3857-A169-4C74-9311-B09C8698975F}" userId="S::bernd.noll@sap.com::cceabb08-94e3-4425-973f-1d32e57bd5c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DEA73B-45EE-46A3-BEAB-4E17DAE57076}" name="Table36" displayName="Table36" ref="A1:D1611" totalsRowShown="0">
  <autoFilter ref="A1:D1611" xr:uid="{00000000-0009-0000-0100-000003000000}"/>
  <tableColumns count="4">
    <tableColumn id="1" xr3:uid="{6A1A6D1A-6DCF-42B2-B3D6-8B872B2F8E10}" name="Rule Name"/>
    <tableColumn id="2" xr3:uid="{6DB3C59C-7E3B-4AFC-B3ED-45DBAEB2A9E1}" name="Rule Desciption"/>
    <tableColumn id="3" xr3:uid="{A62E4CD3-83FE-4232-8859-18BDC34E086C}" name="Rule Dimanesion"/>
    <tableColumn id="4" xr3:uid="{612E6A44-AD98-488E-B1A2-027D6CE2812D}" name="Rule Express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100EB3-0E68-4B81-95A6-B6FB95E4174C}" name="Table27" displayName="Table27" ref="A1:D324" totalsRowShown="0" headerRowDxfId="6" dataDxfId="5">
  <autoFilter ref="A1:D324" xr:uid="{00000000-0009-0000-0100-000002000000}"/>
  <tableColumns count="4">
    <tableColumn id="5" xr3:uid="{3C6D6C61-0532-4D1B-86FA-C8882457EA8E}" name="Rule Name" dataDxfId="4"/>
    <tableColumn id="6" xr3:uid="{E033FB0D-D116-4D62-BA98-86D01539A51D}" name="Attribute" dataDxfId="3"/>
    <tableColumn id="7" xr3:uid="{0A9E0055-A7DF-4FCD-B15C-5B6D1FB8A3AD}" name="Attribute Parameter (IS Internal)" dataDxfId="2"/>
    <tableColumn id="14" xr3:uid="{991648AE-4E8E-4D10-A4F3-F46FBD666565}" name="View Name (IS Internal)"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P1611" tableType="xml" totalsRowShown="0">
  <autoFilter ref="A1:P1611" xr:uid="{00000000-0009-0000-0100-000003000000}"/>
  <tableColumns count="16">
    <tableColumn id="1" xr3:uid="{00000000-0010-0000-0200-000001000000}" uniqueName="ns2:name" name="View Name (IS Internal)">
      <xmlColumnPr mapId="5" xpath="/ns2:VirtualView/ns2:name" xmlDataType="string"/>
    </tableColumn>
    <tableColumn id="3" xr3:uid="{00000000-0010-0000-0200-000003000000}" uniqueName="ns2:description" name="View Description" dataDxfId="0">
      <xmlColumnPr mapId="5" xpath="/ns2:VirtualView/ns2:description" xmlDataType="string"/>
    </tableColumn>
    <tableColumn id="4" xr3:uid="{00000000-0010-0000-0200-000004000000}" uniqueName="isNullable" name="Nullable Attribute">
      <xmlColumnPr mapId="5" xpath="/ns2:VirtualView/ns2:OutputSchema/ns2:Column/@isNullable" xmlDataType="boolean"/>
    </tableColumn>
    <tableColumn id="5" xr3:uid="{00000000-0010-0000-0200-000005000000}" uniqueName="ns2:name" name="Attribute Description">
      <xmlColumnPr mapId="5" xpath="/ns2:VirtualView/ns2:OutputSchema/ns2:Column/ns2:name" xmlDataType="string"/>
    </tableColumn>
    <tableColumn id="7" xr3:uid="{00000000-0010-0000-0200-000007000000}" uniqueName="ns2:mapping_text" name="SAP Table.AttributeName">
      <xmlColumnPr mapId="5" xpath="/ns2:VirtualView/ns2:OutputSchema/ns2:Column/ns2:Mapping/ns2:mapping_text" xmlDataType="string"/>
    </tableColumn>
    <tableColumn id="8" xr3:uid="{00000000-0010-0000-0200-000008000000}" uniqueName="ns2:column" name="Attribute Name">
      <xmlColumnPr mapId="5" xpath="/ns2:VirtualView/ns2:OutputSchema/ns2:Column/ns2:Mapping/ns2:ColumnReference/ns2:column" xmlDataType="string"/>
    </tableColumn>
    <tableColumn id="10" xr3:uid="{00000000-0010-0000-0200-00000A000000}" uniqueName="ns2:description" name="Attribute Description2">
      <xmlColumnPr mapId="5" xpath="/ns2:VirtualView/ns2:OutputSchema/ns2:Column/ns2:description" xmlDataType="string"/>
    </tableColumn>
    <tableColumn id="11" xr3:uid="{00000000-0010-0000-0200-00000B000000}" uniqueName="ns2:data_type" name="Data Type">
      <xmlColumnPr mapId="5" xpath="/ns2:VirtualView/ns2:OutputSchema/ns2:Column/ns2:Data_type/ns2:data_type" xmlDataType="string"/>
    </tableColumn>
    <tableColumn id="12" xr3:uid="{00000000-0010-0000-0200-00000C000000}" uniqueName="ns2:length" name="Length">
      <xmlColumnPr mapId="5" xpath="/ns2:VirtualView/ns2:OutputSchema/ns2:Column/ns2:Data_type/ns2:length" xmlDataType="integer"/>
    </tableColumn>
    <tableColumn id="13" xr3:uid="{00000000-0010-0000-0200-00000D000000}" uniqueName="ns2:precision" name="Precision">
      <xmlColumnPr mapId="5" xpath="/ns2:VirtualView/ns2:OutputSchema/ns2:Column/ns2:Data_type/ns2:precision" xmlDataType="integer"/>
    </tableColumn>
    <tableColumn id="14" xr3:uid="{00000000-0010-0000-0200-00000E000000}" uniqueName="ns2:scale" name="Scale">
      <xmlColumnPr mapId="5" xpath="/ns2:VirtualView/ns2:OutputSchema/ns2:Column/ns2:Data_type/ns2:scale" xmlDataType="integer"/>
    </tableColumn>
    <tableColumn id="22" xr3:uid="{00000000-0010-0000-0200-000016000000}" uniqueName="ns2:connection_name" name="Connection Name">
      <xmlColumnPr mapId="5" xpath="/ns2:VirtualView/ns2:RelatedTables/ns2:Table/ns2:connection_name" xmlDataType="string"/>
    </tableColumn>
    <tableColumn id="24" xr3:uid="{00000000-0010-0000-0200-000018000000}" uniqueName="ns2:table_name" name="Table Name">
      <xmlColumnPr mapId="5" xpath="/ns2:VirtualView/ns2:RelatedTables/ns2:Table/ns2:table_name" xmlDataType="string"/>
    </tableColumn>
    <tableColumn id="27" xr3:uid="{00000000-0010-0000-0200-00001B000000}" uniqueName="ns2:join_type" name="Join Type">
      <xmlColumnPr mapId="5" xpath="/ns2:VirtualView/ns2:JoinCondition/ns2:Join/ns2:join_type" xmlDataType="string"/>
    </tableColumn>
    <tableColumn id="28" xr3:uid="{00000000-0010-0000-0200-00001C000000}" uniqueName="ns2:join_expression" name="Join Expression">
      <xmlColumnPr mapId="5" xpath="/ns2:VirtualView/ns2:JoinCondition/ns2:Join/ns2:join_expression" xmlDataType="string"/>
    </tableColumn>
    <tableColumn id="32" xr3:uid="{00000000-0010-0000-0200-000020000000}" uniqueName="ns2:expression" name="Filter expression">
      <xmlColumnPr mapId="5" xpath="/ns2:VirtualView/ns2:FilterCondition/ns2:expression" xmlDataType="string"/>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66394D-0B62-47EE-9A57-C9F575332805}" name="Table362" displayName="Table362" ref="A2:AL1622" totalsRowShown="0" dataDxfId="45">
  <autoFilter ref="A2:AL1622" xr:uid="{20CF47D3-A364-4C41-B2B9-327AF6DAA35C}">
    <filterColumn colId="1">
      <filters>
        <filter val="IS_RDS"/>
        <filter val="New"/>
      </filters>
    </filterColumn>
    <filterColumn colId="2">
      <filters>
        <filter val="Material"/>
      </filters>
    </filterColumn>
    <filterColumn colId="13">
      <filters blank="1"/>
    </filterColumn>
  </autoFilter>
  <tableColumns count="38">
    <tableColumn id="7" xr3:uid="{72C3E00C-8921-4D19-984B-E569D4EEE3DE}" name="Rule #" dataDxfId="44"/>
    <tableColumn id="14" xr3:uid="{83DF211A-41D2-4D6F-93D0-B225B097B0F7}" name="Src" dataDxfId="43"/>
    <tableColumn id="5" xr3:uid="{9DE79341-4001-4B03-AB5F-F1347EC8A025}" name="Entity" dataDxfId="42"/>
    <tableColumn id="25" xr3:uid="{1C1B3C83-B128-47F1-98E0-266981AA6374}" name="NEW_BRG1" dataDxfId="41"/>
    <tableColumn id="26" xr3:uid="{B0753F84-7C8B-4A78-B5F4-86787CD5D466}" name="NEW_BRG2" dataDxfId="40"/>
    <tableColumn id="27" xr3:uid="{26ECA27E-1FA7-4604-B18A-1A033DD314F2}" name="NEW_BRG3" dataDxfId="39"/>
    <tableColumn id="20" xr3:uid="{5DB2DF5A-F4C6-4EE8-B9B1-742EB759F2E4}" name="BRG1" dataDxfId="38"/>
    <tableColumn id="19" xr3:uid="{8265A54D-A071-43BB-A0D4-B841E288F684}" name="BRG2" dataDxfId="37"/>
    <tableColumn id="6" xr3:uid="{10488998-EDD7-44DB-B8D4-7F6238694E38}" name="BRG3" dataDxfId="36"/>
    <tableColumn id="30" xr3:uid="{CC4710E2-2538-401B-973C-D7B55AE400BD}" name="BRG33" dataDxfId="35">
      <calculatedColumnFormula>VLOOKUP(V3,Table_to_BRG!A:D,3,FALSE)</calculatedColumnFormula>
    </tableColumn>
    <tableColumn id="29" xr3:uid="{AC36131E-D0F9-484E-80C5-774A8089E793}" name="BRG32" dataDxfId="34">
      <calculatedColumnFormula>VLOOKUP(V3,Table_to_BRG!A:D,2,FALSE)</calculatedColumnFormula>
    </tableColumn>
    <tableColumn id="28" xr3:uid="{F746B3B3-E606-43E7-9BD5-E692F1E46854}" name="BRG4" dataDxfId="33"/>
    <tableColumn id="33" xr3:uid="{A91DA5F7-CF12-464A-B91C-0A113C0EFBD5}" name="In error state" dataDxfId="32"/>
    <tableColumn id="22" xr3:uid="{C59DD62C-E57B-4AE9-B0F0-FE8D32045E83}" name="Inactive" dataDxfId="31"/>
    <tableColumn id="31" xr3:uid="{61991153-D539-403F-A877-25F6979E475F}" name="Inactive Reason" dataDxfId="30"/>
    <tableColumn id="1" xr3:uid="{47AC8648-688F-4203-935E-47977264FA06}" name="Rule Name" dataDxfId="29"/>
    <tableColumn id="37" xr3:uid="{EE0A9CB4-B337-44AE-8825-B9E9A5EFEFE7}" name="New Rule Name" dataDxfId="28">
      <calculatedColumnFormula>RIGHT("00"&amp;Table362[[#This Row],[Rule '#]],3)&amp;"_"&amp;IF(Table362[[#This Row],[Entity]]="Material","MATL",LEFT(UPPER(Table362[[#This Row],[Entity]]),4))&amp;"_"&amp;MID(SUBSTITUTE(Table362[[#This Row],[Rule Name]],"_","|",3),SEARCH("|",SUBSTITUTE(Table362[[#This Row],[Rule Name]],"_","|",3))+1,LEN(Table362[[#This Row],[Rule Name]]))</calculatedColumnFormula>
    </tableColumn>
    <tableColumn id="2" xr3:uid="{253CD8A0-A9AA-4B5B-85C8-37756AC69454}" name="Rule Desciption" dataDxfId="27"/>
    <tableColumn id="3" xr3:uid="{8B47C017-DE31-4F6A-A940-4ABBAD627C0D}" name="Rule Dimanesion" dataDxfId="26"/>
    <tableColumn id="8" xr3:uid="{F4D727DB-E4C1-44B6-ADBB-3F58372E2C8F}" name="old_dimension" dataDxfId="25"/>
    <tableColumn id="15" xr3:uid="{668A12CD-332F-451A-B4EF-123E50191D0D}" name="IS Parameter" dataDxfId="24"/>
    <tableColumn id="12" xr3:uid="{2D2ADE11-F59A-4D6D-9443-F955A4670051}" name="Table" dataDxfId="23"/>
    <tableColumn id="11" xr3:uid="{71C1CED9-71CC-40EA-A649-B5EEA50492F5}" name="Field" dataDxfId="22"/>
    <tableColumn id="16" xr3:uid="{A1A4BF1C-7F4A-4291-9AD1-2D26D03AA0D0}" name="Field Description" dataDxfId="21"/>
    <tableColumn id="10" xr3:uid="{A3AAFCB9-E584-45C0-B225-31F52A0CF82E}" name="Lookup Table" dataDxfId="20"/>
    <tableColumn id="9" xr3:uid="{51557DB5-C479-4645-9C31-A1F18CAE6354}" name="Lookup Field" dataDxfId="19"/>
    <tableColumn id="4" xr3:uid="{7F961820-47F2-4BD5-BD6D-55A792BAC572}" name="Rule Expression" dataDxfId="18"/>
    <tableColumn id="38" xr3:uid="{0E6D5500-ABED-4DD3-A09D-35605B67D6F9}" name="Filter Expression" dataDxfId="17"/>
    <tableColumn id="21" xr3:uid="{ACDF7F83-6BF1-49F4-AD6F-F5873585A959}" name="QUAC rule" dataDxfId="16"/>
    <tableColumn id="32" xr3:uid="{D6C9FD7C-B093-405C-94B4-FC334E71C09D}" name="Where clause" dataDxfId="15"/>
    <tableColumn id="17" xr3:uid="{DFC3F13E-376F-4DC9-85B8-04CEB557749D}" name="Fields to Include in Result" dataDxfId="14" dataCellStyle="Normal"/>
    <tableColumn id="35" xr3:uid="{829F2C4E-F043-4F2D-AA69-C33B7EBAB80A}" name="View Name" dataDxfId="13">
      <calculatedColumnFormula>"VW_"&amp;Table362[[#This Row],[Table]]&amp;Table362[[#This Row],[Field]]</calculatedColumnFormula>
    </tableColumn>
    <tableColumn id="34" xr3:uid="{14831744-52C2-49B4-8FD3-274741660AD4}" name="Table View Code" dataDxfId="12"/>
    <tableColumn id="13" xr3:uid="{78A84E3F-C389-4A0E-9C8A-DA553EF6AE03}" name="Notes" dataDxfId="11"/>
    <tableColumn id="18" xr3:uid="{E70D7869-EB41-4DAE-BF8C-405333278E4F}" name="RelatedRules" dataDxfId="10"/>
    <tableColumn id="23" xr3:uid="{283D4BCF-DEF3-4E7A-BD2B-130784884C18}" name="PotentialRule" dataDxfId="9"/>
    <tableColumn id="36" xr3:uid="{00FE7760-8372-48A3-932B-4356908492BF}" name="Rule # by Entity" dataDxfId="8"/>
    <tableColumn id="24" xr3:uid="{B8BF2152-064C-49F3-894A-7440D491DB51}" name="Old Rule #" dataDxfId="7"/>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0-07-10T14:16:37.20" personId="{9C1F3857-A169-4C74-9311-B09C8698975F}" id="{3F35CEAB-E9C0-4DE1-8D30-1CADBEC0D873}">
    <text>Changed from M_DEBID (=View)</text>
  </threadedComment>
  <threadedComment ref="AA67" dT="2020-08-18T19:45:21.48" personId="{9C1F3857-A169-4C74-9311-B09C8698975F}" id="{FEC1C84C-02B2-4CCF-954D-283F7641DA58}">
    <text>This rule is messed up. It SHOULD do the following: If there is an address number in KNA1, check if it exists in ADR6. If so, check that SMTP_ADDR is not empty.</text>
  </threadedComment>
  <threadedComment ref="Y271" dT="2020-07-10T14:30:37.98" personId="{9C1F3857-A169-4C74-9311-B09C8698975F}" id="{7957722B-D467-4F75-ADBF-3AFE8014D4E3}">
    <text>Changed from M_DEBID</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956C-396A-4177-8389-8F65E7ABE7AA}">
  <dimension ref="A1:D1611"/>
  <sheetViews>
    <sheetView tabSelected="1" workbookViewId="0">
      <selection activeCell="C34" sqref="C34"/>
    </sheetView>
  </sheetViews>
  <sheetFormatPr defaultRowHeight="15" x14ac:dyDescent="0.25"/>
  <cols>
    <col min="1" max="1" width="50.5703125" bestFit="1" customWidth="1"/>
    <col min="2" max="2" width="62" bestFit="1" customWidth="1"/>
    <col min="3" max="3" width="17.28515625" bestFit="1" customWidth="1"/>
    <col min="4" max="4" width="63.7109375" bestFit="1" customWidth="1"/>
  </cols>
  <sheetData>
    <row r="1" spans="1:4" x14ac:dyDescent="0.25">
      <c r="A1" t="s">
        <v>3946</v>
      </c>
      <c r="B1" t="s">
        <v>3947</v>
      </c>
      <c r="C1" t="s">
        <v>4133</v>
      </c>
      <c r="D1" t="s">
        <v>3948</v>
      </c>
    </row>
    <row r="2" spans="1:4" s="3" customFormat="1" ht="67.349999999999994" customHeight="1" x14ac:dyDescent="0.25">
      <c r="A2" s="4" t="s">
        <v>0</v>
      </c>
      <c r="B2" s="5" t="s">
        <v>1</v>
      </c>
      <c r="C2" s="4" t="s">
        <v>2</v>
      </c>
      <c r="D2" s="5" t="s">
        <v>6</v>
      </c>
    </row>
    <row r="3" spans="1:4" s="3" customFormat="1" ht="73.900000000000006" customHeight="1" x14ac:dyDescent="0.25">
      <c r="A3" s="4" t="s">
        <v>7</v>
      </c>
      <c r="B3" s="5" t="s">
        <v>8</v>
      </c>
      <c r="C3" s="4" t="s">
        <v>2</v>
      </c>
      <c r="D3" s="5" t="s">
        <v>9</v>
      </c>
    </row>
    <row r="4" spans="1:4" s="3" customFormat="1" ht="50.1" customHeight="1" x14ac:dyDescent="0.25">
      <c r="A4" s="4" t="s">
        <v>10</v>
      </c>
      <c r="B4" s="5" t="s">
        <v>11</v>
      </c>
      <c r="C4" s="4" t="s">
        <v>2</v>
      </c>
      <c r="D4" s="5" t="s">
        <v>13</v>
      </c>
    </row>
    <row r="5" spans="1:4" s="3" customFormat="1" ht="50.1" customHeight="1" x14ac:dyDescent="0.25">
      <c r="A5" s="4" t="s">
        <v>14</v>
      </c>
      <c r="B5" s="5" t="s">
        <v>15</v>
      </c>
      <c r="C5" s="4" t="s">
        <v>2</v>
      </c>
      <c r="D5" s="5" t="s">
        <v>18</v>
      </c>
    </row>
    <row r="6" spans="1:4" s="3" customFormat="1" ht="50.1" customHeight="1" x14ac:dyDescent="0.25">
      <c r="A6" s="4" t="s">
        <v>19</v>
      </c>
      <c r="B6" s="5" t="s">
        <v>20</v>
      </c>
      <c r="C6" s="4" t="s">
        <v>21</v>
      </c>
      <c r="D6" s="5" t="s">
        <v>24</v>
      </c>
    </row>
    <row r="7" spans="1:4" s="3" customFormat="1" ht="50.1" customHeight="1" x14ac:dyDescent="0.25">
      <c r="A7" s="4" t="s">
        <v>25</v>
      </c>
      <c r="B7" s="5" t="s">
        <v>26</v>
      </c>
      <c r="C7" s="4" t="s">
        <v>21</v>
      </c>
      <c r="D7" s="5" t="s">
        <v>29</v>
      </c>
    </row>
    <row r="8" spans="1:4" s="3" customFormat="1" ht="50.1" customHeight="1" x14ac:dyDescent="0.25">
      <c r="A8" s="4" t="s">
        <v>30</v>
      </c>
      <c r="B8" s="5" t="s">
        <v>31</v>
      </c>
      <c r="C8" s="4" t="s">
        <v>21</v>
      </c>
      <c r="D8" s="5" t="s">
        <v>33</v>
      </c>
    </row>
    <row r="9" spans="1:4" s="3" customFormat="1" ht="50.1" customHeight="1" x14ac:dyDescent="0.25">
      <c r="A9" s="4" t="s">
        <v>34</v>
      </c>
      <c r="B9" s="5" t="s">
        <v>35</v>
      </c>
      <c r="C9" s="4" t="s">
        <v>21</v>
      </c>
      <c r="D9" s="5" t="s">
        <v>37</v>
      </c>
    </row>
    <row r="10" spans="1:4" s="3" customFormat="1" ht="50.1" customHeight="1" x14ac:dyDescent="0.25">
      <c r="A10" s="4" t="s">
        <v>38</v>
      </c>
      <c r="B10" s="5" t="s">
        <v>39</v>
      </c>
      <c r="C10" s="4" t="s">
        <v>2</v>
      </c>
      <c r="D10" s="5" t="s">
        <v>41</v>
      </c>
    </row>
    <row r="11" spans="1:4" s="3" customFormat="1" ht="50.1" customHeight="1" x14ac:dyDescent="0.25">
      <c r="A11" s="4" t="s">
        <v>42</v>
      </c>
      <c r="B11" s="5" t="s">
        <v>43</v>
      </c>
      <c r="C11" s="4" t="s">
        <v>2</v>
      </c>
      <c r="D11" s="5" t="s">
        <v>45</v>
      </c>
    </row>
    <row r="12" spans="1:4" s="3" customFormat="1" ht="50.1" customHeight="1" x14ac:dyDescent="0.25">
      <c r="A12" s="4" t="s">
        <v>46</v>
      </c>
      <c r="B12" s="5" t="s">
        <v>47</v>
      </c>
      <c r="C12" s="4" t="s">
        <v>2</v>
      </c>
      <c r="D12" s="5" t="s">
        <v>49</v>
      </c>
    </row>
    <row r="13" spans="1:4" s="3" customFormat="1" ht="50.1" customHeight="1" x14ac:dyDescent="0.25">
      <c r="A13" s="4" t="s">
        <v>50</v>
      </c>
      <c r="B13" s="5" t="s">
        <v>51</v>
      </c>
      <c r="C13" s="4" t="s">
        <v>21</v>
      </c>
      <c r="D13" s="5" t="s">
        <v>53</v>
      </c>
    </row>
    <row r="14" spans="1:4" s="3" customFormat="1" ht="50.1" customHeight="1" x14ac:dyDescent="0.25">
      <c r="A14" s="4" t="s">
        <v>54</v>
      </c>
      <c r="B14" s="5" t="s">
        <v>55</v>
      </c>
      <c r="C14" s="4" t="s">
        <v>21</v>
      </c>
      <c r="D14" s="5" t="s">
        <v>57</v>
      </c>
    </row>
    <row r="15" spans="1:4" s="3" customFormat="1" ht="50.1" customHeight="1" x14ac:dyDescent="0.25">
      <c r="A15" s="4" t="s">
        <v>58</v>
      </c>
      <c r="B15" s="5" t="s">
        <v>59</v>
      </c>
      <c r="C15" s="4" t="s">
        <v>21</v>
      </c>
      <c r="D15" s="5" t="s">
        <v>61</v>
      </c>
    </row>
    <row r="16" spans="1:4" s="3" customFormat="1" ht="50.1" customHeight="1" x14ac:dyDescent="0.25">
      <c r="A16" s="4" t="s">
        <v>62</v>
      </c>
      <c r="B16" s="5" t="s">
        <v>63</v>
      </c>
      <c r="C16" s="4" t="s">
        <v>2</v>
      </c>
      <c r="D16" s="5" t="s">
        <v>65</v>
      </c>
    </row>
    <row r="17" spans="1:4" s="3" customFormat="1" ht="50.1" customHeight="1" x14ac:dyDescent="0.25">
      <c r="A17" s="4" t="s">
        <v>66</v>
      </c>
      <c r="B17" s="5" t="s">
        <v>67</v>
      </c>
      <c r="C17" s="4" t="s">
        <v>21</v>
      </c>
      <c r="D17" s="5" t="s">
        <v>69</v>
      </c>
    </row>
    <row r="18" spans="1:4" s="3" customFormat="1" ht="50.1" customHeight="1" x14ac:dyDescent="0.25">
      <c r="A18" s="4" t="s">
        <v>70</v>
      </c>
      <c r="B18" s="5" t="s">
        <v>71</v>
      </c>
      <c r="C18" s="4" t="s">
        <v>2</v>
      </c>
      <c r="D18" s="5" t="s">
        <v>73</v>
      </c>
    </row>
    <row r="19" spans="1:4" s="3" customFormat="1" ht="50.1" customHeight="1" x14ac:dyDescent="0.25">
      <c r="A19" s="4" t="s">
        <v>74</v>
      </c>
      <c r="B19" s="5" t="s">
        <v>75</v>
      </c>
      <c r="C19" s="4" t="s">
        <v>2</v>
      </c>
      <c r="D19" s="5" t="s">
        <v>76</v>
      </c>
    </row>
    <row r="20" spans="1:4" s="3" customFormat="1" ht="50.1" customHeight="1" x14ac:dyDescent="0.25">
      <c r="A20" s="4" t="s">
        <v>77</v>
      </c>
      <c r="B20" s="5" t="s">
        <v>78</v>
      </c>
      <c r="C20" s="4" t="s">
        <v>2</v>
      </c>
      <c r="D20" s="5" t="s">
        <v>80</v>
      </c>
    </row>
    <row r="21" spans="1:4" s="3" customFormat="1" ht="50.1" customHeight="1" x14ac:dyDescent="0.25">
      <c r="A21" s="4" t="s">
        <v>81</v>
      </c>
      <c r="B21" s="5" t="s">
        <v>82</v>
      </c>
      <c r="C21" s="4" t="s">
        <v>2</v>
      </c>
      <c r="D21" s="5" t="s">
        <v>84</v>
      </c>
    </row>
    <row r="22" spans="1:4" s="3" customFormat="1" ht="50.1" customHeight="1" x14ac:dyDescent="0.25">
      <c r="A22" s="4" t="s">
        <v>85</v>
      </c>
      <c r="B22" s="5" t="s">
        <v>86</v>
      </c>
      <c r="C22" s="4" t="s">
        <v>2</v>
      </c>
      <c r="D22" s="5" t="s">
        <v>88</v>
      </c>
    </row>
    <row r="23" spans="1:4" s="3" customFormat="1" ht="50.1" customHeight="1" x14ac:dyDescent="0.25">
      <c r="A23" s="4" t="s">
        <v>89</v>
      </c>
      <c r="B23" s="5" t="s">
        <v>90</v>
      </c>
      <c r="C23" s="4" t="s">
        <v>2</v>
      </c>
      <c r="D23" s="5" t="s">
        <v>92</v>
      </c>
    </row>
    <row r="24" spans="1:4" s="3" customFormat="1" ht="50.1" customHeight="1" x14ac:dyDescent="0.25">
      <c r="A24" s="4" t="s">
        <v>93</v>
      </c>
      <c r="B24" s="5" t="s">
        <v>94</v>
      </c>
      <c r="C24" s="4" t="s">
        <v>2</v>
      </c>
      <c r="D24" s="5" t="s">
        <v>96</v>
      </c>
    </row>
    <row r="25" spans="1:4" s="3" customFormat="1" ht="50.1" customHeight="1" x14ac:dyDescent="0.25">
      <c r="A25" s="4" t="s">
        <v>97</v>
      </c>
      <c r="B25" s="5" t="s">
        <v>98</v>
      </c>
      <c r="C25" s="4" t="s">
        <v>2</v>
      </c>
      <c r="D25" s="5" t="s">
        <v>100</v>
      </c>
    </row>
    <row r="26" spans="1:4" s="3" customFormat="1" ht="50.1" customHeight="1" x14ac:dyDescent="0.25">
      <c r="A26" s="4" t="s">
        <v>101</v>
      </c>
      <c r="B26" s="5" t="s">
        <v>102</v>
      </c>
      <c r="C26" s="4" t="s">
        <v>2</v>
      </c>
      <c r="D26" s="5" t="s">
        <v>104</v>
      </c>
    </row>
    <row r="27" spans="1:4" s="3" customFormat="1" ht="50.1" customHeight="1" x14ac:dyDescent="0.25">
      <c r="A27" s="4" t="s">
        <v>105</v>
      </c>
      <c r="B27" s="5" t="s">
        <v>106</v>
      </c>
      <c r="C27" s="4" t="s">
        <v>2</v>
      </c>
      <c r="D27" s="5" t="s">
        <v>108</v>
      </c>
    </row>
    <row r="28" spans="1:4" s="3" customFormat="1" ht="50.1" customHeight="1" x14ac:dyDescent="0.25">
      <c r="A28" s="4" t="s">
        <v>109</v>
      </c>
      <c r="B28" s="5" t="s">
        <v>110</v>
      </c>
      <c r="C28" s="4" t="s">
        <v>2</v>
      </c>
      <c r="D28" s="5" t="s">
        <v>112</v>
      </c>
    </row>
    <row r="29" spans="1:4" s="3" customFormat="1" ht="50.1" customHeight="1" x14ac:dyDescent="0.25">
      <c r="A29" s="4" t="s">
        <v>113</v>
      </c>
      <c r="B29" s="5" t="s">
        <v>114</v>
      </c>
      <c r="C29" s="4" t="s">
        <v>2</v>
      </c>
      <c r="D29" s="5" t="s">
        <v>116</v>
      </c>
    </row>
    <row r="30" spans="1:4" s="3" customFormat="1" ht="50.1" customHeight="1" x14ac:dyDescent="0.25">
      <c r="A30" s="4" t="s">
        <v>117</v>
      </c>
      <c r="B30" s="5" t="s">
        <v>39</v>
      </c>
      <c r="C30" s="4" t="s">
        <v>2</v>
      </c>
      <c r="D30" s="5" t="s">
        <v>41</v>
      </c>
    </row>
    <row r="31" spans="1:4" s="3" customFormat="1" ht="50.1" customHeight="1" x14ac:dyDescent="0.25">
      <c r="A31" s="4" t="s">
        <v>118</v>
      </c>
      <c r="B31" s="5" t="s">
        <v>119</v>
      </c>
      <c r="C31" s="4" t="s">
        <v>2</v>
      </c>
      <c r="D31" s="5" t="s">
        <v>120</v>
      </c>
    </row>
    <row r="32" spans="1:4" s="3" customFormat="1" ht="50.1" customHeight="1" x14ac:dyDescent="0.25">
      <c r="A32" s="4" t="s">
        <v>121</v>
      </c>
      <c r="B32" s="5" t="s">
        <v>122</v>
      </c>
      <c r="C32" s="4" t="s">
        <v>2</v>
      </c>
      <c r="D32" s="5" t="s">
        <v>124</v>
      </c>
    </row>
    <row r="33" spans="1:4" s="3" customFormat="1" ht="50.1" customHeight="1" x14ac:dyDescent="0.25">
      <c r="A33" s="4" t="s">
        <v>125</v>
      </c>
      <c r="B33" s="5" t="s">
        <v>126</v>
      </c>
      <c r="C33" s="4" t="s">
        <v>2</v>
      </c>
      <c r="D33" s="5" t="s">
        <v>128</v>
      </c>
    </row>
    <row r="34" spans="1:4" s="3" customFormat="1" ht="50.1" customHeight="1" x14ac:dyDescent="0.25">
      <c r="A34" s="4" t="s">
        <v>129</v>
      </c>
      <c r="B34" s="5" t="s">
        <v>130</v>
      </c>
      <c r="C34" s="4" t="s">
        <v>21</v>
      </c>
      <c r="D34" s="5" t="s">
        <v>132</v>
      </c>
    </row>
    <row r="35" spans="1:4" s="3" customFormat="1" ht="50.1" customHeight="1" x14ac:dyDescent="0.25">
      <c r="A35" s="4" t="s">
        <v>133</v>
      </c>
      <c r="B35" s="5" t="s">
        <v>134</v>
      </c>
      <c r="C35" s="4" t="s">
        <v>21</v>
      </c>
      <c r="D35" s="5" t="s">
        <v>136</v>
      </c>
    </row>
    <row r="36" spans="1:4" s="3" customFormat="1" ht="50.1" customHeight="1" x14ac:dyDescent="0.25">
      <c r="A36" s="4" t="s">
        <v>137</v>
      </c>
      <c r="B36" s="5" t="s">
        <v>138</v>
      </c>
      <c r="C36" s="4" t="s">
        <v>139</v>
      </c>
      <c r="D36" s="5" t="s">
        <v>141</v>
      </c>
    </row>
    <row r="37" spans="1:4" s="3" customFormat="1" ht="50.1" customHeight="1" x14ac:dyDescent="0.25">
      <c r="A37" s="4" t="s">
        <v>142</v>
      </c>
      <c r="B37" s="5" t="s">
        <v>143</v>
      </c>
      <c r="C37" s="4" t="s">
        <v>2</v>
      </c>
      <c r="D37" s="5" t="s">
        <v>145</v>
      </c>
    </row>
    <row r="38" spans="1:4" s="3" customFormat="1" ht="50.1" customHeight="1" x14ac:dyDescent="0.25">
      <c r="A38" s="4" t="s">
        <v>146</v>
      </c>
      <c r="B38" s="5" t="s">
        <v>147</v>
      </c>
      <c r="C38" s="4" t="s">
        <v>21</v>
      </c>
      <c r="D38" s="5" t="s">
        <v>148</v>
      </c>
    </row>
    <row r="39" spans="1:4" s="3" customFormat="1" ht="50.1" customHeight="1" x14ac:dyDescent="0.25">
      <c r="A39" s="4" t="s">
        <v>149</v>
      </c>
      <c r="B39" s="5" t="s">
        <v>150</v>
      </c>
      <c r="C39" s="4" t="s">
        <v>2</v>
      </c>
      <c r="D39" s="5" t="s">
        <v>152</v>
      </c>
    </row>
    <row r="40" spans="1:4" s="3" customFormat="1" ht="50.1" customHeight="1" x14ac:dyDescent="0.25">
      <c r="A40" s="4" t="s">
        <v>153</v>
      </c>
      <c r="B40" s="5" t="s">
        <v>154</v>
      </c>
      <c r="C40" s="4" t="s">
        <v>2</v>
      </c>
      <c r="D40" s="5" t="s">
        <v>156</v>
      </c>
    </row>
    <row r="41" spans="1:4" s="3" customFormat="1" ht="50.1" customHeight="1" x14ac:dyDescent="0.25">
      <c r="A41" s="4" t="s">
        <v>157</v>
      </c>
      <c r="B41" s="5" t="s">
        <v>158</v>
      </c>
      <c r="C41" s="4" t="s">
        <v>2</v>
      </c>
      <c r="D41" s="5" t="s">
        <v>160</v>
      </c>
    </row>
    <row r="42" spans="1:4" s="3" customFormat="1" ht="50.1" customHeight="1" x14ac:dyDescent="0.25">
      <c r="A42" s="4" t="s">
        <v>161</v>
      </c>
      <c r="B42" s="5" t="s">
        <v>162</v>
      </c>
      <c r="C42" s="4" t="s">
        <v>2</v>
      </c>
      <c r="D42" s="5" t="s">
        <v>164</v>
      </c>
    </row>
    <row r="43" spans="1:4" s="3" customFormat="1" ht="50.1" customHeight="1" x14ac:dyDescent="0.25">
      <c r="A43" s="4" t="s">
        <v>165</v>
      </c>
      <c r="B43" s="5" t="s">
        <v>166</v>
      </c>
      <c r="C43" s="4" t="s">
        <v>2</v>
      </c>
      <c r="D43" s="5" t="s">
        <v>168</v>
      </c>
    </row>
    <row r="44" spans="1:4" s="3" customFormat="1" ht="50.1" customHeight="1" x14ac:dyDescent="0.25">
      <c r="A44" s="4" t="s">
        <v>169</v>
      </c>
      <c r="B44" s="5" t="s">
        <v>170</v>
      </c>
      <c r="C44" s="4" t="s">
        <v>2</v>
      </c>
      <c r="D44" s="5" t="s">
        <v>172</v>
      </c>
    </row>
    <row r="45" spans="1:4" s="3" customFormat="1" ht="50.1" customHeight="1" x14ac:dyDescent="0.25">
      <c r="A45" s="4" t="s">
        <v>173</v>
      </c>
      <c r="B45" s="5" t="s">
        <v>174</v>
      </c>
      <c r="C45" s="4" t="s">
        <v>2</v>
      </c>
      <c r="D45" s="5" t="s">
        <v>176</v>
      </c>
    </row>
    <row r="46" spans="1:4" s="3" customFormat="1" ht="50.1" customHeight="1" x14ac:dyDescent="0.25">
      <c r="A46" s="4" t="s">
        <v>177</v>
      </c>
      <c r="B46" s="5" t="s">
        <v>178</v>
      </c>
      <c r="C46" s="4" t="s">
        <v>21</v>
      </c>
      <c r="D46" s="5" t="s">
        <v>180</v>
      </c>
    </row>
    <row r="47" spans="1:4" s="3" customFormat="1" ht="50.1" customHeight="1" x14ac:dyDescent="0.25">
      <c r="A47" s="4" t="s">
        <v>181</v>
      </c>
      <c r="B47" s="5" t="s">
        <v>182</v>
      </c>
      <c r="C47" s="4" t="s">
        <v>21</v>
      </c>
      <c r="D47" s="5" t="s">
        <v>184</v>
      </c>
    </row>
    <row r="48" spans="1:4" s="3" customFormat="1" ht="50.1" customHeight="1" x14ac:dyDescent="0.25">
      <c r="A48" s="4" t="s">
        <v>185</v>
      </c>
      <c r="B48" s="5" t="s">
        <v>186</v>
      </c>
      <c r="C48" s="4" t="s">
        <v>2</v>
      </c>
      <c r="D48" s="5" t="s">
        <v>188</v>
      </c>
    </row>
    <row r="49" spans="1:4" s="3" customFormat="1" ht="50.1" customHeight="1" x14ac:dyDescent="0.25">
      <c r="A49" s="4" t="s">
        <v>189</v>
      </c>
      <c r="B49" s="5" t="s">
        <v>190</v>
      </c>
      <c r="C49" s="4" t="s">
        <v>2</v>
      </c>
      <c r="D49" s="5" t="s">
        <v>192</v>
      </c>
    </row>
    <row r="50" spans="1:4" s="3" customFormat="1" ht="50.1" customHeight="1" x14ac:dyDescent="0.25">
      <c r="A50" s="4" t="s">
        <v>193</v>
      </c>
      <c r="B50" s="5" t="s">
        <v>194</v>
      </c>
      <c r="C50" s="4" t="s">
        <v>2</v>
      </c>
      <c r="D50" s="5" t="s">
        <v>196</v>
      </c>
    </row>
    <row r="51" spans="1:4" s="3" customFormat="1" ht="50.1" customHeight="1" x14ac:dyDescent="0.25">
      <c r="A51" s="4" t="s">
        <v>197</v>
      </c>
      <c r="B51" s="5" t="s">
        <v>198</v>
      </c>
      <c r="C51" s="4" t="s">
        <v>2</v>
      </c>
      <c r="D51" s="5" t="s">
        <v>200</v>
      </c>
    </row>
    <row r="52" spans="1:4" s="3" customFormat="1" ht="50.1" customHeight="1" x14ac:dyDescent="0.25">
      <c r="A52" s="4" t="s">
        <v>201</v>
      </c>
      <c r="B52" s="5" t="s">
        <v>202</v>
      </c>
      <c r="C52" s="4" t="s">
        <v>21</v>
      </c>
      <c r="D52" s="5" t="s">
        <v>204</v>
      </c>
    </row>
    <row r="53" spans="1:4" s="3" customFormat="1" ht="50.1" customHeight="1" x14ac:dyDescent="0.25">
      <c r="A53" s="4" t="s">
        <v>205</v>
      </c>
      <c r="B53" s="5" t="s">
        <v>206</v>
      </c>
      <c r="C53" s="4" t="s">
        <v>2</v>
      </c>
      <c r="D53" s="5" t="s">
        <v>208</v>
      </c>
    </row>
    <row r="54" spans="1:4" s="3" customFormat="1" ht="50.1" customHeight="1" x14ac:dyDescent="0.25">
      <c r="A54" s="4" t="s">
        <v>209</v>
      </c>
      <c r="B54" s="5" t="s">
        <v>210</v>
      </c>
      <c r="C54" s="4" t="s">
        <v>2</v>
      </c>
      <c r="D54" s="5" t="s">
        <v>211</v>
      </c>
    </row>
    <row r="55" spans="1:4" s="3" customFormat="1" ht="50.1" customHeight="1" x14ac:dyDescent="0.25">
      <c r="A55" s="4" t="s">
        <v>212</v>
      </c>
      <c r="B55" s="5" t="s">
        <v>213</v>
      </c>
      <c r="C55" s="4" t="s">
        <v>2</v>
      </c>
      <c r="D55" s="5" t="s">
        <v>215</v>
      </c>
    </row>
    <row r="56" spans="1:4" s="3" customFormat="1" ht="50.1" customHeight="1" x14ac:dyDescent="0.25">
      <c r="A56" s="4" t="s">
        <v>216</v>
      </c>
      <c r="B56" s="5" t="s">
        <v>217</v>
      </c>
      <c r="C56" s="4" t="s">
        <v>2</v>
      </c>
      <c r="D56" s="5" t="s">
        <v>219</v>
      </c>
    </row>
    <row r="57" spans="1:4" s="3" customFormat="1" ht="50.1" customHeight="1" x14ac:dyDescent="0.25">
      <c r="A57" s="4" t="s">
        <v>220</v>
      </c>
      <c r="B57" s="5" t="s">
        <v>221</v>
      </c>
      <c r="C57" s="4" t="s">
        <v>2</v>
      </c>
      <c r="D57" s="5" t="s">
        <v>223</v>
      </c>
    </row>
    <row r="58" spans="1:4" s="3" customFormat="1" ht="50.1" customHeight="1" x14ac:dyDescent="0.25">
      <c r="A58" s="4" t="s">
        <v>224</v>
      </c>
      <c r="B58" s="5" t="s">
        <v>225</v>
      </c>
      <c r="C58" s="4" t="s">
        <v>2</v>
      </c>
      <c r="D58" s="5" t="s">
        <v>227</v>
      </c>
    </row>
    <row r="59" spans="1:4" s="3" customFormat="1" ht="50.1" customHeight="1" x14ac:dyDescent="0.25">
      <c r="A59" s="4" t="s">
        <v>228</v>
      </c>
      <c r="B59" s="5" t="s">
        <v>229</v>
      </c>
      <c r="C59" s="4" t="s">
        <v>2</v>
      </c>
      <c r="D59" s="5" t="s">
        <v>231</v>
      </c>
    </row>
    <row r="60" spans="1:4" s="3" customFormat="1" ht="50.1" customHeight="1" x14ac:dyDescent="0.25">
      <c r="A60" s="4" t="s">
        <v>232</v>
      </c>
      <c r="B60" s="5" t="s">
        <v>233</v>
      </c>
      <c r="C60" s="4" t="s">
        <v>21</v>
      </c>
      <c r="D60" s="5" t="s">
        <v>234</v>
      </c>
    </row>
    <row r="61" spans="1:4" s="3" customFormat="1" ht="50.1" customHeight="1" x14ac:dyDescent="0.25">
      <c r="A61" s="4" t="s">
        <v>235</v>
      </c>
      <c r="B61" s="5" t="s">
        <v>236</v>
      </c>
      <c r="C61" s="4" t="s">
        <v>2</v>
      </c>
      <c r="D61" s="5" t="s">
        <v>237</v>
      </c>
    </row>
    <row r="62" spans="1:4" s="3" customFormat="1" ht="50.1" customHeight="1" x14ac:dyDescent="0.25">
      <c r="A62" s="4" t="s">
        <v>238</v>
      </c>
      <c r="B62" s="5" t="s">
        <v>239</v>
      </c>
      <c r="C62" s="4" t="s">
        <v>21</v>
      </c>
      <c r="D62" s="5" t="s">
        <v>240</v>
      </c>
    </row>
    <row r="63" spans="1:4" s="3" customFormat="1" ht="50.1" customHeight="1" x14ac:dyDescent="0.25">
      <c r="A63" s="4" t="s">
        <v>241</v>
      </c>
      <c r="B63" s="5" t="s">
        <v>242</v>
      </c>
      <c r="C63" s="4" t="s">
        <v>2</v>
      </c>
      <c r="D63" s="5" t="s">
        <v>244</v>
      </c>
    </row>
    <row r="64" spans="1:4" s="3" customFormat="1" ht="50.1" customHeight="1" x14ac:dyDescent="0.25">
      <c r="A64" s="4" t="s">
        <v>245</v>
      </c>
      <c r="B64" s="5" t="s">
        <v>246</v>
      </c>
      <c r="C64" s="4" t="s">
        <v>21</v>
      </c>
      <c r="D64" s="5" t="s">
        <v>248</v>
      </c>
    </row>
    <row r="65" spans="1:4" s="3" customFormat="1" ht="50.1" customHeight="1" x14ac:dyDescent="0.25">
      <c r="A65" s="4" t="s">
        <v>249</v>
      </c>
      <c r="B65" s="5" t="s">
        <v>250</v>
      </c>
      <c r="C65" s="4" t="s">
        <v>2</v>
      </c>
      <c r="D65" s="5" t="s">
        <v>252</v>
      </c>
    </row>
    <row r="66" spans="1:4" s="3" customFormat="1" ht="50.1" customHeight="1" x14ac:dyDescent="0.25">
      <c r="A66" s="4" t="s">
        <v>253</v>
      </c>
      <c r="B66" s="5" t="s">
        <v>254</v>
      </c>
      <c r="C66" s="4" t="s">
        <v>2</v>
      </c>
      <c r="D66" s="5" t="s">
        <v>256</v>
      </c>
    </row>
    <row r="67" spans="1:4" s="3" customFormat="1" ht="50.1" customHeight="1" x14ac:dyDescent="0.25">
      <c r="A67" s="4" t="s">
        <v>257</v>
      </c>
      <c r="B67" s="5" t="s">
        <v>258</v>
      </c>
      <c r="C67" s="4" t="s">
        <v>139</v>
      </c>
      <c r="D67" s="5" t="s">
        <v>141</v>
      </c>
    </row>
    <row r="68" spans="1:4" s="3" customFormat="1" ht="50.1" customHeight="1" x14ac:dyDescent="0.25">
      <c r="A68" s="4" t="s">
        <v>259</v>
      </c>
      <c r="B68" s="5" t="s">
        <v>260</v>
      </c>
      <c r="C68" s="4" t="s">
        <v>2</v>
      </c>
      <c r="D68" s="5" t="s">
        <v>262</v>
      </c>
    </row>
    <row r="69" spans="1:4" s="3" customFormat="1" ht="50.1" customHeight="1" x14ac:dyDescent="0.25">
      <c r="A69" s="4" t="s">
        <v>263</v>
      </c>
      <c r="B69" s="5" t="s">
        <v>264</v>
      </c>
      <c r="C69" s="4" t="s">
        <v>2</v>
      </c>
      <c r="D69" s="5" t="s">
        <v>266</v>
      </c>
    </row>
    <row r="70" spans="1:4" s="3" customFormat="1" ht="50.1" customHeight="1" x14ac:dyDescent="0.25">
      <c r="A70" s="4" t="s">
        <v>267</v>
      </c>
      <c r="B70" s="5" t="s">
        <v>268</v>
      </c>
      <c r="C70" s="4" t="s">
        <v>2</v>
      </c>
      <c r="D70" s="5" t="s">
        <v>270</v>
      </c>
    </row>
    <row r="71" spans="1:4" s="3" customFormat="1" ht="50.1" customHeight="1" x14ac:dyDescent="0.25">
      <c r="A71" s="4" t="s">
        <v>271</v>
      </c>
      <c r="B71" s="5" t="s">
        <v>272</v>
      </c>
      <c r="C71" s="4" t="s">
        <v>2</v>
      </c>
      <c r="D71" s="5" t="s">
        <v>274</v>
      </c>
    </row>
    <row r="72" spans="1:4" s="3" customFormat="1" ht="50.1" customHeight="1" x14ac:dyDescent="0.25">
      <c r="A72" s="4" t="s">
        <v>275</v>
      </c>
      <c r="B72" s="5" t="s">
        <v>276</v>
      </c>
      <c r="C72" s="4" t="s">
        <v>21</v>
      </c>
      <c r="D72" s="5" t="s">
        <v>278</v>
      </c>
    </row>
    <row r="73" spans="1:4" s="3" customFormat="1" ht="50.1" customHeight="1" x14ac:dyDescent="0.25">
      <c r="A73" s="4" t="s">
        <v>279</v>
      </c>
      <c r="B73" s="5" t="s">
        <v>280</v>
      </c>
      <c r="C73" s="4" t="s">
        <v>21</v>
      </c>
      <c r="D73" s="5" t="s">
        <v>281</v>
      </c>
    </row>
    <row r="74" spans="1:4" s="3" customFormat="1" ht="50.1" customHeight="1" x14ac:dyDescent="0.25">
      <c r="A74" s="4" t="s">
        <v>282</v>
      </c>
      <c r="B74" s="5" t="s">
        <v>283</v>
      </c>
      <c r="C74" s="4" t="s">
        <v>21</v>
      </c>
      <c r="D74" s="5" t="s">
        <v>284</v>
      </c>
    </row>
    <row r="75" spans="1:4" s="3" customFormat="1" ht="50.1" customHeight="1" x14ac:dyDescent="0.25">
      <c r="A75" s="4" t="s">
        <v>285</v>
      </c>
      <c r="B75" s="5" t="s">
        <v>286</v>
      </c>
      <c r="C75" s="4" t="s">
        <v>2</v>
      </c>
      <c r="D75" s="5" t="s">
        <v>288</v>
      </c>
    </row>
    <row r="76" spans="1:4" s="3" customFormat="1" ht="50.1" customHeight="1" x14ac:dyDescent="0.25">
      <c r="A76" s="4" t="s">
        <v>289</v>
      </c>
      <c r="B76" s="5" t="s">
        <v>290</v>
      </c>
      <c r="C76" s="4" t="s">
        <v>2</v>
      </c>
      <c r="D76" s="5" t="s">
        <v>292</v>
      </c>
    </row>
    <row r="77" spans="1:4" s="3" customFormat="1" ht="50.1" customHeight="1" x14ac:dyDescent="0.25">
      <c r="A77" s="4" t="s">
        <v>293</v>
      </c>
      <c r="B77" s="5" t="s">
        <v>294</v>
      </c>
      <c r="C77" s="4" t="s">
        <v>2</v>
      </c>
      <c r="D77" s="5" t="s">
        <v>296</v>
      </c>
    </row>
    <row r="78" spans="1:4" s="3" customFormat="1" ht="50.1" customHeight="1" x14ac:dyDescent="0.25">
      <c r="A78" s="4" t="s">
        <v>297</v>
      </c>
      <c r="B78" s="5" t="s">
        <v>298</v>
      </c>
      <c r="C78" s="4" t="s">
        <v>2</v>
      </c>
      <c r="D78" s="5" t="s">
        <v>300</v>
      </c>
    </row>
    <row r="79" spans="1:4" s="3" customFormat="1" ht="50.1" customHeight="1" x14ac:dyDescent="0.25">
      <c r="A79" s="4" t="s">
        <v>301</v>
      </c>
      <c r="B79" s="5" t="s">
        <v>302</v>
      </c>
      <c r="C79" s="4" t="s">
        <v>2</v>
      </c>
      <c r="D79" s="5" t="s">
        <v>304</v>
      </c>
    </row>
    <row r="80" spans="1:4" s="3" customFormat="1" ht="50.1" customHeight="1" x14ac:dyDescent="0.25">
      <c r="A80" s="4" t="s">
        <v>305</v>
      </c>
      <c r="B80" s="5" t="s">
        <v>306</v>
      </c>
      <c r="C80" s="4" t="s">
        <v>2</v>
      </c>
      <c r="D80" s="5" t="s">
        <v>308</v>
      </c>
    </row>
    <row r="81" spans="1:4" s="3" customFormat="1" ht="50.1" customHeight="1" x14ac:dyDescent="0.25">
      <c r="A81" s="4" t="s">
        <v>309</v>
      </c>
      <c r="B81" s="5" t="s">
        <v>310</v>
      </c>
      <c r="C81" s="4" t="s">
        <v>2</v>
      </c>
      <c r="D81" s="5" t="s">
        <v>311</v>
      </c>
    </row>
    <row r="82" spans="1:4" s="3" customFormat="1" ht="50.1" customHeight="1" x14ac:dyDescent="0.25">
      <c r="A82" s="4" t="s">
        <v>312</v>
      </c>
      <c r="B82" s="5" t="s">
        <v>313</v>
      </c>
      <c r="C82" s="4" t="s">
        <v>2</v>
      </c>
      <c r="D82" s="5" t="s">
        <v>315</v>
      </c>
    </row>
    <row r="83" spans="1:4" s="3" customFormat="1" ht="50.1" customHeight="1" x14ac:dyDescent="0.25">
      <c r="A83" s="4" t="s">
        <v>316</v>
      </c>
      <c r="B83" s="5" t="s">
        <v>317</v>
      </c>
      <c r="C83" s="4" t="s">
        <v>21</v>
      </c>
      <c r="D83" s="5" t="s">
        <v>319</v>
      </c>
    </row>
    <row r="84" spans="1:4" s="3" customFormat="1" ht="50.1" customHeight="1" x14ac:dyDescent="0.25">
      <c r="A84" s="4" t="s">
        <v>320</v>
      </c>
      <c r="B84" s="5" t="s">
        <v>321</v>
      </c>
      <c r="C84" s="4" t="s">
        <v>2</v>
      </c>
      <c r="D84" s="5" t="s">
        <v>323</v>
      </c>
    </row>
    <row r="85" spans="1:4" s="3" customFormat="1" ht="50.1" customHeight="1" x14ac:dyDescent="0.25">
      <c r="A85" s="4" t="s">
        <v>324</v>
      </c>
      <c r="B85" s="5" t="s">
        <v>325</v>
      </c>
      <c r="C85" s="4" t="s">
        <v>21</v>
      </c>
      <c r="D85" s="5" t="s">
        <v>327</v>
      </c>
    </row>
    <row r="86" spans="1:4" s="3" customFormat="1" ht="50.1" customHeight="1" x14ac:dyDescent="0.25">
      <c r="A86" s="4" t="s">
        <v>328</v>
      </c>
      <c r="B86" s="5" t="s">
        <v>329</v>
      </c>
      <c r="C86" s="4" t="s">
        <v>2</v>
      </c>
      <c r="D86" s="5" t="s">
        <v>331</v>
      </c>
    </row>
    <row r="87" spans="1:4" s="3" customFormat="1" ht="50.1" customHeight="1" x14ac:dyDescent="0.25">
      <c r="A87" s="4" t="s">
        <v>332</v>
      </c>
      <c r="B87" s="5" t="s">
        <v>333</v>
      </c>
      <c r="C87" s="4" t="s">
        <v>2</v>
      </c>
      <c r="D87" s="5" t="s">
        <v>334</v>
      </c>
    </row>
    <row r="88" spans="1:4" s="3" customFormat="1" ht="50.1" customHeight="1" x14ac:dyDescent="0.25">
      <c r="A88" s="4" t="s">
        <v>335</v>
      </c>
      <c r="B88" s="5" t="s">
        <v>336</v>
      </c>
      <c r="C88" s="4" t="s">
        <v>2</v>
      </c>
      <c r="D88" s="5" t="s">
        <v>337</v>
      </c>
    </row>
    <row r="89" spans="1:4" s="3" customFormat="1" ht="50.1" customHeight="1" x14ac:dyDescent="0.25">
      <c r="A89" s="4" t="s">
        <v>338</v>
      </c>
      <c r="B89" s="5" t="s">
        <v>35</v>
      </c>
      <c r="C89" s="4" t="s">
        <v>21</v>
      </c>
      <c r="D89" s="5" t="s">
        <v>37</v>
      </c>
    </row>
    <row r="90" spans="1:4" s="3" customFormat="1" ht="50.1" customHeight="1" x14ac:dyDescent="0.25">
      <c r="A90" s="4" t="s">
        <v>339</v>
      </c>
      <c r="B90" s="5" t="s">
        <v>340</v>
      </c>
      <c r="C90" s="4" t="s">
        <v>2</v>
      </c>
      <c r="D90" s="5" t="s">
        <v>342</v>
      </c>
    </row>
    <row r="91" spans="1:4" s="3" customFormat="1" ht="50.1" customHeight="1" x14ac:dyDescent="0.25">
      <c r="A91" s="4" t="s">
        <v>343</v>
      </c>
      <c r="B91" s="5" t="s">
        <v>344</v>
      </c>
      <c r="C91" s="4" t="s">
        <v>2</v>
      </c>
      <c r="D91" s="5" t="s">
        <v>346</v>
      </c>
    </row>
    <row r="92" spans="1:4" s="3" customFormat="1" ht="50.1" customHeight="1" x14ac:dyDescent="0.25">
      <c r="A92" s="4" t="s">
        <v>347</v>
      </c>
      <c r="B92" s="5" t="s">
        <v>348</v>
      </c>
      <c r="C92" s="4" t="s">
        <v>21</v>
      </c>
      <c r="D92" s="5" t="s">
        <v>350</v>
      </c>
    </row>
    <row r="93" spans="1:4" s="3" customFormat="1" ht="50.1" customHeight="1" x14ac:dyDescent="0.25">
      <c r="A93" s="4" t="s">
        <v>351</v>
      </c>
      <c r="B93" s="5" t="s">
        <v>352</v>
      </c>
      <c r="C93" s="4" t="s">
        <v>2</v>
      </c>
      <c r="D93" s="5" t="s">
        <v>354</v>
      </c>
    </row>
    <row r="94" spans="1:4" s="3" customFormat="1" ht="50.1" customHeight="1" x14ac:dyDescent="0.25">
      <c r="A94" s="4" t="s">
        <v>355</v>
      </c>
      <c r="B94" s="5" t="s">
        <v>356</v>
      </c>
      <c r="C94" s="4" t="s">
        <v>2</v>
      </c>
      <c r="D94" s="5" t="s">
        <v>358</v>
      </c>
    </row>
    <row r="95" spans="1:4" s="3" customFormat="1" ht="50.1" customHeight="1" x14ac:dyDescent="0.25">
      <c r="A95" s="4" t="s">
        <v>359</v>
      </c>
      <c r="B95" s="5" t="s">
        <v>360</v>
      </c>
      <c r="C95" s="4" t="s">
        <v>21</v>
      </c>
      <c r="D95" s="5" t="s">
        <v>362</v>
      </c>
    </row>
    <row r="96" spans="1:4" s="3" customFormat="1" ht="50.1" customHeight="1" x14ac:dyDescent="0.25">
      <c r="A96" s="4" t="s">
        <v>363</v>
      </c>
      <c r="B96" s="5" t="s">
        <v>364</v>
      </c>
      <c r="C96" s="4" t="s">
        <v>2</v>
      </c>
      <c r="D96" s="5" t="s">
        <v>366</v>
      </c>
    </row>
    <row r="97" spans="1:4" s="3" customFormat="1" ht="50.1" customHeight="1" x14ac:dyDescent="0.25">
      <c r="A97" s="4" t="s">
        <v>367</v>
      </c>
      <c r="B97" s="5" t="s">
        <v>143</v>
      </c>
      <c r="C97" s="4" t="s">
        <v>2</v>
      </c>
      <c r="D97" s="5" t="s">
        <v>145</v>
      </c>
    </row>
    <row r="98" spans="1:4" s="3" customFormat="1" ht="50.1" customHeight="1" x14ac:dyDescent="0.25">
      <c r="A98" s="4" t="s">
        <v>368</v>
      </c>
      <c r="B98" s="5" t="s">
        <v>369</v>
      </c>
      <c r="C98" s="4" t="s">
        <v>139</v>
      </c>
      <c r="D98" s="5" t="s">
        <v>370</v>
      </c>
    </row>
    <row r="99" spans="1:4" s="3" customFormat="1" ht="50.1" customHeight="1" x14ac:dyDescent="0.25">
      <c r="A99" s="4" t="s">
        <v>371</v>
      </c>
      <c r="B99" s="5" t="s">
        <v>372</v>
      </c>
      <c r="C99" s="4" t="s">
        <v>2</v>
      </c>
      <c r="D99" s="5" t="s">
        <v>374</v>
      </c>
    </row>
    <row r="100" spans="1:4" s="3" customFormat="1" ht="50.1" customHeight="1" x14ac:dyDescent="0.25">
      <c r="A100" s="4" t="s">
        <v>375</v>
      </c>
      <c r="B100" s="5" t="s">
        <v>376</v>
      </c>
      <c r="C100" s="4" t="s">
        <v>2</v>
      </c>
      <c r="D100" s="5" t="s">
        <v>378</v>
      </c>
    </row>
    <row r="101" spans="1:4" s="3" customFormat="1" ht="50.1" customHeight="1" x14ac:dyDescent="0.25">
      <c r="A101" s="4" t="s">
        <v>379</v>
      </c>
      <c r="B101" s="5" t="s">
        <v>380</v>
      </c>
      <c r="C101" s="4" t="s">
        <v>2</v>
      </c>
      <c r="D101" s="5" t="s">
        <v>382</v>
      </c>
    </row>
    <row r="102" spans="1:4" s="3" customFormat="1" ht="50.1" customHeight="1" x14ac:dyDescent="0.25">
      <c r="A102" s="4" t="s">
        <v>383</v>
      </c>
      <c r="B102" s="5" t="s">
        <v>26</v>
      </c>
      <c r="C102" s="4" t="s">
        <v>21</v>
      </c>
      <c r="D102" s="5" t="s">
        <v>29</v>
      </c>
    </row>
    <row r="103" spans="1:4" s="3" customFormat="1" ht="50.1" customHeight="1" x14ac:dyDescent="0.25">
      <c r="A103" s="4" t="s">
        <v>384</v>
      </c>
      <c r="B103" s="5" t="s">
        <v>385</v>
      </c>
      <c r="C103" s="4" t="s">
        <v>2</v>
      </c>
      <c r="D103" s="5" t="s">
        <v>387</v>
      </c>
    </row>
    <row r="104" spans="1:4" s="3" customFormat="1" ht="50.1" customHeight="1" x14ac:dyDescent="0.25">
      <c r="A104" s="4" t="s">
        <v>388</v>
      </c>
      <c r="B104" s="5" t="s">
        <v>389</v>
      </c>
      <c r="C104" s="4" t="s">
        <v>2</v>
      </c>
      <c r="D104" s="5" t="s">
        <v>391</v>
      </c>
    </row>
    <row r="105" spans="1:4" s="3" customFormat="1" ht="50.1" customHeight="1" x14ac:dyDescent="0.25">
      <c r="A105" s="4" t="s">
        <v>392</v>
      </c>
      <c r="B105" s="5" t="s">
        <v>393</v>
      </c>
      <c r="C105" s="4" t="s">
        <v>21</v>
      </c>
      <c r="D105" s="5" t="s">
        <v>395</v>
      </c>
    </row>
    <row r="106" spans="1:4" s="3" customFormat="1" ht="50.1" customHeight="1" x14ac:dyDescent="0.25">
      <c r="A106" s="4" t="s">
        <v>396</v>
      </c>
      <c r="B106" s="5" t="s">
        <v>397</v>
      </c>
      <c r="C106" s="4" t="s">
        <v>2</v>
      </c>
      <c r="D106" s="5" t="s">
        <v>399</v>
      </c>
    </row>
    <row r="107" spans="1:4" s="3" customFormat="1" ht="50.1" customHeight="1" x14ac:dyDescent="0.25">
      <c r="A107" s="4" t="s">
        <v>400</v>
      </c>
      <c r="B107" s="5" t="s">
        <v>401</v>
      </c>
      <c r="C107" s="4" t="s">
        <v>2</v>
      </c>
      <c r="D107" s="5" t="s">
        <v>403</v>
      </c>
    </row>
    <row r="108" spans="1:4" s="3" customFormat="1" ht="50.1" customHeight="1" x14ac:dyDescent="0.25">
      <c r="A108" s="4" t="s">
        <v>404</v>
      </c>
      <c r="B108" s="5" t="s">
        <v>405</v>
      </c>
      <c r="C108" s="4" t="s">
        <v>21</v>
      </c>
      <c r="D108" s="5" t="s">
        <v>406</v>
      </c>
    </row>
    <row r="109" spans="1:4" s="3" customFormat="1" ht="50.1" customHeight="1" x14ac:dyDescent="0.25">
      <c r="A109" s="4" t="s">
        <v>407</v>
      </c>
      <c r="B109" s="5" t="s">
        <v>408</v>
      </c>
      <c r="C109" s="4" t="s">
        <v>2</v>
      </c>
      <c r="D109" s="5" t="s">
        <v>410</v>
      </c>
    </row>
    <row r="110" spans="1:4" s="3" customFormat="1" ht="50.1" customHeight="1" x14ac:dyDescent="0.25">
      <c r="A110" s="4" t="s">
        <v>411</v>
      </c>
      <c r="B110" s="5" t="s">
        <v>412</v>
      </c>
      <c r="C110" s="4" t="s">
        <v>21</v>
      </c>
      <c r="D110" s="5" t="s">
        <v>413</v>
      </c>
    </row>
    <row r="111" spans="1:4" s="3" customFormat="1" ht="50.1" customHeight="1" x14ac:dyDescent="0.25">
      <c r="A111" s="4" t="s">
        <v>414</v>
      </c>
      <c r="B111" s="5" t="s">
        <v>415</v>
      </c>
      <c r="C111" s="4" t="s">
        <v>21</v>
      </c>
      <c r="D111" s="5" t="s">
        <v>417</v>
      </c>
    </row>
    <row r="112" spans="1:4" s="3" customFormat="1" ht="50.1" customHeight="1" x14ac:dyDescent="0.25">
      <c r="A112" s="4" t="s">
        <v>418</v>
      </c>
      <c r="B112" s="5" t="s">
        <v>329</v>
      </c>
      <c r="C112" s="4" t="s">
        <v>2</v>
      </c>
      <c r="D112" s="5" t="s">
        <v>331</v>
      </c>
    </row>
    <row r="113" spans="1:4" s="3" customFormat="1" ht="50.1" customHeight="1" x14ac:dyDescent="0.25">
      <c r="A113" s="4" t="s">
        <v>419</v>
      </c>
      <c r="B113" s="5" t="s">
        <v>420</v>
      </c>
      <c r="C113" s="4" t="s">
        <v>21</v>
      </c>
      <c r="D113" s="5" t="s">
        <v>422</v>
      </c>
    </row>
    <row r="114" spans="1:4" s="3" customFormat="1" ht="50.1" customHeight="1" x14ac:dyDescent="0.25">
      <c r="A114" s="4" t="s">
        <v>423</v>
      </c>
      <c r="B114" s="5" t="s">
        <v>424</v>
      </c>
      <c r="C114" s="4" t="s">
        <v>2</v>
      </c>
      <c r="D114" s="5" t="s">
        <v>426</v>
      </c>
    </row>
    <row r="115" spans="1:4" s="3" customFormat="1" ht="50.1" customHeight="1" x14ac:dyDescent="0.25">
      <c r="A115" s="4" t="s">
        <v>427</v>
      </c>
      <c r="B115" s="5" t="s">
        <v>428</v>
      </c>
      <c r="C115" s="4" t="s">
        <v>2</v>
      </c>
      <c r="D115" s="5" t="s">
        <v>430</v>
      </c>
    </row>
    <row r="116" spans="1:4" s="3" customFormat="1" ht="50.1" customHeight="1" x14ac:dyDescent="0.25">
      <c r="A116" s="4" t="s">
        <v>431</v>
      </c>
      <c r="B116" s="5" t="s">
        <v>432</v>
      </c>
      <c r="C116" s="4" t="s">
        <v>2</v>
      </c>
      <c r="D116" s="5" t="s">
        <v>433</v>
      </c>
    </row>
    <row r="117" spans="1:4" s="3" customFormat="1" ht="50.1" customHeight="1" x14ac:dyDescent="0.25">
      <c r="A117" s="4" t="s">
        <v>434</v>
      </c>
      <c r="B117" s="5" t="s">
        <v>435</v>
      </c>
      <c r="C117" s="4" t="s">
        <v>21</v>
      </c>
      <c r="D117" s="5" t="s">
        <v>437</v>
      </c>
    </row>
    <row r="118" spans="1:4" s="3" customFormat="1" ht="50.1" customHeight="1" x14ac:dyDescent="0.25">
      <c r="A118" s="4" t="s">
        <v>438</v>
      </c>
      <c r="B118" s="5" t="s">
        <v>439</v>
      </c>
      <c r="C118" s="4" t="s">
        <v>2</v>
      </c>
      <c r="D118" s="5" t="s">
        <v>441</v>
      </c>
    </row>
    <row r="119" spans="1:4" s="3" customFormat="1" ht="50.1" customHeight="1" x14ac:dyDescent="0.25">
      <c r="A119" s="4" t="s">
        <v>442</v>
      </c>
      <c r="B119" s="5" t="s">
        <v>443</v>
      </c>
      <c r="C119" s="4" t="s">
        <v>21</v>
      </c>
      <c r="D119" s="5" t="s">
        <v>445</v>
      </c>
    </row>
    <row r="120" spans="1:4" s="3" customFormat="1" ht="50.1" customHeight="1" x14ac:dyDescent="0.25">
      <c r="A120" s="4" t="s">
        <v>446</v>
      </c>
      <c r="B120" s="5" t="s">
        <v>447</v>
      </c>
      <c r="C120" s="4" t="s">
        <v>2</v>
      </c>
      <c r="D120" s="5" t="s">
        <v>449</v>
      </c>
    </row>
    <row r="121" spans="1:4" s="3" customFormat="1" ht="50.1" customHeight="1" x14ac:dyDescent="0.25">
      <c r="A121" s="4" t="s">
        <v>450</v>
      </c>
      <c r="B121" s="5" t="s">
        <v>451</v>
      </c>
      <c r="C121" s="4" t="s">
        <v>2</v>
      </c>
      <c r="D121" s="5" t="s">
        <v>453</v>
      </c>
    </row>
    <row r="122" spans="1:4" s="3" customFormat="1" ht="50.1" customHeight="1" x14ac:dyDescent="0.25">
      <c r="A122" s="4" t="s">
        <v>454</v>
      </c>
      <c r="B122" s="5" t="s">
        <v>455</v>
      </c>
      <c r="C122" s="4" t="s">
        <v>139</v>
      </c>
      <c r="D122" s="5" t="s">
        <v>456</v>
      </c>
    </row>
    <row r="123" spans="1:4" s="3" customFormat="1" ht="50.1" customHeight="1" x14ac:dyDescent="0.25">
      <c r="A123" s="4" t="s">
        <v>457</v>
      </c>
      <c r="B123" s="5" t="s">
        <v>458</v>
      </c>
      <c r="C123" s="4" t="s">
        <v>2</v>
      </c>
      <c r="D123" s="5" t="s">
        <v>460</v>
      </c>
    </row>
    <row r="124" spans="1:4" s="3" customFormat="1" ht="50.1" customHeight="1" x14ac:dyDescent="0.25">
      <c r="A124" s="4" t="s">
        <v>461</v>
      </c>
      <c r="B124" s="5" t="s">
        <v>462</v>
      </c>
      <c r="C124" s="4" t="s">
        <v>2</v>
      </c>
      <c r="D124" s="5" t="s">
        <v>464</v>
      </c>
    </row>
    <row r="125" spans="1:4" s="3" customFormat="1" ht="50.1" customHeight="1" x14ac:dyDescent="0.25">
      <c r="A125" s="4" t="s">
        <v>465</v>
      </c>
      <c r="B125" s="5" t="s">
        <v>466</v>
      </c>
      <c r="C125" s="4" t="s">
        <v>2</v>
      </c>
      <c r="D125" s="5" t="s">
        <v>468</v>
      </c>
    </row>
    <row r="126" spans="1:4" s="3" customFormat="1" ht="50.1" customHeight="1" x14ac:dyDescent="0.25">
      <c r="A126" s="4" t="s">
        <v>469</v>
      </c>
      <c r="B126" s="5" t="s">
        <v>470</v>
      </c>
      <c r="C126" s="4" t="s">
        <v>2</v>
      </c>
      <c r="D126" s="5" t="s">
        <v>472</v>
      </c>
    </row>
    <row r="127" spans="1:4" s="3" customFormat="1" ht="50.1" customHeight="1" x14ac:dyDescent="0.25">
      <c r="A127" s="4" t="s">
        <v>473</v>
      </c>
      <c r="B127" s="5" t="s">
        <v>455</v>
      </c>
      <c r="C127" s="4" t="s">
        <v>139</v>
      </c>
      <c r="D127" s="5" t="s">
        <v>456</v>
      </c>
    </row>
    <row r="128" spans="1:4" s="3" customFormat="1" ht="50.1" customHeight="1" x14ac:dyDescent="0.25">
      <c r="A128" s="4" t="s">
        <v>474</v>
      </c>
      <c r="B128" s="5" t="s">
        <v>455</v>
      </c>
      <c r="C128" s="4" t="s">
        <v>139</v>
      </c>
      <c r="D128" s="5" t="s">
        <v>475</v>
      </c>
    </row>
    <row r="129" spans="1:4" s="3" customFormat="1" ht="50.1" customHeight="1" x14ac:dyDescent="0.25">
      <c r="A129" s="4" t="s">
        <v>476</v>
      </c>
      <c r="B129" s="5" t="s">
        <v>477</v>
      </c>
      <c r="C129" s="4" t="s">
        <v>139</v>
      </c>
      <c r="D129" s="5" t="s">
        <v>478</v>
      </c>
    </row>
    <row r="130" spans="1:4" s="3" customFormat="1" ht="50.1" customHeight="1" x14ac:dyDescent="0.25">
      <c r="A130" s="4" t="s">
        <v>479</v>
      </c>
      <c r="B130" s="5" t="s">
        <v>480</v>
      </c>
      <c r="C130" s="4" t="s">
        <v>21</v>
      </c>
      <c r="D130" s="5" t="s">
        <v>482</v>
      </c>
    </row>
    <row r="131" spans="1:4" s="3" customFormat="1" ht="50.1" customHeight="1" x14ac:dyDescent="0.25">
      <c r="A131" s="4" t="s">
        <v>483</v>
      </c>
      <c r="B131" s="5" t="s">
        <v>484</v>
      </c>
      <c r="C131" s="4" t="s">
        <v>2</v>
      </c>
      <c r="D131" s="5" t="s">
        <v>486</v>
      </c>
    </row>
    <row r="132" spans="1:4" s="3" customFormat="1" ht="50.1" customHeight="1" x14ac:dyDescent="0.25">
      <c r="A132" s="4" t="s">
        <v>487</v>
      </c>
      <c r="B132" s="5" t="s">
        <v>488</v>
      </c>
      <c r="C132" s="4" t="s">
        <v>2</v>
      </c>
      <c r="D132" s="5" t="s">
        <v>490</v>
      </c>
    </row>
    <row r="133" spans="1:4" s="3" customFormat="1" ht="50.1" customHeight="1" x14ac:dyDescent="0.25">
      <c r="A133" s="4" t="s">
        <v>491</v>
      </c>
      <c r="B133" s="5" t="s">
        <v>71</v>
      </c>
      <c r="C133" s="4" t="s">
        <v>2</v>
      </c>
      <c r="D133" s="5" t="s">
        <v>73</v>
      </c>
    </row>
    <row r="134" spans="1:4" s="3" customFormat="1" ht="50.1" customHeight="1" x14ac:dyDescent="0.25">
      <c r="A134" s="4" t="s">
        <v>492</v>
      </c>
      <c r="B134" s="5" t="s">
        <v>466</v>
      </c>
      <c r="C134" s="4" t="s">
        <v>2</v>
      </c>
      <c r="D134" s="5" t="s">
        <v>468</v>
      </c>
    </row>
    <row r="135" spans="1:4" s="3" customFormat="1" ht="50.1" customHeight="1" x14ac:dyDescent="0.25">
      <c r="A135" s="4" t="s">
        <v>493</v>
      </c>
      <c r="B135" s="5" t="s">
        <v>494</v>
      </c>
      <c r="C135" s="4" t="s">
        <v>21</v>
      </c>
      <c r="D135" s="5" t="s">
        <v>495</v>
      </c>
    </row>
    <row r="136" spans="1:4" s="3" customFormat="1" ht="50.1" customHeight="1" x14ac:dyDescent="0.25">
      <c r="A136" s="4" t="s">
        <v>496</v>
      </c>
      <c r="B136" s="5" t="s">
        <v>497</v>
      </c>
      <c r="C136" s="4" t="s">
        <v>2</v>
      </c>
      <c r="D136" s="5" t="s">
        <v>499</v>
      </c>
    </row>
    <row r="137" spans="1:4" s="3" customFormat="1" ht="50.1" customHeight="1" x14ac:dyDescent="0.25">
      <c r="A137" s="4" t="s">
        <v>500</v>
      </c>
      <c r="B137" s="5" t="s">
        <v>501</v>
      </c>
      <c r="C137" s="4" t="s">
        <v>2</v>
      </c>
      <c r="D137" s="5" t="s">
        <v>80</v>
      </c>
    </row>
    <row r="138" spans="1:4" s="3" customFormat="1" ht="50.1" customHeight="1" x14ac:dyDescent="0.25">
      <c r="A138" s="4" t="s">
        <v>502</v>
      </c>
      <c r="B138" s="5" t="s">
        <v>503</v>
      </c>
      <c r="C138" s="4" t="s">
        <v>2</v>
      </c>
      <c r="D138" s="5" t="s">
        <v>505</v>
      </c>
    </row>
    <row r="139" spans="1:4" s="3" customFormat="1" ht="50.1" customHeight="1" x14ac:dyDescent="0.25">
      <c r="A139" s="4" t="s">
        <v>506</v>
      </c>
      <c r="B139" s="5" t="s">
        <v>507</v>
      </c>
      <c r="C139" s="4" t="s">
        <v>2</v>
      </c>
      <c r="D139" s="5" t="s">
        <v>509</v>
      </c>
    </row>
    <row r="140" spans="1:4" s="3" customFormat="1" ht="50.1" customHeight="1" x14ac:dyDescent="0.25">
      <c r="A140" s="4" t="s">
        <v>510</v>
      </c>
      <c r="B140" s="5" t="s">
        <v>511</v>
      </c>
      <c r="C140" s="4" t="s">
        <v>2</v>
      </c>
      <c r="D140" s="5" t="s">
        <v>513</v>
      </c>
    </row>
    <row r="141" spans="1:4" s="3" customFormat="1" ht="50.1" customHeight="1" x14ac:dyDescent="0.25">
      <c r="A141" s="4" t="s">
        <v>514</v>
      </c>
      <c r="B141" s="5" t="s">
        <v>515</v>
      </c>
      <c r="C141" s="4" t="s">
        <v>2</v>
      </c>
      <c r="D141" s="5" t="s">
        <v>516</v>
      </c>
    </row>
    <row r="142" spans="1:4" s="3" customFormat="1" ht="50.1" customHeight="1" x14ac:dyDescent="0.25">
      <c r="A142" s="4" t="s">
        <v>517</v>
      </c>
      <c r="B142" s="5" t="s">
        <v>518</v>
      </c>
      <c r="C142" s="4" t="s">
        <v>2</v>
      </c>
      <c r="D142" s="5" t="s">
        <v>520</v>
      </c>
    </row>
    <row r="143" spans="1:4" s="3" customFormat="1" ht="50.1" customHeight="1" x14ac:dyDescent="0.25">
      <c r="A143" s="4" t="s">
        <v>521</v>
      </c>
      <c r="B143" s="5" t="s">
        <v>522</v>
      </c>
      <c r="C143" s="4" t="s">
        <v>2</v>
      </c>
      <c r="D143" s="5" t="s">
        <v>524</v>
      </c>
    </row>
    <row r="144" spans="1:4" s="3" customFormat="1" ht="50.1" customHeight="1" x14ac:dyDescent="0.25">
      <c r="A144" s="4" t="s">
        <v>525</v>
      </c>
      <c r="B144" s="5" t="s">
        <v>526</v>
      </c>
      <c r="C144" s="4" t="s">
        <v>2</v>
      </c>
      <c r="D144" s="5" t="s">
        <v>528</v>
      </c>
    </row>
    <row r="145" spans="1:4" s="3" customFormat="1" ht="50.1" customHeight="1" x14ac:dyDescent="0.25">
      <c r="A145" s="4" t="s">
        <v>529</v>
      </c>
      <c r="B145" s="5" t="s">
        <v>530</v>
      </c>
      <c r="C145" s="4" t="s">
        <v>2</v>
      </c>
      <c r="D145" s="5" t="s">
        <v>532</v>
      </c>
    </row>
    <row r="146" spans="1:4" s="3" customFormat="1" ht="50.1" customHeight="1" x14ac:dyDescent="0.25">
      <c r="A146" s="4" t="s">
        <v>533</v>
      </c>
      <c r="B146" s="5" t="s">
        <v>534</v>
      </c>
      <c r="C146" s="4" t="s">
        <v>2</v>
      </c>
      <c r="D146" s="5" t="s">
        <v>536</v>
      </c>
    </row>
    <row r="147" spans="1:4" s="3" customFormat="1" ht="50.1" customHeight="1" x14ac:dyDescent="0.25">
      <c r="A147" s="4" t="s">
        <v>537</v>
      </c>
      <c r="B147" s="5" t="s">
        <v>538</v>
      </c>
      <c r="C147" s="4" t="s">
        <v>21</v>
      </c>
      <c r="D147" s="5" t="s">
        <v>281</v>
      </c>
    </row>
    <row r="148" spans="1:4" s="3" customFormat="1" ht="50.1" customHeight="1" x14ac:dyDescent="0.25">
      <c r="A148" s="4" t="s">
        <v>539</v>
      </c>
      <c r="B148" s="5" t="s">
        <v>540</v>
      </c>
      <c r="C148" s="4" t="s">
        <v>2</v>
      </c>
      <c r="D148" s="5" t="s">
        <v>542</v>
      </c>
    </row>
    <row r="149" spans="1:4" s="3" customFormat="1" ht="50.1" customHeight="1" x14ac:dyDescent="0.25">
      <c r="A149" s="4" t="s">
        <v>543</v>
      </c>
      <c r="B149" s="5" t="s">
        <v>544</v>
      </c>
      <c r="C149" s="4" t="s">
        <v>21</v>
      </c>
      <c r="D149" s="5" t="s">
        <v>546</v>
      </c>
    </row>
    <row r="150" spans="1:4" s="3" customFormat="1" ht="50.1" customHeight="1" x14ac:dyDescent="0.25">
      <c r="A150" s="4" t="s">
        <v>547</v>
      </c>
      <c r="B150" s="5" t="s">
        <v>548</v>
      </c>
      <c r="C150" s="4" t="s">
        <v>2</v>
      </c>
      <c r="D150" s="5" t="s">
        <v>550</v>
      </c>
    </row>
    <row r="151" spans="1:4" s="3" customFormat="1" ht="50.1" customHeight="1" x14ac:dyDescent="0.25">
      <c r="A151" s="4" t="s">
        <v>551</v>
      </c>
      <c r="B151" s="5" t="s">
        <v>150</v>
      </c>
      <c r="C151" s="4" t="s">
        <v>2</v>
      </c>
      <c r="D151" s="5" t="s">
        <v>152</v>
      </c>
    </row>
    <row r="152" spans="1:4" s="3" customFormat="1" ht="50.1" customHeight="1" x14ac:dyDescent="0.25">
      <c r="A152" s="4" t="s">
        <v>552</v>
      </c>
      <c r="B152" s="5" t="s">
        <v>553</v>
      </c>
      <c r="C152" s="4" t="s">
        <v>2</v>
      </c>
      <c r="D152" s="5" t="s">
        <v>555</v>
      </c>
    </row>
    <row r="153" spans="1:4" s="3" customFormat="1" ht="50.1" customHeight="1" x14ac:dyDescent="0.25">
      <c r="A153" s="4" t="s">
        <v>556</v>
      </c>
      <c r="B153" s="5" t="s">
        <v>557</v>
      </c>
      <c r="C153" s="4" t="s">
        <v>21</v>
      </c>
      <c r="D153" s="5" t="s">
        <v>559</v>
      </c>
    </row>
    <row r="154" spans="1:4" s="3" customFormat="1" ht="50.1" customHeight="1" x14ac:dyDescent="0.25">
      <c r="A154" s="4" t="s">
        <v>560</v>
      </c>
      <c r="B154" s="5" t="s">
        <v>561</v>
      </c>
      <c r="C154" s="4" t="s">
        <v>2</v>
      </c>
      <c r="D154" s="5" t="s">
        <v>562</v>
      </c>
    </row>
    <row r="155" spans="1:4" s="3" customFormat="1" ht="50.1" customHeight="1" x14ac:dyDescent="0.25">
      <c r="A155" s="4" t="s">
        <v>563</v>
      </c>
      <c r="B155" s="5" t="s">
        <v>564</v>
      </c>
      <c r="C155" s="4" t="s">
        <v>2</v>
      </c>
      <c r="D155" s="5" t="s">
        <v>565</v>
      </c>
    </row>
    <row r="156" spans="1:4" s="3" customFormat="1" ht="50.1" customHeight="1" x14ac:dyDescent="0.25">
      <c r="A156" s="4" t="s">
        <v>566</v>
      </c>
      <c r="B156" s="5" t="s">
        <v>369</v>
      </c>
      <c r="C156" s="4" t="s">
        <v>139</v>
      </c>
      <c r="D156" s="5" t="s">
        <v>370</v>
      </c>
    </row>
    <row r="157" spans="1:4" s="3" customFormat="1" ht="50.1" customHeight="1" x14ac:dyDescent="0.25">
      <c r="A157" s="4" t="s">
        <v>567</v>
      </c>
      <c r="B157" s="5" t="s">
        <v>568</v>
      </c>
      <c r="C157" s="4" t="s">
        <v>2</v>
      </c>
      <c r="D157" s="5" t="s">
        <v>570</v>
      </c>
    </row>
    <row r="158" spans="1:4" s="3" customFormat="1" ht="50.1" customHeight="1" x14ac:dyDescent="0.25">
      <c r="A158" s="4" t="s">
        <v>571</v>
      </c>
      <c r="B158" s="5" t="s">
        <v>572</v>
      </c>
      <c r="C158" s="4" t="s">
        <v>2</v>
      </c>
      <c r="D158" s="5" t="s">
        <v>574</v>
      </c>
    </row>
    <row r="159" spans="1:4" s="3" customFormat="1" ht="50.1" customHeight="1" x14ac:dyDescent="0.25">
      <c r="A159" s="4" t="s">
        <v>575</v>
      </c>
      <c r="B159" s="5" t="s">
        <v>210</v>
      </c>
      <c r="C159" s="4" t="s">
        <v>2</v>
      </c>
      <c r="D159" s="5" t="s">
        <v>211</v>
      </c>
    </row>
    <row r="160" spans="1:4" s="3" customFormat="1" ht="50.1" customHeight="1" x14ac:dyDescent="0.25">
      <c r="A160" s="4" t="s">
        <v>576</v>
      </c>
      <c r="B160" s="5" t="s">
        <v>286</v>
      </c>
      <c r="C160" s="4" t="s">
        <v>2</v>
      </c>
      <c r="D160" s="5" t="s">
        <v>288</v>
      </c>
    </row>
    <row r="161" spans="1:4" s="3" customFormat="1" ht="50.1" customHeight="1" x14ac:dyDescent="0.25">
      <c r="A161" s="4" t="s">
        <v>577</v>
      </c>
      <c r="B161" s="5" t="s">
        <v>578</v>
      </c>
      <c r="C161" s="4" t="s">
        <v>2</v>
      </c>
      <c r="D161" s="5" t="s">
        <v>580</v>
      </c>
    </row>
    <row r="162" spans="1:4" s="3" customFormat="1" ht="50.1" customHeight="1" x14ac:dyDescent="0.25">
      <c r="A162" s="4" t="s">
        <v>581</v>
      </c>
      <c r="B162" s="5" t="s">
        <v>582</v>
      </c>
      <c r="C162" s="4" t="s">
        <v>21</v>
      </c>
      <c r="D162" s="5" t="s">
        <v>583</v>
      </c>
    </row>
    <row r="163" spans="1:4" s="3" customFormat="1" ht="50.1" customHeight="1" x14ac:dyDescent="0.25">
      <c r="A163" s="4" t="s">
        <v>584</v>
      </c>
      <c r="B163" s="5" t="s">
        <v>585</v>
      </c>
      <c r="C163" s="4" t="s">
        <v>2</v>
      </c>
      <c r="D163" s="5" t="s">
        <v>587</v>
      </c>
    </row>
    <row r="164" spans="1:4" s="3" customFormat="1" ht="50.1" customHeight="1" x14ac:dyDescent="0.25">
      <c r="A164" s="4" t="s">
        <v>588</v>
      </c>
      <c r="B164" s="5" t="s">
        <v>589</v>
      </c>
      <c r="C164" s="4" t="s">
        <v>21</v>
      </c>
      <c r="D164" s="5" t="s">
        <v>591</v>
      </c>
    </row>
    <row r="165" spans="1:4" s="3" customFormat="1" ht="50.1" customHeight="1" x14ac:dyDescent="0.25">
      <c r="A165" s="4" t="s">
        <v>592</v>
      </c>
      <c r="B165" s="5" t="s">
        <v>229</v>
      </c>
      <c r="C165" s="4" t="s">
        <v>2</v>
      </c>
      <c r="D165" s="5" t="s">
        <v>231</v>
      </c>
    </row>
    <row r="166" spans="1:4" s="3" customFormat="1" ht="50.1" customHeight="1" x14ac:dyDescent="0.25">
      <c r="A166" s="4" t="s">
        <v>593</v>
      </c>
      <c r="B166" s="5" t="s">
        <v>553</v>
      </c>
      <c r="C166" s="4" t="s">
        <v>2</v>
      </c>
      <c r="D166" s="5" t="s">
        <v>555</v>
      </c>
    </row>
    <row r="167" spans="1:4" s="3" customFormat="1" ht="50.1" customHeight="1" x14ac:dyDescent="0.25">
      <c r="A167" s="4" t="s">
        <v>594</v>
      </c>
      <c r="B167" s="5" t="s">
        <v>595</v>
      </c>
      <c r="C167" s="4" t="s">
        <v>2</v>
      </c>
      <c r="D167" s="5" t="s">
        <v>596</v>
      </c>
    </row>
    <row r="168" spans="1:4" s="3" customFormat="1" ht="50.1" customHeight="1" x14ac:dyDescent="0.25">
      <c r="A168" s="4" t="s">
        <v>597</v>
      </c>
      <c r="B168" s="5" t="s">
        <v>598</v>
      </c>
      <c r="C168" s="4" t="s">
        <v>21</v>
      </c>
      <c r="D168" s="5" t="s">
        <v>599</v>
      </c>
    </row>
    <row r="169" spans="1:4" s="3" customFormat="1" ht="50.1" customHeight="1" x14ac:dyDescent="0.25">
      <c r="A169" s="4" t="s">
        <v>600</v>
      </c>
      <c r="B169" s="5" t="s">
        <v>601</v>
      </c>
      <c r="C169" s="4" t="s">
        <v>2</v>
      </c>
      <c r="D169" s="5" t="s">
        <v>603</v>
      </c>
    </row>
    <row r="170" spans="1:4" s="3" customFormat="1" ht="50.1" customHeight="1" x14ac:dyDescent="0.25">
      <c r="A170" s="4" t="s">
        <v>604</v>
      </c>
      <c r="B170" s="5"/>
      <c r="C170" s="4" t="s">
        <v>2</v>
      </c>
      <c r="D170" s="5" t="s">
        <v>605</v>
      </c>
    </row>
    <row r="171" spans="1:4" s="3" customFormat="1" ht="50.1" customHeight="1" x14ac:dyDescent="0.25">
      <c r="A171" s="4" t="s">
        <v>606</v>
      </c>
      <c r="B171" s="5" t="s">
        <v>415</v>
      </c>
      <c r="C171" s="4" t="s">
        <v>21</v>
      </c>
      <c r="D171" s="5" t="s">
        <v>417</v>
      </c>
    </row>
    <row r="172" spans="1:4" s="3" customFormat="1" ht="50.1" customHeight="1" x14ac:dyDescent="0.25">
      <c r="A172" s="4" t="s">
        <v>607</v>
      </c>
      <c r="B172" s="5" t="s">
        <v>608</v>
      </c>
      <c r="C172" s="4" t="s">
        <v>21</v>
      </c>
      <c r="D172" s="5" t="s">
        <v>610</v>
      </c>
    </row>
    <row r="173" spans="1:4" s="3" customFormat="1" ht="50.1" customHeight="1" x14ac:dyDescent="0.25">
      <c r="A173" s="4" t="s">
        <v>611</v>
      </c>
      <c r="B173" s="5" t="s">
        <v>612</v>
      </c>
      <c r="C173" s="4" t="s">
        <v>2</v>
      </c>
      <c r="D173" s="5" t="s">
        <v>614</v>
      </c>
    </row>
    <row r="174" spans="1:4" s="3" customFormat="1" ht="50.1" customHeight="1" x14ac:dyDescent="0.25">
      <c r="A174" s="4" t="s">
        <v>615</v>
      </c>
      <c r="B174" s="5" t="s">
        <v>616</v>
      </c>
      <c r="C174" s="4" t="s">
        <v>21</v>
      </c>
      <c r="D174" s="5" t="s">
        <v>618</v>
      </c>
    </row>
    <row r="175" spans="1:4" s="3" customFormat="1" ht="50.1" customHeight="1" x14ac:dyDescent="0.25">
      <c r="A175" s="4" t="s">
        <v>619</v>
      </c>
      <c r="B175" s="5" t="s">
        <v>620</v>
      </c>
      <c r="C175" s="4" t="s">
        <v>21</v>
      </c>
      <c r="D175" s="5" t="s">
        <v>622</v>
      </c>
    </row>
    <row r="176" spans="1:4" s="3" customFormat="1" ht="50.1" customHeight="1" x14ac:dyDescent="0.25">
      <c r="A176" s="4" t="s">
        <v>623</v>
      </c>
      <c r="B176" s="5" t="s">
        <v>624</v>
      </c>
      <c r="C176" s="4" t="s">
        <v>2</v>
      </c>
      <c r="D176" s="5" t="s">
        <v>625</v>
      </c>
    </row>
    <row r="177" spans="1:4" s="3" customFormat="1" ht="50.1" customHeight="1" x14ac:dyDescent="0.25">
      <c r="A177" s="4" t="s">
        <v>626</v>
      </c>
      <c r="B177" s="5" t="s">
        <v>627</v>
      </c>
      <c r="C177" s="4" t="s">
        <v>21</v>
      </c>
      <c r="D177" s="5" t="s">
        <v>628</v>
      </c>
    </row>
    <row r="178" spans="1:4" s="3" customFormat="1" ht="50.1" customHeight="1" x14ac:dyDescent="0.25">
      <c r="A178" s="4" t="s">
        <v>629</v>
      </c>
      <c r="B178" s="5" t="s">
        <v>630</v>
      </c>
      <c r="C178" s="4" t="s">
        <v>2</v>
      </c>
      <c r="D178" s="5" t="s">
        <v>632</v>
      </c>
    </row>
    <row r="179" spans="1:4" s="3" customFormat="1" ht="50.1" customHeight="1" x14ac:dyDescent="0.25">
      <c r="A179" s="4" t="s">
        <v>633</v>
      </c>
      <c r="B179" s="5" t="s">
        <v>634</v>
      </c>
      <c r="C179" s="4" t="s">
        <v>2</v>
      </c>
      <c r="D179" s="5" t="s">
        <v>636</v>
      </c>
    </row>
    <row r="180" spans="1:4" s="3" customFormat="1" ht="50.1" customHeight="1" x14ac:dyDescent="0.25">
      <c r="A180" s="4" t="s">
        <v>637</v>
      </c>
      <c r="B180" s="5" t="s">
        <v>638</v>
      </c>
      <c r="C180" s="4" t="s">
        <v>2</v>
      </c>
      <c r="D180" s="5" t="s">
        <v>640</v>
      </c>
    </row>
    <row r="181" spans="1:4" s="3" customFormat="1" ht="50.1" customHeight="1" x14ac:dyDescent="0.25">
      <c r="A181" s="4" t="s">
        <v>641</v>
      </c>
      <c r="B181" s="5" t="s">
        <v>642</v>
      </c>
      <c r="C181" s="4" t="s">
        <v>2</v>
      </c>
      <c r="D181" s="5" t="s">
        <v>644</v>
      </c>
    </row>
    <row r="182" spans="1:4" s="3" customFormat="1" ht="50.1" customHeight="1" x14ac:dyDescent="0.25">
      <c r="A182" s="4" t="s">
        <v>645</v>
      </c>
      <c r="B182" s="5" t="s">
        <v>646</v>
      </c>
      <c r="C182" s="4" t="s">
        <v>2</v>
      </c>
      <c r="D182" s="5" t="s">
        <v>648</v>
      </c>
    </row>
    <row r="183" spans="1:4" s="3" customFormat="1" ht="50.1" customHeight="1" x14ac:dyDescent="0.25">
      <c r="A183" s="4" t="s">
        <v>649</v>
      </c>
      <c r="B183" s="5" t="s">
        <v>534</v>
      </c>
      <c r="C183" s="4" t="s">
        <v>2</v>
      </c>
      <c r="D183" s="5" t="s">
        <v>536</v>
      </c>
    </row>
    <row r="184" spans="1:4" s="3" customFormat="1" ht="50.1" customHeight="1" x14ac:dyDescent="0.25">
      <c r="A184" s="4" t="s">
        <v>650</v>
      </c>
      <c r="B184" s="5" t="s">
        <v>651</v>
      </c>
      <c r="C184" s="4" t="s">
        <v>2</v>
      </c>
      <c r="D184" s="5" t="s">
        <v>653</v>
      </c>
    </row>
    <row r="185" spans="1:4" s="3" customFormat="1" ht="50.1" customHeight="1" x14ac:dyDescent="0.25">
      <c r="A185" s="4" t="s">
        <v>654</v>
      </c>
      <c r="B185" s="5" t="s">
        <v>655</v>
      </c>
      <c r="C185" s="4" t="s">
        <v>2</v>
      </c>
      <c r="D185" s="5" t="s">
        <v>657</v>
      </c>
    </row>
    <row r="186" spans="1:4" s="3" customFormat="1" ht="50.1" customHeight="1" x14ac:dyDescent="0.25">
      <c r="A186" s="4" t="s">
        <v>658</v>
      </c>
      <c r="B186" s="5" t="s">
        <v>659</v>
      </c>
      <c r="C186" s="4" t="s">
        <v>2</v>
      </c>
      <c r="D186" s="5" t="s">
        <v>660</v>
      </c>
    </row>
    <row r="187" spans="1:4" s="3" customFormat="1" ht="50.1" customHeight="1" x14ac:dyDescent="0.25">
      <c r="A187" s="4" t="s">
        <v>661</v>
      </c>
      <c r="B187" s="5" t="s">
        <v>662</v>
      </c>
      <c r="C187" s="4" t="s">
        <v>2</v>
      </c>
      <c r="D187" s="5" t="s">
        <v>664</v>
      </c>
    </row>
    <row r="188" spans="1:4" s="3" customFormat="1" ht="50.1" customHeight="1" x14ac:dyDescent="0.25">
      <c r="A188" s="4" t="s">
        <v>665</v>
      </c>
      <c r="B188" s="5" t="s">
        <v>666</v>
      </c>
      <c r="C188" s="4" t="s">
        <v>2</v>
      </c>
      <c r="D188" s="5" t="s">
        <v>668</v>
      </c>
    </row>
    <row r="189" spans="1:4" s="3" customFormat="1" ht="50.1" customHeight="1" x14ac:dyDescent="0.25">
      <c r="A189" s="4" t="s">
        <v>669</v>
      </c>
      <c r="B189" s="5" t="s">
        <v>670</v>
      </c>
      <c r="C189" s="4" t="s">
        <v>2</v>
      </c>
      <c r="D189" s="5" t="s">
        <v>671</v>
      </c>
    </row>
    <row r="190" spans="1:4" s="3" customFormat="1" ht="50.1" customHeight="1" x14ac:dyDescent="0.25">
      <c r="A190" s="4" t="s">
        <v>672</v>
      </c>
      <c r="B190" s="5" t="s">
        <v>673</v>
      </c>
      <c r="C190" s="4" t="s">
        <v>2</v>
      </c>
      <c r="D190" s="5" t="s">
        <v>675</v>
      </c>
    </row>
    <row r="191" spans="1:4" s="3" customFormat="1" ht="50.1" customHeight="1" x14ac:dyDescent="0.25">
      <c r="A191" s="4" t="s">
        <v>676</v>
      </c>
      <c r="B191" s="5" t="s">
        <v>677</v>
      </c>
      <c r="C191" s="4" t="s">
        <v>2</v>
      </c>
      <c r="D191" s="5" t="s">
        <v>679</v>
      </c>
    </row>
    <row r="192" spans="1:4" s="3" customFormat="1" ht="50.1" customHeight="1" x14ac:dyDescent="0.25">
      <c r="A192" s="4" t="s">
        <v>680</v>
      </c>
      <c r="B192" s="5" t="s">
        <v>681</v>
      </c>
      <c r="C192" s="4" t="s">
        <v>2</v>
      </c>
      <c r="D192" s="5" t="s">
        <v>683</v>
      </c>
    </row>
    <row r="193" spans="1:4" s="3" customFormat="1" ht="50.1" customHeight="1" x14ac:dyDescent="0.25">
      <c r="A193" s="4" t="s">
        <v>684</v>
      </c>
      <c r="B193" s="5" t="s">
        <v>15</v>
      </c>
      <c r="C193" s="4" t="s">
        <v>2</v>
      </c>
      <c r="D193" s="5" t="s">
        <v>18</v>
      </c>
    </row>
    <row r="194" spans="1:4" s="3" customFormat="1" ht="50.1" customHeight="1" x14ac:dyDescent="0.25">
      <c r="A194" s="4" t="s">
        <v>685</v>
      </c>
      <c r="B194" s="5" t="s">
        <v>348</v>
      </c>
      <c r="C194" s="4" t="s">
        <v>21</v>
      </c>
      <c r="D194" s="5" t="s">
        <v>350</v>
      </c>
    </row>
    <row r="195" spans="1:4" s="3" customFormat="1" ht="50.1" customHeight="1" x14ac:dyDescent="0.25">
      <c r="A195" s="4" t="s">
        <v>686</v>
      </c>
      <c r="B195" s="5"/>
      <c r="C195" s="4" t="s">
        <v>2</v>
      </c>
      <c r="D195" s="5" t="s">
        <v>688</v>
      </c>
    </row>
    <row r="196" spans="1:4" s="3" customFormat="1" ht="50.1" customHeight="1" x14ac:dyDescent="0.25">
      <c r="A196" s="4" t="s">
        <v>689</v>
      </c>
      <c r="B196" s="5" t="s">
        <v>557</v>
      </c>
      <c r="C196" s="4" t="s">
        <v>21</v>
      </c>
      <c r="D196" s="5" t="s">
        <v>559</v>
      </c>
    </row>
    <row r="197" spans="1:4" s="3" customFormat="1" ht="50.1" customHeight="1" x14ac:dyDescent="0.25">
      <c r="A197" s="4" t="s">
        <v>690</v>
      </c>
      <c r="B197" s="5" t="s">
        <v>691</v>
      </c>
      <c r="C197" s="4" t="s">
        <v>2</v>
      </c>
      <c r="D197" s="5" t="s">
        <v>693</v>
      </c>
    </row>
    <row r="198" spans="1:4" s="3" customFormat="1" ht="50.1" customHeight="1" x14ac:dyDescent="0.25">
      <c r="A198" s="4" t="s">
        <v>694</v>
      </c>
      <c r="B198" s="5" t="s">
        <v>695</v>
      </c>
      <c r="C198" s="4" t="s">
        <v>2</v>
      </c>
      <c r="D198" s="5" t="s">
        <v>697</v>
      </c>
    </row>
    <row r="199" spans="1:4" s="3" customFormat="1" ht="50.1" customHeight="1" x14ac:dyDescent="0.25">
      <c r="A199" s="4" t="s">
        <v>698</v>
      </c>
      <c r="B199" s="5" t="s">
        <v>699</v>
      </c>
      <c r="C199" s="4" t="s">
        <v>2</v>
      </c>
      <c r="D199" s="5" t="s">
        <v>701</v>
      </c>
    </row>
    <row r="200" spans="1:4" s="3" customFormat="1" ht="50.1" customHeight="1" x14ac:dyDescent="0.25">
      <c r="A200" s="4" t="s">
        <v>702</v>
      </c>
      <c r="B200" s="5" t="s">
        <v>703</v>
      </c>
      <c r="C200" s="4" t="s">
        <v>21</v>
      </c>
      <c r="D200" s="5" t="s">
        <v>705</v>
      </c>
    </row>
    <row r="201" spans="1:4" s="3" customFormat="1" ht="50.1" customHeight="1" x14ac:dyDescent="0.25">
      <c r="A201" s="4" t="s">
        <v>706</v>
      </c>
      <c r="B201" s="5" t="s">
        <v>707</v>
      </c>
      <c r="C201" s="4" t="s">
        <v>21</v>
      </c>
      <c r="D201" s="5" t="s">
        <v>709</v>
      </c>
    </row>
    <row r="202" spans="1:4" s="3" customFormat="1" ht="50.1" customHeight="1" x14ac:dyDescent="0.25">
      <c r="A202" s="4" t="s">
        <v>710</v>
      </c>
      <c r="B202" s="5" t="s">
        <v>501</v>
      </c>
      <c r="C202" s="4" t="s">
        <v>2</v>
      </c>
      <c r="D202" s="5" t="s">
        <v>80</v>
      </c>
    </row>
    <row r="203" spans="1:4" s="3" customFormat="1" ht="50.1" customHeight="1" x14ac:dyDescent="0.25">
      <c r="A203" s="4" t="s">
        <v>711</v>
      </c>
      <c r="B203" s="5" t="s">
        <v>712</v>
      </c>
      <c r="C203" s="4" t="s">
        <v>2</v>
      </c>
      <c r="D203" s="5" t="s">
        <v>713</v>
      </c>
    </row>
    <row r="204" spans="1:4" s="3" customFormat="1" ht="50.1" customHeight="1" x14ac:dyDescent="0.25">
      <c r="A204" s="4" t="s">
        <v>714</v>
      </c>
      <c r="B204" s="5" t="s">
        <v>435</v>
      </c>
      <c r="C204" s="4" t="s">
        <v>21</v>
      </c>
      <c r="D204" s="5" t="s">
        <v>437</v>
      </c>
    </row>
    <row r="205" spans="1:4" s="3" customFormat="1" ht="50.1" customHeight="1" x14ac:dyDescent="0.25">
      <c r="A205" s="4" t="s">
        <v>715</v>
      </c>
      <c r="B205" s="5" t="s">
        <v>217</v>
      </c>
      <c r="C205" s="4" t="s">
        <v>2</v>
      </c>
      <c r="D205" s="5" t="s">
        <v>219</v>
      </c>
    </row>
    <row r="206" spans="1:4" s="3" customFormat="1" ht="50.1" customHeight="1" x14ac:dyDescent="0.25">
      <c r="A206" s="4" t="s">
        <v>716</v>
      </c>
      <c r="B206" s="5" t="s">
        <v>717</v>
      </c>
      <c r="C206" s="4" t="s">
        <v>2</v>
      </c>
      <c r="D206" s="5" t="s">
        <v>719</v>
      </c>
    </row>
    <row r="207" spans="1:4" s="3" customFormat="1" ht="50.1" customHeight="1" x14ac:dyDescent="0.25">
      <c r="A207" s="4" t="s">
        <v>720</v>
      </c>
      <c r="B207" s="5" t="s">
        <v>721</v>
      </c>
      <c r="C207" s="4" t="s">
        <v>21</v>
      </c>
      <c r="D207" s="5" t="s">
        <v>723</v>
      </c>
    </row>
    <row r="208" spans="1:4" s="3" customFormat="1" ht="50.1" customHeight="1" x14ac:dyDescent="0.25">
      <c r="A208" s="4" t="s">
        <v>724</v>
      </c>
      <c r="B208" s="5" t="s">
        <v>725</v>
      </c>
      <c r="C208" s="4" t="s">
        <v>2</v>
      </c>
      <c r="D208" s="5" t="s">
        <v>727</v>
      </c>
    </row>
    <row r="209" spans="1:4" s="3" customFormat="1" ht="50.1" customHeight="1" x14ac:dyDescent="0.25">
      <c r="A209" s="4" t="s">
        <v>728</v>
      </c>
      <c r="B209" s="5" t="s">
        <v>729</v>
      </c>
      <c r="C209" s="4" t="s">
        <v>2</v>
      </c>
      <c r="D209" s="5" t="s">
        <v>731</v>
      </c>
    </row>
    <row r="210" spans="1:4" s="3" customFormat="1" ht="50.1" customHeight="1" x14ac:dyDescent="0.25">
      <c r="A210" s="4" t="s">
        <v>732</v>
      </c>
      <c r="B210" s="5" t="s">
        <v>733</v>
      </c>
      <c r="C210" s="4" t="s">
        <v>2</v>
      </c>
      <c r="D210" s="5" t="s">
        <v>565</v>
      </c>
    </row>
    <row r="211" spans="1:4" s="3" customFormat="1" ht="50.1" customHeight="1" x14ac:dyDescent="0.25">
      <c r="A211" s="4" t="s">
        <v>734</v>
      </c>
      <c r="B211" s="5" t="s">
        <v>735</v>
      </c>
      <c r="C211" s="4" t="s">
        <v>139</v>
      </c>
      <c r="D211" s="5" t="s">
        <v>736</v>
      </c>
    </row>
    <row r="212" spans="1:4" s="3" customFormat="1" ht="50.1" customHeight="1" x14ac:dyDescent="0.25">
      <c r="A212" s="4" t="s">
        <v>737</v>
      </c>
      <c r="B212" s="5" t="s">
        <v>738</v>
      </c>
      <c r="C212" s="4" t="s">
        <v>2</v>
      </c>
      <c r="D212" s="5" t="s">
        <v>740</v>
      </c>
    </row>
    <row r="213" spans="1:4" s="3" customFormat="1" ht="50.1" customHeight="1" x14ac:dyDescent="0.25">
      <c r="A213" s="4" t="s">
        <v>741</v>
      </c>
      <c r="B213" s="5" t="s">
        <v>742</v>
      </c>
      <c r="C213" s="4" t="s">
        <v>2</v>
      </c>
      <c r="D213" s="5" t="s">
        <v>744</v>
      </c>
    </row>
    <row r="214" spans="1:4" s="3" customFormat="1" ht="50.1" customHeight="1" x14ac:dyDescent="0.25">
      <c r="A214" s="4" t="s">
        <v>745</v>
      </c>
      <c r="B214" s="5" t="s">
        <v>746</v>
      </c>
      <c r="C214" s="4" t="s">
        <v>21</v>
      </c>
      <c r="D214" s="5" t="s">
        <v>749</v>
      </c>
    </row>
    <row r="215" spans="1:4" s="3" customFormat="1" ht="50.1" customHeight="1" x14ac:dyDescent="0.25">
      <c r="A215" s="4" t="s">
        <v>750</v>
      </c>
      <c r="B215" s="5" t="s">
        <v>751</v>
      </c>
      <c r="C215" s="4" t="s">
        <v>139</v>
      </c>
      <c r="D215" s="5" t="s">
        <v>753</v>
      </c>
    </row>
    <row r="216" spans="1:4" s="3" customFormat="1" ht="50.1" customHeight="1" x14ac:dyDescent="0.25">
      <c r="A216" s="4" t="s">
        <v>754</v>
      </c>
      <c r="B216" s="5" t="s">
        <v>755</v>
      </c>
      <c r="C216" s="4" t="s">
        <v>2</v>
      </c>
      <c r="D216" s="5" t="s">
        <v>757</v>
      </c>
    </row>
    <row r="217" spans="1:4" s="3" customFormat="1" ht="50.1" customHeight="1" x14ac:dyDescent="0.25">
      <c r="A217" s="4" t="s">
        <v>758</v>
      </c>
      <c r="B217" s="5" t="s">
        <v>620</v>
      </c>
      <c r="C217" s="4" t="s">
        <v>21</v>
      </c>
      <c r="D217" s="5" t="s">
        <v>622</v>
      </c>
    </row>
    <row r="218" spans="1:4" s="3" customFormat="1" ht="50.1" customHeight="1" x14ac:dyDescent="0.25">
      <c r="A218" s="4" t="s">
        <v>759</v>
      </c>
      <c r="B218" s="5" t="s">
        <v>760</v>
      </c>
      <c r="C218" s="4" t="s">
        <v>2</v>
      </c>
      <c r="D218" s="5" t="s">
        <v>761</v>
      </c>
    </row>
    <row r="219" spans="1:4" s="3" customFormat="1" ht="50.1" customHeight="1" x14ac:dyDescent="0.25">
      <c r="A219" s="4" t="s">
        <v>762</v>
      </c>
      <c r="B219" s="5" t="s">
        <v>763</v>
      </c>
      <c r="C219" s="4" t="s">
        <v>2</v>
      </c>
      <c r="D219" s="5" t="s">
        <v>765</v>
      </c>
    </row>
    <row r="220" spans="1:4" s="3" customFormat="1" ht="50.1" customHeight="1" x14ac:dyDescent="0.25">
      <c r="A220" s="4" t="s">
        <v>766</v>
      </c>
      <c r="B220" s="5" t="s">
        <v>767</v>
      </c>
      <c r="C220" s="4" t="s">
        <v>21</v>
      </c>
      <c r="D220" s="5" t="s">
        <v>769</v>
      </c>
    </row>
    <row r="221" spans="1:4" s="3" customFormat="1" ht="50.1" customHeight="1" x14ac:dyDescent="0.25">
      <c r="A221" s="4" t="s">
        <v>770</v>
      </c>
      <c r="B221" s="5" t="s">
        <v>742</v>
      </c>
      <c r="C221" s="4" t="s">
        <v>2</v>
      </c>
      <c r="D221" s="5" t="s">
        <v>744</v>
      </c>
    </row>
    <row r="222" spans="1:4" s="3" customFormat="1" ht="50.1" customHeight="1" x14ac:dyDescent="0.25">
      <c r="A222" s="4" t="s">
        <v>771</v>
      </c>
      <c r="B222" s="5" t="s">
        <v>772</v>
      </c>
      <c r="C222" s="4" t="s">
        <v>2</v>
      </c>
      <c r="D222" s="5" t="s">
        <v>774</v>
      </c>
    </row>
    <row r="223" spans="1:4" s="3" customFormat="1" ht="50.1" customHeight="1" x14ac:dyDescent="0.25">
      <c r="A223" s="4" t="s">
        <v>775</v>
      </c>
      <c r="B223" s="5" t="s">
        <v>544</v>
      </c>
      <c r="C223" s="4" t="s">
        <v>21</v>
      </c>
      <c r="D223" s="5" t="s">
        <v>546</v>
      </c>
    </row>
    <row r="224" spans="1:4" s="3" customFormat="1" ht="50.1" customHeight="1" x14ac:dyDescent="0.25">
      <c r="A224" s="4" t="s">
        <v>776</v>
      </c>
      <c r="B224" s="5" t="s">
        <v>777</v>
      </c>
      <c r="C224" s="4" t="s">
        <v>2</v>
      </c>
      <c r="D224" s="5" t="s">
        <v>778</v>
      </c>
    </row>
    <row r="225" spans="1:4" s="3" customFormat="1" ht="50.1" customHeight="1" x14ac:dyDescent="0.25">
      <c r="A225" s="4" t="s">
        <v>779</v>
      </c>
      <c r="B225" s="5" t="s">
        <v>344</v>
      </c>
      <c r="C225" s="4" t="s">
        <v>2</v>
      </c>
      <c r="D225" s="5" t="s">
        <v>346</v>
      </c>
    </row>
    <row r="226" spans="1:4" s="3" customFormat="1" ht="50.1" customHeight="1" x14ac:dyDescent="0.25">
      <c r="A226" s="4" t="s">
        <v>780</v>
      </c>
      <c r="B226" s="5" t="s">
        <v>707</v>
      </c>
      <c r="C226" s="4" t="s">
        <v>21</v>
      </c>
      <c r="D226" s="5" t="s">
        <v>709</v>
      </c>
    </row>
    <row r="227" spans="1:4" s="3" customFormat="1" ht="50.1" customHeight="1" x14ac:dyDescent="0.25">
      <c r="A227" s="4" t="s">
        <v>781</v>
      </c>
      <c r="B227" s="5" t="s">
        <v>782</v>
      </c>
      <c r="C227" s="4" t="s">
        <v>2</v>
      </c>
      <c r="D227" s="5" t="s">
        <v>784</v>
      </c>
    </row>
    <row r="228" spans="1:4" s="3" customFormat="1" ht="50.1" customHeight="1" x14ac:dyDescent="0.25">
      <c r="A228" s="4" t="s">
        <v>785</v>
      </c>
      <c r="B228" s="5" t="s">
        <v>786</v>
      </c>
      <c r="C228" s="4" t="s">
        <v>21</v>
      </c>
      <c r="D228" s="5" t="s">
        <v>788</v>
      </c>
    </row>
    <row r="229" spans="1:4" s="3" customFormat="1" ht="50.1" customHeight="1" x14ac:dyDescent="0.25">
      <c r="A229" s="4" t="s">
        <v>789</v>
      </c>
      <c r="B229" s="5" t="s">
        <v>712</v>
      </c>
      <c r="C229" s="4" t="s">
        <v>2</v>
      </c>
      <c r="D229" s="5" t="s">
        <v>713</v>
      </c>
    </row>
    <row r="230" spans="1:4" s="3" customFormat="1" ht="50.1" customHeight="1" x14ac:dyDescent="0.25">
      <c r="A230" s="4" t="s">
        <v>790</v>
      </c>
      <c r="B230" s="5" t="s">
        <v>791</v>
      </c>
      <c r="C230" s="4" t="s">
        <v>2</v>
      </c>
      <c r="D230" s="5" t="s">
        <v>793</v>
      </c>
    </row>
    <row r="231" spans="1:4" s="3" customFormat="1" ht="50.1" customHeight="1" x14ac:dyDescent="0.25">
      <c r="A231" s="4" t="s">
        <v>794</v>
      </c>
      <c r="B231" s="5" t="s">
        <v>777</v>
      </c>
      <c r="C231" s="4" t="s">
        <v>2</v>
      </c>
      <c r="D231" s="5" t="s">
        <v>778</v>
      </c>
    </row>
    <row r="232" spans="1:4" s="3" customFormat="1" ht="50.1" customHeight="1" x14ac:dyDescent="0.25">
      <c r="A232" s="4" t="s">
        <v>795</v>
      </c>
      <c r="B232" s="5" t="s">
        <v>796</v>
      </c>
      <c r="C232" s="4" t="s">
        <v>2</v>
      </c>
      <c r="D232" s="5" t="s">
        <v>797</v>
      </c>
    </row>
    <row r="233" spans="1:4" s="3" customFormat="1" ht="50.1" customHeight="1" x14ac:dyDescent="0.25">
      <c r="A233" s="4" t="s">
        <v>798</v>
      </c>
      <c r="B233" s="5" t="s">
        <v>799</v>
      </c>
      <c r="C233" s="4" t="s">
        <v>2</v>
      </c>
      <c r="D233" s="5" t="s">
        <v>800</v>
      </c>
    </row>
    <row r="234" spans="1:4" s="3" customFormat="1" ht="50.1" customHeight="1" x14ac:dyDescent="0.25">
      <c r="A234" s="4" t="s">
        <v>801</v>
      </c>
      <c r="B234" s="5" t="s">
        <v>802</v>
      </c>
      <c r="C234" s="4" t="s">
        <v>21</v>
      </c>
      <c r="D234" s="5" t="s">
        <v>804</v>
      </c>
    </row>
    <row r="235" spans="1:4" s="3" customFormat="1" ht="50.1" customHeight="1" x14ac:dyDescent="0.25">
      <c r="A235" s="4" t="s">
        <v>805</v>
      </c>
      <c r="B235" s="5" t="s">
        <v>138</v>
      </c>
      <c r="C235" s="4" t="s">
        <v>139</v>
      </c>
      <c r="D235" s="5" t="s">
        <v>141</v>
      </c>
    </row>
    <row r="236" spans="1:4" s="3" customFormat="1" ht="50.1" customHeight="1" x14ac:dyDescent="0.25">
      <c r="A236" s="4" t="s">
        <v>806</v>
      </c>
      <c r="B236" s="5" t="s">
        <v>807</v>
      </c>
      <c r="C236" s="4" t="s">
        <v>2</v>
      </c>
      <c r="D236" s="5" t="s">
        <v>809</v>
      </c>
    </row>
    <row r="237" spans="1:4" s="3" customFormat="1" ht="50.1" customHeight="1" x14ac:dyDescent="0.25">
      <c r="A237" s="4" t="s">
        <v>810</v>
      </c>
      <c r="B237" s="5" t="s">
        <v>811</v>
      </c>
      <c r="C237" s="4" t="s">
        <v>2</v>
      </c>
      <c r="D237" s="5" t="s">
        <v>813</v>
      </c>
    </row>
    <row r="238" spans="1:4" s="3" customFormat="1" ht="50.1" customHeight="1" x14ac:dyDescent="0.25">
      <c r="A238" s="4" t="s">
        <v>814</v>
      </c>
      <c r="B238" s="5" t="s">
        <v>815</v>
      </c>
      <c r="C238" s="4" t="s">
        <v>2</v>
      </c>
      <c r="D238" s="5" t="s">
        <v>817</v>
      </c>
    </row>
    <row r="239" spans="1:4" s="3" customFormat="1" ht="50.1" customHeight="1" x14ac:dyDescent="0.25">
      <c r="A239" s="4" t="s">
        <v>818</v>
      </c>
      <c r="B239" s="5" t="s">
        <v>735</v>
      </c>
      <c r="C239" s="4" t="s">
        <v>139</v>
      </c>
      <c r="D239" s="5" t="s">
        <v>736</v>
      </c>
    </row>
    <row r="240" spans="1:4" s="3" customFormat="1" ht="50.1" customHeight="1" x14ac:dyDescent="0.25">
      <c r="A240" s="4" t="s">
        <v>819</v>
      </c>
      <c r="B240" s="5" t="s">
        <v>820</v>
      </c>
      <c r="C240" s="4" t="s">
        <v>2</v>
      </c>
      <c r="D240" s="5" t="s">
        <v>266</v>
      </c>
    </row>
    <row r="241" spans="1:4" s="3" customFormat="1" ht="50.1" customHeight="1" x14ac:dyDescent="0.25">
      <c r="A241" s="4" t="s">
        <v>821</v>
      </c>
      <c r="B241" s="5" t="s">
        <v>822</v>
      </c>
      <c r="C241" s="4" t="s">
        <v>2</v>
      </c>
      <c r="D241" s="5" t="s">
        <v>824</v>
      </c>
    </row>
    <row r="242" spans="1:4" s="3" customFormat="1" ht="50.1" customHeight="1" x14ac:dyDescent="0.25">
      <c r="A242" s="4" t="s">
        <v>825</v>
      </c>
      <c r="B242" s="5" t="s">
        <v>826</v>
      </c>
      <c r="C242" s="4" t="s">
        <v>2</v>
      </c>
      <c r="D242" s="5" t="s">
        <v>827</v>
      </c>
    </row>
    <row r="243" spans="1:4" s="3" customFormat="1" ht="50.1" customHeight="1" x14ac:dyDescent="0.25">
      <c r="A243" s="4" t="s">
        <v>828</v>
      </c>
      <c r="B243" s="5" t="s">
        <v>829</v>
      </c>
      <c r="C243" s="4" t="s">
        <v>21</v>
      </c>
      <c r="D243" s="5" t="s">
        <v>831</v>
      </c>
    </row>
    <row r="244" spans="1:4" s="3" customFormat="1" ht="50.1" customHeight="1" x14ac:dyDescent="0.25">
      <c r="A244" s="4" t="s">
        <v>832</v>
      </c>
      <c r="B244" s="5" t="s">
        <v>82</v>
      </c>
      <c r="C244" s="4" t="s">
        <v>2</v>
      </c>
      <c r="D244" s="5" t="s">
        <v>84</v>
      </c>
    </row>
    <row r="245" spans="1:4" s="3" customFormat="1" ht="50.1" customHeight="1" x14ac:dyDescent="0.25">
      <c r="A245" s="4" t="s">
        <v>833</v>
      </c>
      <c r="B245" s="5" t="s">
        <v>239</v>
      </c>
      <c r="C245" s="4" t="s">
        <v>21</v>
      </c>
      <c r="D245" s="5" t="s">
        <v>240</v>
      </c>
    </row>
    <row r="246" spans="1:4" s="3" customFormat="1" ht="50.1" customHeight="1" x14ac:dyDescent="0.25">
      <c r="A246" s="4" t="s">
        <v>834</v>
      </c>
      <c r="B246" s="5" t="s">
        <v>835</v>
      </c>
      <c r="C246" s="4" t="s">
        <v>2</v>
      </c>
      <c r="D246" s="5" t="s">
        <v>837</v>
      </c>
    </row>
    <row r="247" spans="1:4" s="3" customFormat="1" ht="50.1" customHeight="1" x14ac:dyDescent="0.25">
      <c r="A247" s="4" t="s">
        <v>838</v>
      </c>
      <c r="B247" s="5" t="s">
        <v>839</v>
      </c>
      <c r="C247" s="4" t="s">
        <v>21</v>
      </c>
      <c r="D247" s="5" t="s">
        <v>840</v>
      </c>
    </row>
    <row r="248" spans="1:4" s="3" customFormat="1" ht="50.1" customHeight="1" x14ac:dyDescent="0.25">
      <c r="A248" s="4" t="s">
        <v>841</v>
      </c>
      <c r="B248" s="5" t="s">
        <v>842</v>
      </c>
      <c r="C248" s="4" t="s">
        <v>2</v>
      </c>
      <c r="D248" s="5" t="s">
        <v>844</v>
      </c>
    </row>
    <row r="249" spans="1:4" s="3" customFormat="1" ht="50.1" customHeight="1" x14ac:dyDescent="0.25">
      <c r="A249" s="4" t="s">
        <v>845</v>
      </c>
      <c r="B249" s="5" t="s">
        <v>548</v>
      </c>
      <c r="C249" s="4" t="s">
        <v>2</v>
      </c>
      <c r="D249" s="5" t="s">
        <v>550</v>
      </c>
    </row>
    <row r="250" spans="1:4" s="3" customFormat="1" ht="50.1" customHeight="1" x14ac:dyDescent="0.25">
      <c r="A250" s="4" t="s">
        <v>846</v>
      </c>
      <c r="B250" s="5" t="s">
        <v>847</v>
      </c>
      <c r="C250" s="4" t="s">
        <v>2</v>
      </c>
      <c r="D250" s="5" t="s">
        <v>849</v>
      </c>
    </row>
    <row r="251" spans="1:4" s="3" customFormat="1" ht="50.1" customHeight="1" x14ac:dyDescent="0.25">
      <c r="A251" s="4" t="s">
        <v>850</v>
      </c>
      <c r="B251" s="5" t="s">
        <v>851</v>
      </c>
      <c r="C251" s="4" t="s">
        <v>2</v>
      </c>
      <c r="D251" s="5" t="s">
        <v>853</v>
      </c>
    </row>
    <row r="252" spans="1:4" s="3" customFormat="1" ht="50.1" customHeight="1" x14ac:dyDescent="0.25">
      <c r="A252" s="4" t="s">
        <v>854</v>
      </c>
      <c r="B252" s="5"/>
      <c r="C252" s="4" t="s">
        <v>2</v>
      </c>
      <c r="D252" s="5" t="s">
        <v>855</v>
      </c>
    </row>
    <row r="253" spans="1:4" s="3" customFormat="1" ht="50.1" customHeight="1" x14ac:dyDescent="0.25">
      <c r="A253" s="4" t="s">
        <v>856</v>
      </c>
      <c r="B253" s="5" t="s">
        <v>857</v>
      </c>
      <c r="C253" s="4" t="s">
        <v>2</v>
      </c>
      <c r="D253" s="5" t="s">
        <v>859</v>
      </c>
    </row>
    <row r="254" spans="1:4" s="3" customFormat="1" ht="50.1" customHeight="1" x14ac:dyDescent="0.25">
      <c r="A254" s="4" t="s">
        <v>860</v>
      </c>
      <c r="B254" s="5" t="s">
        <v>861</v>
      </c>
      <c r="C254" s="4" t="s">
        <v>2</v>
      </c>
      <c r="D254" s="5" t="s">
        <v>862</v>
      </c>
    </row>
    <row r="255" spans="1:4" s="3" customFormat="1" ht="50.1" customHeight="1" x14ac:dyDescent="0.25">
      <c r="A255" s="4" t="s">
        <v>863</v>
      </c>
      <c r="B255" s="5" t="s">
        <v>864</v>
      </c>
      <c r="C255" s="4" t="s">
        <v>2</v>
      </c>
      <c r="D255" s="5" t="s">
        <v>866</v>
      </c>
    </row>
    <row r="256" spans="1:4" s="3" customFormat="1" ht="50.1" customHeight="1" x14ac:dyDescent="0.25">
      <c r="A256" s="4" t="s">
        <v>867</v>
      </c>
      <c r="B256" s="5" t="s">
        <v>868</v>
      </c>
      <c r="C256" s="4" t="s">
        <v>139</v>
      </c>
      <c r="D256" s="5" t="s">
        <v>753</v>
      </c>
    </row>
    <row r="257" spans="1:4" s="3" customFormat="1" ht="50.1" customHeight="1" x14ac:dyDescent="0.25">
      <c r="A257" s="4" t="s">
        <v>869</v>
      </c>
      <c r="B257" s="5" t="s">
        <v>721</v>
      </c>
      <c r="C257" s="4" t="s">
        <v>21</v>
      </c>
      <c r="D257" s="5" t="s">
        <v>723</v>
      </c>
    </row>
    <row r="258" spans="1:4" s="3" customFormat="1" ht="50.1" customHeight="1" x14ac:dyDescent="0.25">
      <c r="A258" s="4" t="s">
        <v>870</v>
      </c>
      <c r="B258" s="5" t="s">
        <v>871</v>
      </c>
      <c r="C258" s="4" t="s">
        <v>2</v>
      </c>
      <c r="D258" s="5" t="s">
        <v>873</v>
      </c>
    </row>
    <row r="259" spans="1:4" s="3" customFormat="1" ht="50.1" customHeight="1" x14ac:dyDescent="0.25">
      <c r="A259" s="4" t="s">
        <v>874</v>
      </c>
      <c r="B259" s="5" t="s">
        <v>875</v>
      </c>
      <c r="C259" s="4" t="s">
        <v>2</v>
      </c>
      <c r="D259" s="5" t="s">
        <v>877</v>
      </c>
    </row>
    <row r="260" spans="1:4" s="3" customFormat="1" ht="50.1" customHeight="1" x14ac:dyDescent="0.25">
      <c r="A260" s="4" t="s">
        <v>878</v>
      </c>
      <c r="B260" s="5" t="s">
        <v>225</v>
      </c>
      <c r="C260" s="4" t="s">
        <v>2</v>
      </c>
      <c r="D260" s="5" t="s">
        <v>227</v>
      </c>
    </row>
    <row r="261" spans="1:4" s="3" customFormat="1" ht="50.1" customHeight="1" x14ac:dyDescent="0.25">
      <c r="A261" s="4" t="s">
        <v>879</v>
      </c>
      <c r="B261" s="5" t="s">
        <v>455</v>
      </c>
      <c r="C261" s="4" t="s">
        <v>139</v>
      </c>
      <c r="D261" s="5" t="s">
        <v>475</v>
      </c>
    </row>
    <row r="262" spans="1:4" s="3" customFormat="1" ht="50.1" customHeight="1" x14ac:dyDescent="0.25">
      <c r="A262" s="4" t="s">
        <v>880</v>
      </c>
      <c r="B262" s="5" t="s">
        <v>881</v>
      </c>
      <c r="C262" s="4" t="s">
        <v>2</v>
      </c>
      <c r="D262" s="5" t="s">
        <v>883</v>
      </c>
    </row>
    <row r="263" spans="1:4" s="3" customFormat="1" ht="50.1" customHeight="1" x14ac:dyDescent="0.25">
      <c r="A263" s="4" t="s">
        <v>884</v>
      </c>
      <c r="B263" s="5" t="s">
        <v>401</v>
      </c>
      <c r="C263" s="4" t="s">
        <v>2</v>
      </c>
      <c r="D263" s="5" t="s">
        <v>403</v>
      </c>
    </row>
    <row r="264" spans="1:4" s="3" customFormat="1" ht="50.1" customHeight="1" x14ac:dyDescent="0.25">
      <c r="A264" s="4" t="s">
        <v>885</v>
      </c>
      <c r="B264" s="5" t="s">
        <v>751</v>
      </c>
      <c r="C264" s="4" t="s">
        <v>139</v>
      </c>
      <c r="D264" s="5" t="s">
        <v>753</v>
      </c>
    </row>
    <row r="265" spans="1:4" s="3" customFormat="1" ht="50.1" customHeight="1" x14ac:dyDescent="0.25">
      <c r="A265" s="4" t="s">
        <v>886</v>
      </c>
      <c r="B265" s="5" t="s">
        <v>868</v>
      </c>
      <c r="C265" s="4" t="s">
        <v>139</v>
      </c>
      <c r="D265" s="5" t="s">
        <v>753</v>
      </c>
    </row>
    <row r="266" spans="1:4" s="3" customFormat="1" ht="50.1" customHeight="1" x14ac:dyDescent="0.25">
      <c r="A266" s="4" t="s">
        <v>887</v>
      </c>
      <c r="B266" s="5" t="s">
        <v>325</v>
      </c>
      <c r="C266" s="4" t="s">
        <v>21</v>
      </c>
      <c r="D266" s="5" t="s">
        <v>327</v>
      </c>
    </row>
    <row r="267" spans="1:4" s="3" customFormat="1" ht="50.1" customHeight="1" x14ac:dyDescent="0.25">
      <c r="A267" s="4" t="s">
        <v>888</v>
      </c>
      <c r="B267" s="5" t="s">
        <v>889</v>
      </c>
      <c r="C267" s="4" t="s">
        <v>21</v>
      </c>
      <c r="D267" s="5" t="s">
        <v>890</v>
      </c>
    </row>
    <row r="268" spans="1:4" s="3" customFormat="1" ht="50.1" customHeight="1" x14ac:dyDescent="0.25">
      <c r="A268" s="4" t="s">
        <v>891</v>
      </c>
      <c r="B268" s="5" t="s">
        <v>892</v>
      </c>
      <c r="C268" s="4" t="s">
        <v>2</v>
      </c>
      <c r="D268" s="5" t="s">
        <v>894</v>
      </c>
    </row>
    <row r="269" spans="1:4" s="3" customFormat="1" ht="50.1" customHeight="1" x14ac:dyDescent="0.25">
      <c r="A269" s="4" t="s">
        <v>895</v>
      </c>
      <c r="B269" s="5" t="s">
        <v>896</v>
      </c>
      <c r="C269" s="4" t="s">
        <v>2</v>
      </c>
      <c r="D269" s="5" t="s">
        <v>898</v>
      </c>
    </row>
    <row r="270" spans="1:4" s="3" customFormat="1" ht="50.1" customHeight="1" x14ac:dyDescent="0.25">
      <c r="A270" s="4" t="s">
        <v>899</v>
      </c>
      <c r="B270" s="5" t="s">
        <v>900</v>
      </c>
      <c r="C270" s="4" t="s">
        <v>2</v>
      </c>
      <c r="D270" s="5" t="s">
        <v>902</v>
      </c>
    </row>
    <row r="271" spans="1:4" s="3" customFormat="1" ht="50.1" customHeight="1" x14ac:dyDescent="0.25">
      <c r="A271" s="4" t="s">
        <v>903</v>
      </c>
      <c r="B271" s="5" t="s">
        <v>904</v>
      </c>
      <c r="C271" s="4" t="s">
        <v>2</v>
      </c>
      <c r="D271" s="5" t="s">
        <v>906</v>
      </c>
    </row>
    <row r="272" spans="1:4" s="3" customFormat="1" ht="50.1" customHeight="1" x14ac:dyDescent="0.25">
      <c r="A272" s="4" t="s">
        <v>907</v>
      </c>
      <c r="B272" s="5" t="s">
        <v>820</v>
      </c>
      <c r="C272" s="4" t="s">
        <v>2</v>
      </c>
      <c r="D272" s="5" t="s">
        <v>266</v>
      </c>
    </row>
    <row r="273" spans="1:4" s="3" customFormat="1" ht="50.1" customHeight="1" x14ac:dyDescent="0.25">
      <c r="A273" s="4" t="s">
        <v>908</v>
      </c>
      <c r="B273" s="5" t="s">
        <v>909</v>
      </c>
      <c r="C273" s="4" t="s">
        <v>21</v>
      </c>
      <c r="D273" s="5" t="s">
        <v>911</v>
      </c>
    </row>
    <row r="274" spans="1:4" s="3" customFormat="1" ht="50.1" customHeight="1" x14ac:dyDescent="0.25">
      <c r="A274" s="4" t="s">
        <v>912</v>
      </c>
      <c r="B274" s="5" t="s">
        <v>412</v>
      </c>
      <c r="C274" s="4" t="s">
        <v>21</v>
      </c>
      <c r="D274" s="5" t="s">
        <v>413</v>
      </c>
    </row>
    <row r="275" spans="1:4" s="3" customFormat="1" ht="50.1" customHeight="1" x14ac:dyDescent="0.25">
      <c r="A275" s="4" t="s">
        <v>913</v>
      </c>
      <c r="B275" s="5" t="s">
        <v>909</v>
      </c>
      <c r="C275" s="4" t="s">
        <v>21</v>
      </c>
      <c r="D275" s="5" t="s">
        <v>911</v>
      </c>
    </row>
    <row r="276" spans="1:4" s="3" customFormat="1" ht="50.1" customHeight="1" x14ac:dyDescent="0.25">
      <c r="A276" s="4" t="s">
        <v>914</v>
      </c>
      <c r="B276" s="5" t="s">
        <v>915</v>
      </c>
      <c r="C276" s="4" t="s">
        <v>21</v>
      </c>
      <c r="D276" s="5" t="s">
        <v>917</v>
      </c>
    </row>
    <row r="277" spans="1:4" s="3" customFormat="1" ht="50.1" customHeight="1" x14ac:dyDescent="0.25">
      <c r="A277" s="4" t="s">
        <v>918</v>
      </c>
      <c r="B277" s="5" t="s">
        <v>919</v>
      </c>
      <c r="C277" s="4" t="s">
        <v>2</v>
      </c>
      <c r="D277" s="5" t="s">
        <v>920</v>
      </c>
    </row>
    <row r="278" spans="1:4" s="3" customFormat="1" ht="50.1" customHeight="1" x14ac:dyDescent="0.25">
      <c r="A278" s="4" t="s">
        <v>921</v>
      </c>
      <c r="B278" s="5" t="s">
        <v>922</v>
      </c>
      <c r="C278" s="4" t="s">
        <v>2</v>
      </c>
      <c r="D278" s="5" t="s">
        <v>924</v>
      </c>
    </row>
    <row r="279" spans="1:4" s="3" customFormat="1" ht="50.1" customHeight="1" x14ac:dyDescent="0.25">
      <c r="A279" s="4" t="s">
        <v>925</v>
      </c>
      <c r="B279" s="5" t="s">
        <v>926</v>
      </c>
      <c r="C279" s="4" t="s">
        <v>2</v>
      </c>
      <c r="D279" s="5" t="s">
        <v>928</v>
      </c>
    </row>
    <row r="280" spans="1:4" s="3" customFormat="1" ht="50.1" customHeight="1" x14ac:dyDescent="0.25">
      <c r="A280" s="4" t="s">
        <v>929</v>
      </c>
      <c r="B280" s="5" t="s">
        <v>276</v>
      </c>
      <c r="C280" s="4" t="s">
        <v>21</v>
      </c>
      <c r="D280" s="5" t="s">
        <v>278</v>
      </c>
    </row>
    <row r="281" spans="1:4" s="3" customFormat="1" ht="50.1" customHeight="1" x14ac:dyDescent="0.25">
      <c r="A281" s="4" t="s">
        <v>930</v>
      </c>
      <c r="B281" s="5" t="s">
        <v>646</v>
      </c>
      <c r="C281" s="4" t="s">
        <v>2</v>
      </c>
      <c r="D281" s="5" t="s">
        <v>648</v>
      </c>
    </row>
    <row r="282" spans="1:4" s="3" customFormat="1" ht="50.1" customHeight="1" x14ac:dyDescent="0.25">
      <c r="A282" s="4" t="s">
        <v>931</v>
      </c>
      <c r="B282" s="5" t="s">
        <v>932</v>
      </c>
      <c r="C282" s="4" t="s">
        <v>2</v>
      </c>
      <c r="D282" s="5" t="s">
        <v>934</v>
      </c>
    </row>
    <row r="283" spans="1:4" s="3" customFormat="1" ht="50.1" customHeight="1" x14ac:dyDescent="0.25">
      <c r="A283" s="4" t="s">
        <v>935</v>
      </c>
      <c r="B283" s="5" t="s">
        <v>936</v>
      </c>
      <c r="C283" s="4" t="s">
        <v>2</v>
      </c>
      <c r="D283" s="5" t="s">
        <v>938</v>
      </c>
    </row>
    <row r="284" spans="1:4" s="3" customFormat="1" ht="50.1" customHeight="1" x14ac:dyDescent="0.25">
      <c r="A284" s="4" t="s">
        <v>939</v>
      </c>
      <c r="B284" s="5" t="s">
        <v>940</v>
      </c>
      <c r="C284" s="4" t="s">
        <v>2</v>
      </c>
      <c r="D284" s="5" t="s">
        <v>778</v>
      </c>
    </row>
    <row r="285" spans="1:4" s="3" customFormat="1" ht="50.1" customHeight="1" x14ac:dyDescent="0.25">
      <c r="A285" s="4" t="s">
        <v>941</v>
      </c>
      <c r="B285" s="5" t="s">
        <v>942</v>
      </c>
      <c r="C285" s="4" t="s">
        <v>2</v>
      </c>
      <c r="D285" s="5" t="s">
        <v>944</v>
      </c>
    </row>
    <row r="286" spans="1:4" s="3" customFormat="1" ht="50.1" customHeight="1" x14ac:dyDescent="0.25">
      <c r="A286" s="4" t="s">
        <v>945</v>
      </c>
      <c r="B286" s="5" t="s">
        <v>321</v>
      </c>
      <c r="C286" s="4" t="s">
        <v>2</v>
      </c>
      <c r="D286" s="5" t="s">
        <v>323</v>
      </c>
    </row>
    <row r="287" spans="1:4" s="3" customFormat="1" ht="50.1" customHeight="1" x14ac:dyDescent="0.25">
      <c r="A287" s="4" t="s">
        <v>946</v>
      </c>
      <c r="B287" s="5" t="s">
        <v>572</v>
      </c>
      <c r="C287" s="4" t="s">
        <v>2</v>
      </c>
      <c r="D287" s="5" t="s">
        <v>574</v>
      </c>
    </row>
    <row r="288" spans="1:4" s="3" customFormat="1" ht="50.1" customHeight="1" x14ac:dyDescent="0.25">
      <c r="A288" s="4" t="s">
        <v>947</v>
      </c>
      <c r="B288" s="5" t="s">
        <v>948</v>
      </c>
      <c r="C288" s="4" t="s">
        <v>2</v>
      </c>
      <c r="D288" s="5" t="s">
        <v>949</v>
      </c>
    </row>
    <row r="289" spans="1:4" s="3" customFormat="1" ht="50.1" customHeight="1" x14ac:dyDescent="0.25">
      <c r="A289" s="4" t="s">
        <v>950</v>
      </c>
      <c r="B289" s="5" t="s">
        <v>951</v>
      </c>
      <c r="C289" s="4" t="s">
        <v>2</v>
      </c>
      <c r="D289" s="5" t="s">
        <v>953</v>
      </c>
    </row>
    <row r="290" spans="1:4" s="3" customFormat="1" ht="50.1" customHeight="1" x14ac:dyDescent="0.25">
      <c r="A290" s="4" t="s">
        <v>954</v>
      </c>
      <c r="B290" s="5" t="s">
        <v>915</v>
      </c>
      <c r="C290" s="4" t="s">
        <v>21</v>
      </c>
      <c r="D290" s="5" t="s">
        <v>917</v>
      </c>
    </row>
    <row r="291" spans="1:4" s="3" customFormat="1" ht="50.1" customHeight="1" x14ac:dyDescent="0.25">
      <c r="A291" s="4" t="s">
        <v>955</v>
      </c>
      <c r="B291" s="5" t="s">
        <v>166</v>
      </c>
      <c r="C291" s="4" t="s">
        <v>2</v>
      </c>
      <c r="D291" s="5" t="s">
        <v>168</v>
      </c>
    </row>
    <row r="292" spans="1:4" s="3" customFormat="1" ht="50.1" customHeight="1" x14ac:dyDescent="0.25">
      <c r="A292" s="4" t="s">
        <v>956</v>
      </c>
      <c r="B292" s="5" t="s">
        <v>439</v>
      </c>
      <c r="C292" s="4" t="s">
        <v>2</v>
      </c>
      <c r="D292" s="5" t="s">
        <v>441</v>
      </c>
    </row>
    <row r="293" spans="1:4" s="3" customFormat="1" ht="50.1" customHeight="1" x14ac:dyDescent="0.25">
      <c r="A293" s="4" t="s">
        <v>957</v>
      </c>
      <c r="B293" s="5" t="s">
        <v>477</v>
      </c>
      <c r="C293" s="4" t="s">
        <v>139</v>
      </c>
      <c r="D293" s="5" t="s">
        <v>478</v>
      </c>
    </row>
    <row r="294" spans="1:4" s="3" customFormat="1" ht="50.1" customHeight="1" x14ac:dyDescent="0.25">
      <c r="A294" s="4" t="s">
        <v>958</v>
      </c>
      <c r="B294" s="5" t="s">
        <v>959</v>
      </c>
      <c r="C294" s="4" t="s">
        <v>2</v>
      </c>
      <c r="D294" s="5" t="s">
        <v>961</v>
      </c>
    </row>
    <row r="295" spans="1:4" s="3" customFormat="1" ht="50.1" customHeight="1" x14ac:dyDescent="0.25">
      <c r="A295" s="4" t="s">
        <v>962</v>
      </c>
      <c r="B295" s="5" t="s">
        <v>963</v>
      </c>
      <c r="C295" s="4" t="s">
        <v>2</v>
      </c>
      <c r="D295" s="5" t="s">
        <v>964</v>
      </c>
    </row>
    <row r="296" spans="1:4" s="3" customFormat="1" ht="50.1" customHeight="1" x14ac:dyDescent="0.25">
      <c r="A296" s="4" t="s">
        <v>965</v>
      </c>
      <c r="B296" s="5" t="s">
        <v>966</v>
      </c>
      <c r="C296" s="4" t="s">
        <v>2</v>
      </c>
      <c r="D296" s="5" t="s">
        <v>968</v>
      </c>
    </row>
    <row r="297" spans="1:4" s="3" customFormat="1" ht="50.1" customHeight="1" x14ac:dyDescent="0.25">
      <c r="A297" s="4" t="s">
        <v>969</v>
      </c>
      <c r="B297" s="5" t="s">
        <v>839</v>
      </c>
      <c r="C297" s="4" t="s">
        <v>21</v>
      </c>
      <c r="D297" s="5" t="s">
        <v>840</v>
      </c>
    </row>
    <row r="298" spans="1:4" s="3" customFormat="1" ht="50.1" customHeight="1" x14ac:dyDescent="0.25">
      <c r="A298" s="4" t="s">
        <v>970</v>
      </c>
      <c r="B298" s="5" t="s">
        <v>971</v>
      </c>
      <c r="C298" s="4" t="s">
        <v>2</v>
      </c>
      <c r="D298" s="5" t="s">
        <v>973</v>
      </c>
    </row>
    <row r="299" spans="1:4" s="3" customFormat="1" ht="50.1" customHeight="1" x14ac:dyDescent="0.25">
      <c r="A299" s="4" t="s">
        <v>974</v>
      </c>
      <c r="B299" s="5" t="s">
        <v>975</v>
      </c>
      <c r="C299" s="4" t="s">
        <v>2</v>
      </c>
      <c r="D299" s="5" t="s">
        <v>977</v>
      </c>
    </row>
    <row r="300" spans="1:4" s="3" customFormat="1" ht="50.1" customHeight="1" x14ac:dyDescent="0.25">
      <c r="A300" s="4" t="s">
        <v>978</v>
      </c>
      <c r="B300" s="5" t="s">
        <v>786</v>
      </c>
      <c r="C300" s="4" t="s">
        <v>21</v>
      </c>
      <c r="D300" s="5" t="s">
        <v>788</v>
      </c>
    </row>
    <row r="301" spans="1:4" s="3" customFormat="1" ht="50.1" customHeight="1" x14ac:dyDescent="0.25">
      <c r="A301" s="4" t="s">
        <v>979</v>
      </c>
      <c r="B301" s="5" t="s">
        <v>980</v>
      </c>
      <c r="C301" s="4" t="s">
        <v>2</v>
      </c>
      <c r="D301" s="5" t="s">
        <v>982</v>
      </c>
    </row>
    <row r="302" spans="1:4" s="3" customFormat="1" ht="50.1" customHeight="1" x14ac:dyDescent="0.25">
      <c r="A302" s="4" t="s">
        <v>983</v>
      </c>
      <c r="B302" s="5" t="s">
        <v>397</v>
      </c>
      <c r="C302" s="4" t="s">
        <v>2</v>
      </c>
      <c r="D302" s="5" t="s">
        <v>399</v>
      </c>
    </row>
    <row r="303" spans="1:4" s="3" customFormat="1" ht="50.1" customHeight="1" x14ac:dyDescent="0.25">
      <c r="A303" s="4" t="s">
        <v>984</v>
      </c>
      <c r="B303" s="5" t="s">
        <v>985</v>
      </c>
      <c r="C303" s="4" t="s">
        <v>2</v>
      </c>
      <c r="D303" s="5" t="s">
        <v>987</v>
      </c>
    </row>
    <row r="304" spans="1:4" s="3" customFormat="1" ht="50.1" customHeight="1" x14ac:dyDescent="0.25">
      <c r="A304" s="4" t="s">
        <v>988</v>
      </c>
      <c r="B304" s="5" t="s">
        <v>989</v>
      </c>
      <c r="C304" s="4" t="s">
        <v>2</v>
      </c>
      <c r="D304" s="5" t="s">
        <v>990</v>
      </c>
    </row>
    <row r="305" spans="1:4" s="3" customFormat="1" ht="50.1" customHeight="1" x14ac:dyDescent="0.25">
      <c r="A305" s="4" t="s">
        <v>991</v>
      </c>
      <c r="B305" s="5" t="s">
        <v>447</v>
      </c>
      <c r="C305" s="4" t="s">
        <v>2</v>
      </c>
      <c r="D305" s="5" t="s">
        <v>449</v>
      </c>
    </row>
    <row r="306" spans="1:4" s="3" customFormat="1" ht="50.1" customHeight="1" x14ac:dyDescent="0.25">
      <c r="A306" s="4" t="s">
        <v>992</v>
      </c>
      <c r="B306" s="5" t="s">
        <v>993</v>
      </c>
      <c r="C306" s="4" t="s">
        <v>2</v>
      </c>
      <c r="D306" s="5" t="s">
        <v>995</v>
      </c>
    </row>
    <row r="307" spans="1:4" s="3" customFormat="1" ht="50.1" customHeight="1" x14ac:dyDescent="0.25">
      <c r="A307" s="4" t="s">
        <v>996</v>
      </c>
      <c r="B307" s="5" t="s">
        <v>997</v>
      </c>
      <c r="C307" s="4" t="s">
        <v>21</v>
      </c>
      <c r="D307" s="5" t="s">
        <v>998</v>
      </c>
    </row>
    <row r="308" spans="1:4" s="3" customFormat="1" ht="50.1" customHeight="1" x14ac:dyDescent="0.25">
      <c r="A308" s="4" t="s">
        <v>999</v>
      </c>
      <c r="B308" s="5" t="s">
        <v>1000</v>
      </c>
      <c r="C308" s="4" t="s">
        <v>21</v>
      </c>
      <c r="D308" s="5" t="s">
        <v>1001</v>
      </c>
    </row>
    <row r="309" spans="1:4" s="3" customFormat="1" ht="50.1" customHeight="1" x14ac:dyDescent="0.25">
      <c r="A309" s="4" t="s">
        <v>1002</v>
      </c>
      <c r="B309" s="5" t="s">
        <v>1003</v>
      </c>
      <c r="C309" s="4" t="s">
        <v>21</v>
      </c>
      <c r="D309" s="5" t="s">
        <v>234</v>
      </c>
    </row>
    <row r="310" spans="1:4" s="3" customFormat="1" ht="50.1" customHeight="1" x14ac:dyDescent="0.25">
      <c r="A310" s="4" t="s">
        <v>1004</v>
      </c>
      <c r="B310" s="5" t="s">
        <v>154</v>
      </c>
      <c r="C310" s="4" t="s">
        <v>2</v>
      </c>
      <c r="D310" s="5" t="s">
        <v>156</v>
      </c>
    </row>
    <row r="311" spans="1:4" s="3" customFormat="1" ht="50.1" customHeight="1" x14ac:dyDescent="0.25">
      <c r="A311" s="4" t="s">
        <v>1005</v>
      </c>
      <c r="B311" s="5" t="s">
        <v>1006</v>
      </c>
      <c r="C311" s="4" t="s">
        <v>2</v>
      </c>
      <c r="D311" s="5" t="s">
        <v>1008</v>
      </c>
    </row>
    <row r="312" spans="1:4" s="3" customFormat="1" ht="50.1" customHeight="1" x14ac:dyDescent="0.25">
      <c r="A312" s="4" t="s">
        <v>1009</v>
      </c>
      <c r="B312" s="5" t="s">
        <v>1010</v>
      </c>
      <c r="C312" s="4" t="s">
        <v>21</v>
      </c>
      <c r="D312" s="5" t="s">
        <v>1012</v>
      </c>
    </row>
    <row r="313" spans="1:4" s="3" customFormat="1" ht="50.1" customHeight="1" x14ac:dyDescent="0.25">
      <c r="A313" s="4" t="s">
        <v>1013</v>
      </c>
      <c r="B313" s="5" t="s">
        <v>1014</v>
      </c>
      <c r="C313" s="4" t="s">
        <v>2</v>
      </c>
      <c r="D313" s="5" t="s">
        <v>1016</v>
      </c>
    </row>
    <row r="314" spans="1:4" s="3" customFormat="1" ht="50.1" customHeight="1" x14ac:dyDescent="0.25">
      <c r="A314" s="4" t="s">
        <v>1017</v>
      </c>
      <c r="B314" s="5" t="s">
        <v>1018</v>
      </c>
      <c r="C314" s="4" t="s">
        <v>2</v>
      </c>
      <c r="D314" s="5" t="s">
        <v>761</v>
      </c>
    </row>
    <row r="315" spans="1:4" s="3" customFormat="1" ht="50.1" customHeight="1" x14ac:dyDescent="0.25">
      <c r="A315" s="4" t="s">
        <v>1019</v>
      </c>
      <c r="B315" s="5" t="s">
        <v>1020</v>
      </c>
      <c r="C315" s="4" t="s">
        <v>2</v>
      </c>
      <c r="D315" s="5" t="s">
        <v>1022</v>
      </c>
    </row>
    <row r="316" spans="1:4" s="3" customFormat="1" ht="50.1" customHeight="1" x14ac:dyDescent="0.25">
      <c r="A316" s="4" t="s">
        <v>1023</v>
      </c>
      <c r="B316" s="5" t="s">
        <v>1024</v>
      </c>
      <c r="C316" s="4" t="s">
        <v>2</v>
      </c>
      <c r="D316" s="5" t="s">
        <v>1026</v>
      </c>
    </row>
    <row r="317" spans="1:4" s="3" customFormat="1" ht="50.1" customHeight="1" x14ac:dyDescent="0.25">
      <c r="A317" s="4" t="s">
        <v>1027</v>
      </c>
      <c r="B317" s="5" t="s">
        <v>1028</v>
      </c>
      <c r="C317" s="4" t="s">
        <v>2</v>
      </c>
      <c r="D317" s="5" t="s">
        <v>1030</v>
      </c>
    </row>
    <row r="318" spans="1:4" s="3" customFormat="1" ht="50.1" customHeight="1" x14ac:dyDescent="0.25">
      <c r="A318" s="4" t="s">
        <v>1031</v>
      </c>
      <c r="B318" s="5" t="s">
        <v>1032</v>
      </c>
      <c r="C318" s="4" t="s">
        <v>2</v>
      </c>
      <c r="D318" s="5" t="s">
        <v>1034</v>
      </c>
    </row>
    <row r="319" spans="1:4" s="3" customFormat="1" ht="50.1" customHeight="1" x14ac:dyDescent="0.25">
      <c r="A319" s="4" t="s">
        <v>1035</v>
      </c>
      <c r="B319" s="5" t="s">
        <v>1036</v>
      </c>
      <c r="C319" s="4" t="s">
        <v>2</v>
      </c>
      <c r="D319" s="5" t="s">
        <v>1038</v>
      </c>
    </row>
    <row r="320" spans="1:4" s="3" customFormat="1" ht="50.1" customHeight="1" x14ac:dyDescent="0.25">
      <c r="A320" s="4" t="s">
        <v>1039</v>
      </c>
      <c r="B320" s="5"/>
      <c r="C320" s="4" t="s">
        <v>2</v>
      </c>
      <c r="D320" s="5" t="s">
        <v>688</v>
      </c>
    </row>
    <row r="321" spans="1:4" s="3" customFormat="1" ht="50.1" customHeight="1" x14ac:dyDescent="0.25">
      <c r="A321" s="4" t="s">
        <v>1040</v>
      </c>
      <c r="B321" s="5" t="s">
        <v>1041</v>
      </c>
      <c r="C321" s="4" t="s">
        <v>2</v>
      </c>
      <c r="D321" s="5" t="s">
        <v>1043</v>
      </c>
    </row>
    <row r="322" spans="1:4" s="3" customFormat="1" ht="50.1" customHeight="1" x14ac:dyDescent="0.25">
      <c r="A322" s="4" t="s">
        <v>1044</v>
      </c>
      <c r="B322" s="5" t="s">
        <v>1045</v>
      </c>
      <c r="C322" s="4" t="s">
        <v>2</v>
      </c>
      <c r="D322" s="5" t="s">
        <v>1047</v>
      </c>
    </row>
    <row r="323" spans="1:4" s="3" customFormat="1" ht="50.1" customHeight="1" x14ac:dyDescent="0.25">
      <c r="A323" s="4" t="s">
        <v>1048</v>
      </c>
      <c r="B323" s="5" t="s">
        <v>851</v>
      </c>
      <c r="C323" s="4" t="s">
        <v>2</v>
      </c>
      <c r="D323" s="5" t="s">
        <v>853</v>
      </c>
    </row>
    <row r="324" spans="1:4" s="3" customFormat="1" ht="50.1" customHeight="1" x14ac:dyDescent="0.25">
      <c r="A324" s="4" t="s">
        <v>1049</v>
      </c>
      <c r="B324" s="5" t="s">
        <v>1050</v>
      </c>
      <c r="C324" s="4" t="s">
        <v>2</v>
      </c>
      <c r="D324" s="5" t="s">
        <v>1052</v>
      </c>
    </row>
    <row r="325" spans="1:4" s="3" customFormat="1" ht="50.1" customHeight="1" x14ac:dyDescent="0.25">
      <c r="A325" s="4" t="s">
        <v>1053</v>
      </c>
      <c r="B325" s="5" t="s">
        <v>1054</v>
      </c>
      <c r="C325" s="4" t="s">
        <v>2</v>
      </c>
      <c r="D325" s="5" t="s">
        <v>1056</v>
      </c>
    </row>
    <row r="326" spans="1:4" s="3" customFormat="1" ht="50.1" customHeight="1" x14ac:dyDescent="0.25">
      <c r="A326" s="4" t="s">
        <v>1057</v>
      </c>
      <c r="B326" s="5" t="s">
        <v>1058</v>
      </c>
      <c r="C326" s="4" t="s">
        <v>2</v>
      </c>
      <c r="D326" s="5" t="s">
        <v>1060</v>
      </c>
    </row>
    <row r="327" spans="1:4" s="3" customFormat="1" ht="50.1" customHeight="1" x14ac:dyDescent="0.25">
      <c r="A327" s="4" t="s">
        <v>1061</v>
      </c>
      <c r="B327" s="5" t="s">
        <v>451</v>
      </c>
      <c r="C327" s="4" t="s">
        <v>2</v>
      </c>
      <c r="D327" s="5" t="s">
        <v>453</v>
      </c>
    </row>
    <row r="328" spans="1:4" s="3" customFormat="1" ht="50.1" customHeight="1" x14ac:dyDescent="0.25">
      <c r="A328" s="4" t="s">
        <v>1062</v>
      </c>
      <c r="B328" s="5" t="s">
        <v>122</v>
      </c>
      <c r="C328" s="4" t="s">
        <v>2</v>
      </c>
      <c r="D328" s="5" t="s">
        <v>124</v>
      </c>
    </row>
    <row r="329" spans="1:4" s="3" customFormat="1" ht="50.1" customHeight="1" x14ac:dyDescent="0.25">
      <c r="A329" s="4" t="s">
        <v>1063</v>
      </c>
      <c r="B329" s="5" t="s">
        <v>900</v>
      </c>
      <c r="C329" s="4" t="s">
        <v>2</v>
      </c>
      <c r="D329" s="5" t="s">
        <v>902</v>
      </c>
    </row>
    <row r="330" spans="1:4" s="3" customFormat="1" ht="50.1" customHeight="1" x14ac:dyDescent="0.25">
      <c r="A330" s="4" t="s">
        <v>1064</v>
      </c>
      <c r="B330" s="5" t="s">
        <v>1065</v>
      </c>
      <c r="C330" s="4" t="s">
        <v>2</v>
      </c>
      <c r="D330" s="5" t="s">
        <v>1067</v>
      </c>
    </row>
    <row r="331" spans="1:4" s="3" customFormat="1" ht="50.1" customHeight="1" x14ac:dyDescent="0.25">
      <c r="A331" s="4" t="s">
        <v>1068</v>
      </c>
      <c r="B331" s="5" t="s">
        <v>1069</v>
      </c>
      <c r="C331" s="4" t="s">
        <v>2</v>
      </c>
      <c r="D331" s="5" t="s">
        <v>1071</v>
      </c>
    </row>
    <row r="332" spans="1:4" s="3" customFormat="1" ht="50.1" customHeight="1" x14ac:dyDescent="0.25">
      <c r="A332" s="4" t="s">
        <v>1072</v>
      </c>
      <c r="B332" s="5" t="s">
        <v>1073</v>
      </c>
      <c r="C332" s="4" t="s">
        <v>21</v>
      </c>
      <c r="D332" s="5" t="s">
        <v>1074</v>
      </c>
    </row>
    <row r="333" spans="1:4" s="3" customFormat="1" ht="50.1" customHeight="1" x14ac:dyDescent="0.25">
      <c r="A333" s="4" t="s">
        <v>1075</v>
      </c>
      <c r="B333" s="5" t="s">
        <v>695</v>
      </c>
      <c r="C333" s="4" t="s">
        <v>2</v>
      </c>
      <c r="D333" s="5" t="s">
        <v>697</v>
      </c>
    </row>
    <row r="334" spans="1:4" s="3" customFormat="1" ht="50.1" customHeight="1" x14ac:dyDescent="0.25">
      <c r="A334" s="4" t="s">
        <v>1076</v>
      </c>
      <c r="B334" s="5" t="s">
        <v>393</v>
      </c>
      <c r="C334" s="4" t="s">
        <v>21</v>
      </c>
      <c r="D334" s="5" t="s">
        <v>395</v>
      </c>
    </row>
    <row r="335" spans="1:4" s="3" customFormat="1" ht="50.1" customHeight="1" x14ac:dyDescent="0.25">
      <c r="A335" s="4" t="s">
        <v>1077</v>
      </c>
      <c r="B335" s="5" t="s">
        <v>1078</v>
      </c>
      <c r="C335" s="4" t="s">
        <v>2</v>
      </c>
      <c r="D335" s="5" t="s">
        <v>1080</v>
      </c>
    </row>
    <row r="336" spans="1:4" s="3" customFormat="1" ht="50.1" customHeight="1" x14ac:dyDescent="0.25">
      <c r="A336" s="4" t="s">
        <v>1081</v>
      </c>
      <c r="B336" s="5" t="s">
        <v>503</v>
      </c>
      <c r="C336" s="4" t="s">
        <v>2</v>
      </c>
      <c r="D336" s="5" t="s">
        <v>505</v>
      </c>
    </row>
    <row r="337" spans="1:4" s="3" customFormat="1" ht="50.1" customHeight="1" x14ac:dyDescent="0.25">
      <c r="A337" s="4" t="s">
        <v>1082</v>
      </c>
      <c r="B337" s="5" t="s">
        <v>1083</v>
      </c>
      <c r="C337" s="4" t="s">
        <v>2</v>
      </c>
      <c r="D337" s="5" t="s">
        <v>1085</v>
      </c>
    </row>
    <row r="338" spans="1:4" s="3" customFormat="1" ht="50.1" customHeight="1" x14ac:dyDescent="0.25">
      <c r="A338" s="4" t="s">
        <v>1086</v>
      </c>
      <c r="B338" s="5" t="s">
        <v>1087</v>
      </c>
      <c r="C338" s="4" t="s">
        <v>2</v>
      </c>
      <c r="D338" s="5" t="s">
        <v>1088</v>
      </c>
    </row>
    <row r="339" spans="1:4" s="3" customFormat="1" ht="50.1" customHeight="1" x14ac:dyDescent="0.25">
      <c r="A339" s="4" t="s">
        <v>1089</v>
      </c>
      <c r="B339" s="5" t="s">
        <v>1090</v>
      </c>
      <c r="C339" s="4" t="s">
        <v>21</v>
      </c>
      <c r="D339" s="5" t="s">
        <v>1091</v>
      </c>
    </row>
    <row r="340" spans="1:4" s="3" customFormat="1" ht="50.1" customHeight="1" x14ac:dyDescent="0.25">
      <c r="A340" s="4" t="s">
        <v>1092</v>
      </c>
      <c r="B340" s="5" t="s">
        <v>1093</v>
      </c>
      <c r="C340" s="4" t="s">
        <v>2</v>
      </c>
      <c r="D340" s="5" t="s">
        <v>1095</v>
      </c>
    </row>
    <row r="341" spans="1:4" s="3" customFormat="1" ht="50.1" customHeight="1" x14ac:dyDescent="0.25">
      <c r="A341" s="4" t="s">
        <v>1096</v>
      </c>
      <c r="B341" s="5" t="s">
        <v>186</v>
      </c>
      <c r="C341" s="4" t="s">
        <v>2</v>
      </c>
      <c r="D341" s="5" t="s">
        <v>188</v>
      </c>
    </row>
    <row r="342" spans="1:4" s="3" customFormat="1" ht="50.1" customHeight="1" x14ac:dyDescent="0.25">
      <c r="A342" s="4" t="s">
        <v>1097</v>
      </c>
      <c r="B342" s="5" t="s">
        <v>1098</v>
      </c>
      <c r="C342" s="4" t="s">
        <v>2</v>
      </c>
      <c r="D342" s="5" t="s">
        <v>1099</v>
      </c>
    </row>
    <row r="343" spans="1:4" s="3" customFormat="1" ht="50.1" customHeight="1" x14ac:dyDescent="0.25">
      <c r="A343" s="4" t="s">
        <v>1100</v>
      </c>
      <c r="B343" s="5" t="s">
        <v>1036</v>
      </c>
      <c r="C343" s="4" t="s">
        <v>2</v>
      </c>
      <c r="D343" s="5" t="s">
        <v>1038</v>
      </c>
    </row>
    <row r="344" spans="1:4" s="3" customFormat="1" ht="50.1" customHeight="1" x14ac:dyDescent="0.25">
      <c r="A344" s="4" t="s">
        <v>1101</v>
      </c>
      <c r="B344" s="5" t="s">
        <v>1102</v>
      </c>
      <c r="C344" s="4" t="s">
        <v>2</v>
      </c>
      <c r="D344" s="5" t="s">
        <v>1104</v>
      </c>
    </row>
    <row r="345" spans="1:4" s="3" customFormat="1" ht="50.1" customHeight="1" x14ac:dyDescent="0.25">
      <c r="A345" s="4" t="s">
        <v>1105</v>
      </c>
      <c r="B345" s="5" t="s">
        <v>1106</v>
      </c>
      <c r="C345" s="4" t="s">
        <v>2</v>
      </c>
      <c r="D345" s="5" t="s">
        <v>1108</v>
      </c>
    </row>
    <row r="346" spans="1:4" s="3" customFormat="1" ht="50.1" customHeight="1" x14ac:dyDescent="0.25">
      <c r="A346" s="4" t="s">
        <v>1109</v>
      </c>
      <c r="B346" s="5" t="s">
        <v>1110</v>
      </c>
      <c r="C346" s="4" t="s">
        <v>2</v>
      </c>
      <c r="D346" s="5" t="s">
        <v>1112</v>
      </c>
    </row>
    <row r="347" spans="1:4" s="3" customFormat="1" ht="50.1" customHeight="1" x14ac:dyDescent="0.25">
      <c r="A347" s="4" t="s">
        <v>1113</v>
      </c>
      <c r="B347" s="5" t="s">
        <v>1114</v>
      </c>
      <c r="C347" s="4" t="s">
        <v>2</v>
      </c>
      <c r="D347" s="5" t="s">
        <v>1116</v>
      </c>
    </row>
    <row r="348" spans="1:4" s="3" customFormat="1" ht="50.1" customHeight="1" x14ac:dyDescent="0.25">
      <c r="A348" s="4" t="s">
        <v>1117</v>
      </c>
      <c r="B348" s="5" t="s">
        <v>522</v>
      </c>
      <c r="C348" s="4" t="s">
        <v>2</v>
      </c>
      <c r="D348" s="5" t="s">
        <v>524</v>
      </c>
    </row>
    <row r="349" spans="1:4" s="3" customFormat="1" ht="50.1" customHeight="1" x14ac:dyDescent="0.25">
      <c r="A349" s="4" t="s">
        <v>1118</v>
      </c>
      <c r="B349" s="5" t="s">
        <v>1119</v>
      </c>
      <c r="C349" s="4" t="s">
        <v>2</v>
      </c>
      <c r="D349" s="5" t="s">
        <v>1121</v>
      </c>
    </row>
    <row r="350" spans="1:4" s="3" customFormat="1" ht="50.1" customHeight="1" x14ac:dyDescent="0.25">
      <c r="A350" s="4" t="s">
        <v>1122</v>
      </c>
      <c r="B350" s="5" t="s">
        <v>1123</v>
      </c>
      <c r="C350" s="4" t="s">
        <v>2</v>
      </c>
      <c r="D350" s="5" t="s">
        <v>1125</v>
      </c>
    </row>
    <row r="351" spans="1:4" s="3" customFormat="1" ht="50.1" customHeight="1" x14ac:dyDescent="0.25">
      <c r="A351" s="4" t="s">
        <v>1126</v>
      </c>
      <c r="B351" s="5" t="s">
        <v>1127</v>
      </c>
      <c r="C351" s="4" t="s">
        <v>2</v>
      </c>
      <c r="D351" s="5" t="s">
        <v>1129</v>
      </c>
    </row>
    <row r="352" spans="1:4" s="3" customFormat="1" ht="50.1" customHeight="1" x14ac:dyDescent="0.25">
      <c r="A352" s="4" t="s">
        <v>1130</v>
      </c>
      <c r="B352" s="5" t="s">
        <v>1131</v>
      </c>
      <c r="C352" s="4" t="s">
        <v>2</v>
      </c>
      <c r="D352" s="5" t="s">
        <v>1132</v>
      </c>
    </row>
    <row r="353" spans="1:4" s="3" customFormat="1" ht="50.1" customHeight="1" x14ac:dyDescent="0.25">
      <c r="A353" s="4" t="s">
        <v>1133</v>
      </c>
      <c r="B353" s="5" t="s">
        <v>1134</v>
      </c>
      <c r="C353" s="4" t="s">
        <v>2</v>
      </c>
      <c r="D353" s="5" t="s">
        <v>1136</v>
      </c>
    </row>
    <row r="354" spans="1:4" s="3" customFormat="1" ht="50.1" customHeight="1" x14ac:dyDescent="0.25">
      <c r="A354" s="4" t="s">
        <v>1137</v>
      </c>
      <c r="B354" s="5" t="s">
        <v>511</v>
      </c>
      <c r="C354" s="4" t="s">
        <v>2</v>
      </c>
      <c r="D354" s="5" t="s">
        <v>513</v>
      </c>
    </row>
    <row r="355" spans="1:4" s="3" customFormat="1" ht="50.1" customHeight="1" x14ac:dyDescent="0.25">
      <c r="A355" s="4" t="s">
        <v>1138</v>
      </c>
      <c r="B355" s="5" t="s">
        <v>1139</v>
      </c>
      <c r="C355" s="4" t="s">
        <v>2</v>
      </c>
      <c r="D355" s="5" t="s">
        <v>1141</v>
      </c>
    </row>
    <row r="356" spans="1:4" s="3" customFormat="1" ht="50.1" customHeight="1" x14ac:dyDescent="0.25">
      <c r="A356" s="4" t="s">
        <v>1142</v>
      </c>
      <c r="B356" s="5" t="s">
        <v>1143</v>
      </c>
      <c r="C356" s="4" t="s">
        <v>2</v>
      </c>
      <c r="D356" s="5" t="s">
        <v>1145</v>
      </c>
    </row>
    <row r="357" spans="1:4" s="3" customFormat="1" ht="50.1" customHeight="1" x14ac:dyDescent="0.25">
      <c r="A357" s="4" t="s">
        <v>1146</v>
      </c>
      <c r="B357" s="5" t="s">
        <v>1028</v>
      </c>
      <c r="C357" s="4" t="s">
        <v>2</v>
      </c>
      <c r="D357" s="5" t="s">
        <v>1030</v>
      </c>
    </row>
    <row r="358" spans="1:4" s="3" customFormat="1" ht="50.1" customHeight="1" x14ac:dyDescent="0.25">
      <c r="A358" s="4" t="s">
        <v>1147</v>
      </c>
      <c r="B358" s="5" t="s">
        <v>1148</v>
      </c>
      <c r="C358" s="4" t="s">
        <v>2</v>
      </c>
      <c r="D358" s="5" t="s">
        <v>1150</v>
      </c>
    </row>
    <row r="359" spans="1:4" s="3" customFormat="1" ht="50.1" customHeight="1" x14ac:dyDescent="0.25">
      <c r="A359" s="4" t="s">
        <v>1151</v>
      </c>
      <c r="B359" s="5" t="s">
        <v>178</v>
      </c>
      <c r="C359" s="4" t="s">
        <v>21</v>
      </c>
      <c r="D359" s="5" t="s">
        <v>180</v>
      </c>
    </row>
    <row r="360" spans="1:4" s="3" customFormat="1" ht="50.1" customHeight="1" x14ac:dyDescent="0.25">
      <c r="A360" s="4" t="s">
        <v>1152</v>
      </c>
      <c r="B360" s="5" t="s">
        <v>258</v>
      </c>
      <c r="C360" s="4" t="s">
        <v>139</v>
      </c>
      <c r="D360" s="5" t="s">
        <v>141</v>
      </c>
    </row>
    <row r="361" spans="1:4" s="3" customFormat="1" ht="50.1" customHeight="1" x14ac:dyDescent="0.25">
      <c r="A361" s="4" t="s">
        <v>1153</v>
      </c>
      <c r="B361" s="5" t="s">
        <v>1154</v>
      </c>
      <c r="C361" s="4" t="s">
        <v>2</v>
      </c>
      <c r="D361" s="5" t="s">
        <v>1156</v>
      </c>
    </row>
    <row r="362" spans="1:4" s="3" customFormat="1" ht="50.1" customHeight="1" x14ac:dyDescent="0.25">
      <c r="A362" s="4" t="s">
        <v>1157</v>
      </c>
      <c r="B362" s="5" t="s">
        <v>1158</v>
      </c>
      <c r="C362" s="4" t="s">
        <v>2</v>
      </c>
      <c r="D362" s="5" t="s">
        <v>1160</v>
      </c>
    </row>
    <row r="363" spans="1:4" s="3" customFormat="1" ht="50.1" customHeight="1" x14ac:dyDescent="0.25">
      <c r="A363" s="4" t="s">
        <v>1161</v>
      </c>
      <c r="B363" s="5" t="s">
        <v>1162</v>
      </c>
      <c r="C363" s="4" t="s">
        <v>2</v>
      </c>
      <c r="D363" s="5" t="s">
        <v>1164</v>
      </c>
    </row>
    <row r="364" spans="1:4" s="3" customFormat="1" ht="50.1" customHeight="1" x14ac:dyDescent="0.25">
      <c r="A364" s="4" t="s">
        <v>1165</v>
      </c>
      <c r="B364" s="5" t="s">
        <v>826</v>
      </c>
      <c r="C364" s="4" t="s">
        <v>2</v>
      </c>
      <c r="D364" s="5" t="s">
        <v>827</v>
      </c>
    </row>
    <row r="365" spans="1:4" s="3" customFormat="1" ht="50.1" customHeight="1" x14ac:dyDescent="0.25">
      <c r="A365" s="4" t="s">
        <v>1166</v>
      </c>
      <c r="B365" s="5" t="s">
        <v>1167</v>
      </c>
      <c r="C365" s="4" t="s">
        <v>2</v>
      </c>
      <c r="D365" s="5" t="s">
        <v>1168</v>
      </c>
    </row>
    <row r="366" spans="1:4" s="3" customFormat="1" ht="50.1" customHeight="1" x14ac:dyDescent="0.25">
      <c r="A366" s="4" t="s">
        <v>1169</v>
      </c>
      <c r="B366" s="5" t="s">
        <v>1170</v>
      </c>
      <c r="C366" s="4" t="s">
        <v>2</v>
      </c>
      <c r="D366" s="5" t="s">
        <v>1172</v>
      </c>
    </row>
    <row r="367" spans="1:4" s="3" customFormat="1" ht="50.1" customHeight="1" x14ac:dyDescent="0.25">
      <c r="A367" s="4" t="s">
        <v>1173</v>
      </c>
      <c r="B367" s="5" t="s">
        <v>246</v>
      </c>
      <c r="C367" s="4" t="s">
        <v>21</v>
      </c>
      <c r="D367" s="5" t="s">
        <v>248</v>
      </c>
    </row>
    <row r="368" spans="1:4" s="3" customFormat="1" ht="50.1" customHeight="1" x14ac:dyDescent="0.25">
      <c r="A368" s="4" t="s">
        <v>1174</v>
      </c>
      <c r="B368" s="5" t="s">
        <v>1175</v>
      </c>
      <c r="C368" s="4" t="s">
        <v>2</v>
      </c>
      <c r="D368" s="5" t="s">
        <v>1177</v>
      </c>
    </row>
    <row r="369" spans="1:4" s="3" customFormat="1" ht="50.1" customHeight="1" x14ac:dyDescent="0.25">
      <c r="A369" s="4" t="s">
        <v>1178</v>
      </c>
      <c r="B369" s="5" t="s">
        <v>194</v>
      </c>
      <c r="C369" s="4" t="s">
        <v>2</v>
      </c>
      <c r="D369" s="5" t="s">
        <v>196</v>
      </c>
    </row>
    <row r="370" spans="1:4" s="3" customFormat="1" ht="50.1" customHeight="1" x14ac:dyDescent="0.25">
      <c r="A370" s="4" t="s">
        <v>1179</v>
      </c>
      <c r="B370" s="5" t="s">
        <v>538</v>
      </c>
      <c r="C370" s="4" t="s">
        <v>21</v>
      </c>
      <c r="D370" s="5" t="s">
        <v>281</v>
      </c>
    </row>
    <row r="371" spans="1:4" s="3" customFormat="1" ht="50.1" customHeight="1" x14ac:dyDescent="0.25">
      <c r="A371" s="4" t="s">
        <v>1180</v>
      </c>
      <c r="B371" s="5" t="s">
        <v>1058</v>
      </c>
      <c r="C371" s="4" t="s">
        <v>2</v>
      </c>
      <c r="D371" s="5" t="s">
        <v>1060</v>
      </c>
    </row>
    <row r="372" spans="1:4" ht="15" customHeight="1" x14ac:dyDescent="0.25">
      <c r="A372" s="1"/>
      <c r="B372" s="1"/>
      <c r="C372" s="1"/>
    </row>
    <row r="373" spans="1:4" ht="15" customHeight="1" x14ac:dyDescent="0.25">
      <c r="A373" s="1"/>
      <c r="B373" s="1"/>
      <c r="C373" s="1"/>
    </row>
    <row r="374" spans="1:4" ht="15" customHeight="1" x14ac:dyDescent="0.25">
      <c r="A374" s="1"/>
      <c r="B374" s="1"/>
      <c r="C374" s="1"/>
    </row>
    <row r="375" spans="1:4" ht="15" customHeight="1" x14ac:dyDescent="0.25">
      <c r="A375" s="1"/>
      <c r="B375" s="1"/>
      <c r="C375" s="1"/>
    </row>
    <row r="376" spans="1:4" ht="15" customHeight="1" x14ac:dyDescent="0.25">
      <c r="A376" s="1"/>
      <c r="B376" s="1"/>
      <c r="C376" s="1"/>
    </row>
    <row r="377" spans="1:4" ht="15" customHeight="1" x14ac:dyDescent="0.25">
      <c r="A377" s="1"/>
      <c r="B377" s="1"/>
      <c r="C377" s="1"/>
    </row>
    <row r="378" spans="1:4" ht="15" customHeight="1" x14ac:dyDescent="0.25">
      <c r="A378" s="1"/>
      <c r="B378" s="1"/>
      <c r="C378" s="1"/>
    </row>
    <row r="379" spans="1:4" ht="15" customHeight="1" x14ac:dyDescent="0.25">
      <c r="A379" s="1"/>
      <c r="B379" s="1"/>
      <c r="C379" s="1"/>
    </row>
    <row r="380" spans="1:4" ht="15" customHeight="1" x14ac:dyDescent="0.25">
      <c r="A380" s="1"/>
      <c r="B380" s="1"/>
      <c r="C380" s="1"/>
    </row>
    <row r="381" spans="1:4" ht="15" customHeight="1" x14ac:dyDescent="0.25">
      <c r="A381" s="1"/>
      <c r="B381" s="1"/>
      <c r="C381" s="1"/>
    </row>
    <row r="382" spans="1:4" ht="15" customHeight="1" x14ac:dyDescent="0.25">
      <c r="A382" s="1"/>
      <c r="B382" s="1"/>
      <c r="C382" s="1"/>
    </row>
    <row r="383" spans="1:4" ht="15" customHeight="1" x14ac:dyDescent="0.25">
      <c r="A383" s="1"/>
      <c r="B383" s="1"/>
      <c r="C383" s="1"/>
    </row>
    <row r="384" spans="1:4" ht="15" customHeight="1" x14ac:dyDescent="0.25">
      <c r="A384" s="1"/>
      <c r="B384" s="1"/>
      <c r="C384" s="1"/>
    </row>
    <row r="385" spans="1:3" ht="15" customHeight="1" x14ac:dyDescent="0.25">
      <c r="A385" s="1"/>
      <c r="B385" s="1"/>
      <c r="C385" s="1"/>
    </row>
    <row r="386" spans="1:3" ht="15" customHeight="1" x14ac:dyDescent="0.25">
      <c r="A386" s="1"/>
      <c r="B386" s="1"/>
      <c r="C386" s="1"/>
    </row>
    <row r="387" spans="1:3" ht="15" customHeight="1" x14ac:dyDescent="0.25">
      <c r="A387" s="1"/>
      <c r="B387" s="1"/>
      <c r="C387" s="1"/>
    </row>
    <row r="388" spans="1:3" ht="15" customHeight="1" x14ac:dyDescent="0.25">
      <c r="A388" s="1"/>
      <c r="B388" s="1"/>
      <c r="C388" s="1"/>
    </row>
    <row r="389" spans="1:3" ht="15" customHeight="1" x14ac:dyDescent="0.25">
      <c r="A389" s="1"/>
      <c r="B389" s="1"/>
      <c r="C389" s="1"/>
    </row>
    <row r="390" spans="1:3" ht="15" customHeight="1" x14ac:dyDescent="0.25">
      <c r="A390" s="1"/>
      <c r="B390" s="1"/>
      <c r="C390" s="1"/>
    </row>
    <row r="391" spans="1:3" ht="15" customHeight="1" x14ac:dyDescent="0.25">
      <c r="A391" s="1"/>
      <c r="B391" s="1"/>
      <c r="C391" s="1"/>
    </row>
    <row r="392" spans="1:3" ht="15" customHeight="1" x14ac:dyDescent="0.25">
      <c r="A392" s="1"/>
      <c r="B392" s="1"/>
      <c r="C392" s="1"/>
    </row>
    <row r="393" spans="1:3" ht="15" customHeight="1" x14ac:dyDescent="0.25">
      <c r="A393" s="1"/>
      <c r="B393" s="1"/>
      <c r="C393" s="1"/>
    </row>
    <row r="394" spans="1:3" ht="15" customHeight="1" x14ac:dyDescent="0.25">
      <c r="A394" s="1"/>
      <c r="B394" s="1"/>
      <c r="C394" s="1"/>
    </row>
    <row r="395" spans="1:3" ht="15" customHeight="1" x14ac:dyDescent="0.25">
      <c r="A395" s="1"/>
      <c r="B395" s="1"/>
      <c r="C395" s="1"/>
    </row>
    <row r="396" spans="1:3" ht="15" customHeight="1" x14ac:dyDescent="0.25">
      <c r="A396" s="1"/>
      <c r="B396" s="1"/>
      <c r="C396" s="1"/>
    </row>
    <row r="397" spans="1:3" ht="15" customHeight="1" x14ac:dyDescent="0.25">
      <c r="A397" s="1"/>
      <c r="B397" s="1"/>
      <c r="C397" s="1"/>
    </row>
    <row r="398" spans="1:3" ht="15" customHeight="1" x14ac:dyDescent="0.25">
      <c r="A398" s="1"/>
      <c r="B398" s="1"/>
      <c r="C398" s="1"/>
    </row>
    <row r="399" spans="1:3" ht="15" customHeight="1" x14ac:dyDescent="0.25">
      <c r="A399" s="1"/>
      <c r="B399" s="1"/>
      <c r="C399" s="1"/>
    </row>
    <row r="400" spans="1:3" ht="15" customHeight="1" x14ac:dyDescent="0.25">
      <c r="A400" s="1"/>
      <c r="B400" s="1"/>
      <c r="C400" s="1"/>
    </row>
    <row r="401" spans="1:3" ht="15" customHeight="1" x14ac:dyDescent="0.25">
      <c r="A401" s="1"/>
      <c r="B401" s="1"/>
      <c r="C401" s="1"/>
    </row>
    <row r="402" spans="1:3" ht="15" customHeight="1" x14ac:dyDescent="0.25">
      <c r="A402" s="1"/>
      <c r="B402" s="1"/>
      <c r="C402" s="1"/>
    </row>
    <row r="403" spans="1:3" ht="15" customHeight="1" x14ac:dyDescent="0.25">
      <c r="A403" s="1"/>
      <c r="B403" s="1"/>
      <c r="C403" s="1"/>
    </row>
    <row r="404" spans="1:3" ht="15" customHeight="1" x14ac:dyDescent="0.25">
      <c r="A404" s="1"/>
      <c r="B404" s="1"/>
      <c r="C404" s="1"/>
    </row>
    <row r="405" spans="1:3" ht="15" customHeight="1" x14ac:dyDescent="0.25">
      <c r="A405" s="1"/>
      <c r="B405" s="1"/>
      <c r="C405" s="1"/>
    </row>
    <row r="406" spans="1:3" ht="15" customHeight="1" x14ac:dyDescent="0.25">
      <c r="A406" s="1"/>
      <c r="B406" s="1"/>
      <c r="C406" s="1"/>
    </row>
    <row r="407" spans="1:3" ht="15" customHeight="1" x14ac:dyDescent="0.25">
      <c r="A407" s="1"/>
      <c r="B407" s="1"/>
      <c r="C407" s="1"/>
    </row>
    <row r="408" spans="1:3" ht="15" customHeight="1" x14ac:dyDescent="0.25">
      <c r="A408" s="1"/>
      <c r="B408" s="1"/>
      <c r="C408" s="1"/>
    </row>
    <row r="409" spans="1:3" ht="15" customHeight="1" x14ac:dyDescent="0.25">
      <c r="A409" s="1"/>
      <c r="B409" s="1"/>
      <c r="C409" s="1"/>
    </row>
    <row r="410" spans="1:3" ht="15" customHeight="1" x14ac:dyDescent="0.25">
      <c r="A410" s="1"/>
      <c r="B410" s="1"/>
      <c r="C410" s="1"/>
    </row>
    <row r="411" spans="1:3" ht="15" customHeight="1" x14ac:dyDescent="0.25">
      <c r="A411" s="1"/>
      <c r="B411" s="1"/>
      <c r="C411" s="1"/>
    </row>
    <row r="412" spans="1:3" ht="15" customHeight="1" x14ac:dyDescent="0.25">
      <c r="A412" s="1"/>
      <c r="B412" s="1"/>
      <c r="C412" s="1"/>
    </row>
    <row r="413" spans="1:3" ht="15" customHeight="1" x14ac:dyDescent="0.25">
      <c r="A413" s="1"/>
      <c r="B413" s="1"/>
      <c r="C413" s="1"/>
    </row>
    <row r="414" spans="1:3" ht="15" customHeight="1" x14ac:dyDescent="0.25">
      <c r="A414" s="1"/>
      <c r="B414" s="1"/>
      <c r="C414" s="1"/>
    </row>
    <row r="415" spans="1:3" ht="15" customHeight="1" x14ac:dyDescent="0.25">
      <c r="A415" s="1"/>
      <c r="B415" s="1"/>
      <c r="C415" s="1"/>
    </row>
    <row r="416" spans="1:3" ht="15" customHeight="1" x14ac:dyDescent="0.25">
      <c r="A416" s="1"/>
      <c r="B416" s="1"/>
      <c r="C416" s="1"/>
    </row>
    <row r="417" spans="1:3" ht="15" customHeight="1" x14ac:dyDescent="0.25">
      <c r="A417" s="1"/>
      <c r="B417" s="1"/>
      <c r="C417" s="1"/>
    </row>
    <row r="418" spans="1:3" ht="15" customHeight="1" x14ac:dyDescent="0.25">
      <c r="A418" s="1"/>
      <c r="B418" s="1"/>
      <c r="C418" s="1"/>
    </row>
    <row r="419" spans="1:3" ht="15" customHeight="1" x14ac:dyDescent="0.25">
      <c r="A419" s="1"/>
      <c r="B419" s="1"/>
      <c r="C419" s="1"/>
    </row>
    <row r="420" spans="1:3" ht="15" customHeight="1" x14ac:dyDescent="0.25">
      <c r="A420" s="1"/>
      <c r="B420" s="1"/>
      <c r="C420" s="1"/>
    </row>
    <row r="421" spans="1:3" ht="15" customHeight="1" x14ac:dyDescent="0.25">
      <c r="A421" s="1"/>
      <c r="B421" s="1"/>
      <c r="C421" s="1"/>
    </row>
    <row r="422" spans="1:3" ht="15" customHeight="1" x14ac:dyDescent="0.25">
      <c r="A422" s="1"/>
      <c r="B422" s="1"/>
      <c r="C422" s="1"/>
    </row>
    <row r="423" spans="1:3" ht="15" customHeight="1" x14ac:dyDescent="0.25">
      <c r="A423" s="1"/>
      <c r="B423" s="1"/>
      <c r="C423" s="1"/>
    </row>
    <row r="424" spans="1:3" ht="15" customHeight="1" x14ac:dyDescent="0.25">
      <c r="A424" s="1"/>
      <c r="B424" s="1"/>
      <c r="C424" s="1"/>
    </row>
    <row r="425" spans="1:3" ht="15" customHeight="1" x14ac:dyDescent="0.25">
      <c r="A425" s="1"/>
      <c r="B425" s="1"/>
      <c r="C425" s="1"/>
    </row>
    <row r="426" spans="1:3" ht="15" customHeight="1" x14ac:dyDescent="0.25">
      <c r="A426" s="1"/>
      <c r="B426" s="1"/>
      <c r="C426" s="1"/>
    </row>
    <row r="427" spans="1:3" ht="15" customHeight="1" x14ac:dyDescent="0.25">
      <c r="A427" s="1"/>
      <c r="B427" s="1"/>
      <c r="C427" s="1"/>
    </row>
    <row r="428" spans="1:3" ht="15" customHeight="1" x14ac:dyDescent="0.25">
      <c r="A428" s="1"/>
      <c r="B428" s="1"/>
      <c r="C428" s="1"/>
    </row>
    <row r="429" spans="1:3" ht="15" customHeight="1" x14ac:dyDescent="0.25">
      <c r="A429" s="1"/>
      <c r="B429" s="1"/>
      <c r="C429" s="1"/>
    </row>
    <row r="430" spans="1:3" ht="15" customHeight="1" x14ac:dyDescent="0.25">
      <c r="A430" s="1"/>
      <c r="B430" s="1"/>
      <c r="C430" s="1"/>
    </row>
    <row r="431" spans="1:3" ht="15" customHeight="1" x14ac:dyDescent="0.25">
      <c r="A431" s="1"/>
      <c r="B431" s="1"/>
      <c r="C431" s="1"/>
    </row>
    <row r="432" spans="1:3" ht="15" customHeight="1" x14ac:dyDescent="0.25">
      <c r="A432" s="1"/>
      <c r="B432" s="1"/>
      <c r="C432" s="1"/>
    </row>
    <row r="433" spans="1:3" ht="15" customHeight="1" x14ac:dyDescent="0.25">
      <c r="A433" s="1"/>
      <c r="B433" s="1"/>
      <c r="C433" s="1"/>
    </row>
    <row r="434" spans="1:3" ht="15" customHeight="1" x14ac:dyDescent="0.25">
      <c r="A434" s="1"/>
      <c r="B434" s="1"/>
      <c r="C434" s="1"/>
    </row>
    <row r="435" spans="1:3" ht="15" customHeight="1" x14ac:dyDescent="0.25">
      <c r="A435" s="1"/>
      <c r="B435" s="1"/>
      <c r="C435" s="1"/>
    </row>
    <row r="436" spans="1:3" ht="15" customHeight="1" x14ac:dyDescent="0.25">
      <c r="A436" s="1"/>
      <c r="B436" s="1"/>
      <c r="C436" s="1"/>
    </row>
    <row r="437" spans="1:3" ht="15" customHeight="1" x14ac:dyDescent="0.25">
      <c r="A437" s="1"/>
      <c r="B437" s="1"/>
      <c r="C437" s="1"/>
    </row>
    <row r="438" spans="1:3" ht="15" customHeight="1" x14ac:dyDescent="0.25">
      <c r="A438" s="1"/>
      <c r="B438" s="1"/>
      <c r="C438" s="1"/>
    </row>
    <row r="439" spans="1:3" ht="15" customHeight="1" x14ac:dyDescent="0.25">
      <c r="A439" s="1"/>
      <c r="B439" s="1"/>
      <c r="C439" s="1"/>
    </row>
    <row r="440" spans="1:3" ht="15" customHeight="1" x14ac:dyDescent="0.25">
      <c r="A440" s="1"/>
      <c r="B440" s="1"/>
      <c r="C440" s="1"/>
    </row>
    <row r="441" spans="1:3" ht="15" customHeight="1" x14ac:dyDescent="0.25">
      <c r="A441" s="1"/>
      <c r="B441" s="1"/>
      <c r="C441" s="1"/>
    </row>
    <row r="442" spans="1:3" ht="15" customHeight="1" x14ac:dyDescent="0.25">
      <c r="A442" s="1"/>
      <c r="B442" s="1"/>
      <c r="C442" s="1"/>
    </row>
    <row r="443" spans="1:3" ht="15" customHeight="1" x14ac:dyDescent="0.25">
      <c r="A443" s="1"/>
      <c r="B443" s="1"/>
      <c r="C443" s="1"/>
    </row>
    <row r="444" spans="1:3" ht="15" customHeight="1" x14ac:dyDescent="0.25">
      <c r="A444" s="1"/>
      <c r="B444" s="1"/>
      <c r="C444" s="1"/>
    </row>
    <row r="445" spans="1:3" ht="15" customHeight="1" x14ac:dyDescent="0.25">
      <c r="A445" s="1"/>
      <c r="B445" s="1"/>
      <c r="C445" s="1"/>
    </row>
    <row r="446" spans="1:3" ht="15" customHeight="1" x14ac:dyDescent="0.25">
      <c r="A446" s="1"/>
      <c r="B446" s="1"/>
      <c r="C446" s="1"/>
    </row>
    <row r="447" spans="1:3" ht="15" customHeight="1" x14ac:dyDescent="0.25">
      <c r="A447" s="1"/>
      <c r="B447" s="1"/>
      <c r="C447" s="1"/>
    </row>
    <row r="448" spans="1:3" ht="15" customHeight="1" x14ac:dyDescent="0.25">
      <c r="A448" s="1"/>
      <c r="B448" s="1"/>
      <c r="C448" s="1"/>
    </row>
    <row r="449" spans="1:3" ht="15" customHeight="1" x14ac:dyDescent="0.25">
      <c r="A449" s="1"/>
      <c r="B449" s="1"/>
      <c r="C449" s="1"/>
    </row>
    <row r="450" spans="1:3" ht="15" customHeight="1" x14ac:dyDescent="0.25">
      <c r="A450" s="1"/>
      <c r="B450" s="1"/>
      <c r="C450" s="1"/>
    </row>
    <row r="451" spans="1:3" ht="15" customHeight="1" x14ac:dyDescent="0.25">
      <c r="A451" s="1"/>
      <c r="B451" s="1"/>
      <c r="C451" s="1"/>
    </row>
    <row r="452" spans="1:3" ht="15" customHeight="1" x14ac:dyDescent="0.25">
      <c r="A452" s="1"/>
      <c r="B452" s="1"/>
      <c r="C452" s="1"/>
    </row>
    <row r="453" spans="1:3" ht="15" customHeight="1" x14ac:dyDescent="0.25">
      <c r="A453" s="1"/>
      <c r="B453" s="1"/>
      <c r="C453" s="1"/>
    </row>
    <row r="454" spans="1:3" ht="15" customHeight="1" x14ac:dyDescent="0.25">
      <c r="A454" s="1"/>
      <c r="B454" s="1"/>
      <c r="C454" s="1"/>
    </row>
    <row r="455" spans="1:3" ht="15" customHeight="1" x14ac:dyDescent="0.25">
      <c r="A455" s="1"/>
      <c r="B455" s="1"/>
      <c r="C455" s="1"/>
    </row>
    <row r="456" spans="1:3" ht="15" customHeight="1" x14ac:dyDescent="0.25">
      <c r="A456" s="1"/>
      <c r="B456" s="1"/>
      <c r="C456" s="1"/>
    </row>
    <row r="457" spans="1:3" ht="15" customHeight="1" x14ac:dyDescent="0.25">
      <c r="A457" s="1"/>
      <c r="B457" s="1"/>
      <c r="C457" s="1"/>
    </row>
    <row r="458" spans="1:3" ht="15" customHeight="1" x14ac:dyDescent="0.25">
      <c r="A458" s="1"/>
      <c r="B458" s="1"/>
      <c r="C458" s="1"/>
    </row>
    <row r="459" spans="1:3" ht="15" customHeight="1" x14ac:dyDescent="0.25">
      <c r="A459" s="1"/>
      <c r="B459" s="1"/>
      <c r="C459" s="1"/>
    </row>
    <row r="460" spans="1:3" ht="15" customHeight="1" x14ac:dyDescent="0.25">
      <c r="A460" s="1"/>
      <c r="B460" s="1"/>
      <c r="C460" s="1"/>
    </row>
    <row r="461" spans="1:3" ht="15" customHeight="1" x14ac:dyDescent="0.25">
      <c r="A461" s="1"/>
      <c r="B461" s="1"/>
      <c r="C461" s="1"/>
    </row>
    <row r="462" spans="1:3" ht="15" customHeight="1" x14ac:dyDescent="0.25">
      <c r="A462" s="1"/>
      <c r="B462" s="1"/>
      <c r="C462" s="1"/>
    </row>
    <row r="463" spans="1:3" ht="15" customHeight="1" x14ac:dyDescent="0.25">
      <c r="A463" s="1"/>
      <c r="B463" s="1"/>
      <c r="C463" s="1"/>
    </row>
    <row r="464" spans="1:3" ht="15" customHeight="1" x14ac:dyDescent="0.25">
      <c r="A464" s="1"/>
      <c r="B464" s="1"/>
      <c r="C464" s="1"/>
    </row>
    <row r="465" spans="1:3" ht="15" customHeight="1" x14ac:dyDescent="0.25">
      <c r="A465" s="1"/>
      <c r="B465" s="1"/>
      <c r="C465" s="1"/>
    </row>
    <row r="466" spans="1:3" ht="15" customHeight="1" x14ac:dyDescent="0.25">
      <c r="A466" s="1"/>
      <c r="B466" s="1"/>
      <c r="C466" s="1"/>
    </row>
    <row r="467" spans="1:3" ht="15" customHeight="1" x14ac:dyDescent="0.25">
      <c r="A467" s="1"/>
      <c r="B467" s="1"/>
      <c r="C467" s="1"/>
    </row>
    <row r="468" spans="1:3" ht="15" customHeight="1" x14ac:dyDescent="0.25">
      <c r="A468" s="1"/>
      <c r="B468" s="1"/>
      <c r="C468" s="1"/>
    </row>
    <row r="469" spans="1:3" ht="15" customHeight="1" x14ac:dyDescent="0.25">
      <c r="A469" s="1"/>
      <c r="B469" s="1"/>
      <c r="C469" s="1"/>
    </row>
    <row r="470" spans="1:3" ht="15" customHeight="1" x14ac:dyDescent="0.25">
      <c r="A470" s="1"/>
      <c r="B470" s="1"/>
      <c r="C470" s="1"/>
    </row>
    <row r="471" spans="1:3" ht="15" customHeight="1" x14ac:dyDescent="0.25">
      <c r="A471" s="1"/>
      <c r="B471" s="1"/>
      <c r="C471" s="1"/>
    </row>
    <row r="472" spans="1:3" ht="15" customHeight="1" x14ac:dyDescent="0.25">
      <c r="A472" s="1"/>
      <c r="B472" s="1"/>
      <c r="C472" s="1"/>
    </row>
    <row r="473" spans="1:3" ht="15" customHeight="1" x14ac:dyDescent="0.25">
      <c r="A473" s="1"/>
      <c r="B473" s="1"/>
      <c r="C473" s="1"/>
    </row>
    <row r="474" spans="1:3" ht="15" customHeight="1" x14ac:dyDescent="0.25">
      <c r="A474" s="1"/>
      <c r="B474" s="1"/>
      <c r="C474" s="1"/>
    </row>
    <row r="475" spans="1:3" ht="15" customHeight="1" x14ac:dyDescent="0.25">
      <c r="A475" s="1"/>
      <c r="B475" s="1"/>
      <c r="C475" s="1"/>
    </row>
    <row r="476" spans="1:3" ht="15" customHeight="1" x14ac:dyDescent="0.25">
      <c r="A476" s="1"/>
      <c r="B476" s="1"/>
      <c r="C476" s="1"/>
    </row>
    <row r="477" spans="1:3" ht="15" customHeight="1" x14ac:dyDescent="0.25">
      <c r="A477" s="1"/>
      <c r="B477" s="1"/>
      <c r="C477" s="1"/>
    </row>
    <row r="478" spans="1:3" ht="15" customHeight="1" x14ac:dyDescent="0.25">
      <c r="A478" s="1"/>
      <c r="B478" s="1"/>
      <c r="C478" s="1"/>
    </row>
    <row r="479" spans="1:3" ht="15" customHeight="1" x14ac:dyDescent="0.25">
      <c r="A479" s="1"/>
      <c r="B479" s="1"/>
      <c r="C479" s="1"/>
    </row>
    <row r="480" spans="1:3" ht="15" customHeight="1" x14ac:dyDescent="0.25">
      <c r="A480" s="1"/>
      <c r="B480" s="1"/>
      <c r="C480" s="1"/>
    </row>
    <row r="481" spans="1:3" ht="15" customHeight="1" x14ac:dyDescent="0.25">
      <c r="A481" s="1"/>
      <c r="B481" s="1"/>
      <c r="C481" s="1"/>
    </row>
    <row r="482" spans="1:3" ht="15" customHeight="1" x14ac:dyDescent="0.25">
      <c r="A482" s="1"/>
      <c r="B482" s="1"/>
      <c r="C482" s="1"/>
    </row>
    <row r="483" spans="1:3" ht="15" customHeight="1" x14ac:dyDescent="0.25">
      <c r="A483" s="1"/>
      <c r="B483" s="1"/>
      <c r="C483" s="1"/>
    </row>
    <row r="484" spans="1:3" ht="15" customHeight="1" x14ac:dyDescent="0.25">
      <c r="A484" s="1"/>
      <c r="B484" s="1"/>
      <c r="C484" s="1"/>
    </row>
    <row r="485" spans="1:3" ht="15" customHeight="1" x14ac:dyDescent="0.25">
      <c r="A485" s="1"/>
      <c r="B485" s="1"/>
      <c r="C485" s="1"/>
    </row>
    <row r="486" spans="1:3" ht="15" customHeight="1" x14ac:dyDescent="0.25">
      <c r="A486" s="1"/>
      <c r="B486" s="1"/>
      <c r="C486" s="1"/>
    </row>
    <row r="487" spans="1:3" ht="15" customHeight="1" x14ac:dyDescent="0.25">
      <c r="A487" s="1"/>
      <c r="B487" s="1"/>
      <c r="C487" s="1"/>
    </row>
    <row r="488" spans="1:3" ht="15" customHeight="1" x14ac:dyDescent="0.25">
      <c r="A488" s="1"/>
      <c r="B488" s="1"/>
      <c r="C488" s="1"/>
    </row>
    <row r="489" spans="1:3" ht="15" customHeight="1" x14ac:dyDescent="0.25">
      <c r="A489" s="1"/>
      <c r="B489" s="1"/>
      <c r="C489" s="1"/>
    </row>
    <row r="490" spans="1:3" ht="15" customHeight="1" x14ac:dyDescent="0.25">
      <c r="A490" s="1"/>
      <c r="B490" s="1"/>
      <c r="C490" s="1"/>
    </row>
    <row r="491" spans="1:3" ht="15" customHeight="1" x14ac:dyDescent="0.25">
      <c r="A491" s="1"/>
      <c r="B491" s="1"/>
      <c r="C491" s="1"/>
    </row>
    <row r="492" spans="1:3" ht="15" customHeight="1" x14ac:dyDescent="0.25">
      <c r="A492" s="1"/>
      <c r="B492" s="1"/>
      <c r="C492" s="1"/>
    </row>
    <row r="493" spans="1:3" ht="15" customHeight="1" x14ac:dyDescent="0.25">
      <c r="A493" s="1"/>
      <c r="B493" s="1"/>
      <c r="C493" s="1"/>
    </row>
    <row r="494" spans="1:3" ht="15" customHeight="1" x14ac:dyDescent="0.25">
      <c r="A494" s="1"/>
      <c r="B494" s="1"/>
      <c r="C494" s="1"/>
    </row>
    <row r="495" spans="1:3" ht="15" customHeight="1" x14ac:dyDescent="0.25">
      <c r="A495" s="1"/>
      <c r="B495" s="1"/>
      <c r="C495" s="1"/>
    </row>
    <row r="496" spans="1:3" ht="15" customHeight="1" x14ac:dyDescent="0.25">
      <c r="A496" s="1"/>
      <c r="B496" s="1"/>
      <c r="C496" s="1"/>
    </row>
    <row r="497" spans="1:3" ht="15" customHeight="1" x14ac:dyDescent="0.25">
      <c r="A497" s="1"/>
      <c r="B497" s="1"/>
      <c r="C497" s="1"/>
    </row>
    <row r="498" spans="1:3" ht="15" customHeight="1" x14ac:dyDescent="0.25">
      <c r="A498" s="1"/>
      <c r="B498" s="1"/>
      <c r="C498" s="1"/>
    </row>
    <row r="499" spans="1:3" ht="15" customHeight="1" x14ac:dyDescent="0.25">
      <c r="A499" s="1"/>
      <c r="B499" s="1"/>
      <c r="C499" s="1"/>
    </row>
    <row r="500" spans="1:3" ht="15" customHeight="1" x14ac:dyDescent="0.25">
      <c r="A500" s="1"/>
      <c r="B500" s="1"/>
      <c r="C500" s="1"/>
    </row>
    <row r="501" spans="1:3" ht="15" customHeight="1" x14ac:dyDescent="0.25">
      <c r="A501" s="1"/>
      <c r="B501" s="1"/>
      <c r="C501" s="1"/>
    </row>
    <row r="502" spans="1:3" ht="15" customHeight="1" x14ac:dyDescent="0.25">
      <c r="A502" s="1"/>
      <c r="B502" s="1"/>
      <c r="C502" s="1"/>
    </row>
    <row r="503" spans="1:3" ht="15" customHeight="1" x14ac:dyDescent="0.25">
      <c r="A503" s="1"/>
      <c r="B503" s="1"/>
      <c r="C503" s="1"/>
    </row>
    <row r="504" spans="1:3" ht="15" customHeight="1" x14ac:dyDescent="0.25">
      <c r="A504" s="1"/>
      <c r="B504" s="1"/>
      <c r="C504" s="1"/>
    </row>
    <row r="505" spans="1:3" ht="15" customHeight="1" x14ac:dyDescent="0.25">
      <c r="A505" s="1"/>
      <c r="B505" s="1"/>
      <c r="C505" s="1"/>
    </row>
    <row r="506" spans="1:3" ht="15" customHeight="1" x14ac:dyDescent="0.25">
      <c r="A506" s="1"/>
      <c r="B506" s="1"/>
      <c r="C506" s="1"/>
    </row>
    <row r="507" spans="1:3" ht="15" customHeight="1" x14ac:dyDescent="0.25">
      <c r="A507" s="1"/>
      <c r="B507" s="1"/>
      <c r="C507" s="1"/>
    </row>
    <row r="508" spans="1:3" ht="15" customHeight="1" x14ac:dyDescent="0.25">
      <c r="A508" s="1"/>
      <c r="B508" s="1"/>
      <c r="C508" s="1"/>
    </row>
    <row r="509" spans="1:3" ht="15" customHeight="1" x14ac:dyDescent="0.25">
      <c r="A509" s="1"/>
      <c r="B509" s="1"/>
      <c r="C509" s="1"/>
    </row>
    <row r="510" spans="1:3" ht="15" customHeight="1" x14ac:dyDescent="0.25">
      <c r="A510" s="1"/>
      <c r="B510" s="1"/>
      <c r="C510" s="1"/>
    </row>
    <row r="511" spans="1:3" ht="15" customHeight="1" x14ac:dyDescent="0.25">
      <c r="A511" s="1"/>
      <c r="B511" s="1"/>
      <c r="C511" s="1"/>
    </row>
    <row r="512" spans="1:3" ht="15" customHeight="1" x14ac:dyDescent="0.25">
      <c r="A512" s="1"/>
      <c r="B512" s="1"/>
      <c r="C512" s="1"/>
    </row>
    <row r="513" spans="1:3" ht="15" customHeight="1" x14ac:dyDescent="0.25">
      <c r="A513" s="1"/>
      <c r="B513" s="1"/>
      <c r="C513" s="1"/>
    </row>
    <row r="514" spans="1:3" ht="15" customHeight="1" x14ac:dyDescent="0.25">
      <c r="A514" s="1"/>
      <c r="B514" s="1"/>
      <c r="C514" s="1"/>
    </row>
    <row r="515" spans="1:3" ht="15" customHeight="1" x14ac:dyDescent="0.25">
      <c r="A515" s="1"/>
      <c r="B515" s="1"/>
      <c r="C515" s="1"/>
    </row>
    <row r="516" spans="1:3" ht="15" customHeight="1" x14ac:dyDescent="0.25">
      <c r="A516" s="1"/>
      <c r="B516" s="1"/>
      <c r="C516" s="1"/>
    </row>
    <row r="517" spans="1:3" ht="15" customHeight="1" x14ac:dyDescent="0.25">
      <c r="A517" s="1"/>
      <c r="B517" s="1"/>
      <c r="C517" s="1"/>
    </row>
    <row r="518" spans="1:3" ht="15" customHeight="1" x14ac:dyDescent="0.25">
      <c r="A518" s="1"/>
      <c r="B518" s="1"/>
      <c r="C518" s="1"/>
    </row>
    <row r="519" spans="1:3" ht="15" customHeight="1" x14ac:dyDescent="0.25">
      <c r="A519" s="1"/>
      <c r="B519" s="1"/>
      <c r="C519" s="1"/>
    </row>
    <row r="520" spans="1:3" ht="15" customHeight="1" x14ac:dyDescent="0.25">
      <c r="A520" s="1"/>
      <c r="B520" s="1"/>
      <c r="C520" s="1"/>
    </row>
    <row r="521" spans="1:3" ht="15" customHeight="1" x14ac:dyDescent="0.25">
      <c r="A521" s="1"/>
      <c r="B521" s="1"/>
      <c r="C521" s="1"/>
    </row>
    <row r="522" spans="1:3" ht="15" customHeight="1" x14ac:dyDescent="0.25">
      <c r="A522" s="1"/>
      <c r="B522" s="1"/>
      <c r="C522" s="1"/>
    </row>
    <row r="523" spans="1:3" ht="15" customHeight="1" x14ac:dyDescent="0.25">
      <c r="A523" s="1"/>
      <c r="B523" s="1"/>
      <c r="C523" s="1"/>
    </row>
    <row r="524" spans="1:3" ht="15" customHeight="1" x14ac:dyDescent="0.25">
      <c r="A524" s="1"/>
      <c r="B524" s="1"/>
      <c r="C524" s="1"/>
    </row>
    <row r="525" spans="1:3" ht="15" customHeight="1" x14ac:dyDescent="0.25">
      <c r="A525" s="1"/>
      <c r="B525" s="1"/>
      <c r="C525" s="1"/>
    </row>
    <row r="526" spans="1:3" ht="15" customHeight="1" x14ac:dyDescent="0.25">
      <c r="A526" s="1"/>
      <c r="B526" s="1"/>
      <c r="C526" s="1"/>
    </row>
    <row r="527" spans="1:3" ht="15" customHeight="1" x14ac:dyDescent="0.25">
      <c r="A527" s="1"/>
      <c r="B527" s="1"/>
      <c r="C527" s="1"/>
    </row>
    <row r="528" spans="1:3" ht="15" customHeight="1" x14ac:dyDescent="0.25">
      <c r="A528" s="1"/>
      <c r="B528" s="1"/>
      <c r="C528" s="1"/>
    </row>
    <row r="529" spans="1:3" ht="15" customHeight="1" x14ac:dyDescent="0.25">
      <c r="A529" s="1"/>
      <c r="B529" s="1"/>
      <c r="C529" s="1"/>
    </row>
    <row r="530" spans="1:3" ht="15" customHeight="1" x14ac:dyDescent="0.25">
      <c r="A530" s="1"/>
      <c r="B530" s="1"/>
      <c r="C530" s="1"/>
    </row>
    <row r="531" spans="1:3" ht="15" customHeight="1" x14ac:dyDescent="0.25">
      <c r="A531" s="1"/>
      <c r="B531" s="1"/>
      <c r="C531" s="1"/>
    </row>
    <row r="532" spans="1:3" ht="15" customHeight="1" x14ac:dyDescent="0.25">
      <c r="A532" s="1"/>
      <c r="B532" s="1"/>
      <c r="C532" s="1"/>
    </row>
    <row r="533" spans="1:3" ht="15" customHeight="1" x14ac:dyDescent="0.25">
      <c r="A533" s="1"/>
      <c r="B533" s="1"/>
      <c r="C533" s="1"/>
    </row>
    <row r="534" spans="1:3" ht="15" customHeight="1" x14ac:dyDescent="0.25">
      <c r="A534" s="1"/>
      <c r="B534" s="1"/>
      <c r="C534" s="1"/>
    </row>
    <row r="535" spans="1:3" ht="15" customHeight="1" x14ac:dyDescent="0.25">
      <c r="A535" s="1"/>
      <c r="B535" s="1"/>
      <c r="C535" s="1"/>
    </row>
    <row r="536" spans="1:3" ht="15" customHeight="1" x14ac:dyDescent="0.25">
      <c r="A536" s="1"/>
      <c r="B536" s="1"/>
      <c r="C536" s="1"/>
    </row>
    <row r="537" spans="1:3" ht="15" customHeight="1" x14ac:dyDescent="0.25">
      <c r="A537" s="1"/>
      <c r="B537" s="1"/>
      <c r="C537" s="1"/>
    </row>
    <row r="538" spans="1:3" ht="15" customHeight="1" x14ac:dyDescent="0.25">
      <c r="A538" s="1"/>
      <c r="B538" s="1"/>
      <c r="C538" s="1"/>
    </row>
    <row r="539" spans="1:3" ht="15" customHeight="1" x14ac:dyDescent="0.25">
      <c r="A539" s="1"/>
      <c r="B539" s="1"/>
      <c r="C539" s="1"/>
    </row>
    <row r="540" spans="1:3" ht="15" customHeight="1" x14ac:dyDescent="0.25">
      <c r="A540" s="1"/>
      <c r="B540" s="1"/>
      <c r="C540" s="1"/>
    </row>
    <row r="541" spans="1:3" ht="15" customHeight="1" x14ac:dyDescent="0.25">
      <c r="A541" s="1"/>
      <c r="B541" s="1"/>
      <c r="C541" s="1"/>
    </row>
    <row r="542" spans="1:3" ht="15" customHeight="1" x14ac:dyDescent="0.25">
      <c r="A542" s="1"/>
      <c r="B542" s="1"/>
      <c r="C542" s="1"/>
    </row>
    <row r="543" spans="1:3" ht="15" customHeight="1" x14ac:dyDescent="0.25">
      <c r="A543" s="1"/>
      <c r="B543" s="1"/>
      <c r="C543" s="1"/>
    </row>
    <row r="544" spans="1:3" ht="15" customHeight="1" x14ac:dyDescent="0.25">
      <c r="A544" s="1"/>
      <c r="B544" s="1"/>
      <c r="C544" s="1"/>
    </row>
    <row r="545" spans="1:3" ht="15" customHeight="1" x14ac:dyDescent="0.25">
      <c r="A545" s="1"/>
      <c r="B545" s="1"/>
      <c r="C545" s="1"/>
    </row>
    <row r="546" spans="1:3" ht="15" customHeight="1" x14ac:dyDescent="0.25">
      <c r="A546" s="1"/>
      <c r="B546" s="1"/>
      <c r="C546" s="1"/>
    </row>
    <row r="547" spans="1:3" ht="15" customHeight="1" x14ac:dyDescent="0.25">
      <c r="A547" s="1"/>
      <c r="B547" s="1"/>
      <c r="C547" s="1"/>
    </row>
    <row r="548" spans="1:3" ht="15" customHeight="1" x14ac:dyDescent="0.25">
      <c r="A548" s="1"/>
      <c r="B548" s="1"/>
      <c r="C548" s="1"/>
    </row>
    <row r="549" spans="1:3" ht="15" customHeight="1" x14ac:dyDescent="0.25">
      <c r="A549" s="1"/>
      <c r="B549" s="1"/>
      <c r="C549" s="1"/>
    </row>
    <row r="550" spans="1:3" ht="15" customHeight="1" x14ac:dyDescent="0.25">
      <c r="A550" s="1"/>
      <c r="B550" s="1"/>
      <c r="C550" s="1"/>
    </row>
    <row r="551" spans="1:3" ht="15" customHeight="1" x14ac:dyDescent="0.25">
      <c r="A551" s="1"/>
      <c r="B551" s="1"/>
      <c r="C551" s="1"/>
    </row>
    <row r="552" spans="1:3" ht="15" customHeight="1" x14ac:dyDescent="0.25">
      <c r="A552" s="1"/>
      <c r="B552" s="1"/>
      <c r="C552" s="1"/>
    </row>
    <row r="553" spans="1:3" ht="15" customHeight="1" x14ac:dyDescent="0.25">
      <c r="A553" s="1"/>
      <c r="B553" s="1"/>
      <c r="C553" s="1"/>
    </row>
    <row r="554" spans="1:3" ht="15" customHeight="1" x14ac:dyDescent="0.25">
      <c r="A554" s="1"/>
      <c r="B554" s="1"/>
      <c r="C554" s="1"/>
    </row>
    <row r="555" spans="1:3" ht="15" customHeight="1" x14ac:dyDescent="0.25">
      <c r="A555" s="1"/>
      <c r="B555" s="1"/>
      <c r="C555" s="1"/>
    </row>
    <row r="556" spans="1:3" ht="15" customHeight="1" x14ac:dyDescent="0.25">
      <c r="A556" s="1"/>
      <c r="B556" s="1"/>
      <c r="C556" s="1"/>
    </row>
    <row r="557" spans="1:3" ht="15" customHeight="1" x14ac:dyDescent="0.25">
      <c r="A557" s="1"/>
      <c r="B557" s="1"/>
      <c r="C557" s="1"/>
    </row>
    <row r="558" spans="1:3" ht="15" customHeight="1" x14ac:dyDescent="0.25">
      <c r="A558" s="1"/>
      <c r="B558" s="1"/>
      <c r="C558" s="1"/>
    </row>
    <row r="559" spans="1:3" ht="15" customHeight="1" x14ac:dyDescent="0.25">
      <c r="A559" s="1"/>
      <c r="B559" s="1"/>
      <c r="C559" s="1"/>
    </row>
    <row r="560" spans="1:3" ht="15" customHeight="1" x14ac:dyDescent="0.25">
      <c r="A560" s="1"/>
      <c r="B560" s="1"/>
      <c r="C560" s="1"/>
    </row>
    <row r="561" spans="1:3" ht="15" customHeight="1" x14ac:dyDescent="0.25">
      <c r="A561" s="1"/>
      <c r="B561" s="1"/>
      <c r="C561" s="1"/>
    </row>
    <row r="562" spans="1:3" ht="15" customHeight="1" x14ac:dyDescent="0.25">
      <c r="A562" s="1"/>
      <c r="B562" s="1"/>
      <c r="C562" s="1"/>
    </row>
    <row r="563" spans="1:3" ht="15" customHeight="1" x14ac:dyDescent="0.25">
      <c r="A563" s="1"/>
      <c r="B563" s="1"/>
      <c r="C563" s="1"/>
    </row>
    <row r="564" spans="1:3" ht="15" customHeight="1" x14ac:dyDescent="0.25">
      <c r="A564" s="1"/>
      <c r="B564" s="1"/>
      <c r="C564" s="1"/>
    </row>
    <row r="565" spans="1:3" ht="15" customHeight="1" x14ac:dyDescent="0.25">
      <c r="A565" s="1"/>
      <c r="B565" s="1"/>
      <c r="C565" s="1"/>
    </row>
    <row r="566" spans="1:3" ht="15" customHeight="1" x14ac:dyDescent="0.25">
      <c r="A566" s="1"/>
      <c r="B566" s="1"/>
      <c r="C566" s="1"/>
    </row>
    <row r="567" spans="1:3" ht="15" customHeight="1" x14ac:dyDescent="0.25">
      <c r="A567" s="1"/>
      <c r="B567" s="1"/>
      <c r="C567" s="1"/>
    </row>
    <row r="568" spans="1:3" ht="15" customHeight="1" x14ac:dyDescent="0.25">
      <c r="A568" s="1"/>
      <c r="B568" s="1"/>
      <c r="C568" s="1"/>
    </row>
    <row r="569" spans="1:3" ht="15" customHeight="1" x14ac:dyDescent="0.25">
      <c r="A569" s="1"/>
      <c r="B569" s="1"/>
      <c r="C569" s="1"/>
    </row>
    <row r="570" spans="1:3" ht="15" customHeight="1" x14ac:dyDescent="0.25">
      <c r="A570" s="1"/>
      <c r="B570" s="1"/>
      <c r="C570" s="1"/>
    </row>
    <row r="571" spans="1:3" ht="15" customHeight="1" x14ac:dyDescent="0.25">
      <c r="A571" s="1"/>
      <c r="B571" s="1"/>
      <c r="C571" s="1"/>
    </row>
    <row r="572" spans="1:3" ht="15" customHeight="1" x14ac:dyDescent="0.25">
      <c r="A572" s="1"/>
      <c r="B572" s="1"/>
      <c r="C572" s="1"/>
    </row>
    <row r="573" spans="1:3" ht="15" customHeight="1" x14ac:dyDescent="0.25">
      <c r="A573" s="1"/>
      <c r="B573" s="1"/>
      <c r="C573" s="1"/>
    </row>
    <row r="574" spans="1:3" ht="15" customHeight="1" x14ac:dyDescent="0.25">
      <c r="A574" s="1"/>
      <c r="B574" s="1"/>
      <c r="C574" s="1"/>
    </row>
    <row r="575" spans="1:3" ht="15" customHeight="1" x14ac:dyDescent="0.25">
      <c r="A575" s="1"/>
      <c r="B575" s="1"/>
      <c r="C575" s="1"/>
    </row>
    <row r="576" spans="1:3" ht="15" customHeight="1" x14ac:dyDescent="0.25">
      <c r="A576" s="1"/>
      <c r="B576" s="1"/>
      <c r="C576" s="1"/>
    </row>
    <row r="577" spans="1:3" ht="15" customHeight="1" x14ac:dyDescent="0.25">
      <c r="A577" s="1"/>
      <c r="B577" s="1"/>
      <c r="C577" s="1"/>
    </row>
    <row r="578" spans="1:3" ht="15" customHeight="1" x14ac:dyDescent="0.25">
      <c r="A578" s="1"/>
      <c r="B578" s="1"/>
      <c r="C578" s="1"/>
    </row>
    <row r="579" spans="1:3" ht="15" customHeight="1" x14ac:dyDescent="0.25">
      <c r="A579" s="1"/>
      <c r="B579" s="1"/>
      <c r="C579" s="1"/>
    </row>
    <row r="580" spans="1:3" ht="15" customHeight="1" x14ac:dyDescent="0.25">
      <c r="A580" s="1"/>
      <c r="B580" s="1"/>
      <c r="C580" s="1"/>
    </row>
    <row r="581" spans="1:3" ht="15" customHeight="1" x14ac:dyDescent="0.25">
      <c r="A581" s="1"/>
      <c r="B581" s="1"/>
      <c r="C581" s="1"/>
    </row>
    <row r="582" spans="1:3" ht="15" customHeight="1" x14ac:dyDescent="0.25">
      <c r="A582" s="1"/>
      <c r="B582" s="1"/>
      <c r="C582" s="1"/>
    </row>
    <row r="583" spans="1:3" ht="15" customHeight="1" x14ac:dyDescent="0.25">
      <c r="A583" s="1"/>
      <c r="B583" s="1"/>
      <c r="C583" s="1"/>
    </row>
    <row r="584" spans="1:3" ht="15" customHeight="1" x14ac:dyDescent="0.25">
      <c r="A584" s="1"/>
      <c r="B584" s="1"/>
      <c r="C584" s="1"/>
    </row>
    <row r="585" spans="1:3" ht="15" customHeight="1" x14ac:dyDescent="0.25">
      <c r="A585" s="1"/>
      <c r="B585" s="1"/>
      <c r="C585" s="1"/>
    </row>
    <row r="586" spans="1:3" ht="15" customHeight="1" x14ac:dyDescent="0.25">
      <c r="A586" s="1"/>
      <c r="B586" s="1"/>
      <c r="C586" s="1"/>
    </row>
    <row r="587" spans="1:3" ht="15" customHeight="1" x14ac:dyDescent="0.25">
      <c r="A587" s="1"/>
      <c r="B587" s="1"/>
      <c r="C587" s="1"/>
    </row>
    <row r="588" spans="1:3" ht="15" customHeight="1" x14ac:dyDescent="0.25">
      <c r="A588" s="1"/>
      <c r="B588" s="1"/>
      <c r="C588" s="1"/>
    </row>
    <row r="589" spans="1:3" ht="15" customHeight="1" x14ac:dyDescent="0.25">
      <c r="A589" s="1"/>
      <c r="B589" s="1"/>
      <c r="C589" s="1"/>
    </row>
    <row r="590" spans="1:3" ht="15" customHeight="1" x14ac:dyDescent="0.25">
      <c r="A590" s="1"/>
      <c r="B590" s="1"/>
      <c r="C590" s="1"/>
    </row>
    <row r="591" spans="1:3" ht="15" customHeight="1" x14ac:dyDescent="0.25">
      <c r="A591" s="1"/>
      <c r="B591" s="1"/>
      <c r="C591" s="1"/>
    </row>
    <row r="592" spans="1:3" ht="15" customHeight="1" x14ac:dyDescent="0.25">
      <c r="A592" s="1"/>
      <c r="B592" s="1"/>
      <c r="C592" s="1"/>
    </row>
    <row r="593" spans="1:3" ht="15" customHeight="1" x14ac:dyDescent="0.25">
      <c r="A593" s="1"/>
      <c r="B593" s="1"/>
      <c r="C593" s="1"/>
    </row>
    <row r="594" spans="1:3" ht="15" customHeight="1" x14ac:dyDescent="0.25">
      <c r="A594" s="1"/>
      <c r="B594" s="1"/>
      <c r="C594" s="1"/>
    </row>
    <row r="595" spans="1:3" ht="15" customHeight="1" x14ac:dyDescent="0.25">
      <c r="A595" s="1"/>
      <c r="B595" s="1"/>
      <c r="C595" s="1"/>
    </row>
    <row r="596" spans="1:3" ht="15" customHeight="1" x14ac:dyDescent="0.25">
      <c r="A596" s="1"/>
      <c r="B596" s="1"/>
      <c r="C596" s="1"/>
    </row>
    <row r="597" spans="1:3" ht="15" customHeight="1" x14ac:dyDescent="0.25">
      <c r="A597" s="1"/>
      <c r="B597" s="1"/>
      <c r="C597" s="1"/>
    </row>
    <row r="598" spans="1:3" ht="15" customHeight="1" x14ac:dyDescent="0.25">
      <c r="A598" s="1"/>
      <c r="B598" s="1"/>
      <c r="C598" s="1"/>
    </row>
    <row r="599" spans="1:3" ht="15" customHeight="1" x14ac:dyDescent="0.25">
      <c r="A599" s="1"/>
      <c r="B599" s="1"/>
      <c r="C599" s="1"/>
    </row>
    <row r="600" spans="1:3" ht="15" customHeight="1" x14ac:dyDescent="0.25">
      <c r="A600" s="1"/>
      <c r="B600" s="1"/>
      <c r="C600" s="1"/>
    </row>
    <row r="601" spans="1:3" ht="15" customHeight="1" x14ac:dyDescent="0.25">
      <c r="A601" s="1"/>
      <c r="B601" s="1"/>
      <c r="C601" s="1"/>
    </row>
    <row r="602" spans="1:3" ht="15" customHeight="1" x14ac:dyDescent="0.25">
      <c r="A602" s="1"/>
      <c r="B602" s="1"/>
      <c r="C602" s="1"/>
    </row>
    <row r="603" spans="1:3" ht="15" customHeight="1" x14ac:dyDescent="0.25">
      <c r="A603" s="1"/>
      <c r="B603" s="1"/>
      <c r="C603" s="1"/>
    </row>
    <row r="604" spans="1:3" ht="15" customHeight="1" x14ac:dyDescent="0.25">
      <c r="A604" s="1"/>
      <c r="B604" s="1"/>
      <c r="C604" s="1"/>
    </row>
    <row r="605" spans="1:3" ht="15" customHeight="1" x14ac:dyDescent="0.25">
      <c r="A605" s="1"/>
      <c r="B605" s="1"/>
      <c r="C605" s="1"/>
    </row>
    <row r="606" spans="1:3" ht="15" customHeight="1" x14ac:dyDescent="0.25">
      <c r="A606" s="1"/>
      <c r="B606" s="1"/>
      <c r="C606" s="1"/>
    </row>
    <row r="607" spans="1:3" ht="15" customHeight="1" x14ac:dyDescent="0.25">
      <c r="A607" s="1"/>
      <c r="B607" s="1"/>
      <c r="C607" s="1"/>
    </row>
    <row r="608" spans="1:3" ht="15" customHeight="1" x14ac:dyDescent="0.25">
      <c r="A608" s="1"/>
      <c r="B608" s="1"/>
      <c r="C608" s="1"/>
    </row>
    <row r="609" spans="1:3" ht="15" customHeight="1" x14ac:dyDescent="0.25">
      <c r="A609" s="1"/>
      <c r="B609" s="1"/>
      <c r="C609" s="1"/>
    </row>
    <row r="610" spans="1:3" ht="15" customHeight="1" x14ac:dyDescent="0.25">
      <c r="A610" s="1"/>
      <c r="B610" s="1"/>
      <c r="C610" s="1"/>
    </row>
    <row r="611" spans="1:3" ht="15" customHeight="1" x14ac:dyDescent="0.25">
      <c r="A611" s="1"/>
      <c r="B611" s="1"/>
      <c r="C611" s="1"/>
    </row>
    <row r="612" spans="1:3" ht="15" customHeight="1" x14ac:dyDescent="0.25">
      <c r="A612" s="1"/>
      <c r="B612" s="1"/>
      <c r="C612" s="1"/>
    </row>
    <row r="613" spans="1:3" ht="15" customHeight="1" x14ac:dyDescent="0.25">
      <c r="A613" s="1"/>
      <c r="B613" s="1"/>
      <c r="C613" s="1"/>
    </row>
    <row r="614" spans="1:3" ht="15" customHeight="1" x14ac:dyDescent="0.25">
      <c r="A614" s="1"/>
      <c r="B614" s="1"/>
      <c r="C614" s="1"/>
    </row>
    <row r="615" spans="1:3" ht="15" customHeight="1" x14ac:dyDescent="0.25">
      <c r="A615" s="1"/>
      <c r="B615" s="1"/>
      <c r="C615" s="1"/>
    </row>
    <row r="616" spans="1:3" ht="15" customHeight="1" x14ac:dyDescent="0.25">
      <c r="A616" s="1"/>
      <c r="B616" s="1"/>
      <c r="C616" s="1"/>
    </row>
    <row r="617" spans="1:3" ht="15" customHeight="1" x14ac:dyDescent="0.25">
      <c r="A617" s="1"/>
      <c r="B617" s="1"/>
      <c r="C617" s="1"/>
    </row>
    <row r="618" spans="1:3" ht="15" customHeight="1" x14ac:dyDescent="0.25">
      <c r="A618" s="1"/>
      <c r="B618" s="1"/>
      <c r="C618" s="1"/>
    </row>
    <row r="619" spans="1:3" ht="15" customHeight="1" x14ac:dyDescent="0.25">
      <c r="A619" s="1"/>
      <c r="B619" s="1"/>
      <c r="C619" s="1"/>
    </row>
    <row r="620" spans="1:3" ht="15" customHeight="1" x14ac:dyDescent="0.25">
      <c r="A620" s="1"/>
      <c r="B620" s="1"/>
      <c r="C620" s="1"/>
    </row>
    <row r="621" spans="1:3" ht="15" customHeight="1" x14ac:dyDescent="0.25">
      <c r="A621" s="1"/>
      <c r="B621" s="1"/>
      <c r="C621" s="1"/>
    </row>
    <row r="622" spans="1:3" ht="15" customHeight="1" x14ac:dyDescent="0.25">
      <c r="A622" s="1"/>
      <c r="B622" s="1"/>
      <c r="C622" s="1"/>
    </row>
    <row r="623" spans="1:3" ht="15" customHeight="1" x14ac:dyDescent="0.25">
      <c r="A623" s="1"/>
      <c r="B623" s="1"/>
      <c r="C623" s="1"/>
    </row>
    <row r="624" spans="1:3" ht="15" customHeight="1" x14ac:dyDescent="0.25">
      <c r="A624" s="1"/>
      <c r="B624" s="1"/>
      <c r="C624" s="1"/>
    </row>
    <row r="625" spans="1:3" ht="15" customHeight="1" x14ac:dyDescent="0.25">
      <c r="A625" s="1"/>
      <c r="B625" s="1"/>
      <c r="C625" s="1"/>
    </row>
    <row r="626" spans="1:3" ht="15" customHeight="1" x14ac:dyDescent="0.25">
      <c r="A626" s="1"/>
      <c r="B626" s="1"/>
      <c r="C626" s="1"/>
    </row>
    <row r="627" spans="1:3" ht="15" customHeight="1" x14ac:dyDescent="0.25">
      <c r="A627" s="1"/>
      <c r="B627" s="1"/>
      <c r="C627" s="1"/>
    </row>
    <row r="628" spans="1:3" ht="15" customHeight="1" x14ac:dyDescent="0.25">
      <c r="A628" s="1"/>
      <c r="B628" s="1"/>
      <c r="C628" s="1"/>
    </row>
    <row r="629" spans="1:3" ht="15" customHeight="1" x14ac:dyDescent="0.25">
      <c r="A629" s="1"/>
      <c r="B629" s="1"/>
      <c r="C629" s="1"/>
    </row>
    <row r="630" spans="1:3" ht="15" customHeight="1" x14ac:dyDescent="0.25">
      <c r="A630" s="1"/>
      <c r="B630" s="1"/>
      <c r="C630" s="1"/>
    </row>
    <row r="631" spans="1:3" ht="15" customHeight="1" x14ac:dyDescent="0.25">
      <c r="A631" s="1"/>
      <c r="B631" s="1"/>
      <c r="C631" s="1"/>
    </row>
    <row r="632" spans="1:3" ht="15" customHeight="1" x14ac:dyDescent="0.25">
      <c r="A632" s="1"/>
      <c r="B632" s="1"/>
      <c r="C632" s="1"/>
    </row>
    <row r="633" spans="1:3" ht="15" customHeight="1" x14ac:dyDescent="0.25">
      <c r="A633" s="1"/>
      <c r="B633" s="1"/>
      <c r="C633" s="1"/>
    </row>
    <row r="634" spans="1:3" ht="15" customHeight="1" x14ac:dyDescent="0.25">
      <c r="A634" s="1"/>
      <c r="B634" s="1"/>
      <c r="C634" s="1"/>
    </row>
    <row r="635" spans="1:3" ht="15" customHeight="1" x14ac:dyDescent="0.25">
      <c r="A635" s="1"/>
      <c r="B635" s="1"/>
      <c r="C635" s="1"/>
    </row>
    <row r="636" spans="1:3" ht="15" customHeight="1" x14ac:dyDescent="0.25">
      <c r="A636" s="1"/>
      <c r="B636" s="1"/>
      <c r="C636" s="1"/>
    </row>
    <row r="637" spans="1:3" ht="15" customHeight="1" x14ac:dyDescent="0.25">
      <c r="A637" s="1"/>
      <c r="B637" s="1"/>
      <c r="C637" s="1"/>
    </row>
    <row r="638" spans="1:3" ht="15" customHeight="1" x14ac:dyDescent="0.25">
      <c r="A638" s="1"/>
      <c r="B638" s="1"/>
      <c r="C638" s="1"/>
    </row>
    <row r="639" spans="1:3" ht="15" customHeight="1" x14ac:dyDescent="0.25">
      <c r="A639" s="1"/>
      <c r="B639" s="1"/>
      <c r="C639" s="1"/>
    </row>
    <row r="640" spans="1:3" ht="15" customHeight="1" x14ac:dyDescent="0.25">
      <c r="A640" s="1"/>
      <c r="B640" s="1"/>
      <c r="C640" s="1"/>
    </row>
    <row r="641" spans="1:3" ht="15" customHeight="1" x14ac:dyDescent="0.25">
      <c r="A641" s="1"/>
      <c r="B641" s="1"/>
      <c r="C641" s="1"/>
    </row>
    <row r="642" spans="1:3" ht="15" customHeight="1" x14ac:dyDescent="0.25">
      <c r="A642" s="1"/>
      <c r="B642" s="1"/>
      <c r="C642" s="1"/>
    </row>
    <row r="643" spans="1:3" ht="15" customHeight="1" x14ac:dyDescent="0.25">
      <c r="A643" s="1"/>
      <c r="B643" s="1"/>
      <c r="C643" s="1"/>
    </row>
    <row r="644" spans="1:3" ht="15" customHeight="1" x14ac:dyDescent="0.25">
      <c r="A644" s="1"/>
      <c r="B644" s="1"/>
      <c r="C644" s="1"/>
    </row>
    <row r="645" spans="1:3" ht="15" customHeight="1" x14ac:dyDescent="0.25">
      <c r="A645" s="1"/>
      <c r="B645" s="1"/>
      <c r="C645" s="1"/>
    </row>
    <row r="646" spans="1:3" ht="15" customHeight="1" x14ac:dyDescent="0.25">
      <c r="A646" s="1"/>
      <c r="B646" s="1"/>
      <c r="C646" s="1"/>
    </row>
    <row r="647" spans="1:3" ht="15" customHeight="1" x14ac:dyDescent="0.25">
      <c r="A647" s="1"/>
      <c r="B647" s="1"/>
      <c r="C647" s="1"/>
    </row>
    <row r="648" spans="1:3" ht="15" customHeight="1" x14ac:dyDescent="0.25">
      <c r="A648" s="1"/>
      <c r="B648" s="1"/>
      <c r="C648" s="1"/>
    </row>
    <row r="649" spans="1:3" ht="15" customHeight="1" x14ac:dyDescent="0.25">
      <c r="A649" s="1"/>
      <c r="B649" s="1"/>
      <c r="C649" s="1"/>
    </row>
    <row r="650" spans="1:3" ht="15" customHeight="1" x14ac:dyDescent="0.25">
      <c r="A650" s="1"/>
      <c r="B650" s="1"/>
      <c r="C650" s="1"/>
    </row>
    <row r="651" spans="1:3" ht="15" customHeight="1" x14ac:dyDescent="0.25">
      <c r="A651" s="1"/>
      <c r="B651" s="1"/>
      <c r="C651" s="1"/>
    </row>
    <row r="652" spans="1:3" ht="15" customHeight="1" x14ac:dyDescent="0.25">
      <c r="A652" s="1"/>
      <c r="B652" s="1"/>
      <c r="C652" s="1"/>
    </row>
    <row r="653" spans="1:3" ht="15" customHeight="1" x14ac:dyDescent="0.25">
      <c r="A653" s="1"/>
      <c r="B653" s="1"/>
      <c r="C653" s="1"/>
    </row>
    <row r="654" spans="1:3" ht="15" customHeight="1" x14ac:dyDescent="0.25">
      <c r="A654" s="1"/>
      <c r="B654" s="1"/>
      <c r="C654" s="1"/>
    </row>
    <row r="655" spans="1:3" ht="15" customHeight="1" x14ac:dyDescent="0.25">
      <c r="A655" s="1"/>
      <c r="B655" s="1"/>
      <c r="C655" s="1"/>
    </row>
    <row r="656" spans="1:3" ht="15" customHeight="1" x14ac:dyDescent="0.25">
      <c r="A656" s="1"/>
      <c r="B656" s="1"/>
      <c r="C656" s="1"/>
    </row>
    <row r="657" spans="1:3" ht="15" customHeight="1" x14ac:dyDescent="0.25">
      <c r="A657" s="1"/>
      <c r="B657" s="1"/>
      <c r="C657" s="1"/>
    </row>
    <row r="658" spans="1:3" ht="15" customHeight="1" x14ac:dyDescent="0.25">
      <c r="A658" s="1"/>
      <c r="B658" s="1"/>
      <c r="C658" s="1"/>
    </row>
    <row r="659" spans="1:3" ht="15" customHeight="1" x14ac:dyDescent="0.25">
      <c r="A659" s="1"/>
      <c r="B659" s="1"/>
      <c r="C659" s="1"/>
    </row>
    <row r="660" spans="1:3" ht="15" customHeight="1" x14ac:dyDescent="0.25">
      <c r="A660" s="1"/>
      <c r="B660" s="1"/>
      <c r="C660" s="1"/>
    </row>
    <row r="661" spans="1:3" ht="15" customHeight="1" x14ac:dyDescent="0.25">
      <c r="A661" s="1"/>
      <c r="B661" s="1"/>
      <c r="C661" s="1"/>
    </row>
    <row r="662" spans="1:3" ht="15" customHeight="1" x14ac:dyDescent="0.25">
      <c r="A662" s="1"/>
      <c r="B662" s="1"/>
      <c r="C662" s="1"/>
    </row>
    <row r="663" spans="1:3" ht="15" customHeight="1" x14ac:dyDescent="0.25">
      <c r="A663" s="1"/>
      <c r="B663" s="1"/>
      <c r="C663" s="1"/>
    </row>
    <row r="664" spans="1:3" ht="15" customHeight="1" x14ac:dyDescent="0.25">
      <c r="A664" s="1"/>
      <c r="B664" s="1"/>
      <c r="C664" s="1"/>
    </row>
    <row r="665" spans="1:3" ht="15" customHeight="1" x14ac:dyDescent="0.25">
      <c r="A665" s="1"/>
      <c r="B665" s="1"/>
      <c r="C665" s="1"/>
    </row>
    <row r="666" spans="1:3" ht="15" customHeight="1" x14ac:dyDescent="0.25">
      <c r="A666" s="1"/>
      <c r="B666" s="1"/>
      <c r="C666" s="1"/>
    </row>
    <row r="667" spans="1:3" ht="15" customHeight="1" x14ac:dyDescent="0.25">
      <c r="A667" s="1"/>
      <c r="B667" s="1"/>
      <c r="C667" s="1"/>
    </row>
    <row r="668" spans="1:3" ht="15" customHeight="1" x14ac:dyDescent="0.25">
      <c r="A668" s="1"/>
      <c r="B668" s="1"/>
      <c r="C668" s="1"/>
    </row>
    <row r="669" spans="1:3" ht="15" customHeight="1" x14ac:dyDescent="0.25">
      <c r="A669" s="1"/>
      <c r="B669" s="1"/>
      <c r="C669" s="1"/>
    </row>
    <row r="670" spans="1:3" ht="15" customHeight="1" x14ac:dyDescent="0.25">
      <c r="A670" s="1"/>
      <c r="B670" s="1"/>
      <c r="C670" s="1"/>
    </row>
    <row r="671" spans="1:3" ht="15" customHeight="1" x14ac:dyDescent="0.25">
      <c r="A671" s="1"/>
      <c r="B671" s="1"/>
      <c r="C671" s="1"/>
    </row>
    <row r="672" spans="1:3" ht="15" customHeight="1" x14ac:dyDescent="0.25">
      <c r="A672" s="1"/>
      <c r="B672" s="1"/>
      <c r="C672" s="1"/>
    </row>
    <row r="673" spans="1:3" ht="15" customHeight="1" x14ac:dyDescent="0.25">
      <c r="A673" s="1"/>
      <c r="B673" s="1"/>
      <c r="C673" s="1"/>
    </row>
    <row r="674" spans="1:3" ht="15" customHeight="1" x14ac:dyDescent="0.25">
      <c r="A674" s="1"/>
      <c r="B674" s="1"/>
      <c r="C674" s="1"/>
    </row>
    <row r="675" spans="1:3" ht="15" customHeight="1" x14ac:dyDescent="0.25">
      <c r="A675" s="1"/>
      <c r="B675" s="1"/>
      <c r="C675" s="1"/>
    </row>
    <row r="676" spans="1:3" ht="15" customHeight="1" x14ac:dyDescent="0.25">
      <c r="A676" s="1"/>
      <c r="B676" s="1"/>
      <c r="C676" s="1"/>
    </row>
    <row r="677" spans="1:3" ht="15" customHeight="1" x14ac:dyDescent="0.25">
      <c r="A677" s="1"/>
      <c r="B677" s="1"/>
      <c r="C677" s="1"/>
    </row>
    <row r="678" spans="1:3" ht="15" customHeight="1" x14ac:dyDescent="0.25">
      <c r="A678" s="1"/>
      <c r="B678" s="1"/>
      <c r="C678" s="1"/>
    </row>
    <row r="679" spans="1:3" ht="15" customHeight="1" x14ac:dyDescent="0.25">
      <c r="A679" s="1"/>
      <c r="B679" s="1"/>
      <c r="C679" s="1"/>
    </row>
    <row r="680" spans="1:3" ht="15" customHeight="1" x14ac:dyDescent="0.25">
      <c r="A680" s="1"/>
      <c r="B680" s="1"/>
      <c r="C680" s="1"/>
    </row>
    <row r="681" spans="1:3" ht="15" customHeight="1" x14ac:dyDescent="0.25">
      <c r="A681" s="1"/>
      <c r="B681" s="1"/>
      <c r="C681" s="1"/>
    </row>
    <row r="682" spans="1:3" ht="15" customHeight="1" x14ac:dyDescent="0.25">
      <c r="A682" s="1"/>
      <c r="B682" s="1"/>
      <c r="C682" s="1"/>
    </row>
    <row r="683" spans="1:3" ht="15" customHeight="1" x14ac:dyDescent="0.25">
      <c r="A683" s="1"/>
      <c r="B683" s="1"/>
      <c r="C683" s="1"/>
    </row>
    <row r="684" spans="1:3" ht="15" customHeight="1" x14ac:dyDescent="0.25">
      <c r="A684" s="1"/>
      <c r="B684" s="1"/>
      <c r="C684" s="1"/>
    </row>
    <row r="685" spans="1:3" ht="15" customHeight="1" x14ac:dyDescent="0.25">
      <c r="A685" s="1"/>
      <c r="B685" s="1"/>
      <c r="C685" s="1"/>
    </row>
    <row r="686" spans="1:3" ht="15" customHeight="1" x14ac:dyDescent="0.25">
      <c r="A686" s="1"/>
      <c r="B686" s="1"/>
      <c r="C686" s="1"/>
    </row>
    <row r="687" spans="1:3" ht="15" customHeight="1" x14ac:dyDescent="0.25">
      <c r="A687" s="1"/>
      <c r="B687" s="1"/>
      <c r="C687" s="1"/>
    </row>
    <row r="688" spans="1:3" ht="15" customHeight="1" x14ac:dyDescent="0.25">
      <c r="A688" s="1"/>
      <c r="B688" s="1"/>
      <c r="C688" s="1"/>
    </row>
    <row r="689" spans="1:3" ht="15" customHeight="1" x14ac:dyDescent="0.25">
      <c r="A689" s="1"/>
      <c r="B689" s="1"/>
      <c r="C689" s="1"/>
    </row>
    <row r="690" spans="1:3" ht="15" customHeight="1" x14ac:dyDescent="0.25">
      <c r="A690" s="1"/>
      <c r="B690" s="1"/>
      <c r="C690" s="1"/>
    </row>
    <row r="691" spans="1:3" ht="15" customHeight="1" x14ac:dyDescent="0.25">
      <c r="A691" s="1"/>
      <c r="B691" s="1"/>
      <c r="C691" s="1"/>
    </row>
    <row r="692" spans="1:3" ht="15" customHeight="1" x14ac:dyDescent="0.25">
      <c r="A692" s="1"/>
      <c r="B692" s="1"/>
      <c r="C692" s="1"/>
    </row>
    <row r="693" spans="1:3" ht="15" customHeight="1" x14ac:dyDescent="0.25">
      <c r="A693" s="1"/>
      <c r="B693" s="1"/>
      <c r="C693" s="1"/>
    </row>
    <row r="694" spans="1:3" ht="15" customHeight="1" x14ac:dyDescent="0.25">
      <c r="A694" s="1"/>
      <c r="B694" s="1"/>
      <c r="C694" s="1"/>
    </row>
    <row r="695" spans="1:3" ht="15" customHeight="1" x14ac:dyDescent="0.25">
      <c r="A695" s="1"/>
      <c r="B695" s="1"/>
      <c r="C695" s="1"/>
    </row>
    <row r="696" spans="1:3" ht="15" customHeight="1" x14ac:dyDescent="0.25">
      <c r="A696" s="1"/>
      <c r="B696" s="1"/>
      <c r="C696" s="1"/>
    </row>
    <row r="697" spans="1:3" ht="15" customHeight="1" x14ac:dyDescent="0.25">
      <c r="A697" s="1"/>
      <c r="B697" s="1"/>
      <c r="C697" s="1"/>
    </row>
    <row r="698" spans="1:3" ht="15" customHeight="1" x14ac:dyDescent="0.25">
      <c r="A698" s="1"/>
      <c r="B698" s="1"/>
      <c r="C698" s="1"/>
    </row>
    <row r="699" spans="1:3" ht="15" customHeight="1" x14ac:dyDescent="0.25">
      <c r="A699" s="1"/>
      <c r="B699" s="1"/>
      <c r="C699" s="1"/>
    </row>
    <row r="700" spans="1:3" ht="15" customHeight="1" x14ac:dyDescent="0.25">
      <c r="A700" s="1"/>
      <c r="B700" s="1"/>
      <c r="C700" s="1"/>
    </row>
    <row r="701" spans="1:3" ht="15" customHeight="1" x14ac:dyDescent="0.25">
      <c r="A701" s="1"/>
      <c r="B701" s="1"/>
      <c r="C701" s="1"/>
    </row>
    <row r="702" spans="1:3" ht="15" customHeight="1" x14ac:dyDescent="0.25">
      <c r="A702" s="1"/>
      <c r="B702" s="1"/>
      <c r="C702" s="1"/>
    </row>
    <row r="703" spans="1:3" ht="15" customHeight="1" x14ac:dyDescent="0.25">
      <c r="A703" s="1"/>
      <c r="B703" s="1"/>
      <c r="C703" s="1"/>
    </row>
    <row r="704" spans="1:3" ht="15" customHeight="1" x14ac:dyDescent="0.25">
      <c r="A704" s="1"/>
      <c r="B704" s="1"/>
      <c r="C704" s="1"/>
    </row>
    <row r="705" spans="1:3" ht="15" customHeight="1" x14ac:dyDescent="0.25">
      <c r="A705" s="1"/>
      <c r="B705" s="1"/>
      <c r="C705" s="1"/>
    </row>
    <row r="706" spans="1:3" ht="15" customHeight="1" x14ac:dyDescent="0.25">
      <c r="A706" s="1"/>
      <c r="B706" s="1"/>
      <c r="C706" s="1"/>
    </row>
    <row r="707" spans="1:3" ht="15" customHeight="1" x14ac:dyDescent="0.25">
      <c r="A707" s="1"/>
      <c r="B707" s="1"/>
      <c r="C707" s="1"/>
    </row>
    <row r="708" spans="1:3" ht="15" customHeight="1" x14ac:dyDescent="0.25">
      <c r="A708" s="1"/>
      <c r="B708" s="1"/>
      <c r="C708" s="1"/>
    </row>
    <row r="709" spans="1:3" ht="15" customHeight="1" x14ac:dyDescent="0.25">
      <c r="A709" s="1"/>
      <c r="B709" s="1"/>
      <c r="C709" s="1"/>
    </row>
    <row r="710" spans="1:3" ht="15" customHeight="1" x14ac:dyDescent="0.25">
      <c r="A710" s="1"/>
      <c r="B710" s="1"/>
      <c r="C710" s="1"/>
    </row>
    <row r="711" spans="1:3" ht="15" customHeight="1" x14ac:dyDescent="0.25">
      <c r="A711" s="1"/>
      <c r="B711" s="1"/>
      <c r="C711" s="1"/>
    </row>
    <row r="712" spans="1:3" ht="15" customHeight="1" x14ac:dyDescent="0.25">
      <c r="A712" s="1"/>
      <c r="B712" s="1"/>
      <c r="C712" s="1"/>
    </row>
    <row r="713" spans="1:3" ht="15" customHeight="1" x14ac:dyDescent="0.25">
      <c r="A713" s="1"/>
      <c r="B713" s="1"/>
      <c r="C713" s="1"/>
    </row>
    <row r="714" spans="1:3" ht="15" customHeight="1" x14ac:dyDescent="0.25">
      <c r="A714" s="1"/>
      <c r="B714" s="1"/>
      <c r="C714" s="1"/>
    </row>
    <row r="715" spans="1:3" ht="15" customHeight="1" x14ac:dyDescent="0.25">
      <c r="A715" s="1"/>
      <c r="B715" s="1"/>
      <c r="C715" s="1"/>
    </row>
    <row r="716" spans="1:3" ht="15" customHeight="1" x14ac:dyDescent="0.25">
      <c r="A716" s="1"/>
      <c r="B716" s="1"/>
      <c r="C716" s="1"/>
    </row>
    <row r="717" spans="1:3" ht="15" customHeight="1" x14ac:dyDescent="0.25">
      <c r="A717" s="1"/>
      <c r="B717" s="1"/>
      <c r="C717" s="1"/>
    </row>
    <row r="718" spans="1:3" ht="15" customHeight="1" x14ac:dyDescent="0.25">
      <c r="A718" s="1"/>
      <c r="B718" s="1"/>
      <c r="C718" s="1"/>
    </row>
    <row r="719" spans="1:3" ht="15" customHeight="1" x14ac:dyDescent="0.25">
      <c r="A719" s="1"/>
      <c r="B719" s="1"/>
      <c r="C719" s="1"/>
    </row>
    <row r="720" spans="1:3" ht="15" customHeight="1" x14ac:dyDescent="0.25">
      <c r="A720" s="1"/>
      <c r="B720" s="1"/>
      <c r="C720" s="1"/>
    </row>
    <row r="721" spans="1:3" ht="15" customHeight="1" x14ac:dyDescent="0.25">
      <c r="A721" s="1"/>
      <c r="B721" s="1"/>
      <c r="C721" s="1"/>
    </row>
    <row r="722" spans="1:3" ht="15" customHeight="1" x14ac:dyDescent="0.25">
      <c r="A722" s="1"/>
      <c r="B722" s="1"/>
      <c r="C722" s="1"/>
    </row>
    <row r="723" spans="1:3" ht="15" customHeight="1" x14ac:dyDescent="0.25">
      <c r="A723" s="1"/>
      <c r="B723" s="1"/>
      <c r="C723" s="1"/>
    </row>
    <row r="724" spans="1:3" ht="15" customHeight="1" x14ac:dyDescent="0.25">
      <c r="A724" s="1"/>
      <c r="B724" s="1"/>
      <c r="C724" s="1"/>
    </row>
    <row r="725" spans="1:3" ht="15" customHeight="1" x14ac:dyDescent="0.25">
      <c r="A725" s="1"/>
      <c r="B725" s="1"/>
      <c r="C725" s="1"/>
    </row>
    <row r="726" spans="1:3" ht="15" customHeight="1" x14ac:dyDescent="0.25">
      <c r="A726" s="1"/>
      <c r="B726" s="1"/>
      <c r="C726" s="1"/>
    </row>
    <row r="727" spans="1:3" ht="15" customHeight="1" x14ac:dyDescent="0.25">
      <c r="A727" s="1"/>
      <c r="B727" s="1"/>
      <c r="C727" s="1"/>
    </row>
    <row r="728" spans="1:3" ht="15" customHeight="1" x14ac:dyDescent="0.25">
      <c r="A728" s="1"/>
      <c r="B728" s="1"/>
      <c r="C728" s="1"/>
    </row>
    <row r="729" spans="1:3" ht="15" customHeight="1" x14ac:dyDescent="0.25">
      <c r="A729" s="1"/>
      <c r="B729" s="1"/>
      <c r="C729" s="1"/>
    </row>
    <row r="730" spans="1:3" ht="15" customHeight="1" x14ac:dyDescent="0.25">
      <c r="A730" s="1"/>
      <c r="B730" s="1"/>
      <c r="C730" s="1"/>
    </row>
    <row r="731" spans="1:3" ht="15" customHeight="1" x14ac:dyDescent="0.25">
      <c r="A731" s="1"/>
      <c r="B731" s="1"/>
      <c r="C731" s="1"/>
    </row>
    <row r="732" spans="1:3" ht="15" customHeight="1" x14ac:dyDescent="0.25">
      <c r="A732" s="1"/>
      <c r="B732" s="1"/>
      <c r="C732" s="1"/>
    </row>
    <row r="733" spans="1:3" ht="15" customHeight="1" x14ac:dyDescent="0.25">
      <c r="A733" s="1"/>
      <c r="B733" s="1"/>
      <c r="C733" s="1"/>
    </row>
    <row r="734" spans="1:3" ht="15" customHeight="1" x14ac:dyDescent="0.25">
      <c r="A734" s="1"/>
      <c r="B734" s="1"/>
      <c r="C734" s="1"/>
    </row>
    <row r="735" spans="1:3" ht="15" customHeight="1" x14ac:dyDescent="0.25">
      <c r="A735" s="1"/>
      <c r="B735" s="1"/>
      <c r="C735" s="1"/>
    </row>
    <row r="736" spans="1:3" ht="15" customHeight="1" x14ac:dyDescent="0.25">
      <c r="A736" s="1"/>
      <c r="B736" s="1"/>
      <c r="C736" s="1"/>
    </row>
    <row r="737" spans="1:3" ht="15" customHeight="1" x14ac:dyDescent="0.25">
      <c r="A737" s="1"/>
      <c r="B737" s="1"/>
      <c r="C737" s="1"/>
    </row>
    <row r="738" spans="1:3" ht="15" customHeight="1" x14ac:dyDescent="0.25">
      <c r="A738" s="1"/>
      <c r="B738" s="1"/>
      <c r="C738" s="1"/>
    </row>
    <row r="739" spans="1:3" ht="15" customHeight="1" x14ac:dyDescent="0.25">
      <c r="A739" s="1"/>
      <c r="B739" s="1"/>
      <c r="C739" s="1"/>
    </row>
    <row r="740" spans="1:3" ht="15" customHeight="1" x14ac:dyDescent="0.25">
      <c r="A740" s="1"/>
      <c r="B740" s="1"/>
      <c r="C740" s="1"/>
    </row>
    <row r="741" spans="1:3" ht="15" customHeight="1" x14ac:dyDescent="0.25">
      <c r="A741" s="1"/>
      <c r="B741" s="1"/>
      <c r="C741" s="1"/>
    </row>
    <row r="742" spans="1:3" ht="15" customHeight="1" x14ac:dyDescent="0.25">
      <c r="A742" s="1"/>
      <c r="B742" s="1"/>
      <c r="C742" s="1"/>
    </row>
    <row r="743" spans="1:3" ht="15" customHeight="1" x14ac:dyDescent="0.25">
      <c r="A743" s="1"/>
      <c r="B743" s="1"/>
      <c r="C743" s="1"/>
    </row>
    <row r="744" spans="1:3" ht="15" customHeight="1" x14ac:dyDescent="0.25">
      <c r="A744" s="1"/>
      <c r="B744" s="1"/>
      <c r="C744" s="1"/>
    </row>
    <row r="745" spans="1:3" ht="15" customHeight="1" x14ac:dyDescent="0.25">
      <c r="A745" s="1"/>
      <c r="B745" s="1"/>
      <c r="C745" s="1"/>
    </row>
    <row r="746" spans="1:3" ht="15" customHeight="1" x14ac:dyDescent="0.25">
      <c r="A746" s="1"/>
      <c r="B746" s="1"/>
      <c r="C746" s="1"/>
    </row>
    <row r="747" spans="1:3" ht="15" customHeight="1" x14ac:dyDescent="0.25">
      <c r="A747" s="1"/>
      <c r="B747" s="1"/>
      <c r="C747" s="1"/>
    </row>
    <row r="748" spans="1:3" ht="15" customHeight="1" x14ac:dyDescent="0.25">
      <c r="A748" s="1"/>
      <c r="B748" s="1"/>
      <c r="C748" s="1"/>
    </row>
    <row r="749" spans="1:3" ht="15" customHeight="1" x14ac:dyDescent="0.25">
      <c r="A749" s="1"/>
      <c r="B749" s="1"/>
      <c r="C749" s="1"/>
    </row>
    <row r="750" spans="1:3" ht="15" customHeight="1" x14ac:dyDescent="0.25">
      <c r="A750" s="1"/>
      <c r="B750" s="1"/>
      <c r="C750" s="1"/>
    </row>
    <row r="751" spans="1:3" ht="15" customHeight="1" x14ac:dyDescent="0.25">
      <c r="A751" s="1"/>
      <c r="B751" s="1"/>
      <c r="C751" s="1"/>
    </row>
    <row r="752" spans="1:3" ht="15" customHeight="1" x14ac:dyDescent="0.25">
      <c r="A752" s="1"/>
      <c r="B752" s="1"/>
      <c r="C752" s="1"/>
    </row>
    <row r="753" spans="1:3" ht="15" customHeight="1" x14ac:dyDescent="0.25">
      <c r="A753" s="1"/>
      <c r="B753" s="1"/>
      <c r="C753" s="1"/>
    </row>
    <row r="754" spans="1:3" ht="15" customHeight="1" x14ac:dyDescent="0.25">
      <c r="A754" s="1"/>
      <c r="B754" s="1"/>
      <c r="C754" s="1"/>
    </row>
    <row r="755" spans="1:3" ht="15" customHeight="1" x14ac:dyDescent="0.25">
      <c r="A755" s="1"/>
      <c r="B755" s="1"/>
      <c r="C755" s="1"/>
    </row>
    <row r="756" spans="1:3" ht="15" customHeight="1" x14ac:dyDescent="0.25">
      <c r="A756" s="1"/>
      <c r="B756" s="1"/>
      <c r="C756" s="1"/>
    </row>
    <row r="757" spans="1:3" ht="15" customHeight="1" x14ac:dyDescent="0.25">
      <c r="A757" s="1"/>
      <c r="B757" s="1"/>
      <c r="C757" s="1"/>
    </row>
    <row r="758" spans="1:3" ht="15" customHeight="1" x14ac:dyDescent="0.25">
      <c r="A758" s="1"/>
      <c r="B758" s="1"/>
      <c r="C758" s="1"/>
    </row>
    <row r="759" spans="1:3" ht="15" customHeight="1" x14ac:dyDescent="0.25">
      <c r="A759" s="1"/>
      <c r="B759" s="1"/>
      <c r="C759" s="1"/>
    </row>
    <row r="760" spans="1:3" ht="15" customHeight="1" x14ac:dyDescent="0.25">
      <c r="A760" s="1"/>
      <c r="B760" s="1"/>
      <c r="C760" s="1"/>
    </row>
    <row r="761" spans="1:3" ht="15" customHeight="1" x14ac:dyDescent="0.25">
      <c r="A761" s="1"/>
      <c r="B761" s="1"/>
      <c r="C761" s="1"/>
    </row>
    <row r="762" spans="1:3" ht="15" customHeight="1" x14ac:dyDescent="0.25">
      <c r="A762" s="1"/>
      <c r="B762" s="1"/>
      <c r="C762" s="1"/>
    </row>
    <row r="763" spans="1:3" ht="15" customHeight="1" x14ac:dyDescent="0.25">
      <c r="A763" s="1"/>
      <c r="B763" s="1"/>
      <c r="C763" s="1"/>
    </row>
    <row r="764" spans="1:3" ht="15" customHeight="1" x14ac:dyDescent="0.25">
      <c r="A764" s="1"/>
      <c r="B764" s="1"/>
      <c r="C764" s="1"/>
    </row>
    <row r="765" spans="1:3" ht="15" customHeight="1" x14ac:dyDescent="0.25">
      <c r="A765" s="1"/>
      <c r="B765" s="1"/>
      <c r="C765" s="1"/>
    </row>
    <row r="766" spans="1:3" ht="15" customHeight="1" x14ac:dyDescent="0.25">
      <c r="A766" s="1"/>
      <c r="B766" s="1"/>
      <c r="C766" s="1"/>
    </row>
    <row r="767" spans="1:3" ht="15" customHeight="1" x14ac:dyDescent="0.25">
      <c r="A767" s="1"/>
      <c r="B767" s="1"/>
      <c r="C767" s="1"/>
    </row>
    <row r="768" spans="1:3" ht="15" customHeight="1" x14ac:dyDescent="0.25">
      <c r="A768" s="1"/>
      <c r="B768" s="1"/>
      <c r="C768" s="1"/>
    </row>
    <row r="769" spans="1:3" ht="15" customHeight="1" x14ac:dyDescent="0.25">
      <c r="A769" s="1"/>
      <c r="B769" s="1"/>
      <c r="C769" s="1"/>
    </row>
    <row r="770" spans="1:3" ht="15" customHeight="1" x14ac:dyDescent="0.25">
      <c r="A770" s="1"/>
      <c r="B770" s="1"/>
      <c r="C770" s="1"/>
    </row>
    <row r="771" spans="1:3" ht="15" customHeight="1" x14ac:dyDescent="0.25">
      <c r="A771" s="1"/>
      <c r="B771" s="1"/>
      <c r="C771" s="1"/>
    </row>
    <row r="772" spans="1:3" ht="15" customHeight="1" x14ac:dyDescent="0.25">
      <c r="A772" s="1"/>
      <c r="B772" s="1"/>
      <c r="C772" s="1"/>
    </row>
    <row r="773" spans="1:3" ht="15" customHeight="1" x14ac:dyDescent="0.25">
      <c r="A773" s="1"/>
      <c r="B773" s="1"/>
      <c r="C773" s="1"/>
    </row>
    <row r="774" spans="1:3" ht="15" customHeight="1" x14ac:dyDescent="0.25">
      <c r="A774" s="1"/>
      <c r="B774" s="1"/>
      <c r="C774" s="1"/>
    </row>
    <row r="775" spans="1:3" ht="15" customHeight="1" x14ac:dyDescent="0.25">
      <c r="A775" s="1"/>
      <c r="B775" s="1"/>
      <c r="C775" s="1"/>
    </row>
    <row r="776" spans="1:3" ht="15" customHeight="1" x14ac:dyDescent="0.25">
      <c r="A776" s="1"/>
      <c r="B776" s="1"/>
      <c r="C776" s="1"/>
    </row>
    <row r="777" spans="1:3" ht="15" customHeight="1" x14ac:dyDescent="0.25">
      <c r="A777" s="1"/>
      <c r="B777" s="1"/>
      <c r="C777" s="1"/>
    </row>
    <row r="778" spans="1:3" ht="15" customHeight="1" x14ac:dyDescent="0.25">
      <c r="A778" s="1"/>
      <c r="B778" s="1"/>
      <c r="C778" s="1"/>
    </row>
    <row r="779" spans="1:3" ht="15" customHeight="1" x14ac:dyDescent="0.25">
      <c r="A779" s="1"/>
      <c r="B779" s="1"/>
      <c r="C779" s="1"/>
    </row>
    <row r="780" spans="1:3" ht="15" customHeight="1" x14ac:dyDescent="0.25">
      <c r="A780" s="1"/>
      <c r="B780" s="1"/>
      <c r="C780" s="1"/>
    </row>
    <row r="781" spans="1:3" ht="15" customHeight="1" x14ac:dyDescent="0.25">
      <c r="A781" s="1"/>
      <c r="B781" s="1"/>
      <c r="C781" s="1"/>
    </row>
    <row r="782" spans="1:3" ht="15" customHeight="1" x14ac:dyDescent="0.25">
      <c r="A782" s="1"/>
      <c r="B782" s="1"/>
      <c r="C782" s="1"/>
    </row>
    <row r="783" spans="1:3" ht="15" customHeight="1" x14ac:dyDescent="0.25">
      <c r="A783" s="1"/>
      <c r="B783" s="1"/>
      <c r="C783" s="1"/>
    </row>
    <row r="784" spans="1:3" ht="15" customHeight="1" x14ac:dyDescent="0.25">
      <c r="A784" s="1"/>
      <c r="B784" s="1"/>
      <c r="C784" s="1"/>
    </row>
    <row r="785" spans="1:3" ht="15" customHeight="1" x14ac:dyDescent="0.25">
      <c r="A785" s="1"/>
      <c r="B785" s="1"/>
      <c r="C785" s="1"/>
    </row>
    <row r="786" spans="1:3" ht="15" customHeight="1" x14ac:dyDescent="0.25">
      <c r="A786" s="1"/>
      <c r="B786" s="1"/>
      <c r="C786" s="1"/>
    </row>
    <row r="787" spans="1:3" ht="15" customHeight="1" x14ac:dyDescent="0.25">
      <c r="A787" s="1"/>
      <c r="B787" s="1"/>
      <c r="C787" s="1"/>
    </row>
    <row r="788" spans="1:3" ht="15" customHeight="1" x14ac:dyDescent="0.25">
      <c r="A788" s="1"/>
      <c r="B788" s="1"/>
      <c r="C788" s="1"/>
    </row>
    <row r="789" spans="1:3" ht="15" customHeight="1" x14ac:dyDescent="0.25">
      <c r="A789" s="1"/>
      <c r="B789" s="1"/>
      <c r="C789" s="1"/>
    </row>
    <row r="790" spans="1:3" ht="15" customHeight="1" x14ac:dyDescent="0.25">
      <c r="A790" s="1"/>
      <c r="B790" s="1"/>
      <c r="C790" s="1"/>
    </row>
    <row r="791" spans="1:3" ht="15" customHeight="1" x14ac:dyDescent="0.25">
      <c r="A791" s="1"/>
      <c r="B791" s="1"/>
      <c r="C791" s="1"/>
    </row>
    <row r="792" spans="1:3" ht="15" customHeight="1" x14ac:dyDescent="0.25">
      <c r="A792" s="1"/>
      <c r="B792" s="1"/>
      <c r="C792" s="1"/>
    </row>
    <row r="793" spans="1:3" ht="15" customHeight="1" x14ac:dyDescent="0.25">
      <c r="A793" s="1"/>
      <c r="B793" s="1"/>
      <c r="C793" s="1"/>
    </row>
    <row r="794" spans="1:3" ht="15" customHeight="1" x14ac:dyDescent="0.25">
      <c r="A794" s="1"/>
      <c r="B794" s="1"/>
      <c r="C794" s="1"/>
    </row>
    <row r="795" spans="1:3" ht="15" customHeight="1" x14ac:dyDescent="0.25">
      <c r="A795" s="1"/>
      <c r="B795" s="1"/>
      <c r="C795" s="1"/>
    </row>
    <row r="796" spans="1:3" ht="15" customHeight="1" x14ac:dyDescent="0.25">
      <c r="A796" s="1"/>
      <c r="B796" s="1"/>
      <c r="C796" s="1"/>
    </row>
    <row r="797" spans="1:3" ht="15" customHeight="1" x14ac:dyDescent="0.25">
      <c r="A797" s="1"/>
      <c r="B797" s="1"/>
      <c r="C797" s="1"/>
    </row>
    <row r="798" spans="1:3" ht="15" customHeight="1" x14ac:dyDescent="0.25">
      <c r="A798" s="1"/>
      <c r="B798" s="1"/>
      <c r="C798" s="1"/>
    </row>
    <row r="799" spans="1:3" ht="15" customHeight="1" x14ac:dyDescent="0.25">
      <c r="A799" s="1"/>
      <c r="B799" s="1"/>
      <c r="C799" s="1"/>
    </row>
    <row r="800" spans="1:3" ht="15" customHeight="1" x14ac:dyDescent="0.25">
      <c r="A800" s="1"/>
      <c r="B800" s="1"/>
      <c r="C800" s="1"/>
    </row>
    <row r="801" spans="1:3" ht="15" customHeight="1" x14ac:dyDescent="0.25">
      <c r="A801" s="1"/>
      <c r="B801" s="1"/>
      <c r="C801" s="1"/>
    </row>
    <row r="802" spans="1:3" ht="15" customHeight="1" x14ac:dyDescent="0.25">
      <c r="A802" s="1"/>
      <c r="B802" s="1"/>
      <c r="C802" s="1"/>
    </row>
    <row r="803" spans="1:3" ht="15" customHeight="1" x14ac:dyDescent="0.25">
      <c r="A803" s="1"/>
      <c r="B803" s="1"/>
      <c r="C803" s="1"/>
    </row>
    <row r="804" spans="1:3" ht="15" customHeight="1" x14ac:dyDescent="0.25">
      <c r="A804" s="1"/>
      <c r="B804" s="1"/>
      <c r="C804" s="1"/>
    </row>
    <row r="805" spans="1:3" ht="15" customHeight="1" x14ac:dyDescent="0.25">
      <c r="A805" s="1"/>
      <c r="B805" s="1"/>
      <c r="C805" s="1"/>
    </row>
    <row r="806" spans="1:3" ht="15" customHeight="1" x14ac:dyDescent="0.25">
      <c r="A806" s="1"/>
      <c r="B806" s="1"/>
      <c r="C806" s="1"/>
    </row>
    <row r="807" spans="1:3" ht="15" customHeight="1" x14ac:dyDescent="0.25">
      <c r="A807" s="1"/>
      <c r="B807" s="1"/>
      <c r="C807" s="1"/>
    </row>
    <row r="808" spans="1:3" ht="15" customHeight="1" x14ac:dyDescent="0.25">
      <c r="A808" s="1"/>
      <c r="B808" s="1"/>
      <c r="C808" s="1"/>
    </row>
    <row r="809" spans="1:3" ht="15" customHeight="1" x14ac:dyDescent="0.25">
      <c r="A809" s="1"/>
      <c r="B809" s="1"/>
      <c r="C809" s="1"/>
    </row>
    <row r="810" spans="1:3" ht="15" customHeight="1" x14ac:dyDescent="0.25">
      <c r="A810" s="1"/>
      <c r="B810" s="1"/>
      <c r="C810" s="1"/>
    </row>
    <row r="811" spans="1:3" ht="15" customHeight="1" x14ac:dyDescent="0.25">
      <c r="A811" s="1"/>
      <c r="B811" s="1"/>
      <c r="C811" s="1"/>
    </row>
    <row r="812" spans="1:3" ht="15" customHeight="1" x14ac:dyDescent="0.25">
      <c r="A812" s="1"/>
      <c r="B812" s="1"/>
      <c r="C812" s="1"/>
    </row>
    <row r="813" spans="1:3" ht="15" customHeight="1" x14ac:dyDescent="0.25">
      <c r="A813" s="1"/>
      <c r="B813" s="1"/>
      <c r="C813" s="1"/>
    </row>
    <row r="814" spans="1:3" ht="15" customHeight="1" x14ac:dyDescent="0.25">
      <c r="A814" s="1"/>
      <c r="B814" s="1"/>
      <c r="C814" s="1"/>
    </row>
    <row r="815" spans="1:3" ht="15" customHeight="1" x14ac:dyDescent="0.25">
      <c r="A815" s="1"/>
      <c r="B815" s="1"/>
      <c r="C815" s="1"/>
    </row>
    <row r="816" spans="1:3" ht="15" customHeight="1" x14ac:dyDescent="0.25">
      <c r="A816" s="1"/>
      <c r="B816" s="1"/>
      <c r="C816" s="1"/>
    </row>
    <row r="817" spans="1:3" ht="15" customHeight="1" x14ac:dyDescent="0.25">
      <c r="A817" s="1"/>
      <c r="B817" s="1"/>
      <c r="C817" s="1"/>
    </row>
    <row r="818" spans="1:3" ht="15" customHeight="1" x14ac:dyDescent="0.25">
      <c r="A818" s="1"/>
      <c r="B818" s="1"/>
      <c r="C818" s="1"/>
    </row>
    <row r="819" spans="1:3" ht="15" customHeight="1" x14ac:dyDescent="0.25">
      <c r="A819" s="1"/>
      <c r="B819" s="1"/>
      <c r="C819" s="1"/>
    </row>
    <row r="820" spans="1:3" ht="15" customHeight="1" x14ac:dyDescent="0.25">
      <c r="A820" s="1"/>
      <c r="B820" s="1"/>
      <c r="C820" s="1"/>
    </row>
    <row r="821" spans="1:3" ht="15" customHeight="1" x14ac:dyDescent="0.25">
      <c r="A821" s="1"/>
      <c r="B821" s="1"/>
      <c r="C821" s="1"/>
    </row>
    <row r="822" spans="1:3" ht="15" customHeight="1" x14ac:dyDescent="0.25">
      <c r="A822" s="1"/>
      <c r="B822" s="1"/>
      <c r="C822" s="1"/>
    </row>
    <row r="823" spans="1:3" ht="15" customHeight="1" x14ac:dyDescent="0.25">
      <c r="A823" s="1"/>
      <c r="B823" s="1"/>
      <c r="C823" s="1"/>
    </row>
    <row r="824" spans="1:3" ht="15" customHeight="1" x14ac:dyDescent="0.25">
      <c r="A824" s="1"/>
      <c r="B824" s="1"/>
      <c r="C824" s="1"/>
    </row>
    <row r="825" spans="1:3" ht="15" customHeight="1" x14ac:dyDescent="0.25">
      <c r="A825" s="1"/>
      <c r="B825" s="1"/>
      <c r="C825" s="1"/>
    </row>
    <row r="826" spans="1:3" ht="15" customHeight="1" x14ac:dyDescent="0.25">
      <c r="A826" s="1"/>
      <c r="B826" s="1"/>
      <c r="C826" s="1"/>
    </row>
    <row r="827" spans="1:3" ht="15" customHeight="1" x14ac:dyDescent="0.25">
      <c r="A827" s="1"/>
      <c r="B827" s="1"/>
      <c r="C827" s="1"/>
    </row>
    <row r="828" spans="1:3" ht="15" customHeight="1" x14ac:dyDescent="0.25">
      <c r="A828" s="1"/>
      <c r="B828" s="1"/>
      <c r="C828" s="1"/>
    </row>
    <row r="829" spans="1:3" ht="15" customHeight="1" x14ac:dyDescent="0.25">
      <c r="A829" s="1"/>
      <c r="B829" s="1"/>
      <c r="C829" s="1"/>
    </row>
    <row r="830" spans="1:3" ht="15" customHeight="1" x14ac:dyDescent="0.25">
      <c r="A830" s="1"/>
      <c r="B830" s="1"/>
      <c r="C830" s="1"/>
    </row>
    <row r="831" spans="1:3" ht="15" customHeight="1" x14ac:dyDescent="0.25">
      <c r="A831" s="1"/>
      <c r="B831" s="1"/>
      <c r="C831" s="1"/>
    </row>
    <row r="832" spans="1:3" ht="15" customHeight="1" x14ac:dyDescent="0.25">
      <c r="A832" s="1"/>
      <c r="B832" s="1"/>
      <c r="C832" s="1"/>
    </row>
    <row r="833" spans="1:3" ht="15" customHeight="1" x14ac:dyDescent="0.25">
      <c r="A833" s="1"/>
      <c r="B833" s="1"/>
      <c r="C833" s="1"/>
    </row>
    <row r="834" spans="1:3" ht="15" customHeight="1" x14ac:dyDescent="0.25">
      <c r="A834" s="1"/>
      <c r="B834" s="1"/>
      <c r="C834" s="1"/>
    </row>
    <row r="835" spans="1:3" ht="15" customHeight="1" x14ac:dyDescent="0.25">
      <c r="A835" s="1"/>
      <c r="B835" s="1"/>
      <c r="C835" s="1"/>
    </row>
    <row r="836" spans="1:3" ht="15" customHeight="1" x14ac:dyDescent="0.25">
      <c r="A836" s="1"/>
      <c r="B836" s="1"/>
      <c r="C836" s="1"/>
    </row>
    <row r="837" spans="1:3" ht="15" customHeight="1" x14ac:dyDescent="0.25">
      <c r="A837" s="1"/>
      <c r="B837" s="1"/>
      <c r="C837" s="1"/>
    </row>
    <row r="838" spans="1:3" ht="15" customHeight="1" x14ac:dyDescent="0.25">
      <c r="A838" s="1"/>
      <c r="B838" s="1"/>
      <c r="C838" s="1"/>
    </row>
    <row r="839" spans="1:3" ht="15" customHeight="1" x14ac:dyDescent="0.25">
      <c r="A839" s="1"/>
      <c r="B839" s="1"/>
      <c r="C839" s="1"/>
    </row>
    <row r="840" spans="1:3" ht="15" customHeight="1" x14ac:dyDescent="0.25">
      <c r="A840" s="1"/>
      <c r="B840" s="1"/>
      <c r="C840" s="1"/>
    </row>
    <row r="841" spans="1:3" ht="15" customHeight="1" x14ac:dyDescent="0.25">
      <c r="A841" s="1"/>
      <c r="B841" s="1"/>
      <c r="C841" s="1"/>
    </row>
    <row r="842" spans="1:3" ht="15" customHeight="1" x14ac:dyDescent="0.25">
      <c r="A842" s="1"/>
      <c r="B842" s="1"/>
      <c r="C842" s="1"/>
    </row>
    <row r="843" spans="1:3" ht="15" customHeight="1" x14ac:dyDescent="0.25">
      <c r="A843" s="1"/>
      <c r="B843" s="1"/>
      <c r="C843" s="1"/>
    </row>
    <row r="844" spans="1:3" ht="15" customHeight="1" x14ac:dyDescent="0.25">
      <c r="A844" s="1"/>
      <c r="B844" s="1"/>
      <c r="C844" s="1"/>
    </row>
    <row r="845" spans="1:3" ht="15" customHeight="1" x14ac:dyDescent="0.25">
      <c r="A845" s="1"/>
      <c r="B845" s="1"/>
      <c r="C845" s="1"/>
    </row>
    <row r="846" spans="1:3" ht="15" customHeight="1" x14ac:dyDescent="0.25">
      <c r="A846" s="1"/>
      <c r="B846" s="1"/>
      <c r="C846" s="1"/>
    </row>
    <row r="847" spans="1:3" ht="15" customHeight="1" x14ac:dyDescent="0.25">
      <c r="A847" s="1"/>
      <c r="B847" s="1"/>
      <c r="C847" s="1"/>
    </row>
    <row r="848" spans="1:3" ht="15" customHeight="1" x14ac:dyDescent="0.25">
      <c r="A848" s="1"/>
      <c r="B848" s="1"/>
      <c r="C848" s="1"/>
    </row>
    <row r="849" spans="1:3" ht="15" customHeight="1" x14ac:dyDescent="0.25">
      <c r="A849" s="1"/>
      <c r="B849" s="1"/>
      <c r="C849" s="1"/>
    </row>
    <row r="850" spans="1:3" ht="15" customHeight="1" x14ac:dyDescent="0.25">
      <c r="A850" s="1"/>
      <c r="B850" s="1"/>
      <c r="C850" s="1"/>
    </row>
    <row r="851" spans="1:3" ht="15" customHeight="1" x14ac:dyDescent="0.25">
      <c r="A851" s="1"/>
      <c r="B851" s="1"/>
      <c r="C851" s="1"/>
    </row>
    <row r="852" spans="1:3" ht="15" customHeight="1" x14ac:dyDescent="0.25">
      <c r="A852" s="1"/>
      <c r="B852" s="1"/>
      <c r="C852" s="1"/>
    </row>
    <row r="853" spans="1:3" ht="15" customHeight="1" x14ac:dyDescent="0.25">
      <c r="A853" s="1"/>
      <c r="B853" s="1"/>
      <c r="C853" s="1"/>
    </row>
    <row r="854" spans="1:3" ht="15" customHeight="1" x14ac:dyDescent="0.25">
      <c r="A854" s="1"/>
      <c r="B854" s="1"/>
      <c r="C854" s="1"/>
    </row>
    <row r="855" spans="1:3" ht="15" customHeight="1" x14ac:dyDescent="0.25">
      <c r="A855" s="1"/>
      <c r="B855" s="1"/>
      <c r="C855" s="1"/>
    </row>
    <row r="856" spans="1:3" ht="15" customHeight="1" x14ac:dyDescent="0.25">
      <c r="A856" s="1"/>
      <c r="B856" s="1"/>
      <c r="C856" s="1"/>
    </row>
    <row r="857" spans="1:3" ht="15" customHeight="1" x14ac:dyDescent="0.25">
      <c r="A857" s="1"/>
      <c r="B857" s="1"/>
      <c r="C857" s="1"/>
    </row>
    <row r="858" spans="1:3" ht="15" customHeight="1" x14ac:dyDescent="0.25">
      <c r="A858" s="1"/>
      <c r="B858" s="1"/>
      <c r="C858" s="1"/>
    </row>
    <row r="859" spans="1:3" ht="15" customHeight="1" x14ac:dyDescent="0.25">
      <c r="A859" s="1"/>
      <c r="B859" s="1"/>
      <c r="C859" s="1"/>
    </row>
    <row r="860" spans="1:3" ht="15" customHeight="1" x14ac:dyDescent="0.25">
      <c r="A860" s="1"/>
      <c r="B860" s="1"/>
      <c r="C860" s="1"/>
    </row>
    <row r="861" spans="1:3" ht="15" customHeight="1" x14ac:dyDescent="0.25">
      <c r="A861" s="1"/>
      <c r="B861" s="1"/>
      <c r="C861" s="1"/>
    </row>
    <row r="862" spans="1:3" ht="15" customHeight="1" x14ac:dyDescent="0.25">
      <c r="A862" s="1"/>
      <c r="B862" s="1"/>
      <c r="C862" s="1"/>
    </row>
    <row r="863" spans="1:3" ht="15" customHeight="1" x14ac:dyDescent="0.25">
      <c r="A863" s="1"/>
      <c r="B863" s="1"/>
      <c r="C863" s="1"/>
    </row>
    <row r="864" spans="1:3" ht="15" customHeight="1" x14ac:dyDescent="0.25">
      <c r="A864" s="1"/>
      <c r="B864" s="1"/>
      <c r="C864" s="1"/>
    </row>
    <row r="865" spans="1:3" ht="15" customHeight="1" x14ac:dyDescent="0.25">
      <c r="A865" s="1"/>
      <c r="B865" s="1"/>
      <c r="C865" s="1"/>
    </row>
    <row r="866" spans="1:3" ht="15" customHeight="1" x14ac:dyDescent="0.25">
      <c r="A866" s="1"/>
      <c r="B866" s="1"/>
      <c r="C866" s="1"/>
    </row>
    <row r="867" spans="1:3" ht="15" customHeight="1" x14ac:dyDescent="0.25">
      <c r="A867" s="1"/>
      <c r="B867" s="1"/>
      <c r="C867" s="1"/>
    </row>
    <row r="868" spans="1:3" ht="15" customHeight="1" x14ac:dyDescent="0.25">
      <c r="A868" s="1"/>
      <c r="B868" s="1"/>
      <c r="C868" s="1"/>
    </row>
    <row r="869" spans="1:3" ht="15" customHeight="1" x14ac:dyDescent="0.25">
      <c r="A869" s="1"/>
      <c r="B869" s="1"/>
      <c r="C869" s="1"/>
    </row>
    <row r="870" spans="1:3" ht="15" customHeight="1" x14ac:dyDescent="0.25">
      <c r="A870" s="1"/>
      <c r="B870" s="1"/>
      <c r="C870" s="1"/>
    </row>
    <row r="871" spans="1:3" ht="15" customHeight="1" x14ac:dyDescent="0.25">
      <c r="A871" s="1"/>
      <c r="B871" s="1"/>
      <c r="C871" s="1"/>
    </row>
    <row r="872" spans="1:3" ht="15" customHeight="1" x14ac:dyDescent="0.25">
      <c r="A872" s="1"/>
      <c r="B872" s="1"/>
      <c r="C872" s="1"/>
    </row>
    <row r="873" spans="1:3" ht="15" customHeight="1" x14ac:dyDescent="0.25">
      <c r="A873" s="1"/>
      <c r="B873" s="1"/>
      <c r="C873" s="1"/>
    </row>
    <row r="874" spans="1:3" ht="15" customHeight="1" x14ac:dyDescent="0.25">
      <c r="A874" s="1"/>
      <c r="B874" s="1"/>
      <c r="C874" s="1"/>
    </row>
    <row r="875" spans="1:3" ht="15" customHeight="1" x14ac:dyDescent="0.25">
      <c r="A875" s="1"/>
      <c r="B875" s="1"/>
      <c r="C875" s="1"/>
    </row>
    <row r="876" spans="1:3" ht="15" customHeight="1" x14ac:dyDescent="0.25">
      <c r="A876" s="1"/>
      <c r="B876" s="1"/>
      <c r="C876" s="1"/>
    </row>
    <row r="877" spans="1:3" ht="15" customHeight="1" x14ac:dyDescent="0.25">
      <c r="A877" s="1"/>
      <c r="B877" s="1"/>
      <c r="C877" s="1"/>
    </row>
    <row r="878" spans="1:3" ht="15" customHeight="1" x14ac:dyDescent="0.25">
      <c r="A878" s="1"/>
      <c r="B878" s="1"/>
      <c r="C878" s="1"/>
    </row>
    <row r="879" spans="1:3" ht="15" customHeight="1" x14ac:dyDescent="0.25">
      <c r="A879" s="1"/>
      <c r="B879" s="1"/>
      <c r="C879" s="1"/>
    </row>
    <row r="880" spans="1:3" ht="15" customHeight="1" x14ac:dyDescent="0.25">
      <c r="A880" s="1"/>
      <c r="B880" s="1"/>
      <c r="C880" s="1"/>
    </row>
    <row r="881" spans="1:3" ht="15" customHeight="1" x14ac:dyDescent="0.25">
      <c r="A881" s="1"/>
      <c r="B881" s="1"/>
      <c r="C881" s="1"/>
    </row>
    <row r="882" spans="1:3" ht="15" customHeight="1" x14ac:dyDescent="0.25">
      <c r="A882" s="1"/>
      <c r="B882" s="1"/>
      <c r="C882" s="1"/>
    </row>
    <row r="883" spans="1:3" ht="15" customHeight="1" x14ac:dyDescent="0.25">
      <c r="A883" s="1"/>
      <c r="B883" s="1"/>
      <c r="C883" s="1"/>
    </row>
    <row r="884" spans="1:3" ht="15" customHeight="1" x14ac:dyDescent="0.25">
      <c r="A884" s="1"/>
      <c r="B884" s="1"/>
      <c r="C884" s="1"/>
    </row>
    <row r="885" spans="1:3" ht="15" customHeight="1" x14ac:dyDescent="0.25">
      <c r="A885" s="1"/>
      <c r="B885" s="1"/>
      <c r="C885" s="1"/>
    </row>
    <row r="886" spans="1:3" ht="15" customHeight="1" x14ac:dyDescent="0.25">
      <c r="A886" s="1"/>
      <c r="B886" s="1"/>
      <c r="C886" s="1"/>
    </row>
    <row r="887" spans="1:3" ht="15" customHeight="1" x14ac:dyDescent="0.25">
      <c r="A887" s="1"/>
      <c r="B887" s="1"/>
      <c r="C887" s="1"/>
    </row>
    <row r="888" spans="1:3" ht="15" customHeight="1" x14ac:dyDescent="0.25">
      <c r="A888" s="1"/>
      <c r="B888" s="1"/>
      <c r="C888" s="1"/>
    </row>
    <row r="889" spans="1:3" ht="15" customHeight="1" x14ac:dyDescent="0.25">
      <c r="A889" s="1"/>
      <c r="B889" s="1"/>
      <c r="C889" s="1"/>
    </row>
    <row r="890" spans="1:3" ht="15" customHeight="1" x14ac:dyDescent="0.25">
      <c r="A890" s="1"/>
      <c r="B890" s="1"/>
      <c r="C890" s="1"/>
    </row>
    <row r="891" spans="1:3" ht="15" customHeight="1" x14ac:dyDescent="0.25">
      <c r="A891" s="1"/>
      <c r="B891" s="1"/>
      <c r="C891" s="1"/>
    </row>
    <row r="892" spans="1:3" ht="15" customHeight="1" x14ac:dyDescent="0.25">
      <c r="A892" s="1"/>
      <c r="B892" s="1"/>
      <c r="C892" s="1"/>
    </row>
    <row r="893" spans="1:3" ht="15" customHeight="1" x14ac:dyDescent="0.25">
      <c r="A893" s="1"/>
      <c r="B893" s="1"/>
      <c r="C893" s="1"/>
    </row>
    <row r="894" spans="1:3" ht="15" customHeight="1" x14ac:dyDescent="0.25">
      <c r="A894" s="1"/>
      <c r="B894" s="1"/>
      <c r="C894" s="1"/>
    </row>
    <row r="895" spans="1:3" ht="15" customHeight="1" x14ac:dyDescent="0.25">
      <c r="A895" s="1"/>
      <c r="B895" s="1"/>
      <c r="C895" s="1"/>
    </row>
    <row r="896" spans="1:3" ht="15" customHeight="1" x14ac:dyDescent="0.25">
      <c r="A896" s="1"/>
      <c r="B896" s="1"/>
      <c r="C896" s="1"/>
    </row>
    <row r="897" spans="1:3" ht="15" customHeight="1" x14ac:dyDescent="0.25">
      <c r="A897" s="1"/>
      <c r="B897" s="1"/>
      <c r="C897" s="1"/>
    </row>
    <row r="898" spans="1:3" ht="15" customHeight="1" x14ac:dyDescent="0.25">
      <c r="A898" s="1"/>
      <c r="B898" s="1"/>
      <c r="C898" s="1"/>
    </row>
    <row r="899" spans="1:3" ht="15" customHeight="1" x14ac:dyDescent="0.25">
      <c r="A899" s="1"/>
      <c r="B899" s="1"/>
      <c r="C899" s="1"/>
    </row>
    <row r="900" spans="1:3" ht="15" customHeight="1" x14ac:dyDescent="0.25">
      <c r="A900" s="1"/>
      <c r="B900" s="1"/>
      <c r="C900" s="1"/>
    </row>
    <row r="901" spans="1:3" ht="15" customHeight="1" x14ac:dyDescent="0.25">
      <c r="A901" s="1"/>
      <c r="B901" s="1"/>
      <c r="C901" s="1"/>
    </row>
    <row r="902" spans="1:3" ht="15" customHeight="1" x14ac:dyDescent="0.25">
      <c r="A902" s="1"/>
      <c r="B902" s="1"/>
      <c r="C902" s="1"/>
    </row>
    <row r="903" spans="1:3" ht="15" customHeight="1" x14ac:dyDescent="0.25">
      <c r="A903" s="1"/>
      <c r="B903" s="1"/>
      <c r="C903" s="1"/>
    </row>
    <row r="904" spans="1:3" ht="15" customHeight="1" x14ac:dyDescent="0.25">
      <c r="A904" s="1"/>
      <c r="B904" s="1"/>
      <c r="C904" s="1"/>
    </row>
    <row r="905" spans="1:3" ht="15" customHeight="1" x14ac:dyDescent="0.25">
      <c r="A905" s="1"/>
      <c r="B905" s="1"/>
      <c r="C905" s="1"/>
    </row>
    <row r="906" spans="1:3" ht="15" customHeight="1" x14ac:dyDescent="0.25">
      <c r="A906" s="1"/>
      <c r="B906" s="1"/>
      <c r="C906" s="1"/>
    </row>
    <row r="907" spans="1:3" ht="15" customHeight="1" x14ac:dyDescent="0.25">
      <c r="A907" s="1"/>
      <c r="B907" s="1"/>
      <c r="C907" s="1"/>
    </row>
    <row r="908" spans="1:3" ht="15" customHeight="1" x14ac:dyDescent="0.25">
      <c r="A908" s="1"/>
      <c r="B908" s="1"/>
      <c r="C908" s="1"/>
    </row>
    <row r="909" spans="1:3" ht="15" customHeight="1" x14ac:dyDescent="0.25">
      <c r="A909" s="1"/>
      <c r="B909" s="1"/>
      <c r="C909" s="1"/>
    </row>
    <row r="910" spans="1:3" ht="15" customHeight="1" x14ac:dyDescent="0.25">
      <c r="A910" s="1"/>
      <c r="B910" s="1"/>
      <c r="C910" s="1"/>
    </row>
    <row r="911" spans="1:3" ht="15" customHeight="1" x14ac:dyDescent="0.25">
      <c r="A911" s="1"/>
      <c r="B911" s="1"/>
      <c r="C911" s="1"/>
    </row>
    <row r="912" spans="1:3" ht="15" customHeight="1" x14ac:dyDescent="0.25">
      <c r="A912" s="1"/>
      <c r="B912" s="1"/>
      <c r="C912" s="1"/>
    </row>
    <row r="913" spans="1:3" ht="15" customHeight="1" x14ac:dyDescent="0.25">
      <c r="A913" s="1"/>
      <c r="B913" s="1"/>
      <c r="C913" s="1"/>
    </row>
    <row r="914" spans="1:3" ht="15" customHeight="1" x14ac:dyDescent="0.25">
      <c r="A914" s="1"/>
      <c r="B914" s="1"/>
      <c r="C914" s="1"/>
    </row>
    <row r="915" spans="1:3" ht="15" customHeight="1" x14ac:dyDescent="0.25">
      <c r="A915" s="1"/>
      <c r="B915" s="1"/>
      <c r="C915" s="1"/>
    </row>
    <row r="916" spans="1:3" ht="15" customHeight="1" x14ac:dyDescent="0.25">
      <c r="A916" s="1"/>
      <c r="B916" s="1"/>
      <c r="C916" s="1"/>
    </row>
    <row r="917" spans="1:3" ht="15" customHeight="1" x14ac:dyDescent="0.25">
      <c r="A917" s="1"/>
      <c r="B917" s="1"/>
      <c r="C917" s="1"/>
    </row>
    <row r="918" spans="1:3" ht="15" customHeight="1" x14ac:dyDescent="0.25">
      <c r="A918" s="1"/>
      <c r="B918" s="1"/>
      <c r="C918" s="1"/>
    </row>
    <row r="919" spans="1:3" ht="15" customHeight="1" x14ac:dyDescent="0.25">
      <c r="A919" s="1"/>
      <c r="B919" s="1"/>
      <c r="C919" s="1"/>
    </row>
    <row r="920" spans="1:3" ht="15" customHeight="1" x14ac:dyDescent="0.25">
      <c r="A920" s="1"/>
      <c r="B920" s="1"/>
      <c r="C920" s="1"/>
    </row>
    <row r="921" spans="1:3" ht="15" customHeight="1" x14ac:dyDescent="0.25">
      <c r="A921" s="1"/>
      <c r="B921" s="1"/>
      <c r="C921" s="1"/>
    </row>
    <row r="922" spans="1:3" ht="15" customHeight="1" x14ac:dyDescent="0.25">
      <c r="A922" s="1"/>
      <c r="B922" s="1"/>
      <c r="C922" s="1"/>
    </row>
    <row r="923" spans="1:3" ht="15" customHeight="1" x14ac:dyDescent="0.25">
      <c r="A923" s="1"/>
      <c r="B923" s="1"/>
      <c r="C923" s="1"/>
    </row>
    <row r="924" spans="1:3" ht="15" customHeight="1" x14ac:dyDescent="0.25">
      <c r="A924" s="1"/>
      <c r="B924" s="1"/>
      <c r="C924" s="1"/>
    </row>
    <row r="925" spans="1:3" ht="15" customHeight="1" x14ac:dyDescent="0.25">
      <c r="A925" s="1"/>
      <c r="B925" s="1"/>
      <c r="C925" s="1"/>
    </row>
    <row r="926" spans="1:3" ht="15" customHeight="1" x14ac:dyDescent="0.25">
      <c r="A926" s="1"/>
      <c r="B926" s="1"/>
      <c r="C926" s="1"/>
    </row>
    <row r="927" spans="1:3" ht="15" customHeight="1" x14ac:dyDescent="0.25">
      <c r="A927" s="1"/>
      <c r="B927" s="1"/>
      <c r="C927" s="1"/>
    </row>
    <row r="928" spans="1:3" ht="15" customHeight="1" x14ac:dyDescent="0.25">
      <c r="A928" s="1"/>
      <c r="B928" s="1"/>
      <c r="C928" s="1"/>
    </row>
    <row r="929" spans="1:3" ht="15" customHeight="1" x14ac:dyDescent="0.25">
      <c r="A929" s="1"/>
      <c r="B929" s="1"/>
      <c r="C929" s="1"/>
    </row>
    <row r="930" spans="1:3" ht="15" customHeight="1" x14ac:dyDescent="0.25">
      <c r="A930" s="1"/>
      <c r="B930" s="1"/>
      <c r="C930" s="1"/>
    </row>
    <row r="931" spans="1:3" ht="15" customHeight="1" x14ac:dyDescent="0.25">
      <c r="A931" s="1"/>
      <c r="B931" s="1"/>
      <c r="C931" s="1"/>
    </row>
    <row r="932" spans="1:3" ht="15" customHeight="1" x14ac:dyDescent="0.25">
      <c r="A932" s="1"/>
      <c r="B932" s="1"/>
      <c r="C932" s="1"/>
    </row>
    <row r="933" spans="1:3" ht="15" customHeight="1" x14ac:dyDescent="0.25">
      <c r="A933" s="1"/>
      <c r="B933" s="1"/>
      <c r="C933" s="1"/>
    </row>
    <row r="934" spans="1:3" ht="15" customHeight="1" x14ac:dyDescent="0.25">
      <c r="A934" s="1"/>
      <c r="B934" s="1"/>
      <c r="C934" s="1"/>
    </row>
    <row r="935" spans="1:3" ht="15" customHeight="1" x14ac:dyDescent="0.25">
      <c r="A935" s="1"/>
      <c r="B935" s="1"/>
      <c r="C935" s="1"/>
    </row>
    <row r="936" spans="1:3" ht="15" customHeight="1" x14ac:dyDescent="0.25">
      <c r="A936" s="1"/>
      <c r="B936" s="1"/>
      <c r="C936" s="1"/>
    </row>
    <row r="937" spans="1:3" ht="15" customHeight="1" x14ac:dyDescent="0.25">
      <c r="A937" s="1"/>
      <c r="B937" s="1"/>
      <c r="C937" s="1"/>
    </row>
    <row r="938" spans="1:3" ht="15" customHeight="1" x14ac:dyDescent="0.25">
      <c r="A938" s="1"/>
      <c r="B938" s="1"/>
      <c r="C938" s="1"/>
    </row>
    <row r="939" spans="1:3" ht="15" customHeight="1" x14ac:dyDescent="0.25">
      <c r="A939" s="1"/>
      <c r="B939" s="1"/>
      <c r="C939" s="1"/>
    </row>
    <row r="940" spans="1:3" ht="15" customHeight="1" x14ac:dyDescent="0.25">
      <c r="A940" s="1"/>
      <c r="B940" s="1"/>
      <c r="C940" s="1"/>
    </row>
    <row r="941" spans="1:3" ht="15" customHeight="1" x14ac:dyDescent="0.25">
      <c r="A941" s="1"/>
      <c r="B941" s="1"/>
      <c r="C941" s="1"/>
    </row>
    <row r="942" spans="1:3" ht="15" customHeight="1" x14ac:dyDescent="0.25">
      <c r="A942" s="1"/>
      <c r="B942" s="1"/>
      <c r="C942" s="1"/>
    </row>
    <row r="943" spans="1:3" ht="15" customHeight="1" x14ac:dyDescent="0.25">
      <c r="A943" s="1"/>
      <c r="B943" s="1"/>
      <c r="C943" s="1"/>
    </row>
    <row r="944" spans="1:3" ht="15" customHeight="1" x14ac:dyDescent="0.25">
      <c r="A944" s="1"/>
      <c r="B944" s="1"/>
      <c r="C944" s="1"/>
    </row>
    <row r="945" spans="1:3" ht="15" customHeight="1" x14ac:dyDescent="0.25">
      <c r="A945" s="1"/>
      <c r="B945" s="1"/>
      <c r="C945" s="1"/>
    </row>
    <row r="946" spans="1:3" ht="15" customHeight="1" x14ac:dyDescent="0.25">
      <c r="A946" s="1"/>
      <c r="B946" s="1"/>
      <c r="C946" s="1"/>
    </row>
    <row r="947" spans="1:3" ht="15" customHeight="1" x14ac:dyDescent="0.25">
      <c r="A947" s="1"/>
      <c r="B947" s="1"/>
      <c r="C947" s="1"/>
    </row>
    <row r="948" spans="1:3" ht="15" customHeight="1" x14ac:dyDescent="0.25">
      <c r="A948" s="1"/>
      <c r="B948" s="1"/>
      <c r="C948" s="1"/>
    </row>
    <row r="949" spans="1:3" ht="15" customHeight="1" x14ac:dyDescent="0.25">
      <c r="A949" s="1"/>
      <c r="B949" s="1"/>
      <c r="C949" s="1"/>
    </row>
    <row r="950" spans="1:3" ht="15" customHeight="1" x14ac:dyDescent="0.25">
      <c r="A950" s="1"/>
      <c r="B950" s="1"/>
      <c r="C950" s="1"/>
    </row>
    <row r="951" spans="1:3" ht="15" customHeight="1" x14ac:dyDescent="0.25">
      <c r="A951" s="1"/>
      <c r="B951" s="1"/>
      <c r="C951" s="1"/>
    </row>
    <row r="952" spans="1:3" ht="15" customHeight="1" x14ac:dyDescent="0.25">
      <c r="A952" s="1"/>
      <c r="B952" s="1"/>
      <c r="C952" s="1"/>
    </row>
    <row r="953" spans="1:3" ht="15" customHeight="1" x14ac:dyDescent="0.25">
      <c r="A953" s="1"/>
      <c r="B953" s="1"/>
      <c r="C953" s="1"/>
    </row>
    <row r="954" spans="1:3" ht="15" customHeight="1" x14ac:dyDescent="0.25">
      <c r="A954" s="1"/>
      <c r="B954" s="1"/>
      <c r="C954" s="1"/>
    </row>
    <row r="955" spans="1:3" ht="15" customHeight="1" x14ac:dyDescent="0.25">
      <c r="A955" s="1"/>
      <c r="B955" s="1"/>
      <c r="C955" s="1"/>
    </row>
    <row r="956" spans="1:3" ht="15" customHeight="1" x14ac:dyDescent="0.25">
      <c r="A956" s="1"/>
      <c r="B956" s="1"/>
      <c r="C956" s="1"/>
    </row>
    <row r="957" spans="1:3" ht="15" customHeight="1" x14ac:dyDescent="0.25">
      <c r="A957" s="1"/>
      <c r="B957" s="1"/>
      <c r="C957" s="1"/>
    </row>
    <row r="958" spans="1:3" ht="15" customHeight="1" x14ac:dyDescent="0.25">
      <c r="A958" s="1"/>
      <c r="B958" s="1"/>
      <c r="C958" s="1"/>
    </row>
    <row r="959" spans="1:3" ht="15" customHeight="1" x14ac:dyDescent="0.25">
      <c r="A959" s="1"/>
      <c r="B959" s="1"/>
      <c r="C959" s="1"/>
    </row>
    <row r="960" spans="1:3" ht="15" customHeight="1" x14ac:dyDescent="0.25">
      <c r="A960" s="1"/>
      <c r="B960" s="1"/>
      <c r="C960" s="1"/>
    </row>
    <row r="961" spans="1:3" ht="15" customHeight="1" x14ac:dyDescent="0.25">
      <c r="A961" s="1"/>
      <c r="B961" s="1"/>
      <c r="C961" s="1"/>
    </row>
    <row r="962" spans="1:3" ht="15" customHeight="1" x14ac:dyDescent="0.25">
      <c r="A962" s="1"/>
      <c r="B962" s="1"/>
      <c r="C962" s="1"/>
    </row>
    <row r="963" spans="1:3" ht="15" customHeight="1" x14ac:dyDescent="0.25">
      <c r="A963" s="1"/>
      <c r="B963" s="1"/>
      <c r="C963" s="1"/>
    </row>
    <row r="964" spans="1:3" ht="15" customHeight="1" x14ac:dyDescent="0.25">
      <c r="A964" s="1"/>
      <c r="B964" s="1"/>
      <c r="C964" s="1"/>
    </row>
    <row r="965" spans="1:3" ht="15" customHeight="1" x14ac:dyDescent="0.25">
      <c r="A965" s="1"/>
      <c r="B965" s="1"/>
      <c r="C965" s="1"/>
    </row>
    <row r="966" spans="1:3" ht="15" customHeight="1" x14ac:dyDescent="0.25">
      <c r="A966" s="1"/>
      <c r="B966" s="1"/>
      <c r="C966" s="1"/>
    </row>
    <row r="967" spans="1:3" ht="15" customHeight="1" x14ac:dyDescent="0.25">
      <c r="A967" s="1"/>
      <c r="B967" s="1"/>
      <c r="C967" s="1"/>
    </row>
    <row r="968" spans="1:3" ht="15" customHeight="1" x14ac:dyDescent="0.25">
      <c r="A968" s="1"/>
      <c r="B968" s="1"/>
      <c r="C968" s="1"/>
    </row>
    <row r="969" spans="1:3" ht="15" customHeight="1" x14ac:dyDescent="0.25">
      <c r="A969" s="1"/>
      <c r="B969" s="1"/>
      <c r="C969" s="1"/>
    </row>
    <row r="970" spans="1:3" ht="15" customHeight="1" x14ac:dyDescent="0.25">
      <c r="A970" s="1"/>
      <c r="B970" s="1"/>
      <c r="C970" s="1"/>
    </row>
    <row r="971" spans="1:3" ht="15" customHeight="1" x14ac:dyDescent="0.25">
      <c r="A971" s="1"/>
      <c r="B971" s="1"/>
      <c r="C971" s="1"/>
    </row>
    <row r="972" spans="1:3" ht="15" customHeight="1" x14ac:dyDescent="0.25">
      <c r="A972" s="1"/>
      <c r="B972" s="1"/>
      <c r="C972" s="1"/>
    </row>
    <row r="973" spans="1:3" ht="15" customHeight="1" x14ac:dyDescent="0.25">
      <c r="A973" s="1"/>
      <c r="B973" s="1"/>
      <c r="C973" s="1"/>
    </row>
    <row r="974" spans="1:3" ht="15" customHeight="1" x14ac:dyDescent="0.25">
      <c r="A974" s="1"/>
      <c r="B974" s="1"/>
      <c r="C974" s="1"/>
    </row>
    <row r="975" spans="1:3" ht="15" customHeight="1" x14ac:dyDescent="0.25">
      <c r="A975" s="1"/>
      <c r="B975" s="1"/>
      <c r="C975" s="1"/>
    </row>
    <row r="976" spans="1:3" ht="15" customHeight="1" x14ac:dyDescent="0.25">
      <c r="A976" s="1"/>
      <c r="B976" s="1"/>
      <c r="C976" s="1"/>
    </row>
    <row r="977" spans="1:3" ht="15" customHeight="1" x14ac:dyDescent="0.25">
      <c r="A977" s="1"/>
      <c r="B977" s="1"/>
      <c r="C977" s="1"/>
    </row>
    <row r="978" spans="1:3" ht="15" customHeight="1" x14ac:dyDescent="0.25">
      <c r="A978" s="1"/>
      <c r="B978" s="1"/>
      <c r="C978" s="1"/>
    </row>
    <row r="979" spans="1:3" ht="15" customHeight="1" x14ac:dyDescent="0.25">
      <c r="A979" s="1"/>
      <c r="B979" s="1"/>
      <c r="C979" s="1"/>
    </row>
    <row r="980" spans="1:3" ht="15" customHeight="1" x14ac:dyDescent="0.25">
      <c r="A980" s="1"/>
      <c r="B980" s="1"/>
      <c r="C980" s="1"/>
    </row>
    <row r="981" spans="1:3" ht="15" customHeight="1" x14ac:dyDescent="0.25">
      <c r="A981" s="1"/>
      <c r="B981" s="1"/>
      <c r="C981" s="1"/>
    </row>
    <row r="982" spans="1:3" ht="15" customHeight="1" x14ac:dyDescent="0.25">
      <c r="A982" s="1"/>
      <c r="B982" s="1"/>
      <c r="C982" s="1"/>
    </row>
    <row r="983" spans="1:3" ht="15" customHeight="1" x14ac:dyDescent="0.25">
      <c r="A983" s="1"/>
      <c r="B983" s="1"/>
      <c r="C983" s="1"/>
    </row>
    <row r="984" spans="1:3" ht="15" customHeight="1" x14ac:dyDescent="0.25">
      <c r="A984" s="1"/>
      <c r="B984" s="1"/>
      <c r="C984" s="1"/>
    </row>
    <row r="985" spans="1:3" ht="15" customHeight="1" x14ac:dyDescent="0.25">
      <c r="A985" s="1"/>
      <c r="B985" s="1"/>
      <c r="C985" s="1"/>
    </row>
    <row r="986" spans="1:3" ht="15" customHeight="1" x14ac:dyDescent="0.25">
      <c r="A986" s="1"/>
      <c r="B986" s="1"/>
      <c r="C986" s="1"/>
    </row>
    <row r="987" spans="1:3" ht="15" customHeight="1" x14ac:dyDescent="0.25">
      <c r="A987" s="1"/>
      <c r="B987" s="1"/>
      <c r="C987" s="1"/>
    </row>
    <row r="988" spans="1:3" ht="15" customHeight="1" x14ac:dyDescent="0.25">
      <c r="A988" s="1"/>
      <c r="B988" s="1"/>
      <c r="C988" s="1"/>
    </row>
    <row r="989" spans="1:3" ht="15" customHeight="1" x14ac:dyDescent="0.25">
      <c r="A989" s="1"/>
      <c r="B989" s="1"/>
      <c r="C989" s="1"/>
    </row>
    <row r="990" spans="1:3" ht="15" customHeight="1" x14ac:dyDescent="0.25">
      <c r="A990" s="1"/>
      <c r="B990" s="1"/>
      <c r="C990" s="1"/>
    </row>
    <row r="991" spans="1:3" ht="15" customHeight="1" x14ac:dyDescent="0.25">
      <c r="A991" s="1"/>
      <c r="B991" s="1"/>
      <c r="C991" s="1"/>
    </row>
    <row r="992" spans="1:3" ht="15" customHeight="1" x14ac:dyDescent="0.25">
      <c r="A992" s="1"/>
      <c r="B992" s="1"/>
      <c r="C992" s="1"/>
    </row>
    <row r="993" spans="1:3" ht="15" customHeight="1" x14ac:dyDescent="0.25">
      <c r="A993" s="1"/>
      <c r="B993" s="1"/>
      <c r="C993" s="1"/>
    </row>
    <row r="994" spans="1:3" ht="15" customHeight="1" x14ac:dyDescent="0.25">
      <c r="A994" s="1"/>
      <c r="B994" s="1"/>
      <c r="C994" s="1"/>
    </row>
    <row r="995" spans="1:3" ht="15" customHeight="1" x14ac:dyDescent="0.25">
      <c r="A995" s="1"/>
      <c r="B995" s="1"/>
      <c r="C995" s="1"/>
    </row>
    <row r="996" spans="1:3" ht="15" customHeight="1" x14ac:dyDescent="0.25">
      <c r="A996" s="1"/>
      <c r="B996" s="1"/>
      <c r="C996" s="1"/>
    </row>
    <row r="997" spans="1:3" ht="15" customHeight="1" x14ac:dyDescent="0.25">
      <c r="A997" s="1"/>
      <c r="B997" s="1"/>
      <c r="C997" s="1"/>
    </row>
    <row r="998" spans="1:3" ht="15" customHeight="1" x14ac:dyDescent="0.25">
      <c r="A998" s="1"/>
      <c r="B998" s="1"/>
      <c r="C998" s="1"/>
    </row>
    <row r="999" spans="1:3" ht="15" customHeight="1" x14ac:dyDescent="0.25">
      <c r="A999" s="1"/>
      <c r="B999" s="1"/>
      <c r="C999" s="1"/>
    </row>
    <row r="1000" spans="1:3" ht="15" customHeight="1" x14ac:dyDescent="0.25">
      <c r="A1000" s="1"/>
      <c r="B1000" s="1"/>
      <c r="C1000" s="1"/>
    </row>
    <row r="1001" spans="1:3" ht="15" customHeight="1" x14ac:dyDescent="0.25">
      <c r="A1001" s="1"/>
      <c r="B1001" s="1"/>
      <c r="C1001" s="1"/>
    </row>
    <row r="1002" spans="1:3" ht="15" customHeight="1" x14ac:dyDescent="0.25">
      <c r="A1002" s="1"/>
      <c r="B1002" s="1"/>
      <c r="C1002" s="1"/>
    </row>
    <row r="1003" spans="1:3" ht="15" customHeight="1" x14ac:dyDescent="0.25">
      <c r="A1003" s="1"/>
      <c r="B1003" s="1"/>
      <c r="C1003" s="1"/>
    </row>
    <row r="1004" spans="1:3" ht="15" customHeight="1" x14ac:dyDescent="0.25">
      <c r="A1004" s="1"/>
      <c r="B1004" s="1"/>
      <c r="C1004" s="1"/>
    </row>
    <row r="1005" spans="1:3" ht="15" customHeight="1" x14ac:dyDescent="0.25">
      <c r="A1005" s="1"/>
      <c r="B1005" s="1"/>
      <c r="C1005" s="1"/>
    </row>
    <row r="1006" spans="1:3" ht="15" customHeight="1" x14ac:dyDescent="0.25">
      <c r="A1006" s="1"/>
      <c r="B1006" s="1"/>
      <c r="C1006" s="1"/>
    </row>
    <row r="1007" spans="1:3" ht="15" customHeight="1" x14ac:dyDescent="0.25">
      <c r="A1007" s="1"/>
      <c r="B1007" s="1"/>
      <c r="C1007" s="1"/>
    </row>
    <row r="1008" spans="1:3" ht="15" customHeight="1" x14ac:dyDescent="0.25">
      <c r="A1008" s="1"/>
      <c r="B1008" s="1"/>
      <c r="C1008" s="1"/>
    </row>
    <row r="1009" spans="1:3" ht="15" customHeight="1" x14ac:dyDescent="0.25">
      <c r="A1009" s="1"/>
      <c r="B1009" s="1"/>
      <c r="C1009" s="1"/>
    </row>
    <row r="1010" spans="1:3" ht="15" customHeight="1" x14ac:dyDescent="0.25">
      <c r="A1010" s="1"/>
      <c r="B1010" s="1"/>
      <c r="C1010" s="1"/>
    </row>
    <row r="1011" spans="1:3" ht="15" customHeight="1" x14ac:dyDescent="0.25">
      <c r="A1011" s="1"/>
      <c r="B1011" s="1"/>
      <c r="C1011" s="1"/>
    </row>
    <row r="1012" spans="1:3" ht="15" customHeight="1" x14ac:dyDescent="0.25">
      <c r="A1012" s="1"/>
      <c r="B1012" s="1"/>
      <c r="C1012" s="1"/>
    </row>
    <row r="1013" spans="1:3" ht="15" customHeight="1" x14ac:dyDescent="0.25">
      <c r="A1013" s="1"/>
      <c r="B1013" s="1"/>
      <c r="C1013" s="1"/>
    </row>
    <row r="1014" spans="1:3" ht="15" customHeight="1" x14ac:dyDescent="0.25">
      <c r="A1014" s="1"/>
      <c r="B1014" s="1"/>
      <c r="C1014" s="1"/>
    </row>
    <row r="1015" spans="1:3" ht="15" customHeight="1" x14ac:dyDescent="0.25">
      <c r="A1015" s="1"/>
      <c r="B1015" s="1"/>
      <c r="C1015" s="1"/>
    </row>
    <row r="1016" spans="1:3" ht="15" customHeight="1" x14ac:dyDescent="0.25">
      <c r="A1016" s="1"/>
      <c r="B1016" s="1"/>
      <c r="C1016" s="1"/>
    </row>
    <row r="1017" spans="1:3" ht="15" customHeight="1" x14ac:dyDescent="0.25">
      <c r="A1017" s="1"/>
      <c r="B1017" s="1"/>
      <c r="C1017" s="1"/>
    </row>
    <row r="1018" spans="1:3" ht="15" customHeight="1" x14ac:dyDescent="0.25">
      <c r="A1018" s="1"/>
      <c r="B1018" s="1"/>
      <c r="C1018" s="1"/>
    </row>
    <row r="1019" spans="1:3" ht="15" customHeight="1" x14ac:dyDescent="0.25">
      <c r="A1019" s="1"/>
      <c r="B1019" s="1"/>
      <c r="C1019" s="1"/>
    </row>
    <row r="1020" spans="1:3" ht="15" customHeight="1" x14ac:dyDescent="0.25">
      <c r="A1020" s="1"/>
      <c r="B1020" s="1"/>
      <c r="C1020" s="1"/>
    </row>
    <row r="1021" spans="1:3" ht="15" customHeight="1" x14ac:dyDescent="0.25">
      <c r="A1021" s="1"/>
      <c r="B1021" s="1"/>
      <c r="C1021" s="1"/>
    </row>
    <row r="1022" spans="1:3" ht="15" customHeight="1" x14ac:dyDescent="0.25">
      <c r="A1022" s="1"/>
      <c r="B1022" s="1"/>
      <c r="C1022" s="1"/>
    </row>
    <row r="1023" spans="1:3" ht="15" customHeight="1" x14ac:dyDescent="0.25">
      <c r="A1023" s="1"/>
      <c r="B1023" s="1"/>
      <c r="C1023" s="1"/>
    </row>
    <row r="1024" spans="1:3" ht="15" customHeight="1" x14ac:dyDescent="0.25">
      <c r="A1024" s="1"/>
      <c r="B1024" s="1"/>
      <c r="C1024" s="1"/>
    </row>
    <row r="1025" spans="1:3" ht="15" customHeight="1" x14ac:dyDescent="0.25">
      <c r="A1025" s="1"/>
      <c r="B1025" s="1"/>
      <c r="C1025" s="1"/>
    </row>
    <row r="1026" spans="1:3" ht="15" customHeight="1" x14ac:dyDescent="0.25">
      <c r="A1026" s="1"/>
      <c r="B1026" s="1"/>
      <c r="C1026" s="1"/>
    </row>
    <row r="1027" spans="1:3" ht="15" customHeight="1" x14ac:dyDescent="0.25">
      <c r="A1027" s="1"/>
      <c r="B1027" s="1"/>
      <c r="C1027" s="1"/>
    </row>
    <row r="1028" spans="1:3" ht="15" customHeight="1" x14ac:dyDescent="0.25">
      <c r="A1028" s="1"/>
      <c r="B1028" s="1"/>
      <c r="C1028" s="1"/>
    </row>
    <row r="1029" spans="1:3" ht="15" customHeight="1" x14ac:dyDescent="0.25">
      <c r="A1029" s="1"/>
      <c r="B1029" s="1"/>
      <c r="C1029" s="1"/>
    </row>
    <row r="1030" spans="1:3" ht="15" customHeight="1" x14ac:dyDescent="0.25">
      <c r="A1030" s="1"/>
      <c r="B1030" s="1"/>
      <c r="C1030" s="1"/>
    </row>
    <row r="1031" spans="1:3" ht="15" customHeight="1" x14ac:dyDescent="0.25">
      <c r="A1031" s="1"/>
      <c r="B1031" s="1"/>
      <c r="C1031" s="1"/>
    </row>
    <row r="1032" spans="1:3" ht="15" customHeight="1" x14ac:dyDescent="0.25">
      <c r="A1032" s="1"/>
      <c r="B1032" s="1"/>
      <c r="C1032" s="1"/>
    </row>
    <row r="1033" spans="1:3" ht="15" customHeight="1" x14ac:dyDescent="0.25">
      <c r="A1033" s="1"/>
      <c r="B1033" s="1"/>
      <c r="C1033" s="1"/>
    </row>
    <row r="1034" spans="1:3" ht="15" customHeight="1" x14ac:dyDescent="0.25">
      <c r="A1034" s="1"/>
      <c r="B1034" s="1"/>
      <c r="C1034" s="1"/>
    </row>
    <row r="1035" spans="1:3" ht="15" customHeight="1" x14ac:dyDescent="0.25">
      <c r="A1035" s="1"/>
      <c r="B1035" s="1"/>
      <c r="C1035" s="1"/>
    </row>
    <row r="1036" spans="1:3" ht="15" customHeight="1" x14ac:dyDescent="0.25">
      <c r="A1036" s="1"/>
      <c r="B1036" s="1"/>
      <c r="C1036" s="1"/>
    </row>
    <row r="1037" spans="1:3" ht="15" customHeight="1" x14ac:dyDescent="0.25">
      <c r="A1037" s="1"/>
      <c r="B1037" s="1"/>
      <c r="C1037" s="1"/>
    </row>
    <row r="1038" spans="1:3" ht="15" customHeight="1" x14ac:dyDescent="0.25">
      <c r="A1038" s="1"/>
      <c r="B1038" s="1"/>
      <c r="C1038" s="1"/>
    </row>
    <row r="1039" spans="1:3" ht="15" customHeight="1" x14ac:dyDescent="0.25">
      <c r="A1039" s="1"/>
      <c r="B1039" s="1"/>
      <c r="C1039" s="1"/>
    </row>
    <row r="1040" spans="1:3" ht="15" customHeight="1" x14ac:dyDescent="0.25">
      <c r="A1040" s="1"/>
      <c r="B1040" s="1"/>
      <c r="C1040" s="1"/>
    </row>
    <row r="1041" spans="1:3" ht="15" customHeight="1" x14ac:dyDescent="0.25">
      <c r="A1041" s="1"/>
      <c r="B1041" s="1"/>
      <c r="C1041" s="1"/>
    </row>
    <row r="1042" spans="1:3" ht="15" customHeight="1" x14ac:dyDescent="0.25">
      <c r="A1042" s="1"/>
      <c r="B1042" s="1"/>
      <c r="C1042" s="1"/>
    </row>
    <row r="1043" spans="1:3" ht="15" customHeight="1" x14ac:dyDescent="0.25">
      <c r="A1043" s="1"/>
      <c r="B1043" s="1"/>
      <c r="C1043" s="1"/>
    </row>
    <row r="1044" spans="1:3" ht="15" customHeight="1" x14ac:dyDescent="0.25">
      <c r="A1044" s="1"/>
      <c r="B1044" s="1"/>
      <c r="C1044" s="1"/>
    </row>
    <row r="1045" spans="1:3" ht="15" customHeight="1" x14ac:dyDescent="0.25">
      <c r="A1045" s="1"/>
      <c r="B1045" s="1"/>
      <c r="C1045" s="1"/>
    </row>
    <row r="1046" spans="1:3" ht="15" customHeight="1" x14ac:dyDescent="0.25">
      <c r="A1046" s="1"/>
      <c r="B1046" s="1"/>
      <c r="C1046" s="1"/>
    </row>
    <row r="1047" spans="1:3" ht="15" customHeight="1" x14ac:dyDescent="0.25">
      <c r="A1047" s="1"/>
      <c r="B1047" s="1"/>
      <c r="C1047" s="1"/>
    </row>
    <row r="1048" spans="1:3" ht="15" customHeight="1" x14ac:dyDescent="0.25">
      <c r="A1048" s="1"/>
      <c r="B1048" s="1"/>
      <c r="C1048" s="1"/>
    </row>
    <row r="1049" spans="1:3" ht="15" customHeight="1" x14ac:dyDescent="0.25">
      <c r="A1049" s="1"/>
      <c r="B1049" s="1"/>
      <c r="C1049" s="1"/>
    </row>
    <row r="1050" spans="1:3" ht="15" customHeight="1" x14ac:dyDescent="0.25">
      <c r="A1050" s="1"/>
      <c r="B1050" s="1"/>
      <c r="C1050" s="1"/>
    </row>
    <row r="1051" spans="1:3" ht="15" customHeight="1" x14ac:dyDescent="0.25">
      <c r="A1051" s="1"/>
      <c r="B1051" s="1"/>
      <c r="C1051" s="1"/>
    </row>
    <row r="1052" spans="1:3" ht="15" customHeight="1" x14ac:dyDescent="0.25">
      <c r="A1052" s="1"/>
      <c r="B1052" s="1"/>
      <c r="C1052" s="1"/>
    </row>
    <row r="1053" spans="1:3" ht="15" customHeight="1" x14ac:dyDescent="0.25">
      <c r="A1053" s="1"/>
      <c r="B1053" s="1"/>
      <c r="C1053" s="1"/>
    </row>
    <row r="1054" spans="1:3" ht="15" customHeight="1" x14ac:dyDescent="0.25">
      <c r="A1054" s="1"/>
      <c r="B1054" s="1"/>
      <c r="C1054" s="1"/>
    </row>
    <row r="1055" spans="1:3" ht="15" customHeight="1" x14ac:dyDescent="0.25">
      <c r="A1055" s="1"/>
      <c r="B1055" s="1"/>
      <c r="C1055" s="1"/>
    </row>
    <row r="1056" spans="1:3" ht="15" customHeight="1" x14ac:dyDescent="0.25">
      <c r="A1056" s="1"/>
      <c r="B1056" s="1"/>
      <c r="C1056" s="1"/>
    </row>
    <row r="1057" spans="1:3" ht="15" customHeight="1" x14ac:dyDescent="0.25">
      <c r="A1057" s="1"/>
      <c r="B1057" s="1"/>
      <c r="C1057" s="1"/>
    </row>
    <row r="1058" spans="1:3" ht="15" customHeight="1" x14ac:dyDescent="0.25">
      <c r="A1058" s="1"/>
      <c r="B1058" s="1"/>
      <c r="C1058" s="1"/>
    </row>
    <row r="1059" spans="1:3" ht="15" customHeight="1" x14ac:dyDescent="0.25">
      <c r="A1059" s="1"/>
      <c r="B1059" s="1"/>
      <c r="C1059" s="1"/>
    </row>
    <row r="1060" spans="1:3" ht="15" customHeight="1" x14ac:dyDescent="0.25">
      <c r="A1060" s="1"/>
      <c r="B1060" s="1"/>
      <c r="C1060" s="1"/>
    </row>
    <row r="1061" spans="1:3" ht="15" customHeight="1" x14ac:dyDescent="0.25">
      <c r="A1061" s="1"/>
      <c r="B1061" s="1"/>
      <c r="C1061" s="1"/>
    </row>
    <row r="1062" spans="1:3" ht="15" customHeight="1" x14ac:dyDescent="0.25">
      <c r="A1062" s="1"/>
      <c r="B1062" s="1"/>
      <c r="C1062" s="1"/>
    </row>
    <row r="1063" spans="1:3" ht="15" customHeight="1" x14ac:dyDescent="0.25">
      <c r="A1063" s="1"/>
      <c r="B1063" s="1"/>
      <c r="C1063" s="1"/>
    </row>
    <row r="1064" spans="1:3" ht="15" customHeight="1" x14ac:dyDescent="0.25">
      <c r="A1064" s="1"/>
      <c r="B1064" s="1"/>
      <c r="C1064" s="1"/>
    </row>
    <row r="1065" spans="1:3" ht="15" customHeight="1" x14ac:dyDescent="0.25">
      <c r="A1065" s="1"/>
      <c r="B1065" s="1"/>
      <c r="C1065" s="1"/>
    </row>
    <row r="1066" spans="1:3" ht="15" customHeight="1" x14ac:dyDescent="0.25">
      <c r="A1066" s="1"/>
      <c r="B1066" s="1"/>
      <c r="C1066" s="1"/>
    </row>
    <row r="1067" spans="1:3" ht="15" customHeight="1" x14ac:dyDescent="0.25">
      <c r="A1067" s="1"/>
      <c r="B1067" s="1"/>
      <c r="C1067" s="1"/>
    </row>
    <row r="1068" spans="1:3" ht="15" customHeight="1" x14ac:dyDescent="0.25">
      <c r="A1068" s="1"/>
      <c r="B1068" s="1"/>
      <c r="C1068" s="1"/>
    </row>
    <row r="1069" spans="1:3" ht="15" customHeight="1" x14ac:dyDescent="0.25">
      <c r="A1069" s="1"/>
      <c r="B1069" s="1"/>
      <c r="C1069" s="1"/>
    </row>
    <row r="1070" spans="1:3" ht="15" customHeight="1" x14ac:dyDescent="0.25">
      <c r="A1070" s="1"/>
      <c r="B1070" s="1"/>
      <c r="C1070" s="1"/>
    </row>
    <row r="1071" spans="1:3" ht="15" customHeight="1" x14ac:dyDescent="0.25">
      <c r="A1071" s="1"/>
      <c r="B1071" s="1"/>
      <c r="C1071" s="1"/>
    </row>
    <row r="1072" spans="1:3" ht="15" customHeight="1" x14ac:dyDescent="0.25">
      <c r="A1072" s="1"/>
      <c r="B1072" s="1"/>
      <c r="C1072" s="1"/>
    </row>
    <row r="1073" spans="1:3" ht="15" customHeight="1" x14ac:dyDescent="0.25">
      <c r="A1073" s="1"/>
      <c r="B1073" s="1"/>
      <c r="C1073" s="1"/>
    </row>
    <row r="1074" spans="1:3" ht="15" customHeight="1" x14ac:dyDescent="0.25">
      <c r="A1074" s="1"/>
      <c r="B1074" s="1"/>
      <c r="C1074" s="1"/>
    </row>
    <row r="1075" spans="1:3" ht="15" customHeight="1" x14ac:dyDescent="0.25">
      <c r="A1075" s="1"/>
      <c r="B1075" s="1"/>
      <c r="C1075" s="1"/>
    </row>
    <row r="1076" spans="1:3" ht="15" customHeight="1" x14ac:dyDescent="0.25">
      <c r="A1076" s="1"/>
      <c r="B1076" s="1"/>
      <c r="C1076" s="1"/>
    </row>
    <row r="1077" spans="1:3" ht="15" customHeight="1" x14ac:dyDescent="0.25">
      <c r="A1077" s="1"/>
      <c r="B1077" s="1"/>
      <c r="C1077" s="1"/>
    </row>
    <row r="1078" spans="1:3" ht="15" customHeight="1" x14ac:dyDescent="0.25">
      <c r="A1078" s="1"/>
      <c r="B1078" s="1"/>
      <c r="C1078" s="1"/>
    </row>
    <row r="1079" spans="1:3" ht="15" customHeight="1" x14ac:dyDescent="0.25">
      <c r="A1079" s="1"/>
      <c r="B1079" s="1"/>
      <c r="C1079" s="1"/>
    </row>
    <row r="1080" spans="1:3" ht="15" customHeight="1" x14ac:dyDescent="0.25">
      <c r="A1080" s="1"/>
      <c r="B1080" s="1"/>
      <c r="C1080" s="1"/>
    </row>
    <row r="1081" spans="1:3" ht="15" customHeight="1" x14ac:dyDescent="0.25">
      <c r="A1081" s="1"/>
      <c r="B1081" s="1"/>
      <c r="C1081" s="1"/>
    </row>
    <row r="1082" spans="1:3" ht="15" customHeight="1" x14ac:dyDescent="0.25">
      <c r="A1082" s="1"/>
      <c r="B1082" s="1"/>
      <c r="C1082" s="1"/>
    </row>
    <row r="1083" spans="1:3" ht="15" customHeight="1" x14ac:dyDescent="0.25">
      <c r="A1083" s="1"/>
      <c r="B1083" s="1"/>
      <c r="C1083" s="1"/>
    </row>
    <row r="1084" spans="1:3" ht="15" customHeight="1" x14ac:dyDescent="0.25">
      <c r="A1084" s="1"/>
      <c r="B1084" s="1"/>
      <c r="C1084" s="1"/>
    </row>
    <row r="1085" spans="1:3" ht="15" customHeight="1" x14ac:dyDescent="0.25">
      <c r="A1085" s="1"/>
      <c r="B1085" s="1"/>
      <c r="C1085" s="1"/>
    </row>
    <row r="1086" spans="1:3" ht="15" customHeight="1" x14ac:dyDescent="0.25">
      <c r="A1086" s="1"/>
      <c r="B1086" s="1"/>
      <c r="C1086" s="1"/>
    </row>
    <row r="1087" spans="1:3" ht="15" customHeight="1" x14ac:dyDescent="0.25">
      <c r="A1087" s="1"/>
      <c r="B1087" s="1"/>
      <c r="C1087" s="1"/>
    </row>
    <row r="1088" spans="1:3" ht="15" customHeight="1" x14ac:dyDescent="0.25">
      <c r="A1088" s="1"/>
      <c r="B1088" s="1"/>
      <c r="C1088" s="1"/>
    </row>
    <row r="1089" spans="1:3" ht="15" customHeight="1" x14ac:dyDescent="0.25">
      <c r="A1089" s="1"/>
      <c r="B1089" s="1"/>
      <c r="C1089" s="1"/>
    </row>
    <row r="1090" spans="1:3" ht="15" customHeight="1" x14ac:dyDescent="0.25">
      <c r="A1090" s="1"/>
      <c r="B1090" s="1"/>
      <c r="C1090" s="1"/>
    </row>
    <row r="1091" spans="1:3" ht="15" customHeight="1" x14ac:dyDescent="0.25">
      <c r="A1091" s="1"/>
      <c r="B1091" s="1"/>
      <c r="C1091" s="1"/>
    </row>
    <row r="1092" spans="1:3" ht="15" customHeight="1" x14ac:dyDescent="0.25">
      <c r="A1092" s="1"/>
      <c r="B1092" s="1"/>
      <c r="C1092" s="1"/>
    </row>
    <row r="1093" spans="1:3" ht="15" customHeight="1" x14ac:dyDescent="0.25">
      <c r="A1093" s="1"/>
      <c r="B1093" s="1"/>
      <c r="C1093" s="1"/>
    </row>
    <row r="1094" spans="1:3" ht="15" customHeight="1" x14ac:dyDescent="0.25">
      <c r="A1094" s="1"/>
      <c r="B1094" s="1"/>
      <c r="C1094" s="1"/>
    </row>
    <row r="1095" spans="1:3" ht="15" customHeight="1" x14ac:dyDescent="0.25">
      <c r="A1095" s="1"/>
      <c r="B1095" s="1"/>
      <c r="C1095" s="1"/>
    </row>
    <row r="1096" spans="1:3" ht="15" customHeight="1" x14ac:dyDescent="0.25">
      <c r="A1096" s="1"/>
      <c r="B1096" s="1"/>
      <c r="C1096" s="1"/>
    </row>
    <row r="1097" spans="1:3" ht="15" customHeight="1" x14ac:dyDescent="0.25">
      <c r="A1097" s="1"/>
      <c r="B1097" s="1"/>
      <c r="C1097" s="1"/>
    </row>
    <row r="1098" spans="1:3" ht="15" customHeight="1" x14ac:dyDescent="0.25">
      <c r="A1098" s="1"/>
      <c r="B1098" s="1"/>
      <c r="C1098" s="1"/>
    </row>
    <row r="1099" spans="1:3" ht="15" customHeight="1" x14ac:dyDescent="0.25">
      <c r="A1099" s="1"/>
      <c r="B1099" s="1"/>
      <c r="C1099" s="1"/>
    </row>
    <row r="1100" spans="1:3" ht="15" customHeight="1" x14ac:dyDescent="0.25">
      <c r="A1100" s="1"/>
      <c r="B1100" s="1"/>
      <c r="C1100" s="1"/>
    </row>
    <row r="1101" spans="1:3" ht="15" customHeight="1" x14ac:dyDescent="0.25">
      <c r="A1101" s="1"/>
      <c r="B1101" s="1"/>
      <c r="C1101" s="1"/>
    </row>
    <row r="1102" spans="1:3" ht="15" customHeight="1" x14ac:dyDescent="0.25">
      <c r="A1102" s="1"/>
      <c r="B1102" s="1"/>
      <c r="C1102" s="1"/>
    </row>
    <row r="1103" spans="1:3" ht="15" customHeight="1" x14ac:dyDescent="0.25">
      <c r="A1103" s="1"/>
      <c r="B1103" s="1"/>
      <c r="C1103" s="1"/>
    </row>
    <row r="1104" spans="1:3" ht="15" customHeight="1" x14ac:dyDescent="0.25">
      <c r="A1104" s="1"/>
      <c r="B1104" s="1"/>
      <c r="C1104" s="1"/>
    </row>
    <row r="1105" spans="1:3" ht="15" customHeight="1" x14ac:dyDescent="0.25">
      <c r="A1105" s="1"/>
      <c r="B1105" s="1"/>
      <c r="C1105" s="1"/>
    </row>
    <row r="1106" spans="1:3" ht="15" customHeight="1" x14ac:dyDescent="0.25">
      <c r="A1106" s="1"/>
      <c r="B1106" s="1"/>
      <c r="C1106" s="1"/>
    </row>
    <row r="1107" spans="1:3" ht="15" customHeight="1" x14ac:dyDescent="0.25">
      <c r="A1107" s="1"/>
      <c r="B1107" s="1"/>
      <c r="C1107" s="1"/>
    </row>
    <row r="1108" spans="1:3" ht="15" customHeight="1" x14ac:dyDescent="0.25">
      <c r="A1108" s="1"/>
      <c r="B1108" s="1"/>
      <c r="C1108" s="1"/>
    </row>
    <row r="1109" spans="1:3" ht="15" customHeight="1" x14ac:dyDescent="0.25">
      <c r="A1109" s="1"/>
      <c r="B1109" s="1"/>
      <c r="C1109" s="1"/>
    </row>
    <row r="1110" spans="1:3" ht="15" customHeight="1" x14ac:dyDescent="0.25">
      <c r="A1110" s="1"/>
      <c r="B1110" s="1"/>
      <c r="C1110" s="1"/>
    </row>
    <row r="1111" spans="1:3" ht="15" customHeight="1" x14ac:dyDescent="0.25">
      <c r="A1111" s="1"/>
      <c r="B1111" s="1"/>
      <c r="C1111" s="1"/>
    </row>
    <row r="1112" spans="1:3" ht="15" customHeight="1" x14ac:dyDescent="0.25">
      <c r="A1112" s="1"/>
      <c r="B1112" s="1"/>
      <c r="C1112" s="1"/>
    </row>
    <row r="1113" spans="1:3" ht="15" customHeight="1" x14ac:dyDescent="0.25">
      <c r="A1113" s="1"/>
      <c r="B1113" s="1"/>
      <c r="C1113" s="1"/>
    </row>
    <row r="1114" spans="1:3" ht="15" customHeight="1" x14ac:dyDescent="0.25">
      <c r="A1114" s="1"/>
      <c r="B1114" s="1"/>
      <c r="C1114" s="1"/>
    </row>
    <row r="1115" spans="1:3" ht="15" customHeight="1" x14ac:dyDescent="0.25">
      <c r="A1115" s="1"/>
      <c r="B1115" s="1"/>
      <c r="C1115" s="1"/>
    </row>
    <row r="1116" spans="1:3" ht="15" customHeight="1" x14ac:dyDescent="0.25">
      <c r="A1116" s="1"/>
      <c r="B1116" s="1"/>
      <c r="C1116" s="1"/>
    </row>
    <row r="1117" spans="1:3" ht="15" customHeight="1" x14ac:dyDescent="0.25">
      <c r="A1117" s="1"/>
      <c r="B1117" s="1"/>
      <c r="C1117" s="1"/>
    </row>
    <row r="1118" spans="1:3" ht="15" customHeight="1" x14ac:dyDescent="0.25">
      <c r="A1118" s="1"/>
      <c r="B1118" s="1"/>
      <c r="C1118" s="1"/>
    </row>
    <row r="1119" spans="1:3" ht="15" customHeight="1" x14ac:dyDescent="0.25">
      <c r="A1119" s="1"/>
      <c r="B1119" s="1"/>
      <c r="C1119" s="1"/>
    </row>
    <row r="1120" spans="1:3" ht="15" customHeight="1" x14ac:dyDescent="0.25">
      <c r="A1120" s="1"/>
      <c r="B1120" s="1"/>
      <c r="C1120" s="1"/>
    </row>
    <row r="1121" spans="1:3" ht="15" customHeight="1" x14ac:dyDescent="0.25">
      <c r="A1121" s="1"/>
      <c r="B1121" s="1"/>
      <c r="C1121" s="1"/>
    </row>
    <row r="1122" spans="1:3" ht="15" customHeight="1" x14ac:dyDescent="0.25">
      <c r="A1122" s="1"/>
      <c r="B1122" s="1"/>
      <c r="C1122" s="1"/>
    </row>
    <row r="1123" spans="1:3" ht="15" customHeight="1" x14ac:dyDescent="0.25">
      <c r="A1123" s="1"/>
      <c r="B1123" s="1"/>
      <c r="C1123" s="1"/>
    </row>
    <row r="1124" spans="1:3" ht="15" customHeight="1" x14ac:dyDescent="0.25">
      <c r="A1124" s="1"/>
      <c r="B1124" s="1"/>
      <c r="C1124" s="1"/>
    </row>
    <row r="1125" spans="1:3" ht="15" customHeight="1" x14ac:dyDescent="0.25">
      <c r="A1125" s="1"/>
      <c r="B1125" s="1"/>
      <c r="C1125" s="1"/>
    </row>
    <row r="1126" spans="1:3" ht="15" customHeight="1" x14ac:dyDescent="0.25">
      <c r="A1126" s="1"/>
      <c r="B1126" s="1"/>
      <c r="C1126" s="1"/>
    </row>
    <row r="1127" spans="1:3" ht="15" customHeight="1" x14ac:dyDescent="0.25">
      <c r="A1127" s="1"/>
      <c r="B1127" s="1"/>
      <c r="C1127" s="1"/>
    </row>
    <row r="1128" spans="1:3" ht="15" customHeight="1" x14ac:dyDescent="0.25">
      <c r="A1128" s="1"/>
      <c r="B1128" s="1"/>
      <c r="C1128" s="1"/>
    </row>
    <row r="1129" spans="1:3" ht="15" customHeight="1" x14ac:dyDescent="0.25">
      <c r="A1129" s="1"/>
      <c r="B1129" s="1"/>
      <c r="C1129" s="1"/>
    </row>
    <row r="1130" spans="1:3" ht="15" customHeight="1" x14ac:dyDescent="0.25">
      <c r="A1130" s="1"/>
      <c r="B1130" s="1"/>
      <c r="C1130" s="1"/>
    </row>
    <row r="1131" spans="1:3" ht="15" customHeight="1" x14ac:dyDescent="0.25">
      <c r="A1131" s="1"/>
      <c r="B1131" s="1"/>
      <c r="C1131" s="1"/>
    </row>
    <row r="1132" spans="1:3" ht="15" customHeight="1" x14ac:dyDescent="0.25">
      <c r="A1132" s="1"/>
      <c r="B1132" s="1"/>
      <c r="C1132" s="1"/>
    </row>
    <row r="1133" spans="1:3" ht="15" customHeight="1" x14ac:dyDescent="0.25">
      <c r="A1133" s="1"/>
      <c r="B1133" s="1"/>
      <c r="C1133" s="1"/>
    </row>
    <row r="1134" spans="1:3" ht="15" customHeight="1" x14ac:dyDescent="0.25">
      <c r="A1134" s="1"/>
      <c r="B1134" s="1"/>
      <c r="C1134" s="1"/>
    </row>
    <row r="1135" spans="1:3" ht="15" customHeight="1" x14ac:dyDescent="0.25">
      <c r="A1135" s="1"/>
      <c r="B1135" s="1"/>
      <c r="C1135" s="1"/>
    </row>
    <row r="1136" spans="1:3" ht="15" customHeight="1" x14ac:dyDescent="0.25">
      <c r="A1136" s="1"/>
      <c r="B1136" s="1"/>
      <c r="C1136" s="1"/>
    </row>
    <row r="1137" spans="1:3" ht="15" customHeight="1" x14ac:dyDescent="0.25">
      <c r="A1137" s="1"/>
      <c r="B1137" s="1"/>
      <c r="C1137" s="1"/>
    </row>
    <row r="1138" spans="1:3" ht="15" customHeight="1" x14ac:dyDescent="0.25">
      <c r="A1138" s="1"/>
      <c r="B1138" s="1"/>
      <c r="C1138" s="1"/>
    </row>
    <row r="1139" spans="1:3" ht="15" customHeight="1" x14ac:dyDescent="0.25">
      <c r="A1139" s="1"/>
      <c r="B1139" s="1"/>
      <c r="C1139" s="1"/>
    </row>
    <row r="1140" spans="1:3" ht="15" customHeight="1" x14ac:dyDescent="0.25">
      <c r="A1140" s="1"/>
      <c r="B1140" s="1"/>
      <c r="C1140" s="1"/>
    </row>
    <row r="1141" spans="1:3" ht="15" customHeight="1" x14ac:dyDescent="0.25">
      <c r="A1141" s="1"/>
      <c r="B1141" s="1"/>
      <c r="C1141" s="1"/>
    </row>
    <row r="1142" spans="1:3" ht="15" customHeight="1" x14ac:dyDescent="0.25">
      <c r="A1142" s="1"/>
      <c r="B1142" s="1"/>
      <c r="C1142" s="1"/>
    </row>
    <row r="1143" spans="1:3" ht="15" customHeight="1" x14ac:dyDescent="0.25">
      <c r="A1143" s="1"/>
      <c r="B1143" s="1"/>
      <c r="C1143" s="1"/>
    </row>
    <row r="1144" spans="1:3" ht="15" customHeight="1" x14ac:dyDescent="0.25">
      <c r="A1144" s="1"/>
      <c r="B1144" s="1"/>
      <c r="C1144" s="1"/>
    </row>
    <row r="1145" spans="1:3" ht="15" customHeight="1" x14ac:dyDescent="0.25">
      <c r="A1145" s="1"/>
      <c r="B1145" s="1"/>
      <c r="C1145" s="1"/>
    </row>
    <row r="1146" spans="1:3" ht="15" customHeight="1" x14ac:dyDescent="0.25">
      <c r="A1146" s="1"/>
      <c r="B1146" s="1"/>
      <c r="C1146" s="1"/>
    </row>
    <row r="1147" spans="1:3" ht="15" customHeight="1" x14ac:dyDescent="0.25">
      <c r="A1147" s="1"/>
      <c r="B1147" s="1"/>
      <c r="C1147" s="1"/>
    </row>
    <row r="1148" spans="1:3" ht="15" customHeight="1" x14ac:dyDescent="0.25">
      <c r="A1148" s="1"/>
      <c r="B1148" s="1"/>
      <c r="C1148" s="1"/>
    </row>
    <row r="1149" spans="1:3" ht="15" customHeight="1" x14ac:dyDescent="0.25">
      <c r="A1149" s="1"/>
      <c r="B1149" s="1"/>
      <c r="C1149" s="1"/>
    </row>
    <row r="1150" spans="1:3" ht="15" customHeight="1" x14ac:dyDescent="0.25">
      <c r="A1150" s="1"/>
      <c r="B1150" s="1"/>
      <c r="C1150" s="1"/>
    </row>
    <row r="1151" spans="1:3" ht="15" customHeight="1" x14ac:dyDescent="0.25">
      <c r="A1151" s="1"/>
      <c r="B1151" s="1"/>
      <c r="C1151" s="1"/>
    </row>
    <row r="1152" spans="1:3" ht="15" customHeight="1" x14ac:dyDescent="0.25">
      <c r="A1152" s="1"/>
      <c r="B1152" s="1"/>
      <c r="C1152" s="1"/>
    </row>
    <row r="1153" spans="1:3" ht="15" customHeight="1" x14ac:dyDescent="0.25">
      <c r="A1153" s="1"/>
      <c r="B1153" s="1"/>
      <c r="C1153" s="1"/>
    </row>
    <row r="1154" spans="1:3" ht="15" customHeight="1" x14ac:dyDescent="0.25">
      <c r="A1154" s="1"/>
      <c r="B1154" s="1"/>
      <c r="C1154" s="1"/>
    </row>
    <row r="1155" spans="1:3" ht="15" customHeight="1" x14ac:dyDescent="0.25">
      <c r="A1155" s="1"/>
      <c r="B1155" s="1"/>
      <c r="C1155" s="1"/>
    </row>
    <row r="1156" spans="1:3" ht="15" customHeight="1" x14ac:dyDescent="0.25">
      <c r="A1156" s="1"/>
      <c r="B1156" s="1"/>
      <c r="C1156" s="1"/>
    </row>
    <row r="1157" spans="1:3" ht="15" customHeight="1" x14ac:dyDescent="0.25">
      <c r="A1157" s="1"/>
      <c r="B1157" s="1"/>
      <c r="C1157" s="1"/>
    </row>
    <row r="1158" spans="1:3" ht="15" customHeight="1" x14ac:dyDescent="0.25">
      <c r="A1158" s="1"/>
      <c r="B1158" s="1"/>
      <c r="C1158" s="1"/>
    </row>
    <row r="1159" spans="1:3" ht="15" customHeight="1" x14ac:dyDescent="0.25">
      <c r="A1159" s="1"/>
      <c r="B1159" s="1"/>
      <c r="C1159" s="1"/>
    </row>
    <row r="1160" spans="1:3" ht="15" customHeight="1" x14ac:dyDescent="0.25">
      <c r="A1160" s="1"/>
      <c r="B1160" s="1"/>
      <c r="C1160" s="1"/>
    </row>
    <row r="1161" spans="1:3" ht="15" customHeight="1" x14ac:dyDescent="0.25">
      <c r="A1161" s="1"/>
      <c r="B1161" s="1"/>
      <c r="C1161" s="1"/>
    </row>
    <row r="1162" spans="1:3" ht="15" customHeight="1" x14ac:dyDescent="0.25">
      <c r="A1162" s="1"/>
      <c r="B1162" s="1"/>
      <c r="C1162" s="1"/>
    </row>
    <row r="1163" spans="1:3" ht="15" customHeight="1" x14ac:dyDescent="0.25">
      <c r="A1163" s="1"/>
      <c r="B1163" s="1"/>
      <c r="C1163" s="1"/>
    </row>
    <row r="1164" spans="1:3" ht="15" customHeight="1" x14ac:dyDescent="0.25">
      <c r="A1164" s="1"/>
      <c r="B1164" s="1"/>
      <c r="C1164" s="1"/>
    </row>
    <row r="1165" spans="1:3" ht="15" customHeight="1" x14ac:dyDescent="0.25">
      <c r="A1165" s="1"/>
      <c r="B1165" s="1"/>
      <c r="C1165" s="1"/>
    </row>
    <row r="1166" spans="1:3" ht="15" customHeight="1" x14ac:dyDescent="0.25">
      <c r="A1166" s="1"/>
      <c r="B1166" s="1"/>
      <c r="C1166" s="1"/>
    </row>
    <row r="1167" spans="1:3" ht="15" customHeight="1" x14ac:dyDescent="0.25">
      <c r="A1167" s="1"/>
      <c r="B1167" s="1"/>
      <c r="C1167" s="1"/>
    </row>
    <row r="1168" spans="1:3" ht="15" customHeight="1" x14ac:dyDescent="0.25">
      <c r="A1168" s="1"/>
      <c r="B1168" s="1"/>
      <c r="C1168" s="1"/>
    </row>
    <row r="1169" spans="1:3" ht="15" customHeight="1" x14ac:dyDescent="0.25">
      <c r="A1169" s="1"/>
      <c r="B1169" s="1"/>
      <c r="C1169" s="1"/>
    </row>
    <row r="1170" spans="1:3" ht="15" customHeight="1" x14ac:dyDescent="0.25">
      <c r="A1170" s="1"/>
      <c r="B1170" s="1"/>
      <c r="C1170" s="1"/>
    </row>
    <row r="1171" spans="1:3" ht="15" customHeight="1" x14ac:dyDescent="0.25">
      <c r="A1171" s="1"/>
      <c r="B1171" s="1"/>
      <c r="C1171" s="1"/>
    </row>
    <row r="1172" spans="1:3" ht="15" customHeight="1" x14ac:dyDescent="0.25">
      <c r="A1172" s="1"/>
      <c r="B1172" s="1"/>
      <c r="C1172" s="1"/>
    </row>
    <row r="1173" spans="1:3" ht="15" customHeight="1" x14ac:dyDescent="0.25">
      <c r="A1173" s="1"/>
      <c r="B1173" s="1"/>
      <c r="C1173" s="1"/>
    </row>
    <row r="1174" spans="1:3" ht="15" customHeight="1" x14ac:dyDescent="0.25">
      <c r="A1174" s="1"/>
      <c r="B1174" s="1"/>
      <c r="C1174" s="1"/>
    </row>
    <row r="1175" spans="1:3" ht="15" customHeight="1" x14ac:dyDescent="0.25">
      <c r="A1175" s="1"/>
      <c r="B1175" s="1"/>
      <c r="C1175" s="1"/>
    </row>
    <row r="1176" spans="1:3" ht="15" customHeight="1" x14ac:dyDescent="0.25">
      <c r="A1176" s="1"/>
      <c r="B1176" s="1"/>
      <c r="C1176" s="1"/>
    </row>
    <row r="1177" spans="1:3" ht="15" customHeight="1" x14ac:dyDescent="0.25">
      <c r="A1177" s="1"/>
      <c r="B1177" s="1"/>
      <c r="C1177" s="1"/>
    </row>
    <row r="1178" spans="1:3" ht="15" customHeight="1" x14ac:dyDescent="0.25">
      <c r="A1178" s="1"/>
      <c r="B1178" s="1"/>
      <c r="C1178" s="1"/>
    </row>
    <row r="1179" spans="1:3" ht="15" customHeight="1" x14ac:dyDescent="0.25">
      <c r="A1179" s="1"/>
      <c r="B1179" s="1"/>
      <c r="C1179" s="1"/>
    </row>
    <row r="1180" spans="1:3" ht="15" customHeight="1" x14ac:dyDescent="0.25">
      <c r="A1180" s="1"/>
      <c r="B1180" s="1"/>
      <c r="C1180" s="1"/>
    </row>
    <row r="1181" spans="1:3" ht="15" customHeight="1" x14ac:dyDescent="0.25">
      <c r="A1181" s="1"/>
      <c r="B1181" s="1"/>
      <c r="C1181" s="1"/>
    </row>
    <row r="1182" spans="1:3" ht="15" customHeight="1" x14ac:dyDescent="0.25">
      <c r="A1182" s="1"/>
      <c r="B1182" s="1"/>
      <c r="C1182" s="1"/>
    </row>
    <row r="1183" spans="1:3" ht="15" customHeight="1" x14ac:dyDescent="0.25">
      <c r="A1183" s="1"/>
      <c r="B1183" s="1"/>
      <c r="C1183" s="1"/>
    </row>
    <row r="1184" spans="1:3" ht="15" customHeight="1" x14ac:dyDescent="0.25">
      <c r="A1184" s="1"/>
      <c r="B1184" s="1"/>
      <c r="C1184" s="1"/>
    </row>
    <row r="1185" spans="1:3" ht="15" customHeight="1" x14ac:dyDescent="0.25">
      <c r="A1185" s="1"/>
      <c r="B1185" s="1"/>
      <c r="C1185" s="1"/>
    </row>
    <row r="1186" spans="1:3" ht="15" customHeight="1" x14ac:dyDescent="0.25">
      <c r="A1186" s="1"/>
      <c r="B1186" s="1"/>
      <c r="C1186" s="1"/>
    </row>
    <row r="1187" spans="1:3" ht="15" customHeight="1" x14ac:dyDescent="0.25">
      <c r="A1187" s="1"/>
      <c r="B1187" s="1"/>
      <c r="C1187" s="1"/>
    </row>
    <row r="1188" spans="1:3" ht="15" customHeight="1" x14ac:dyDescent="0.25">
      <c r="A1188" s="1"/>
      <c r="B1188" s="1"/>
      <c r="C1188" s="1"/>
    </row>
    <row r="1189" spans="1:3" ht="15" customHeight="1" x14ac:dyDescent="0.25">
      <c r="A1189" s="1"/>
      <c r="B1189" s="1"/>
      <c r="C1189" s="1"/>
    </row>
    <row r="1190" spans="1:3" ht="15" customHeight="1" x14ac:dyDescent="0.25">
      <c r="A1190" s="1"/>
      <c r="B1190" s="1"/>
      <c r="C1190" s="1"/>
    </row>
    <row r="1191" spans="1:3" ht="15" customHeight="1" x14ac:dyDescent="0.25">
      <c r="A1191" s="1"/>
      <c r="B1191" s="1"/>
      <c r="C1191" s="1"/>
    </row>
    <row r="1192" spans="1:3" ht="15" customHeight="1" x14ac:dyDescent="0.25">
      <c r="A1192" s="1"/>
      <c r="B1192" s="1"/>
      <c r="C1192" s="1"/>
    </row>
    <row r="1193" spans="1:3" ht="15" customHeight="1" x14ac:dyDescent="0.25">
      <c r="A1193" s="1"/>
      <c r="B1193" s="1"/>
      <c r="C1193" s="1"/>
    </row>
    <row r="1194" spans="1:3" ht="15" customHeight="1" x14ac:dyDescent="0.25">
      <c r="A1194" s="1"/>
      <c r="B1194" s="1"/>
      <c r="C1194" s="1"/>
    </row>
    <row r="1195" spans="1:3" ht="15" customHeight="1" x14ac:dyDescent="0.25">
      <c r="A1195" s="1"/>
      <c r="B1195" s="1"/>
      <c r="C1195" s="1"/>
    </row>
    <row r="1196" spans="1:3" ht="15" customHeight="1" x14ac:dyDescent="0.25">
      <c r="A1196" s="1"/>
      <c r="B1196" s="1"/>
      <c r="C1196" s="1"/>
    </row>
    <row r="1197" spans="1:3" ht="15" customHeight="1" x14ac:dyDescent="0.25">
      <c r="A1197" s="1"/>
      <c r="B1197" s="1"/>
      <c r="C1197" s="1"/>
    </row>
    <row r="1198" spans="1:3" ht="15" customHeight="1" x14ac:dyDescent="0.25">
      <c r="A1198" s="1"/>
      <c r="B1198" s="1"/>
      <c r="C1198" s="1"/>
    </row>
    <row r="1199" spans="1:3" ht="15" customHeight="1" x14ac:dyDescent="0.25">
      <c r="A1199" s="1"/>
      <c r="B1199" s="1"/>
      <c r="C1199" s="1"/>
    </row>
    <row r="1200" spans="1:3" ht="15" customHeight="1" x14ac:dyDescent="0.25">
      <c r="A1200" s="1"/>
      <c r="B1200" s="1"/>
      <c r="C1200" s="1"/>
    </row>
    <row r="1201" spans="1:3" ht="15" customHeight="1" x14ac:dyDescent="0.25">
      <c r="A1201" s="1"/>
      <c r="B1201" s="1"/>
      <c r="C1201" s="1"/>
    </row>
    <row r="1202" spans="1:3" ht="15" customHeight="1" x14ac:dyDescent="0.25">
      <c r="A1202" s="1"/>
      <c r="B1202" s="1"/>
      <c r="C1202" s="1"/>
    </row>
    <row r="1203" spans="1:3" ht="15" customHeight="1" x14ac:dyDescent="0.25">
      <c r="A1203" s="1"/>
      <c r="B1203" s="1"/>
      <c r="C1203" s="1"/>
    </row>
    <row r="1204" spans="1:3" ht="15" customHeight="1" x14ac:dyDescent="0.25">
      <c r="A1204" s="1"/>
      <c r="B1204" s="1"/>
      <c r="C1204" s="1"/>
    </row>
    <row r="1205" spans="1:3" ht="15" customHeight="1" x14ac:dyDescent="0.25">
      <c r="A1205" s="1"/>
      <c r="B1205" s="1"/>
      <c r="C1205" s="1"/>
    </row>
    <row r="1206" spans="1:3" ht="15" customHeight="1" x14ac:dyDescent="0.25">
      <c r="A1206" s="1"/>
      <c r="B1206" s="1"/>
      <c r="C1206" s="1"/>
    </row>
    <row r="1207" spans="1:3" ht="15" customHeight="1" x14ac:dyDescent="0.25">
      <c r="A1207" s="1"/>
      <c r="B1207" s="1"/>
      <c r="C1207" s="1"/>
    </row>
    <row r="1208" spans="1:3" ht="15" customHeight="1" x14ac:dyDescent="0.25">
      <c r="A1208" s="1"/>
      <c r="B1208" s="1"/>
      <c r="C1208" s="1"/>
    </row>
    <row r="1209" spans="1:3" ht="15" customHeight="1" x14ac:dyDescent="0.25">
      <c r="A1209" s="1"/>
      <c r="B1209" s="1"/>
      <c r="C1209" s="1"/>
    </row>
    <row r="1210" spans="1:3" ht="15" customHeight="1" x14ac:dyDescent="0.25">
      <c r="A1210" s="1"/>
      <c r="B1210" s="1"/>
      <c r="C1210" s="1"/>
    </row>
    <row r="1211" spans="1:3" ht="15" customHeight="1" x14ac:dyDescent="0.25">
      <c r="A1211" s="1"/>
      <c r="B1211" s="1"/>
      <c r="C1211" s="1"/>
    </row>
    <row r="1212" spans="1:3" ht="15" customHeight="1" x14ac:dyDescent="0.25">
      <c r="A1212" s="1"/>
      <c r="B1212" s="1"/>
      <c r="C1212" s="1"/>
    </row>
    <row r="1213" spans="1:3" ht="15" customHeight="1" x14ac:dyDescent="0.25">
      <c r="A1213" s="1"/>
      <c r="B1213" s="1"/>
      <c r="C1213" s="1"/>
    </row>
    <row r="1214" spans="1:3" ht="15" customHeight="1" x14ac:dyDescent="0.25">
      <c r="A1214" s="1"/>
      <c r="B1214" s="1"/>
      <c r="C1214" s="1"/>
    </row>
    <row r="1215" spans="1:3" ht="15" customHeight="1" x14ac:dyDescent="0.25">
      <c r="A1215" s="1"/>
      <c r="B1215" s="1"/>
      <c r="C1215" s="1"/>
    </row>
    <row r="1216" spans="1:3" ht="15" customHeight="1" x14ac:dyDescent="0.25">
      <c r="A1216" s="1"/>
      <c r="B1216" s="1"/>
      <c r="C1216" s="1"/>
    </row>
    <row r="1217" spans="1:3" ht="15" customHeight="1" x14ac:dyDescent="0.25">
      <c r="A1217" s="1"/>
      <c r="B1217" s="1"/>
      <c r="C1217" s="1"/>
    </row>
    <row r="1218" spans="1:3" ht="15" customHeight="1" x14ac:dyDescent="0.25">
      <c r="A1218" s="1"/>
      <c r="B1218" s="1"/>
      <c r="C1218" s="1"/>
    </row>
    <row r="1219" spans="1:3" ht="15" customHeight="1" x14ac:dyDescent="0.25">
      <c r="A1219" s="1"/>
      <c r="B1219" s="1"/>
      <c r="C1219" s="1"/>
    </row>
    <row r="1220" spans="1:3" ht="15" customHeight="1" x14ac:dyDescent="0.25">
      <c r="A1220" s="1"/>
      <c r="B1220" s="1"/>
      <c r="C1220" s="1"/>
    </row>
    <row r="1221" spans="1:3" ht="15" customHeight="1" x14ac:dyDescent="0.25">
      <c r="A1221" s="1"/>
      <c r="B1221" s="1"/>
      <c r="C1221" s="1"/>
    </row>
    <row r="1222" spans="1:3" ht="15" customHeight="1" x14ac:dyDescent="0.25">
      <c r="A1222" s="1"/>
      <c r="B1222" s="1"/>
      <c r="C1222" s="1"/>
    </row>
    <row r="1223" spans="1:3" ht="15" customHeight="1" x14ac:dyDescent="0.25">
      <c r="A1223" s="1"/>
      <c r="B1223" s="1"/>
      <c r="C1223" s="1"/>
    </row>
    <row r="1224" spans="1:3" ht="15" customHeight="1" x14ac:dyDescent="0.25">
      <c r="A1224" s="1"/>
      <c r="B1224" s="1"/>
      <c r="C1224" s="1"/>
    </row>
    <row r="1225" spans="1:3" ht="15" customHeight="1" x14ac:dyDescent="0.25">
      <c r="A1225" s="1"/>
      <c r="B1225" s="1"/>
      <c r="C1225" s="1"/>
    </row>
    <row r="1226" spans="1:3" ht="15" customHeight="1" x14ac:dyDescent="0.25">
      <c r="A1226" s="1"/>
      <c r="B1226" s="1"/>
      <c r="C1226" s="1"/>
    </row>
    <row r="1227" spans="1:3" ht="15" customHeight="1" x14ac:dyDescent="0.25">
      <c r="A1227" s="1"/>
      <c r="B1227" s="1"/>
      <c r="C1227" s="1"/>
    </row>
    <row r="1228" spans="1:3" ht="15" customHeight="1" x14ac:dyDescent="0.25">
      <c r="A1228" s="1"/>
      <c r="B1228" s="1"/>
      <c r="C1228" s="1"/>
    </row>
    <row r="1229" spans="1:3" ht="15" customHeight="1" x14ac:dyDescent="0.25">
      <c r="A1229" s="1"/>
      <c r="B1229" s="1"/>
      <c r="C1229" s="1"/>
    </row>
    <row r="1230" spans="1:3" ht="15" customHeight="1" x14ac:dyDescent="0.25">
      <c r="A1230" s="1"/>
      <c r="B1230" s="1"/>
      <c r="C1230" s="1"/>
    </row>
    <row r="1231" spans="1:3" ht="15" customHeight="1" x14ac:dyDescent="0.25">
      <c r="A1231" s="1"/>
      <c r="B1231" s="1"/>
      <c r="C1231" s="1"/>
    </row>
    <row r="1232" spans="1:3" ht="15" customHeight="1" x14ac:dyDescent="0.25">
      <c r="A1232" s="1"/>
      <c r="B1232" s="1"/>
      <c r="C1232" s="1"/>
    </row>
    <row r="1233" spans="1:3" ht="15" customHeight="1" x14ac:dyDescent="0.25">
      <c r="A1233" s="1"/>
      <c r="B1233" s="1"/>
      <c r="C1233" s="1"/>
    </row>
    <row r="1234" spans="1:3" ht="15" customHeight="1" x14ac:dyDescent="0.25">
      <c r="A1234" s="1"/>
      <c r="B1234" s="1"/>
      <c r="C1234" s="1"/>
    </row>
    <row r="1235" spans="1:3" ht="15" customHeight="1" x14ac:dyDescent="0.25">
      <c r="A1235" s="1"/>
      <c r="B1235" s="1"/>
      <c r="C1235" s="1"/>
    </row>
    <row r="1236" spans="1:3" ht="15" customHeight="1" x14ac:dyDescent="0.25">
      <c r="A1236" s="1"/>
      <c r="B1236" s="1"/>
      <c r="C1236" s="1"/>
    </row>
    <row r="1237" spans="1:3" ht="15" customHeight="1" x14ac:dyDescent="0.25">
      <c r="A1237" s="1"/>
      <c r="B1237" s="1"/>
      <c r="C1237" s="1"/>
    </row>
    <row r="1238" spans="1:3" ht="15" customHeight="1" x14ac:dyDescent="0.25">
      <c r="A1238" s="1"/>
      <c r="B1238" s="1"/>
      <c r="C1238" s="1"/>
    </row>
    <row r="1239" spans="1:3" ht="15" customHeight="1" x14ac:dyDescent="0.25">
      <c r="A1239" s="1"/>
      <c r="B1239" s="1"/>
      <c r="C1239" s="1"/>
    </row>
    <row r="1240" spans="1:3" ht="15" customHeight="1" x14ac:dyDescent="0.25">
      <c r="A1240" s="1"/>
      <c r="B1240" s="1"/>
      <c r="C1240" s="1"/>
    </row>
    <row r="1241" spans="1:3" ht="15" customHeight="1" x14ac:dyDescent="0.25">
      <c r="A1241" s="1"/>
      <c r="B1241" s="1"/>
      <c r="C1241" s="1"/>
    </row>
    <row r="1242" spans="1:3" ht="15" customHeight="1" x14ac:dyDescent="0.25">
      <c r="A1242" s="1"/>
      <c r="B1242" s="1"/>
      <c r="C1242" s="1"/>
    </row>
    <row r="1243" spans="1:3" ht="15" customHeight="1" x14ac:dyDescent="0.25">
      <c r="A1243" s="1"/>
      <c r="B1243" s="1"/>
      <c r="C1243" s="1"/>
    </row>
    <row r="1244" spans="1:3" ht="15" customHeight="1" x14ac:dyDescent="0.25">
      <c r="A1244" s="1"/>
      <c r="B1244" s="1"/>
      <c r="C1244" s="1"/>
    </row>
    <row r="1245" spans="1:3" ht="15" customHeight="1" x14ac:dyDescent="0.25">
      <c r="A1245" s="1"/>
      <c r="B1245" s="1"/>
      <c r="C1245" s="1"/>
    </row>
    <row r="1246" spans="1:3" ht="15" customHeight="1" x14ac:dyDescent="0.25">
      <c r="A1246" s="1"/>
      <c r="B1246" s="1"/>
      <c r="C1246" s="1"/>
    </row>
    <row r="1247" spans="1:3" ht="15" customHeight="1" x14ac:dyDescent="0.25">
      <c r="A1247" s="1"/>
      <c r="B1247" s="1"/>
      <c r="C1247" s="1"/>
    </row>
    <row r="1248" spans="1:3" ht="15" customHeight="1" x14ac:dyDescent="0.25">
      <c r="A1248" s="1"/>
      <c r="B1248" s="1"/>
      <c r="C1248" s="1"/>
    </row>
    <row r="1249" spans="1:3" ht="15" customHeight="1" x14ac:dyDescent="0.25">
      <c r="A1249" s="1"/>
      <c r="B1249" s="1"/>
      <c r="C1249" s="1"/>
    </row>
    <row r="1250" spans="1:3" ht="15" customHeight="1" x14ac:dyDescent="0.25">
      <c r="A1250" s="1"/>
      <c r="B1250" s="1"/>
      <c r="C1250" s="1"/>
    </row>
    <row r="1251" spans="1:3" ht="15" customHeight="1" x14ac:dyDescent="0.25">
      <c r="A1251" s="1"/>
      <c r="B1251" s="1"/>
      <c r="C1251" s="1"/>
    </row>
    <row r="1252" spans="1:3" ht="15" customHeight="1" x14ac:dyDescent="0.25">
      <c r="A1252" s="1"/>
      <c r="B1252" s="1"/>
      <c r="C1252" s="1"/>
    </row>
    <row r="1253" spans="1:3" ht="15" customHeight="1" x14ac:dyDescent="0.25">
      <c r="A1253" s="1"/>
      <c r="B1253" s="1"/>
      <c r="C1253" s="1"/>
    </row>
    <row r="1254" spans="1:3" ht="15" customHeight="1" x14ac:dyDescent="0.25">
      <c r="A1254" s="1"/>
      <c r="B1254" s="1"/>
      <c r="C1254" s="1"/>
    </row>
    <row r="1255" spans="1:3" ht="15" customHeight="1" x14ac:dyDescent="0.25">
      <c r="A1255" s="1"/>
      <c r="B1255" s="1"/>
      <c r="C1255" s="1"/>
    </row>
    <row r="1256" spans="1:3" ht="15" customHeight="1" x14ac:dyDescent="0.25">
      <c r="A1256" s="1"/>
      <c r="B1256" s="1"/>
      <c r="C1256" s="1"/>
    </row>
    <row r="1257" spans="1:3" ht="15" customHeight="1" x14ac:dyDescent="0.25">
      <c r="A1257" s="1"/>
      <c r="B1257" s="1"/>
      <c r="C1257" s="1"/>
    </row>
    <row r="1258" spans="1:3" ht="15" customHeight="1" x14ac:dyDescent="0.25">
      <c r="A1258" s="1"/>
      <c r="B1258" s="1"/>
      <c r="C1258" s="1"/>
    </row>
    <row r="1259" spans="1:3" ht="15" customHeight="1" x14ac:dyDescent="0.25">
      <c r="A1259" s="1"/>
      <c r="B1259" s="1"/>
      <c r="C1259" s="1"/>
    </row>
    <row r="1260" spans="1:3" ht="15" customHeight="1" x14ac:dyDescent="0.25">
      <c r="A1260" s="1"/>
      <c r="B1260" s="1"/>
      <c r="C1260" s="1"/>
    </row>
    <row r="1261" spans="1:3" ht="15" customHeight="1" x14ac:dyDescent="0.25">
      <c r="A1261" s="1"/>
      <c r="B1261" s="1"/>
      <c r="C1261" s="1"/>
    </row>
    <row r="1262" spans="1:3" ht="15" customHeight="1" x14ac:dyDescent="0.25">
      <c r="A1262" s="1"/>
      <c r="B1262" s="1"/>
      <c r="C1262" s="1"/>
    </row>
    <row r="1263" spans="1:3" ht="15" customHeight="1" x14ac:dyDescent="0.25">
      <c r="A1263" s="1"/>
      <c r="B1263" s="1"/>
      <c r="C1263" s="1"/>
    </row>
    <row r="1264" spans="1:3" ht="15" customHeight="1" x14ac:dyDescent="0.25">
      <c r="A1264" s="1"/>
      <c r="B1264" s="1"/>
      <c r="C1264" s="1"/>
    </row>
    <row r="1265" spans="1:3" ht="15" customHeight="1" x14ac:dyDescent="0.25">
      <c r="A1265" s="1"/>
      <c r="B1265" s="1"/>
      <c r="C1265" s="1"/>
    </row>
    <row r="1266" spans="1:3" ht="15" customHeight="1" x14ac:dyDescent="0.25">
      <c r="A1266" s="1"/>
      <c r="B1266" s="1"/>
      <c r="C1266" s="1"/>
    </row>
    <row r="1267" spans="1:3" ht="15" customHeight="1" x14ac:dyDescent="0.25">
      <c r="A1267" s="1"/>
      <c r="B1267" s="1"/>
      <c r="C1267" s="1"/>
    </row>
    <row r="1268" spans="1:3" ht="15" customHeight="1" x14ac:dyDescent="0.25">
      <c r="A1268" s="1"/>
      <c r="B1268" s="1"/>
      <c r="C1268" s="1"/>
    </row>
    <row r="1269" spans="1:3" ht="15" customHeight="1" x14ac:dyDescent="0.25">
      <c r="A1269" s="1"/>
      <c r="B1269" s="1"/>
      <c r="C1269" s="1"/>
    </row>
    <row r="1270" spans="1:3" ht="15" customHeight="1" x14ac:dyDescent="0.25">
      <c r="A1270" s="1"/>
      <c r="B1270" s="1"/>
      <c r="C1270" s="1"/>
    </row>
    <row r="1271" spans="1:3" ht="15" customHeight="1" x14ac:dyDescent="0.25">
      <c r="A1271" s="1"/>
      <c r="B1271" s="1"/>
      <c r="C1271" s="1"/>
    </row>
    <row r="1272" spans="1:3" ht="15" customHeight="1" x14ac:dyDescent="0.25">
      <c r="A1272" s="1"/>
      <c r="B1272" s="1"/>
      <c r="C1272" s="1"/>
    </row>
    <row r="1273" spans="1:3" ht="15" customHeight="1" x14ac:dyDescent="0.25">
      <c r="A1273" s="1"/>
      <c r="B1273" s="1"/>
      <c r="C1273" s="1"/>
    </row>
    <row r="1274" spans="1:3" ht="15" customHeight="1" x14ac:dyDescent="0.25">
      <c r="A1274" s="1"/>
      <c r="B1274" s="1"/>
      <c r="C1274" s="1"/>
    </row>
    <row r="1275" spans="1:3" ht="15" customHeight="1" x14ac:dyDescent="0.25">
      <c r="A1275" s="1"/>
      <c r="B1275" s="1"/>
      <c r="C1275" s="1"/>
    </row>
    <row r="1276" spans="1:3" ht="15" customHeight="1" x14ac:dyDescent="0.25">
      <c r="A1276" s="1"/>
      <c r="B1276" s="1"/>
      <c r="C1276" s="1"/>
    </row>
    <row r="1277" spans="1:3" ht="15" customHeight="1" x14ac:dyDescent="0.25">
      <c r="A1277" s="1"/>
      <c r="B1277" s="1"/>
      <c r="C1277" s="1"/>
    </row>
    <row r="1278" spans="1:3" ht="15" customHeight="1" x14ac:dyDescent="0.25">
      <c r="A1278" s="1"/>
      <c r="B1278" s="1"/>
      <c r="C1278" s="1"/>
    </row>
    <row r="1279" spans="1:3" ht="15" customHeight="1" x14ac:dyDescent="0.25">
      <c r="A1279" s="1"/>
      <c r="B1279" s="1"/>
      <c r="C1279" s="1"/>
    </row>
    <row r="1280" spans="1:3" ht="15" customHeight="1" x14ac:dyDescent="0.25">
      <c r="A1280" s="1"/>
      <c r="B1280" s="1"/>
      <c r="C1280" s="1"/>
    </row>
    <row r="1281" spans="1:3" ht="15" customHeight="1" x14ac:dyDescent="0.25">
      <c r="A1281" s="1"/>
      <c r="B1281" s="1"/>
      <c r="C1281" s="1"/>
    </row>
    <row r="1282" spans="1:3" ht="15" customHeight="1" x14ac:dyDescent="0.25">
      <c r="A1282" s="1"/>
      <c r="B1282" s="1"/>
      <c r="C1282" s="1"/>
    </row>
    <row r="1283" spans="1:3" ht="15" customHeight="1" x14ac:dyDescent="0.25">
      <c r="A1283" s="1"/>
      <c r="B1283" s="1"/>
      <c r="C1283" s="1"/>
    </row>
    <row r="1284" spans="1:3" ht="15" customHeight="1" x14ac:dyDescent="0.25">
      <c r="A1284" s="1"/>
      <c r="B1284" s="1"/>
      <c r="C1284" s="1"/>
    </row>
    <row r="1285" spans="1:3" ht="15" customHeight="1" x14ac:dyDescent="0.25">
      <c r="A1285" s="1"/>
      <c r="B1285" s="1"/>
      <c r="C1285" s="1"/>
    </row>
    <row r="1286" spans="1:3" ht="15" customHeight="1" x14ac:dyDescent="0.25">
      <c r="A1286" s="1"/>
      <c r="B1286" s="1"/>
      <c r="C1286" s="1"/>
    </row>
    <row r="1287" spans="1:3" ht="15" customHeight="1" x14ac:dyDescent="0.25">
      <c r="A1287" s="1"/>
      <c r="B1287" s="1"/>
      <c r="C1287" s="1"/>
    </row>
    <row r="1288" spans="1:3" ht="15" customHeight="1" x14ac:dyDescent="0.25">
      <c r="A1288" s="1"/>
      <c r="B1288" s="1"/>
      <c r="C1288" s="1"/>
    </row>
    <row r="1289" spans="1:3" ht="15" customHeight="1" x14ac:dyDescent="0.25">
      <c r="A1289" s="1"/>
      <c r="B1289" s="1"/>
      <c r="C1289" s="1"/>
    </row>
    <row r="1290" spans="1:3" ht="15" customHeight="1" x14ac:dyDescent="0.25">
      <c r="A1290" s="1"/>
      <c r="B1290" s="1"/>
      <c r="C1290" s="1"/>
    </row>
    <row r="1291" spans="1:3" ht="15" customHeight="1" x14ac:dyDescent="0.25">
      <c r="A1291" s="1"/>
      <c r="B1291" s="1"/>
      <c r="C1291" s="1"/>
    </row>
    <row r="1292" spans="1:3" ht="15" customHeight="1" x14ac:dyDescent="0.25">
      <c r="A1292" s="1"/>
      <c r="B1292" s="1"/>
      <c r="C1292" s="1"/>
    </row>
    <row r="1293" spans="1:3" ht="15" customHeight="1" x14ac:dyDescent="0.25">
      <c r="A1293" s="1"/>
      <c r="B1293" s="1"/>
      <c r="C1293" s="1"/>
    </row>
    <row r="1294" spans="1:3" ht="15" customHeight="1" x14ac:dyDescent="0.25">
      <c r="A1294" s="1"/>
      <c r="B1294" s="1"/>
      <c r="C1294" s="1"/>
    </row>
    <row r="1295" spans="1:3" ht="15" customHeight="1" x14ac:dyDescent="0.25">
      <c r="A1295" s="1"/>
      <c r="B1295" s="1"/>
      <c r="C1295" s="1"/>
    </row>
    <row r="1296" spans="1:3" ht="15" customHeight="1" x14ac:dyDescent="0.25">
      <c r="A1296" s="1"/>
      <c r="B1296" s="1"/>
      <c r="C1296" s="1"/>
    </row>
    <row r="1297" spans="1:3" ht="15" customHeight="1" x14ac:dyDescent="0.25">
      <c r="A1297" s="1"/>
      <c r="B1297" s="1"/>
      <c r="C1297" s="1"/>
    </row>
    <row r="1298" spans="1:3" ht="15" customHeight="1" x14ac:dyDescent="0.25">
      <c r="A1298" s="1"/>
      <c r="B1298" s="1"/>
      <c r="C1298" s="1"/>
    </row>
    <row r="1299" spans="1:3" ht="15" customHeight="1" x14ac:dyDescent="0.25">
      <c r="A1299" s="1"/>
      <c r="B1299" s="1"/>
      <c r="C1299" s="1"/>
    </row>
    <row r="1300" spans="1:3" ht="15" customHeight="1" x14ac:dyDescent="0.25">
      <c r="A1300" s="1"/>
      <c r="B1300" s="1"/>
      <c r="C1300" s="1"/>
    </row>
    <row r="1301" spans="1:3" ht="15" customHeight="1" x14ac:dyDescent="0.25">
      <c r="A1301" s="1"/>
      <c r="B1301" s="1"/>
      <c r="C1301" s="1"/>
    </row>
    <row r="1302" spans="1:3" ht="15" customHeight="1" x14ac:dyDescent="0.25">
      <c r="A1302" s="1"/>
      <c r="B1302" s="1"/>
      <c r="C1302" s="1"/>
    </row>
    <row r="1303" spans="1:3" ht="15" customHeight="1" x14ac:dyDescent="0.25">
      <c r="A1303" s="1"/>
      <c r="B1303" s="1"/>
      <c r="C1303" s="1"/>
    </row>
    <row r="1304" spans="1:3" ht="15" customHeight="1" x14ac:dyDescent="0.25">
      <c r="A1304" s="1"/>
      <c r="B1304" s="1"/>
      <c r="C1304" s="1"/>
    </row>
    <row r="1305" spans="1:3" ht="15" customHeight="1" x14ac:dyDescent="0.25">
      <c r="A1305" s="1"/>
      <c r="B1305" s="1"/>
      <c r="C1305" s="1"/>
    </row>
    <row r="1306" spans="1:3" ht="15" customHeight="1" x14ac:dyDescent="0.25">
      <c r="A1306" s="1"/>
      <c r="B1306" s="1"/>
      <c r="C1306" s="1"/>
    </row>
    <row r="1307" spans="1:3" ht="15" customHeight="1" x14ac:dyDescent="0.25">
      <c r="A1307" s="1"/>
      <c r="B1307" s="1"/>
      <c r="C1307" s="1"/>
    </row>
    <row r="1308" spans="1:3" ht="15" customHeight="1" x14ac:dyDescent="0.25">
      <c r="A1308" s="1"/>
      <c r="B1308" s="1"/>
      <c r="C1308" s="1"/>
    </row>
    <row r="1309" spans="1:3" ht="15" customHeight="1" x14ac:dyDescent="0.25">
      <c r="A1309" s="1"/>
      <c r="B1309" s="1"/>
      <c r="C1309" s="1"/>
    </row>
    <row r="1310" spans="1:3" ht="15" customHeight="1" x14ac:dyDescent="0.25">
      <c r="A1310" s="1"/>
      <c r="B1310" s="1"/>
      <c r="C1310" s="1"/>
    </row>
    <row r="1311" spans="1:3" ht="15" customHeight="1" x14ac:dyDescent="0.25">
      <c r="A1311" s="1"/>
      <c r="B1311" s="1"/>
      <c r="C1311" s="1"/>
    </row>
    <row r="1312" spans="1:3" ht="15" customHeight="1" x14ac:dyDescent="0.25">
      <c r="A1312" s="1"/>
      <c r="B1312" s="1"/>
      <c r="C1312" s="1"/>
    </row>
    <row r="1313" spans="1:3" ht="15" customHeight="1" x14ac:dyDescent="0.25">
      <c r="A1313" s="1"/>
      <c r="B1313" s="1"/>
      <c r="C1313" s="1"/>
    </row>
    <row r="1314" spans="1:3" ht="15" customHeight="1" x14ac:dyDescent="0.25">
      <c r="A1314" s="1"/>
      <c r="B1314" s="1"/>
      <c r="C1314" s="1"/>
    </row>
    <row r="1315" spans="1:3" ht="15" customHeight="1" x14ac:dyDescent="0.25">
      <c r="A1315" s="1"/>
      <c r="B1315" s="1"/>
      <c r="C1315" s="1"/>
    </row>
    <row r="1316" spans="1:3" ht="15" customHeight="1" x14ac:dyDescent="0.25">
      <c r="A1316" s="1"/>
      <c r="B1316" s="1"/>
      <c r="C1316" s="1"/>
    </row>
    <row r="1317" spans="1:3" ht="15" customHeight="1" x14ac:dyDescent="0.25">
      <c r="A1317" s="1"/>
      <c r="B1317" s="1"/>
      <c r="C1317" s="1"/>
    </row>
    <row r="1318" spans="1:3" ht="15" customHeight="1" x14ac:dyDescent="0.25">
      <c r="A1318" s="1"/>
      <c r="B1318" s="1"/>
      <c r="C1318" s="1"/>
    </row>
    <row r="1319" spans="1:3" ht="15" customHeight="1" x14ac:dyDescent="0.25">
      <c r="A1319" s="1"/>
      <c r="B1319" s="1"/>
      <c r="C1319" s="1"/>
    </row>
    <row r="1320" spans="1:3" ht="15" customHeight="1" x14ac:dyDescent="0.25">
      <c r="A1320" s="1"/>
      <c r="B1320" s="1"/>
      <c r="C1320" s="1"/>
    </row>
    <row r="1321" spans="1:3" ht="15" customHeight="1" x14ac:dyDescent="0.25">
      <c r="A1321" s="1"/>
      <c r="B1321" s="1"/>
      <c r="C1321" s="1"/>
    </row>
    <row r="1322" spans="1:3" ht="15" customHeight="1" x14ac:dyDescent="0.25">
      <c r="A1322" s="1"/>
      <c r="B1322" s="1"/>
      <c r="C1322" s="1"/>
    </row>
    <row r="1323" spans="1:3" ht="15" customHeight="1" x14ac:dyDescent="0.25">
      <c r="A1323" s="1"/>
      <c r="B1323" s="1"/>
      <c r="C1323" s="1"/>
    </row>
    <row r="1324" spans="1:3" ht="15" customHeight="1" x14ac:dyDescent="0.25">
      <c r="A1324" s="1"/>
      <c r="B1324" s="1"/>
      <c r="C1324" s="1"/>
    </row>
    <row r="1325" spans="1:3" ht="15" customHeight="1" x14ac:dyDescent="0.25">
      <c r="A1325" s="1"/>
      <c r="B1325" s="1"/>
      <c r="C1325" s="1"/>
    </row>
    <row r="1326" spans="1:3" ht="15" customHeight="1" x14ac:dyDescent="0.25">
      <c r="A1326" s="1"/>
      <c r="B1326" s="1"/>
      <c r="C1326" s="1"/>
    </row>
    <row r="1327" spans="1:3" ht="15" customHeight="1" x14ac:dyDescent="0.25">
      <c r="A1327" s="1"/>
      <c r="B1327" s="1"/>
      <c r="C1327" s="1"/>
    </row>
    <row r="1328" spans="1:3" ht="15" customHeight="1" x14ac:dyDescent="0.25">
      <c r="A1328" s="1"/>
      <c r="B1328" s="1"/>
      <c r="C1328" s="1"/>
    </row>
    <row r="1329" spans="1:3" ht="15" customHeight="1" x14ac:dyDescent="0.25">
      <c r="A1329" s="1"/>
      <c r="B1329" s="1"/>
      <c r="C1329" s="1"/>
    </row>
    <row r="1330" spans="1:3" ht="15" customHeight="1" x14ac:dyDescent="0.25">
      <c r="A1330" s="1"/>
      <c r="B1330" s="1"/>
      <c r="C1330" s="1"/>
    </row>
    <row r="1331" spans="1:3" ht="15" customHeight="1" x14ac:dyDescent="0.25">
      <c r="A1331" s="1"/>
      <c r="B1331" s="1"/>
      <c r="C1331" s="1"/>
    </row>
    <row r="1332" spans="1:3" ht="15" customHeight="1" x14ac:dyDescent="0.25">
      <c r="A1332" s="1"/>
      <c r="B1332" s="1"/>
      <c r="C1332" s="1"/>
    </row>
    <row r="1333" spans="1:3" ht="15" customHeight="1" x14ac:dyDescent="0.25">
      <c r="A1333" s="1"/>
      <c r="B1333" s="1"/>
      <c r="C1333" s="1"/>
    </row>
    <row r="1334" spans="1:3" ht="15" customHeight="1" x14ac:dyDescent="0.25">
      <c r="A1334" s="1"/>
      <c r="B1334" s="1"/>
      <c r="C1334" s="1"/>
    </row>
    <row r="1335" spans="1:3" ht="15" customHeight="1" x14ac:dyDescent="0.25">
      <c r="A1335" s="1"/>
      <c r="B1335" s="1"/>
      <c r="C1335" s="1"/>
    </row>
    <row r="1336" spans="1:3" ht="15" customHeight="1" x14ac:dyDescent="0.25">
      <c r="A1336" s="1"/>
      <c r="B1336" s="1"/>
      <c r="C1336" s="1"/>
    </row>
    <row r="1337" spans="1:3" ht="15" customHeight="1" x14ac:dyDescent="0.25">
      <c r="A1337" s="1"/>
      <c r="B1337" s="1"/>
      <c r="C1337" s="1"/>
    </row>
    <row r="1338" spans="1:3" ht="15" customHeight="1" x14ac:dyDescent="0.25">
      <c r="A1338" s="1"/>
      <c r="B1338" s="1"/>
      <c r="C1338" s="1"/>
    </row>
    <row r="1339" spans="1:3" ht="15" customHeight="1" x14ac:dyDescent="0.25">
      <c r="A1339" s="1"/>
      <c r="B1339" s="1"/>
      <c r="C1339" s="1"/>
    </row>
    <row r="1340" spans="1:3" ht="15" customHeight="1" x14ac:dyDescent="0.25">
      <c r="A1340" s="1"/>
      <c r="B1340" s="1"/>
      <c r="C1340" s="1"/>
    </row>
    <row r="1341" spans="1:3" ht="15" customHeight="1" x14ac:dyDescent="0.25">
      <c r="A1341" s="1"/>
      <c r="B1341" s="1"/>
      <c r="C1341" s="1"/>
    </row>
    <row r="1342" spans="1:3" ht="15" customHeight="1" x14ac:dyDescent="0.25">
      <c r="A1342" s="1"/>
      <c r="B1342" s="1"/>
      <c r="C1342" s="1"/>
    </row>
    <row r="1343" spans="1:3" ht="15" customHeight="1" x14ac:dyDescent="0.25">
      <c r="A1343" s="1"/>
      <c r="B1343" s="1"/>
      <c r="C1343" s="1"/>
    </row>
    <row r="1344" spans="1:3" ht="15" customHeight="1" x14ac:dyDescent="0.25">
      <c r="A1344" s="1"/>
      <c r="B1344" s="1"/>
      <c r="C1344" s="1"/>
    </row>
    <row r="1345" spans="1:3" ht="15" customHeight="1" x14ac:dyDescent="0.25">
      <c r="A1345" s="1"/>
      <c r="B1345" s="1"/>
      <c r="C1345" s="1"/>
    </row>
    <row r="1346" spans="1:3" ht="15" customHeight="1" x14ac:dyDescent="0.25">
      <c r="A1346" s="1"/>
      <c r="B1346" s="1"/>
      <c r="C1346" s="1"/>
    </row>
    <row r="1347" spans="1:3" ht="15" customHeight="1" x14ac:dyDescent="0.25">
      <c r="A1347" s="1"/>
      <c r="B1347" s="1"/>
      <c r="C1347" s="1"/>
    </row>
    <row r="1348" spans="1:3" ht="15" customHeight="1" x14ac:dyDescent="0.25">
      <c r="A1348" s="1"/>
      <c r="B1348" s="1"/>
      <c r="C1348" s="1"/>
    </row>
    <row r="1349" spans="1:3" ht="15" customHeight="1" x14ac:dyDescent="0.25">
      <c r="A1349" s="1"/>
      <c r="B1349" s="1"/>
      <c r="C1349" s="1"/>
    </row>
    <row r="1350" spans="1:3" ht="15" customHeight="1" x14ac:dyDescent="0.25">
      <c r="A1350" s="1"/>
      <c r="B1350" s="1"/>
      <c r="C1350" s="1"/>
    </row>
    <row r="1351" spans="1:3" ht="15" customHeight="1" x14ac:dyDescent="0.25">
      <c r="A1351" s="1"/>
      <c r="B1351" s="1"/>
      <c r="C1351" s="1"/>
    </row>
    <row r="1352" spans="1:3" ht="15" customHeight="1" x14ac:dyDescent="0.25">
      <c r="A1352" s="1"/>
      <c r="B1352" s="1"/>
      <c r="C1352" s="1"/>
    </row>
    <row r="1353" spans="1:3" ht="15" customHeight="1" x14ac:dyDescent="0.25">
      <c r="A1353" s="1"/>
      <c r="B1353" s="1"/>
      <c r="C1353" s="1"/>
    </row>
    <row r="1354" spans="1:3" ht="15" customHeight="1" x14ac:dyDescent="0.25">
      <c r="A1354" s="1"/>
      <c r="B1354" s="1"/>
      <c r="C1354" s="1"/>
    </row>
    <row r="1355" spans="1:3" ht="15" customHeight="1" x14ac:dyDescent="0.25">
      <c r="A1355" s="1"/>
      <c r="B1355" s="1"/>
      <c r="C1355" s="1"/>
    </row>
    <row r="1356" spans="1:3" ht="15" customHeight="1" x14ac:dyDescent="0.25">
      <c r="A1356" s="1"/>
      <c r="B1356" s="1"/>
      <c r="C1356" s="1"/>
    </row>
    <row r="1357" spans="1:3" ht="15" customHeight="1" x14ac:dyDescent="0.25">
      <c r="A1357" s="1"/>
      <c r="B1357" s="1"/>
      <c r="C1357" s="1"/>
    </row>
    <row r="1358" spans="1:3" ht="15" customHeight="1" x14ac:dyDescent="0.25">
      <c r="A1358" s="1"/>
      <c r="B1358" s="1"/>
      <c r="C1358" s="1"/>
    </row>
    <row r="1359" spans="1:3" ht="15" customHeight="1" x14ac:dyDescent="0.25">
      <c r="A1359" s="1"/>
      <c r="B1359" s="1"/>
      <c r="C1359" s="1"/>
    </row>
    <row r="1360" spans="1:3" ht="15" customHeight="1" x14ac:dyDescent="0.25">
      <c r="A1360" s="1"/>
      <c r="B1360" s="1"/>
      <c r="C1360" s="1"/>
    </row>
    <row r="1361" spans="1:3" ht="15" customHeight="1" x14ac:dyDescent="0.25">
      <c r="A1361" s="1"/>
      <c r="B1361" s="1"/>
      <c r="C1361" s="1"/>
    </row>
    <row r="1362" spans="1:3" ht="15" customHeight="1" x14ac:dyDescent="0.25">
      <c r="A1362" s="1"/>
      <c r="B1362" s="1"/>
      <c r="C1362" s="1"/>
    </row>
    <row r="1363" spans="1:3" ht="15" customHeight="1" x14ac:dyDescent="0.25">
      <c r="A1363" s="1"/>
      <c r="B1363" s="1"/>
      <c r="C1363" s="1"/>
    </row>
    <row r="1364" spans="1:3" ht="15" customHeight="1" x14ac:dyDescent="0.25">
      <c r="A1364" s="1"/>
      <c r="B1364" s="1"/>
      <c r="C1364" s="1"/>
    </row>
    <row r="1365" spans="1:3" ht="15" customHeight="1" x14ac:dyDescent="0.25">
      <c r="A1365" s="1"/>
      <c r="B1365" s="1"/>
      <c r="C1365" s="1"/>
    </row>
    <row r="1366" spans="1:3" ht="15" customHeight="1" x14ac:dyDescent="0.25">
      <c r="A1366" s="1"/>
      <c r="B1366" s="1"/>
      <c r="C1366" s="1"/>
    </row>
    <row r="1367" spans="1:3" ht="15" customHeight="1" x14ac:dyDescent="0.25">
      <c r="A1367" s="1"/>
      <c r="B1367" s="1"/>
      <c r="C1367" s="1"/>
    </row>
    <row r="1368" spans="1:3" ht="15" customHeight="1" x14ac:dyDescent="0.25">
      <c r="A1368" s="1"/>
      <c r="B1368" s="1"/>
      <c r="C1368" s="1"/>
    </row>
    <row r="1369" spans="1:3" ht="15" customHeight="1" x14ac:dyDescent="0.25">
      <c r="A1369" s="1"/>
      <c r="B1369" s="1"/>
      <c r="C1369" s="1"/>
    </row>
    <row r="1370" spans="1:3" ht="15" customHeight="1" x14ac:dyDescent="0.25">
      <c r="A1370" s="1"/>
      <c r="B1370" s="1"/>
      <c r="C1370" s="1"/>
    </row>
    <row r="1371" spans="1:3" ht="15" customHeight="1" x14ac:dyDescent="0.25">
      <c r="A1371" s="1"/>
      <c r="B1371" s="1"/>
      <c r="C1371" s="1"/>
    </row>
    <row r="1372" spans="1:3" ht="15" customHeight="1" x14ac:dyDescent="0.25">
      <c r="A1372" s="1"/>
      <c r="B1372" s="1"/>
      <c r="C1372" s="1"/>
    </row>
    <row r="1373" spans="1:3" ht="15" customHeight="1" x14ac:dyDescent="0.25">
      <c r="A1373" s="1"/>
      <c r="B1373" s="1"/>
      <c r="C1373" s="1"/>
    </row>
    <row r="1374" spans="1:3" ht="15" customHeight="1" x14ac:dyDescent="0.25">
      <c r="A1374" s="1"/>
      <c r="B1374" s="1"/>
      <c r="C1374" s="1"/>
    </row>
    <row r="1375" spans="1:3" ht="15" customHeight="1" x14ac:dyDescent="0.25">
      <c r="A1375" s="1"/>
      <c r="B1375" s="1"/>
      <c r="C1375" s="1"/>
    </row>
    <row r="1376" spans="1:3" ht="15" customHeight="1" x14ac:dyDescent="0.25">
      <c r="A1376" s="1"/>
      <c r="B1376" s="1"/>
      <c r="C1376" s="1"/>
    </row>
    <row r="1377" spans="1:3" ht="15" customHeight="1" x14ac:dyDescent="0.25">
      <c r="A1377" s="1"/>
      <c r="B1377" s="1"/>
      <c r="C1377" s="1"/>
    </row>
    <row r="1378" spans="1:3" ht="15" customHeight="1" x14ac:dyDescent="0.25">
      <c r="A1378" s="1"/>
      <c r="B1378" s="1"/>
      <c r="C1378" s="1"/>
    </row>
    <row r="1379" spans="1:3" ht="15" customHeight="1" x14ac:dyDescent="0.25">
      <c r="A1379" s="1"/>
      <c r="B1379" s="1"/>
      <c r="C1379" s="1"/>
    </row>
    <row r="1380" spans="1:3" ht="15" customHeight="1" x14ac:dyDescent="0.25">
      <c r="A1380" s="1"/>
      <c r="B1380" s="1"/>
      <c r="C1380" s="1"/>
    </row>
    <row r="1381" spans="1:3" ht="15" customHeight="1" x14ac:dyDescent="0.25">
      <c r="A1381" s="1"/>
      <c r="B1381" s="1"/>
      <c r="C1381" s="1"/>
    </row>
    <row r="1382" spans="1:3" ht="15" customHeight="1" x14ac:dyDescent="0.25">
      <c r="A1382" s="1"/>
      <c r="B1382" s="1"/>
      <c r="C1382" s="1"/>
    </row>
    <row r="1383" spans="1:3" ht="15" customHeight="1" x14ac:dyDescent="0.25">
      <c r="A1383" s="1"/>
      <c r="B1383" s="1"/>
      <c r="C1383" s="1"/>
    </row>
    <row r="1384" spans="1:3" ht="15" customHeight="1" x14ac:dyDescent="0.25">
      <c r="A1384" s="1"/>
      <c r="B1384" s="1"/>
      <c r="C1384" s="1"/>
    </row>
    <row r="1385" spans="1:3" ht="15" customHeight="1" x14ac:dyDescent="0.25">
      <c r="A1385" s="1"/>
      <c r="B1385" s="1"/>
      <c r="C1385" s="1"/>
    </row>
    <row r="1386" spans="1:3" ht="15" customHeight="1" x14ac:dyDescent="0.25">
      <c r="A1386" s="1"/>
      <c r="B1386" s="1"/>
      <c r="C1386" s="1"/>
    </row>
    <row r="1387" spans="1:3" ht="15" customHeight="1" x14ac:dyDescent="0.25">
      <c r="A1387" s="1"/>
      <c r="B1387" s="1"/>
      <c r="C1387" s="1"/>
    </row>
    <row r="1388" spans="1:3" ht="15" customHeight="1" x14ac:dyDescent="0.25">
      <c r="A1388" s="1"/>
      <c r="B1388" s="1"/>
      <c r="C1388" s="1"/>
    </row>
    <row r="1389" spans="1:3" ht="15" customHeight="1" x14ac:dyDescent="0.25">
      <c r="A1389" s="1"/>
      <c r="B1389" s="1"/>
      <c r="C1389" s="1"/>
    </row>
    <row r="1390" spans="1:3" ht="15" customHeight="1" x14ac:dyDescent="0.25">
      <c r="A1390" s="1"/>
      <c r="B1390" s="1"/>
      <c r="C1390" s="1"/>
    </row>
    <row r="1391" spans="1:3" ht="15" customHeight="1" x14ac:dyDescent="0.25">
      <c r="A1391" s="1"/>
      <c r="B1391" s="1"/>
      <c r="C1391" s="1"/>
    </row>
    <row r="1392" spans="1:3" ht="15" customHeight="1" x14ac:dyDescent="0.25">
      <c r="A1392" s="1"/>
      <c r="B1392" s="1"/>
      <c r="C1392" s="1"/>
    </row>
    <row r="1393" spans="1:3" ht="15" customHeight="1" x14ac:dyDescent="0.25">
      <c r="A1393" s="1"/>
      <c r="B1393" s="1"/>
      <c r="C1393" s="1"/>
    </row>
    <row r="1394" spans="1:3" ht="15" customHeight="1" x14ac:dyDescent="0.25">
      <c r="A1394" s="1"/>
      <c r="B1394" s="1"/>
      <c r="C1394" s="1"/>
    </row>
    <row r="1395" spans="1:3" ht="15" customHeight="1" x14ac:dyDescent="0.25">
      <c r="A1395" s="1"/>
      <c r="B1395" s="1"/>
      <c r="C1395" s="1"/>
    </row>
    <row r="1396" spans="1:3" ht="15" customHeight="1" x14ac:dyDescent="0.25">
      <c r="A1396" s="1"/>
      <c r="B1396" s="1"/>
      <c r="C1396" s="1"/>
    </row>
    <row r="1397" spans="1:3" ht="15" customHeight="1" x14ac:dyDescent="0.25">
      <c r="A1397" s="1"/>
      <c r="B1397" s="1"/>
      <c r="C1397" s="1"/>
    </row>
    <row r="1398" spans="1:3" ht="15" customHeight="1" x14ac:dyDescent="0.25">
      <c r="A1398" s="1"/>
      <c r="B1398" s="1"/>
      <c r="C1398" s="1"/>
    </row>
    <row r="1399" spans="1:3" ht="15" customHeight="1" x14ac:dyDescent="0.25">
      <c r="A1399" s="1"/>
      <c r="B1399" s="1"/>
      <c r="C1399" s="1"/>
    </row>
    <row r="1400" spans="1:3" ht="15" customHeight="1" x14ac:dyDescent="0.25">
      <c r="A1400" s="1"/>
      <c r="B1400" s="1"/>
      <c r="C1400" s="1"/>
    </row>
    <row r="1401" spans="1:3" ht="15" customHeight="1" x14ac:dyDescent="0.25">
      <c r="A1401" s="1"/>
      <c r="B1401" s="1"/>
      <c r="C1401" s="1"/>
    </row>
    <row r="1402" spans="1:3" ht="15" customHeight="1" x14ac:dyDescent="0.25">
      <c r="A1402" s="1"/>
      <c r="B1402" s="1"/>
      <c r="C1402" s="1"/>
    </row>
    <row r="1403" spans="1:3" ht="15" customHeight="1" x14ac:dyDescent="0.25">
      <c r="A1403" s="1"/>
      <c r="B1403" s="1"/>
      <c r="C1403" s="1"/>
    </row>
    <row r="1404" spans="1:3" ht="15" customHeight="1" x14ac:dyDescent="0.25">
      <c r="A1404" s="1"/>
      <c r="B1404" s="1"/>
      <c r="C1404" s="1"/>
    </row>
    <row r="1405" spans="1:3" ht="15" customHeight="1" x14ac:dyDescent="0.25">
      <c r="A1405" s="1"/>
      <c r="B1405" s="1"/>
      <c r="C1405" s="1"/>
    </row>
    <row r="1406" spans="1:3" ht="15" customHeight="1" x14ac:dyDescent="0.25">
      <c r="A1406" s="1"/>
      <c r="B1406" s="1"/>
      <c r="C1406" s="1"/>
    </row>
    <row r="1407" spans="1:3" ht="15" customHeight="1" x14ac:dyDescent="0.25">
      <c r="A1407" s="1"/>
      <c r="B1407" s="1"/>
      <c r="C1407" s="1"/>
    </row>
    <row r="1408" spans="1:3" ht="15" customHeight="1" x14ac:dyDescent="0.25">
      <c r="A1408" s="1"/>
      <c r="B1408" s="1"/>
      <c r="C1408" s="1"/>
    </row>
    <row r="1409" spans="1:3" ht="15" customHeight="1" x14ac:dyDescent="0.25">
      <c r="A1409" s="1"/>
      <c r="B1409" s="1"/>
      <c r="C1409" s="1"/>
    </row>
    <row r="1410" spans="1:3" ht="15" customHeight="1" x14ac:dyDescent="0.25">
      <c r="A1410" s="1"/>
      <c r="B1410" s="1"/>
      <c r="C1410" s="1"/>
    </row>
    <row r="1411" spans="1:3" ht="15" customHeight="1" x14ac:dyDescent="0.25">
      <c r="A1411" s="1"/>
      <c r="B1411" s="1"/>
      <c r="C1411" s="1"/>
    </row>
    <row r="1412" spans="1:3" ht="15" customHeight="1" x14ac:dyDescent="0.25">
      <c r="A1412" s="1"/>
      <c r="B1412" s="1"/>
      <c r="C1412" s="1"/>
    </row>
    <row r="1413" spans="1:3" ht="15" customHeight="1" x14ac:dyDescent="0.25">
      <c r="A1413" s="1"/>
      <c r="B1413" s="1"/>
      <c r="C1413" s="1"/>
    </row>
    <row r="1414" spans="1:3" ht="15" customHeight="1" x14ac:dyDescent="0.25">
      <c r="A1414" s="1"/>
      <c r="B1414" s="1"/>
      <c r="C1414" s="1"/>
    </row>
    <row r="1415" spans="1:3" ht="15" customHeight="1" x14ac:dyDescent="0.25">
      <c r="A1415" s="1"/>
      <c r="B1415" s="1"/>
      <c r="C1415" s="1"/>
    </row>
    <row r="1416" spans="1:3" ht="15" customHeight="1" x14ac:dyDescent="0.25">
      <c r="A1416" s="1"/>
      <c r="B1416" s="1"/>
      <c r="C1416" s="1"/>
    </row>
    <row r="1417" spans="1:3" ht="15" customHeight="1" x14ac:dyDescent="0.25">
      <c r="A1417" s="1"/>
      <c r="B1417" s="1"/>
      <c r="C1417" s="1"/>
    </row>
    <row r="1418" spans="1:3" ht="15" customHeight="1" x14ac:dyDescent="0.25">
      <c r="A1418" s="1"/>
      <c r="B1418" s="1"/>
      <c r="C1418" s="1"/>
    </row>
    <row r="1419" spans="1:3" ht="15" customHeight="1" x14ac:dyDescent="0.25">
      <c r="A1419" s="1"/>
      <c r="B1419" s="1"/>
      <c r="C1419" s="1"/>
    </row>
    <row r="1420" spans="1:3" ht="15" customHeight="1" x14ac:dyDescent="0.25">
      <c r="A1420" s="1"/>
      <c r="B1420" s="1"/>
      <c r="C1420" s="1"/>
    </row>
    <row r="1421" spans="1:3" ht="15" customHeight="1" x14ac:dyDescent="0.25">
      <c r="A1421" s="1"/>
      <c r="B1421" s="1"/>
      <c r="C1421" s="1"/>
    </row>
    <row r="1422" spans="1:3" ht="15" customHeight="1" x14ac:dyDescent="0.25">
      <c r="A1422" s="1"/>
      <c r="B1422" s="1"/>
      <c r="C1422" s="1"/>
    </row>
    <row r="1423" spans="1:3" ht="15" customHeight="1" x14ac:dyDescent="0.25">
      <c r="A1423" s="1"/>
      <c r="B1423" s="1"/>
      <c r="C1423" s="1"/>
    </row>
    <row r="1424" spans="1:3" ht="15" customHeight="1" x14ac:dyDescent="0.25">
      <c r="A1424" s="1"/>
      <c r="B1424" s="1"/>
      <c r="C1424" s="1"/>
    </row>
    <row r="1425" spans="1:3" ht="15" customHeight="1" x14ac:dyDescent="0.25">
      <c r="A1425" s="1"/>
      <c r="B1425" s="1"/>
      <c r="C1425" s="1"/>
    </row>
    <row r="1426" spans="1:3" ht="15" customHeight="1" x14ac:dyDescent="0.25">
      <c r="A1426" s="1"/>
      <c r="B1426" s="1"/>
      <c r="C1426" s="1"/>
    </row>
    <row r="1427" spans="1:3" ht="15" customHeight="1" x14ac:dyDescent="0.25">
      <c r="A1427" s="1"/>
      <c r="B1427" s="1"/>
      <c r="C1427" s="1"/>
    </row>
    <row r="1428" spans="1:3" ht="15" customHeight="1" x14ac:dyDescent="0.25">
      <c r="A1428" s="1"/>
      <c r="B1428" s="1"/>
      <c r="C1428" s="1"/>
    </row>
    <row r="1429" spans="1:3" ht="15" customHeight="1" x14ac:dyDescent="0.25">
      <c r="A1429" s="1"/>
      <c r="B1429" s="1"/>
      <c r="C1429" s="1"/>
    </row>
    <row r="1430" spans="1:3" ht="15" customHeight="1" x14ac:dyDescent="0.25">
      <c r="A1430" s="1"/>
      <c r="B1430" s="1"/>
      <c r="C1430" s="1"/>
    </row>
    <row r="1431" spans="1:3" ht="15" customHeight="1" x14ac:dyDescent="0.25">
      <c r="A1431" s="1"/>
      <c r="B1431" s="1"/>
      <c r="C1431" s="1"/>
    </row>
    <row r="1432" spans="1:3" ht="15" customHeight="1" x14ac:dyDescent="0.25">
      <c r="A1432" s="1"/>
      <c r="B1432" s="1"/>
      <c r="C1432" s="1"/>
    </row>
    <row r="1433" spans="1:3" ht="15" customHeight="1" x14ac:dyDescent="0.25">
      <c r="A1433" s="1"/>
      <c r="B1433" s="1"/>
      <c r="C1433" s="1"/>
    </row>
    <row r="1434" spans="1:3" ht="15" customHeight="1" x14ac:dyDescent="0.25">
      <c r="A1434" s="1"/>
      <c r="B1434" s="1"/>
      <c r="C1434" s="1"/>
    </row>
    <row r="1435" spans="1:3" ht="15" customHeight="1" x14ac:dyDescent="0.25">
      <c r="A1435" s="1"/>
      <c r="B1435" s="1"/>
      <c r="C1435" s="1"/>
    </row>
    <row r="1436" spans="1:3" ht="15" customHeight="1" x14ac:dyDescent="0.25">
      <c r="A1436" s="1"/>
      <c r="B1436" s="1"/>
      <c r="C1436" s="1"/>
    </row>
    <row r="1437" spans="1:3" ht="15" customHeight="1" x14ac:dyDescent="0.25">
      <c r="A1437" s="1"/>
      <c r="B1437" s="1"/>
      <c r="C1437" s="1"/>
    </row>
    <row r="1438" spans="1:3" ht="15" customHeight="1" x14ac:dyDescent="0.25">
      <c r="A1438" s="1"/>
      <c r="B1438" s="1"/>
      <c r="C1438" s="1"/>
    </row>
    <row r="1439" spans="1:3" ht="15" customHeight="1" x14ac:dyDescent="0.25">
      <c r="A1439" s="1"/>
      <c r="B1439" s="1"/>
      <c r="C1439" s="1"/>
    </row>
    <row r="1440" spans="1:3" ht="15" customHeight="1" x14ac:dyDescent="0.25">
      <c r="A1440" s="1"/>
      <c r="B1440" s="1"/>
      <c r="C1440" s="1"/>
    </row>
    <row r="1441" spans="1:3" ht="15" customHeight="1" x14ac:dyDescent="0.25">
      <c r="A1441" s="1"/>
      <c r="B1441" s="1"/>
      <c r="C1441" s="1"/>
    </row>
    <row r="1442" spans="1:3" ht="15" customHeight="1" x14ac:dyDescent="0.25">
      <c r="A1442" s="1"/>
      <c r="B1442" s="1"/>
      <c r="C1442" s="1"/>
    </row>
    <row r="1443" spans="1:3" ht="15" customHeight="1" x14ac:dyDescent="0.25">
      <c r="A1443" s="1"/>
      <c r="B1443" s="1"/>
      <c r="C1443" s="1"/>
    </row>
    <row r="1444" spans="1:3" ht="15" customHeight="1" x14ac:dyDescent="0.25">
      <c r="A1444" s="1"/>
      <c r="B1444" s="1"/>
      <c r="C1444" s="1"/>
    </row>
    <row r="1445" spans="1:3" ht="15" customHeight="1" x14ac:dyDescent="0.25">
      <c r="A1445" s="1"/>
      <c r="B1445" s="1"/>
      <c r="C1445" s="1"/>
    </row>
    <row r="1446" spans="1:3" ht="15" customHeight="1" x14ac:dyDescent="0.25">
      <c r="A1446" s="1"/>
      <c r="B1446" s="1"/>
      <c r="C1446" s="1"/>
    </row>
    <row r="1447" spans="1:3" ht="15" customHeight="1" x14ac:dyDescent="0.25">
      <c r="A1447" s="1"/>
      <c r="B1447" s="1"/>
      <c r="C1447" s="1"/>
    </row>
    <row r="1448" spans="1:3" ht="15" customHeight="1" x14ac:dyDescent="0.25">
      <c r="A1448" s="1"/>
      <c r="B1448" s="1"/>
      <c r="C1448" s="1"/>
    </row>
    <row r="1449" spans="1:3" ht="15" customHeight="1" x14ac:dyDescent="0.25">
      <c r="A1449" s="1"/>
      <c r="B1449" s="1"/>
      <c r="C1449" s="1"/>
    </row>
    <row r="1450" spans="1:3" ht="15" customHeight="1" x14ac:dyDescent="0.25">
      <c r="A1450" s="1"/>
      <c r="B1450" s="1"/>
      <c r="C1450" s="1"/>
    </row>
    <row r="1451" spans="1:3" ht="15" customHeight="1" x14ac:dyDescent="0.25">
      <c r="A1451" s="1"/>
      <c r="B1451" s="1"/>
      <c r="C1451" s="1"/>
    </row>
    <row r="1452" spans="1:3" ht="15" customHeight="1" x14ac:dyDescent="0.25">
      <c r="A1452" s="1"/>
      <c r="B1452" s="1"/>
      <c r="C1452" s="1"/>
    </row>
    <row r="1453" spans="1:3" ht="15" customHeight="1" x14ac:dyDescent="0.25">
      <c r="A1453" s="1"/>
      <c r="B1453" s="1"/>
      <c r="C1453" s="1"/>
    </row>
    <row r="1454" spans="1:3" ht="15" customHeight="1" x14ac:dyDescent="0.25">
      <c r="A1454" s="1"/>
      <c r="B1454" s="1"/>
      <c r="C1454" s="1"/>
    </row>
    <row r="1455" spans="1:3" ht="15" customHeight="1" x14ac:dyDescent="0.25">
      <c r="A1455" s="1"/>
      <c r="B1455" s="1"/>
      <c r="C1455" s="1"/>
    </row>
    <row r="1456" spans="1:3" ht="15" customHeight="1" x14ac:dyDescent="0.25">
      <c r="A1456" s="1"/>
      <c r="B1456" s="1"/>
      <c r="C1456" s="1"/>
    </row>
    <row r="1457" spans="1:3" ht="15" customHeight="1" x14ac:dyDescent="0.25">
      <c r="A1457" s="1"/>
      <c r="B1457" s="1"/>
      <c r="C1457" s="1"/>
    </row>
    <row r="1458" spans="1:3" ht="15" customHeight="1" x14ac:dyDescent="0.25">
      <c r="A1458" s="1"/>
      <c r="B1458" s="1"/>
      <c r="C1458" s="1"/>
    </row>
    <row r="1459" spans="1:3" ht="15" customHeight="1" x14ac:dyDescent="0.25">
      <c r="A1459" s="1"/>
      <c r="B1459" s="1"/>
      <c r="C1459" s="1"/>
    </row>
    <row r="1460" spans="1:3" ht="15" customHeight="1" x14ac:dyDescent="0.25">
      <c r="A1460" s="1"/>
      <c r="B1460" s="1"/>
      <c r="C1460" s="1"/>
    </row>
    <row r="1461" spans="1:3" ht="15" customHeight="1" x14ac:dyDescent="0.25">
      <c r="A1461" s="1"/>
      <c r="B1461" s="1"/>
      <c r="C1461" s="1"/>
    </row>
    <row r="1462" spans="1:3" ht="15" customHeight="1" x14ac:dyDescent="0.25">
      <c r="A1462" s="1"/>
      <c r="B1462" s="1"/>
      <c r="C1462" s="1"/>
    </row>
    <row r="1463" spans="1:3" ht="15" customHeight="1" x14ac:dyDescent="0.25">
      <c r="A1463" s="1"/>
      <c r="B1463" s="1"/>
      <c r="C1463" s="1"/>
    </row>
    <row r="1464" spans="1:3" ht="15" customHeight="1" x14ac:dyDescent="0.25">
      <c r="A1464" s="1"/>
      <c r="B1464" s="1"/>
      <c r="C1464" s="1"/>
    </row>
    <row r="1465" spans="1:3" ht="15" customHeight="1" x14ac:dyDescent="0.25">
      <c r="A1465" s="1"/>
      <c r="B1465" s="1"/>
      <c r="C1465" s="1"/>
    </row>
    <row r="1466" spans="1:3" ht="15" customHeight="1" x14ac:dyDescent="0.25">
      <c r="A1466" s="1"/>
      <c r="B1466" s="1"/>
      <c r="C1466" s="1"/>
    </row>
    <row r="1467" spans="1:3" ht="15" customHeight="1" x14ac:dyDescent="0.25">
      <c r="A1467" s="1"/>
      <c r="B1467" s="1"/>
      <c r="C1467" s="1"/>
    </row>
    <row r="1468" spans="1:3" ht="15" customHeight="1" x14ac:dyDescent="0.25">
      <c r="A1468" s="1"/>
      <c r="B1468" s="1"/>
      <c r="C1468" s="1"/>
    </row>
    <row r="1469" spans="1:3" ht="15" customHeight="1" x14ac:dyDescent="0.25">
      <c r="A1469" s="1"/>
      <c r="B1469" s="1"/>
      <c r="C1469" s="1"/>
    </row>
    <row r="1470" spans="1:3" ht="15" customHeight="1" x14ac:dyDescent="0.25">
      <c r="A1470" s="1"/>
      <c r="B1470" s="1"/>
      <c r="C1470" s="1"/>
    </row>
    <row r="1471" spans="1:3" ht="15" customHeight="1" x14ac:dyDescent="0.25">
      <c r="A1471" s="1"/>
      <c r="B1471" s="1"/>
      <c r="C1471" s="1"/>
    </row>
    <row r="1472" spans="1:3" ht="15" customHeight="1" x14ac:dyDescent="0.25">
      <c r="A1472" s="1"/>
      <c r="B1472" s="1"/>
      <c r="C1472" s="1"/>
    </row>
    <row r="1473" spans="1:3" ht="15" customHeight="1" x14ac:dyDescent="0.25">
      <c r="A1473" s="1"/>
      <c r="B1473" s="1"/>
      <c r="C1473" s="1"/>
    </row>
    <row r="1474" spans="1:3" ht="15" customHeight="1" x14ac:dyDescent="0.25">
      <c r="A1474" s="1"/>
      <c r="B1474" s="1"/>
      <c r="C1474" s="1"/>
    </row>
    <row r="1475" spans="1:3" ht="15" customHeight="1" x14ac:dyDescent="0.25">
      <c r="A1475" s="1"/>
      <c r="B1475" s="1"/>
      <c r="C1475" s="1"/>
    </row>
    <row r="1476" spans="1:3" ht="15" customHeight="1" x14ac:dyDescent="0.25">
      <c r="A1476" s="1"/>
      <c r="B1476" s="1"/>
      <c r="C1476" s="1"/>
    </row>
    <row r="1477" spans="1:3" ht="15" customHeight="1" x14ac:dyDescent="0.25">
      <c r="A1477" s="1"/>
      <c r="B1477" s="1"/>
      <c r="C1477" s="1"/>
    </row>
    <row r="1478" spans="1:3" ht="15" customHeight="1" x14ac:dyDescent="0.25">
      <c r="A1478" s="1"/>
      <c r="B1478" s="1"/>
      <c r="C1478" s="1"/>
    </row>
    <row r="1479" spans="1:3" ht="15" customHeight="1" x14ac:dyDescent="0.25">
      <c r="A1479" s="1"/>
      <c r="B1479" s="1"/>
      <c r="C1479" s="1"/>
    </row>
    <row r="1480" spans="1:3" ht="15" customHeight="1" x14ac:dyDescent="0.25">
      <c r="A1480" s="1"/>
      <c r="B1480" s="1"/>
      <c r="C1480" s="1"/>
    </row>
    <row r="1481" spans="1:3" ht="15" customHeight="1" x14ac:dyDescent="0.25">
      <c r="A1481" s="1"/>
      <c r="B1481" s="1"/>
      <c r="C1481" s="1"/>
    </row>
    <row r="1482" spans="1:3" ht="15" customHeight="1" x14ac:dyDescent="0.25">
      <c r="A1482" s="1"/>
      <c r="B1482" s="1"/>
      <c r="C1482" s="1"/>
    </row>
    <row r="1483" spans="1:3" ht="15" customHeight="1" x14ac:dyDescent="0.25">
      <c r="A1483" s="1"/>
      <c r="B1483" s="1"/>
      <c r="C1483" s="1"/>
    </row>
    <row r="1484" spans="1:3" ht="15" customHeight="1" x14ac:dyDescent="0.25">
      <c r="A1484" s="1"/>
      <c r="B1484" s="1"/>
      <c r="C1484" s="1"/>
    </row>
    <row r="1485" spans="1:3" ht="15" customHeight="1" x14ac:dyDescent="0.25">
      <c r="A1485" s="1"/>
      <c r="B1485" s="1"/>
      <c r="C1485" s="1"/>
    </row>
    <row r="1486" spans="1:3" ht="15" customHeight="1" x14ac:dyDescent="0.25">
      <c r="A1486" s="1"/>
      <c r="B1486" s="1"/>
      <c r="C1486" s="1"/>
    </row>
    <row r="1487" spans="1:3" ht="15" customHeight="1" x14ac:dyDescent="0.25">
      <c r="A1487" s="1"/>
      <c r="B1487" s="1"/>
      <c r="C1487" s="1"/>
    </row>
    <row r="1488" spans="1:3" ht="15" customHeight="1" x14ac:dyDescent="0.25">
      <c r="A1488" s="1"/>
      <c r="B1488" s="1"/>
      <c r="C1488" s="1"/>
    </row>
    <row r="1489" spans="1:3" ht="15" customHeight="1" x14ac:dyDescent="0.25">
      <c r="A1489" s="1"/>
      <c r="B1489" s="1"/>
      <c r="C1489" s="1"/>
    </row>
    <row r="1490" spans="1:3" ht="15" customHeight="1" x14ac:dyDescent="0.25">
      <c r="A1490" s="1"/>
      <c r="B1490" s="1"/>
      <c r="C1490" s="1"/>
    </row>
    <row r="1491" spans="1:3" ht="15" customHeight="1" x14ac:dyDescent="0.25">
      <c r="A1491" s="1"/>
      <c r="B1491" s="1"/>
      <c r="C1491" s="1"/>
    </row>
    <row r="1492" spans="1:3" ht="15" customHeight="1" x14ac:dyDescent="0.25">
      <c r="A1492" s="1"/>
      <c r="B1492" s="1"/>
      <c r="C1492" s="1"/>
    </row>
    <row r="1493" spans="1:3" ht="15" customHeight="1" x14ac:dyDescent="0.25">
      <c r="A1493" s="1"/>
      <c r="B1493" s="1"/>
      <c r="C1493" s="1"/>
    </row>
    <row r="1494" spans="1:3" ht="15" customHeight="1" x14ac:dyDescent="0.25">
      <c r="A1494" s="1"/>
      <c r="B1494" s="1"/>
      <c r="C1494" s="1"/>
    </row>
    <row r="1495" spans="1:3" ht="15" customHeight="1" x14ac:dyDescent="0.25">
      <c r="A1495" s="1"/>
      <c r="B1495" s="1"/>
      <c r="C1495" s="1"/>
    </row>
    <row r="1496" spans="1:3" ht="15" customHeight="1" x14ac:dyDescent="0.25">
      <c r="A1496" s="1"/>
      <c r="B1496" s="1"/>
      <c r="C1496" s="1"/>
    </row>
    <row r="1497" spans="1:3" ht="15" customHeight="1" x14ac:dyDescent="0.25">
      <c r="A1497" s="1"/>
      <c r="B1497" s="1"/>
      <c r="C1497" s="1"/>
    </row>
    <row r="1498" spans="1:3" ht="15" customHeight="1" x14ac:dyDescent="0.25">
      <c r="A1498" s="1"/>
      <c r="B1498" s="1"/>
      <c r="C1498" s="1"/>
    </row>
    <row r="1499" spans="1:3" ht="15" customHeight="1" x14ac:dyDescent="0.25">
      <c r="A1499" s="1"/>
      <c r="B1499" s="1"/>
      <c r="C1499" s="1"/>
    </row>
    <row r="1500" spans="1:3" ht="15" customHeight="1" x14ac:dyDescent="0.25">
      <c r="A1500" s="1"/>
      <c r="B1500" s="1"/>
      <c r="C1500" s="1"/>
    </row>
    <row r="1501" spans="1:3" ht="15" customHeight="1" x14ac:dyDescent="0.25">
      <c r="A1501" s="1"/>
      <c r="B1501" s="1"/>
      <c r="C1501" s="1"/>
    </row>
    <row r="1502" spans="1:3" ht="15" customHeight="1" x14ac:dyDescent="0.25">
      <c r="A1502" s="1"/>
      <c r="B1502" s="1"/>
      <c r="C1502" s="1"/>
    </row>
    <row r="1503" spans="1:3" ht="15" customHeight="1" x14ac:dyDescent="0.25">
      <c r="A1503" s="1"/>
      <c r="B1503" s="1"/>
      <c r="C1503" s="1"/>
    </row>
    <row r="1504" spans="1:3" ht="15" customHeight="1" x14ac:dyDescent="0.25">
      <c r="A1504" s="1"/>
      <c r="B1504" s="1"/>
      <c r="C1504" s="1"/>
    </row>
    <row r="1505" spans="1:3" ht="15" customHeight="1" x14ac:dyDescent="0.25">
      <c r="A1505" s="1"/>
      <c r="B1505" s="1"/>
      <c r="C1505" s="1"/>
    </row>
    <row r="1506" spans="1:3" ht="15" customHeight="1" x14ac:dyDescent="0.25">
      <c r="A1506" s="1"/>
      <c r="B1506" s="1"/>
      <c r="C1506" s="1"/>
    </row>
    <row r="1507" spans="1:3" ht="15" customHeight="1" x14ac:dyDescent="0.25">
      <c r="A1507" s="1"/>
      <c r="B1507" s="1"/>
      <c r="C1507" s="1"/>
    </row>
    <row r="1508" spans="1:3" ht="15" customHeight="1" x14ac:dyDescent="0.25">
      <c r="A1508" s="1"/>
      <c r="B1508" s="1"/>
      <c r="C1508" s="1"/>
    </row>
    <row r="1509" spans="1:3" ht="15" customHeight="1" x14ac:dyDescent="0.25">
      <c r="A1509" s="1"/>
      <c r="B1509" s="1"/>
      <c r="C1509" s="1"/>
    </row>
    <row r="1510" spans="1:3" ht="15" customHeight="1" x14ac:dyDescent="0.25">
      <c r="A1510" s="1"/>
      <c r="B1510" s="1"/>
      <c r="C1510" s="1"/>
    </row>
    <row r="1511" spans="1:3" ht="15" customHeight="1" x14ac:dyDescent="0.25">
      <c r="A1511" s="1"/>
      <c r="B1511" s="1"/>
      <c r="C1511" s="1"/>
    </row>
    <row r="1512" spans="1:3" ht="15" customHeight="1" x14ac:dyDescent="0.25">
      <c r="A1512" s="1"/>
      <c r="B1512" s="1"/>
      <c r="C1512" s="1"/>
    </row>
    <row r="1513" spans="1:3" ht="15" customHeight="1" x14ac:dyDescent="0.25">
      <c r="A1513" s="1"/>
      <c r="B1513" s="1"/>
      <c r="C1513" s="1"/>
    </row>
    <row r="1514" spans="1:3" ht="15" customHeight="1" x14ac:dyDescent="0.25">
      <c r="A1514" s="1"/>
      <c r="B1514" s="1"/>
      <c r="C1514" s="1"/>
    </row>
    <row r="1515" spans="1:3" ht="15" customHeight="1" x14ac:dyDescent="0.25">
      <c r="A1515" s="1"/>
      <c r="B1515" s="1"/>
      <c r="C1515" s="1"/>
    </row>
    <row r="1516" spans="1:3" ht="15" customHeight="1" x14ac:dyDescent="0.25">
      <c r="A1516" s="1"/>
      <c r="B1516" s="1"/>
      <c r="C1516" s="1"/>
    </row>
    <row r="1517" spans="1:3" ht="15" customHeight="1" x14ac:dyDescent="0.25">
      <c r="A1517" s="1"/>
      <c r="B1517" s="1"/>
      <c r="C1517" s="1"/>
    </row>
    <row r="1518" spans="1:3" ht="15" customHeight="1" x14ac:dyDescent="0.25">
      <c r="A1518" s="1"/>
      <c r="B1518" s="1"/>
      <c r="C1518" s="1"/>
    </row>
    <row r="1519" spans="1:3" ht="15" customHeight="1" x14ac:dyDescent="0.25">
      <c r="A1519" s="1"/>
      <c r="B1519" s="1"/>
      <c r="C1519" s="1"/>
    </row>
    <row r="1520" spans="1:3" ht="15" customHeight="1" x14ac:dyDescent="0.25">
      <c r="A1520" s="1"/>
      <c r="B1520" s="1"/>
      <c r="C1520" s="1"/>
    </row>
    <row r="1521" spans="1:3" ht="15" customHeight="1" x14ac:dyDescent="0.25">
      <c r="A1521" s="1"/>
      <c r="B1521" s="1"/>
      <c r="C1521" s="1"/>
    </row>
    <row r="1522" spans="1:3" ht="15" customHeight="1" x14ac:dyDescent="0.25">
      <c r="A1522" s="1"/>
      <c r="B1522" s="1"/>
      <c r="C1522" s="1"/>
    </row>
    <row r="1523" spans="1:3" ht="15" customHeight="1" x14ac:dyDescent="0.25">
      <c r="A1523" s="1"/>
      <c r="B1523" s="1"/>
      <c r="C1523" s="1"/>
    </row>
    <row r="1524" spans="1:3" ht="15" customHeight="1" x14ac:dyDescent="0.25">
      <c r="A1524" s="1"/>
      <c r="B1524" s="1"/>
      <c r="C1524" s="1"/>
    </row>
    <row r="1525" spans="1:3" ht="15" customHeight="1" x14ac:dyDescent="0.25">
      <c r="A1525" s="1"/>
      <c r="B1525" s="1"/>
      <c r="C1525" s="1"/>
    </row>
    <row r="1526" spans="1:3" ht="15" customHeight="1" x14ac:dyDescent="0.25">
      <c r="A1526" s="1"/>
      <c r="B1526" s="1"/>
      <c r="C1526" s="1"/>
    </row>
    <row r="1527" spans="1:3" ht="15" customHeight="1" x14ac:dyDescent="0.25">
      <c r="A1527" s="1"/>
      <c r="B1527" s="1"/>
      <c r="C1527" s="1"/>
    </row>
    <row r="1528" spans="1:3" ht="15" customHeight="1" x14ac:dyDescent="0.25">
      <c r="A1528" s="1"/>
      <c r="B1528" s="1"/>
      <c r="C1528" s="1"/>
    </row>
    <row r="1529" spans="1:3" ht="15" customHeight="1" x14ac:dyDescent="0.25">
      <c r="A1529" s="1"/>
      <c r="B1529" s="1"/>
      <c r="C1529" s="1"/>
    </row>
    <row r="1530" spans="1:3" ht="15" customHeight="1" x14ac:dyDescent="0.25">
      <c r="A1530" s="1"/>
      <c r="B1530" s="1"/>
      <c r="C1530" s="1"/>
    </row>
    <row r="1531" spans="1:3" ht="15" customHeight="1" x14ac:dyDescent="0.25">
      <c r="A1531" s="1"/>
      <c r="B1531" s="1"/>
      <c r="C1531" s="1"/>
    </row>
    <row r="1532" spans="1:3" ht="15" customHeight="1" x14ac:dyDescent="0.25">
      <c r="A1532" s="1"/>
      <c r="B1532" s="1"/>
      <c r="C1532" s="1"/>
    </row>
    <row r="1533" spans="1:3" ht="15" customHeight="1" x14ac:dyDescent="0.25">
      <c r="A1533" s="1"/>
      <c r="B1533" s="1"/>
      <c r="C1533" s="1"/>
    </row>
    <row r="1534" spans="1:3" ht="15" customHeight="1" x14ac:dyDescent="0.25">
      <c r="A1534" s="1"/>
      <c r="B1534" s="1"/>
      <c r="C1534" s="1"/>
    </row>
    <row r="1535" spans="1:3" ht="15" customHeight="1" x14ac:dyDescent="0.25">
      <c r="A1535" s="1"/>
      <c r="B1535" s="1"/>
      <c r="C1535" s="1"/>
    </row>
    <row r="1536" spans="1:3" ht="15" customHeight="1" x14ac:dyDescent="0.25">
      <c r="A1536" s="1"/>
      <c r="B1536" s="1"/>
      <c r="C1536" s="1"/>
    </row>
    <row r="1537" spans="1:3" ht="15" customHeight="1" x14ac:dyDescent="0.25">
      <c r="A1537" s="1"/>
      <c r="B1537" s="1"/>
      <c r="C1537" s="1"/>
    </row>
    <row r="1538" spans="1:3" ht="15" customHeight="1" x14ac:dyDescent="0.25">
      <c r="A1538" s="1"/>
      <c r="B1538" s="1"/>
      <c r="C1538" s="1"/>
    </row>
    <row r="1539" spans="1:3" ht="15" customHeight="1" x14ac:dyDescent="0.25">
      <c r="A1539" s="1"/>
      <c r="B1539" s="1"/>
      <c r="C1539" s="1"/>
    </row>
    <row r="1540" spans="1:3" ht="15" customHeight="1" x14ac:dyDescent="0.25">
      <c r="A1540" s="1"/>
      <c r="B1540" s="1"/>
      <c r="C1540" s="1"/>
    </row>
    <row r="1541" spans="1:3" ht="15" customHeight="1" x14ac:dyDescent="0.25">
      <c r="A1541" s="1"/>
      <c r="B1541" s="1"/>
      <c r="C1541" s="1"/>
    </row>
    <row r="1542" spans="1:3" ht="15" customHeight="1" x14ac:dyDescent="0.25">
      <c r="A1542" s="1"/>
      <c r="B1542" s="1"/>
      <c r="C1542" s="1"/>
    </row>
    <row r="1543" spans="1:3" ht="15" customHeight="1" x14ac:dyDescent="0.25">
      <c r="A1543" s="1"/>
      <c r="B1543" s="1"/>
      <c r="C1543" s="1"/>
    </row>
    <row r="1544" spans="1:3" ht="15" customHeight="1" x14ac:dyDescent="0.25">
      <c r="A1544" s="1"/>
      <c r="B1544" s="1"/>
      <c r="C1544" s="1"/>
    </row>
    <row r="1545" spans="1:3" ht="15" customHeight="1" x14ac:dyDescent="0.25">
      <c r="A1545" s="1"/>
      <c r="B1545" s="1"/>
      <c r="C1545" s="1"/>
    </row>
    <row r="1546" spans="1:3" ht="15" customHeight="1" x14ac:dyDescent="0.25">
      <c r="A1546" s="1"/>
      <c r="B1546" s="1"/>
      <c r="C1546" s="1"/>
    </row>
    <row r="1547" spans="1:3" ht="15" customHeight="1" x14ac:dyDescent="0.25">
      <c r="A1547" s="1"/>
      <c r="B1547" s="1"/>
      <c r="C1547" s="1"/>
    </row>
    <row r="1548" spans="1:3" ht="15" customHeight="1" x14ac:dyDescent="0.25">
      <c r="A1548" s="1"/>
      <c r="B1548" s="1"/>
      <c r="C1548" s="1"/>
    </row>
    <row r="1549" spans="1:3" ht="15" customHeight="1" x14ac:dyDescent="0.25">
      <c r="A1549" s="1"/>
      <c r="B1549" s="1"/>
      <c r="C1549" s="1"/>
    </row>
    <row r="1550" spans="1:3" ht="15" customHeight="1" x14ac:dyDescent="0.25">
      <c r="A1550" s="1"/>
      <c r="B1550" s="1"/>
      <c r="C1550" s="1"/>
    </row>
    <row r="1551" spans="1:3" ht="15" customHeight="1" x14ac:dyDescent="0.25">
      <c r="A1551" s="1"/>
      <c r="B1551" s="1"/>
      <c r="C1551" s="1"/>
    </row>
    <row r="1552" spans="1:3" ht="15" customHeight="1" x14ac:dyDescent="0.25">
      <c r="A1552" s="1"/>
      <c r="B1552" s="1"/>
      <c r="C1552" s="1"/>
    </row>
    <row r="1553" spans="1:3" ht="15" customHeight="1" x14ac:dyDescent="0.25">
      <c r="A1553" s="1"/>
      <c r="B1553" s="1"/>
      <c r="C1553" s="1"/>
    </row>
    <row r="1554" spans="1:3" ht="15" customHeight="1" x14ac:dyDescent="0.25">
      <c r="A1554" s="1"/>
      <c r="B1554" s="1"/>
      <c r="C1554" s="1"/>
    </row>
    <row r="1555" spans="1:3" ht="15" customHeight="1" x14ac:dyDescent="0.25">
      <c r="A1555" s="1"/>
      <c r="B1555" s="1"/>
      <c r="C1555" s="1"/>
    </row>
    <row r="1556" spans="1:3" ht="15" customHeight="1" x14ac:dyDescent="0.25">
      <c r="A1556" s="1"/>
      <c r="B1556" s="1"/>
      <c r="C1556" s="1"/>
    </row>
    <row r="1557" spans="1:3" ht="15" customHeight="1" x14ac:dyDescent="0.25">
      <c r="A1557" s="1"/>
      <c r="B1557" s="1"/>
      <c r="C1557" s="1"/>
    </row>
    <row r="1558" spans="1:3" ht="15" customHeight="1" x14ac:dyDescent="0.25">
      <c r="A1558" s="1"/>
      <c r="B1558" s="1"/>
      <c r="C1558" s="1"/>
    </row>
    <row r="1559" spans="1:3" ht="15" customHeight="1" x14ac:dyDescent="0.25">
      <c r="A1559" s="1"/>
      <c r="B1559" s="1"/>
      <c r="C1559" s="1"/>
    </row>
    <row r="1560" spans="1:3" ht="15" customHeight="1" x14ac:dyDescent="0.25">
      <c r="A1560" s="1"/>
      <c r="B1560" s="1"/>
      <c r="C1560" s="1"/>
    </row>
    <row r="1561" spans="1:3" ht="15" customHeight="1" x14ac:dyDescent="0.25">
      <c r="A1561" s="1"/>
      <c r="B1561" s="1"/>
      <c r="C1561" s="1"/>
    </row>
    <row r="1562" spans="1:3" ht="15" customHeight="1" x14ac:dyDescent="0.25">
      <c r="A1562" s="1"/>
      <c r="B1562" s="1"/>
      <c r="C1562" s="1"/>
    </row>
    <row r="1563" spans="1:3" ht="15" customHeight="1" x14ac:dyDescent="0.25">
      <c r="A1563" s="1"/>
      <c r="B1563" s="1"/>
      <c r="C1563" s="1"/>
    </row>
    <row r="1564" spans="1:3" ht="15" customHeight="1" x14ac:dyDescent="0.25">
      <c r="A1564" s="1"/>
      <c r="B1564" s="1"/>
      <c r="C1564" s="1"/>
    </row>
    <row r="1565" spans="1:3" ht="15" customHeight="1" x14ac:dyDescent="0.25">
      <c r="A1565" s="1"/>
      <c r="B1565" s="1"/>
      <c r="C1565" s="1"/>
    </row>
    <row r="1566" spans="1:3" ht="15" customHeight="1" x14ac:dyDescent="0.25">
      <c r="A1566" s="1"/>
      <c r="B1566" s="1"/>
      <c r="C1566" s="1"/>
    </row>
    <row r="1567" spans="1:3" ht="15" customHeight="1" x14ac:dyDescent="0.25">
      <c r="A1567" s="1"/>
      <c r="B1567" s="1"/>
      <c r="C1567" s="1"/>
    </row>
    <row r="1568" spans="1:3" ht="15" customHeight="1" x14ac:dyDescent="0.25">
      <c r="A1568" s="1"/>
      <c r="B1568" s="1"/>
      <c r="C1568" s="1"/>
    </row>
    <row r="1569" spans="1:3" ht="15" customHeight="1" x14ac:dyDescent="0.25">
      <c r="A1569" s="1"/>
      <c r="B1569" s="1"/>
      <c r="C1569" s="1"/>
    </row>
    <row r="1570" spans="1:3" ht="15" customHeight="1" x14ac:dyDescent="0.25">
      <c r="A1570" s="1"/>
      <c r="B1570" s="1"/>
      <c r="C1570" s="1"/>
    </row>
    <row r="1571" spans="1:3" ht="15" customHeight="1" x14ac:dyDescent="0.25">
      <c r="A1571" s="1"/>
      <c r="B1571" s="1"/>
      <c r="C1571" s="1"/>
    </row>
    <row r="1572" spans="1:3" ht="15" customHeight="1" x14ac:dyDescent="0.25">
      <c r="A1572" s="1"/>
      <c r="B1572" s="1"/>
      <c r="C1572" s="1"/>
    </row>
    <row r="1573" spans="1:3" ht="15" customHeight="1" x14ac:dyDescent="0.25">
      <c r="A1573" s="1"/>
      <c r="B1573" s="1"/>
      <c r="C1573" s="1"/>
    </row>
    <row r="1574" spans="1:3" ht="15" customHeight="1" x14ac:dyDescent="0.25">
      <c r="A1574" s="1"/>
      <c r="B1574" s="1"/>
      <c r="C1574" s="1"/>
    </row>
    <row r="1575" spans="1:3" ht="15" customHeight="1" x14ac:dyDescent="0.25">
      <c r="A1575" s="1"/>
      <c r="B1575" s="1"/>
      <c r="C1575" s="1"/>
    </row>
    <row r="1576" spans="1:3" ht="15" customHeight="1" x14ac:dyDescent="0.25">
      <c r="A1576" s="1"/>
      <c r="B1576" s="1"/>
      <c r="C1576" s="1"/>
    </row>
    <row r="1577" spans="1:3" ht="15" customHeight="1" x14ac:dyDescent="0.25">
      <c r="A1577" s="1"/>
      <c r="B1577" s="1"/>
      <c r="C1577" s="1"/>
    </row>
    <row r="1578" spans="1:3" ht="15" customHeight="1" x14ac:dyDescent="0.25">
      <c r="A1578" s="1"/>
      <c r="B1578" s="1"/>
      <c r="C1578" s="1"/>
    </row>
    <row r="1579" spans="1:3" ht="15" customHeight="1" x14ac:dyDescent="0.25">
      <c r="A1579" s="1"/>
      <c r="B1579" s="1"/>
      <c r="C1579" s="1"/>
    </row>
    <row r="1580" spans="1:3" ht="15" customHeight="1" x14ac:dyDescent="0.25">
      <c r="A1580" s="1"/>
      <c r="B1580" s="1"/>
      <c r="C1580" s="1"/>
    </row>
    <row r="1581" spans="1:3" ht="15" customHeight="1" x14ac:dyDescent="0.25">
      <c r="A1581" s="1"/>
      <c r="B1581" s="1"/>
      <c r="C1581" s="1"/>
    </row>
    <row r="1582" spans="1:3" ht="15" customHeight="1" x14ac:dyDescent="0.25">
      <c r="A1582" s="1"/>
      <c r="B1582" s="1"/>
      <c r="C1582" s="1"/>
    </row>
    <row r="1583" spans="1:3" ht="15" customHeight="1" x14ac:dyDescent="0.25">
      <c r="A1583" s="1"/>
      <c r="B1583" s="1"/>
      <c r="C1583" s="1"/>
    </row>
    <row r="1584" spans="1:3" ht="15" customHeight="1" x14ac:dyDescent="0.25">
      <c r="A1584" s="1"/>
      <c r="B1584" s="1"/>
      <c r="C1584" s="1"/>
    </row>
    <row r="1585" spans="1:3" ht="15" customHeight="1" x14ac:dyDescent="0.25">
      <c r="A1585" s="1"/>
      <c r="B1585" s="1"/>
      <c r="C1585" s="1"/>
    </row>
    <row r="1586" spans="1:3" ht="15" customHeight="1" x14ac:dyDescent="0.25">
      <c r="A1586" s="1"/>
      <c r="B1586" s="1"/>
      <c r="C1586" s="1"/>
    </row>
    <row r="1587" spans="1:3" ht="15" customHeight="1" x14ac:dyDescent="0.25">
      <c r="A1587" s="1"/>
      <c r="B1587" s="1"/>
      <c r="C1587" s="1"/>
    </row>
    <row r="1588" spans="1:3" ht="15" customHeight="1" x14ac:dyDescent="0.25">
      <c r="A1588" s="1"/>
      <c r="B1588" s="1"/>
      <c r="C1588" s="1"/>
    </row>
    <row r="1589" spans="1:3" ht="15" customHeight="1" x14ac:dyDescent="0.25">
      <c r="A1589" s="1"/>
      <c r="B1589" s="1"/>
      <c r="C1589" s="1"/>
    </row>
    <row r="1590" spans="1:3" ht="15" customHeight="1" x14ac:dyDescent="0.25">
      <c r="A1590" s="1"/>
      <c r="B1590" s="1"/>
      <c r="C1590" s="1"/>
    </row>
    <row r="1591" spans="1:3" ht="15" customHeight="1" x14ac:dyDescent="0.25">
      <c r="A1591" s="1"/>
      <c r="B1591" s="1"/>
      <c r="C1591" s="1"/>
    </row>
    <row r="1592" spans="1:3" ht="15" customHeight="1" x14ac:dyDescent="0.25">
      <c r="A1592" s="1"/>
      <c r="B1592" s="1"/>
      <c r="C1592" s="1"/>
    </row>
    <row r="1593" spans="1:3" ht="15" customHeight="1" x14ac:dyDescent="0.25">
      <c r="A1593" s="1"/>
      <c r="B1593" s="1"/>
      <c r="C1593" s="1"/>
    </row>
    <row r="1594" spans="1:3" ht="15" customHeight="1" x14ac:dyDescent="0.25">
      <c r="A1594" s="1"/>
      <c r="B1594" s="1"/>
      <c r="C1594" s="1"/>
    </row>
    <row r="1595" spans="1:3" ht="15" customHeight="1" x14ac:dyDescent="0.25">
      <c r="A1595" s="1"/>
      <c r="B1595" s="1"/>
      <c r="C1595" s="1"/>
    </row>
    <row r="1596" spans="1:3" ht="15" customHeight="1" x14ac:dyDescent="0.25">
      <c r="A1596" s="1"/>
      <c r="B1596" s="1"/>
      <c r="C1596" s="1"/>
    </row>
    <row r="1597" spans="1:3" ht="15" customHeight="1" x14ac:dyDescent="0.25">
      <c r="A1597" s="1"/>
      <c r="B1597" s="1"/>
      <c r="C1597" s="1"/>
    </row>
    <row r="1598" spans="1:3" ht="15" customHeight="1" x14ac:dyDescent="0.25">
      <c r="A1598" s="1"/>
      <c r="B1598" s="1"/>
      <c r="C1598" s="1"/>
    </row>
    <row r="1599" spans="1:3" ht="15" customHeight="1" x14ac:dyDescent="0.25">
      <c r="A1599" s="1"/>
      <c r="B1599" s="1"/>
      <c r="C1599" s="1"/>
    </row>
    <row r="1600" spans="1:3" ht="15" customHeight="1" x14ac:dyDescent="0.25">
      <c r="A1600" s="1"/>
      <c r="B1600" s="1"/>
      <c r="C1600" s="1"/>
    </row>
    <row r="1601" spans="1:3" ht="15" customHeight="1" x14ac:dyDescent="0.25">
      <c r="A1601" s="1"/>
      <c r="B1601" s="1"/>
      <c r="C1601" s="1"/>
    </row>
    <row r="1602" spans="1:3" ht="15" customHeight="1" x14ac:dyDescent="0.25">
      <c r="A1602" s="1"/>
      <c r="B1602" s="1"/>
      <c r="C1602" s="1"/>
    </row>
    <row r="1603" spans="1:3" ht="15" customHeight="1" x14ac:dyDescent="0.25">
      <c r="A1603" s="1"/>
      <c r="B1603" s="1"/>
      <c r="C1603" s="1"/>
    </row>
    <row r="1604" spans="1:3" ht="15" customHeight="1" x14ac:dyDescent="0.25">
      <c r="A1604" s="1"/>
      <c r="B1604" s="1"/>
      <c r="C1604" s="1"/>
    </row>
    <row r="1605" spans="1:3" ht="15" customHeight="1" x14ac:dyDescent="0.25">
      <c r="A1605" s="1"/>
      <c r="B1605" s="1"/>
      <c r="C1605" s="1"/>
    </row>
    <row r="1606" spans="1:3" ht="15" customHeight="1" x14ac:dyDescent="0.25">
      <c r="A1606" s="1"/>
      <c r="B1606" s="1"/>
      <c r="C1606" s="1"/>
    </row>
    <row r="1607" spans="1:3" ht="15" customHeight="1" x14ac:dyDescent="0.25">
      <c r="A1607" s="1"/>
      <c r="B1607" s="1"/>
      <c r="C1607" s="1"/>
    </row>
    <row r="1608" spans="1:3" ht="15" customHeight="1" x14ac:dyDescent="0.25">
      <c r="A1608" s="1"/>
      <c r="B1608" s="1"/>
      <c r="C1608" s="1"/>
    </row>
    <row r="1609" spans="1:3" ht="15" customHeight="1" x14ac:dyDescent="0.25">
      <c r="A1609" s="1"/>
      <c r="B1609" s="1"/>
      <c r="C1609" s="1"/>
    </row>
    <row r="1610" spans="1:3" ht="15" customHeight="1" x14ac:dyDescent="0.25">
      <c r="A1610" s="1"/>
      <c r="B1610" s="1"/>
      <c r="C1610" s="1"/>
    </row>
    <row r="1611" spans="1:3" ht="15" customHeight="1" x14ac:dyDescent="0.25">
      <c r="A1611" s="1"/>
      <c r="B1611" s="1"/>
      <c r="C1611" s="1"/>
    </row>
  </sheetData>
  <pageMargins left="0.7" right="0.7" top="0.75" bottom="0.75" header="0.3" footer="0.3"/>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69B0-B9A9-4E09-B196-64D2DF61B8A9}">
  <dimension ref="A1:E324"/>
  <sheetViews>
    <sheetView topLeftCell="A316" workbookViewId="0"/>
  </sheetViews>
  <sheetFormatPr defaultColWidth="9.140625" defaultRowHeight="15" x14ac:dyDescent="0.25"/>
  <cols>
    <col min="1" max="1" width="54" style="3" bestFit="1" customWidth="1"/>
    <col min="2" max="2" width="28.7109375" style="3" bestFit="1" customWidth="1"/>
    <col min="3" max="3" width="31" style="3" bestFit="1" customWidth="1"/>
    <col min="4" max="4" width="54.28515625" style="3" bestFit="1" customWidth="1"/>
    <col min="5" max="5" width="35.42578125" style="3" customWidth="1"/>
    <col min="6" max="16384" width="9.140625" style="3"/>
  </cols>
  <sheetData>
    <row r="1" spans="1:5" ht="30" customHeight="1" x14ac:dyDescent="0.25">
      <c r="A1" s="3" t="s">
        <v>3946</v>
      </c>
      <c r="B1" s="3" t="s">
        <v>3949</v>
      </c>
      <c r="C1" s="3" t="s">
        <v>3950</v>
      </c>
      <c r="D1" s="3" t="s">
        <v>3951</v>
      </c>
      <c r="E1" s="3" t="s">
        <v>3656</v>
      </c>
    </row>
    <row r="2" spans="1:5" ht="14.1" customHeight="1" x14ac:dyDescent="0.25">
      <c r="A2" s="4" t="s">
        <v>149</v>
      </c>
      <c r="B2" s="4" t="s">
        <v>1181</v>
      </c>
      <c r="C2" s="4" t="s">
        <v>151</v>
      </c>
      <c r="D2" s="4" t="s">
        <v>1188</v>
      </c>
    </row>
    <row r="3" spans="1:5" ht="14.1" customHeight="1" x14ac:dyDescent="0.25">
      <c r="A3" s="4" t="s">
        <v>955</v>
      </c>
      <c r="B3" s="4" t="s">
        <v>1182</v>
      </c>
      <c r="C3" s="4" t="s">
        <v>167</v>
      </c>
      <c r="D3" s="4" t="s">
        <v>1188</v>
      </c>
    </row>
    <row r="4" spans="1:5" ht="14.1" customHeight="1" x14ac:dyDescent="0.25">
      <c r="A4" s="4" t="s">
        <v>899</v>
      </c>
      <c r="B4" s="4" t="s">
        <v>1183</v>
      </c>
      <c r="C4" s="4" t="s">
        <v>901</v>
      </c>
      <c r="D4" s="4" t="s">
        <v>1188</v>
      </c>
    </row>
    <row r="5" spans="1:5" ht="14.1" customHeight="1" x14ac:dyDescent="0.25">
      <c r="A5" s="4" t="s">
        <v>367</v>
      </c>
      <c r="B5" s="4" t="s">
        <v>1184</v>
      </c>
      <c r="C5" s="4" t="s">
        <v>144</v>
      </c>
      <c r="D5" s="4" t="s">
        <v>1188</v>
      </c>
    </row>
    <row r="6" spans="1:5" ht="14.1" customHeight="1" x14ac:dyDescent="0.25">
      <c r="A6" s="4" t="s">
        <v>956</v>
      </c>
      <c r="B6" s="4" t="s">
        <v>1185</v>
      </c>
      <c r="C6" s="4" t="s">
        <v>440</v>
      </c>
      <c r="D6" s="4" t="s">
        <v>1188</v>
      </c>
    </row>
    <row r="7" spans="1:5" ht="14.1" customHeight="1" x14ac:dyDescent="0.25">
      <c r="A7" s="4" t="s">
        <v>1057</v>
      </c>
      <c r="B7" s="4" t="s">
        <v>1186</v>
      </c>
      <c r="C7" s="4" t="s">
        <v>1059</v>
      </c>
      <c r="D7" s="4" t="s">
        <v>1188</v>
      </c>
    </row>
    <row r="8" spans="1:5" ht="14.1" customHeight="1" x14ac:dyDescent="0.25">
      <c r="A8" s="4" t="s">
        <v>694</v>
      </c>
      <c r="B8" s="4" t="s">
        <v>1187</v>
      </c>
      <c r="C8" s="4" t="s">
        <v>696</v>
      </c>
      <c r="D8" s="4" t="s">
        <v>1188</v>
      </c>
    </row>
    <row r="9" spans="1:5" ht="14.1" customHeight="1" x14ac:dyDescent="0.25">
      <c r="A9" s="4" t="s">
        <v>282</v>
      </c>
      <c r="B9" s="4" t="s">
        <v>1189</v>
      </c>
      <c r="C9" s="4" t="s">
        <v>218</v>
      </c>
      <c r="D9" s="4" t="s">
        <v>1200</v>
      </c>
    </row>
    <row r="10" spans="1:5" ht="14.1" customHeight="1" x14ac:dyDescent="0.25">
      <c r="A10" s="4" t="s">
        <v>34</v>
      </c>
      <c r="B10" s="4" t="s">
        <v>1190</v>
      </c>
      <c r="C10" s="4" t="s">
        <v>36</v>
      </c>
      <c r="D10" s="4" t="s">
        <v>1200</v>
      </c>
    </row>
    <row r="11" spans="1:5" ht="14.1" customHeight="1" x14ac:dyDescent="0.25">
      <c r="A11" s="4" t="s">
        <v>676</v>
      </c>
      <c r="B11" s="4" t="s">
        <v>1191</v>
      </c>
      <c r="C11" s="4" t="s">
        <v>678</v>
      </c>
      <c r="D11" s="4" t="s">
        <v>1200</v>
      </c>
    </row>
    <row r="12" spans="1:5" ht="14.1" customHeight="1" x14ac:dyDescent="0.25">
      <c r="A12" s="4" t="s">
        <v>795</v>
      </c>
      <c r="B12" s="4" t="s">
        <v>1190</v>
      </c>
      <c r="C12" s="4" t="s">
        <v>36</v>
      </c>
      <c r="D12" s="4" t="s">
        <v>1200</v>
      </c>
    </row>
    <row r="13" spans="1:5" ht="14.1" customHeight="1" x14ac:dyDescent="0.25">
      <c r="A13" s="4" t="s">
        <v>1178</v>
      </c>
      <c r="B13" s="4" t="s">
        <v>1185</v>
      </c>
      <c r="C13" s="4" t="s">
        <v>195</v>
      </c>
      <c r="D13" s="4" t="s">
        <v>1200</v>
      </c>
    </row>
    <row r="14" spans="1:5" ht="14.1" customHeight="1" x14ac:dyDescent="0.25">
      <c r="A14" s="4" t="s">
        <v>983</v>
      </c>
      <c r="B14" s="4" t="s">
        <v>1192</v>
      </c>
      <c r="C14" s="4" t="s">
        <v>398</v>
      </c>
      <c r="D14" s="4" t="s">
        <v>1200</v>
      </c>
    </row>
    <row r="15" spans="1:5" ht="14.1" customHeight="1" x14ac:dyDescent="0.25">
      <c r="A15" s="4" t="s">
        <v>1101</v>
      </c>
      <c r="B15" s="4" t="s">
        <v>1193</v>
      </c>
      <c r="C15" s="4" t="s">
        <v>1103</v>
      </c>
      <c r="D15" s="4" t="s">
        <v>1200</v>
      </c>
    </row>
    <row r="16" spans="1:5" ht="14.1" customHeight="1" x14ac:dyDescent="0.25">
      <c r="A16" s="4" t="s">
        <v>224</v>
      </c>
      <c r="B16" s="4" t="s">
        <v>1194</v>
      </c>
      <c r="C16" s="4" t="s">
        <v>226</v>
      </c>
      <c r="D16" s="4" t="s">
        <v>1200</v>
      </c>
    </row>
    <row r="17" spans="1:4" ht="14.1" customHeight="1" x14ac:dyDescent="0.25">
      <c r="A17" s="4" t="s">
        <v>446</v>
      </c>
      <c r="B17" s="4" t="s">
        <v>1195</v>
      </c>
      <c r="C17" s="4" t="s">
        <v>448</v>
      </c>
      <c r="D17" s="4" t="s">
        <v>1200</v>
      </c>
    </row>
    <row r="18" spans="1:4" ht="14.1" customHeight="1" x14ac:dyDescent="0.25">
      <c r="A18" s="4" t="s">
        <v>121</v>
      </c>
      <c r="B18" s="4" t="s">
        <v>1196</v>
      </c>
      <c r="C18" s="4" t="s">
        <v>123</v>
      </c>
      <c r="D18" s="4" t="s">
        <v>1200</v>
      </c>
    </row>
    <row r="19" spans="1:4" ht="14.1" customHeight="1" x14ac:dyDescent="0.25">
      <c r="A19" s="4" t="s">
        <v>457</v>
      </c>
      <c r="B19" s="4" t="s">
        <v>1197</v>
      </c>
      <c r="C19" s="4" t="s">
        <v>459</v>
      </c>
      <c r="D19" s="4" t="s">
        <v>1200</v>
      </c>
    </row>
    <row r="20" spans="1:4" ht="14.1" customHeight="1" x14ac:dyDescent="0.25">
      <c r="A20" s="4" t="s">
        <v>576</v>
      </c>
      <c r="B20" s="4" t="s">
        <v>1198</v>
      </c>
      <c r="C20" s="4" t="s">
        <v>287</v>
      </c>
      <c r="D20" s="4" t="s">
        <v>1200</v>
      </c>
    </row>
    <row r="21" spans="1:4" ht="14.1" customHeight="1" x14ac:dyDescent="0.25">
      <c r="A21" s="4" t="s">
        <v>216</v>
      </c>
      <c r="B21" s="4" t="s">
        <v>1189</v>
      </c>
      <c r="C21" s="4" t="s">
        <v>218</v>
      </c>
      <c r="D21" s="4" t="s">
        <v>1200</v>
      </c>
    </row>
    <row r="22" spans="1:4" ht="14.1" customHeight="1" x14ac:dyDescent="0.25">
      <c r="A22" s="4" t="s">
        <v>850</v>
      </c>
      <c r="B22" s="4" t="s">
        <v>1199</v>
      </c>
      <c r="C22" s="4" t="s">
        <v>852</v>
      </c>
      <c r="D22" s="4" t="s">
        <v>1200</v>
      </c>
    </row>
    <row r="23" spans="1:4" ht="14.1" customHeight="1" x14ac:dyDescent="0.25">
      <c r="A23" s="4" t="s">
        <v>1061</v>
      </c>
      <c r="B23" s="4" t="s">
        <v>481</v>
      </c>
      <c r="C23" s="4" t="s">
        <v>452</v>
      </c>
      <c r="D23" s="4" t="s">
        <v>1201</v>
      </c>
    </row>
    <row r="24" spans="1:4" ht="14.1" customHeight="1" x14ac:dyDescent="0.25">
      <c r="A24" s="4" t="s">
        <v>1146</v>
      </c>
      <c r="B24" s="4" t="s">
        <v>1011</v>
      </c>
      <c r="C24" s="4" t="s">
        <v>1029</v>
      </c>
      <c r="D24" s="4" t="s">
        <v>1201</v>
      </c>
    </row>
    <row r="25" spans="1:4" ht="14.1" customHeight="1" x14ac:dyDescent="0.25">
      <c r="A25" s="4" t="s">
        <v>626</v>
      </c>
      <c r="B25" s="4" t="s">
        <v>1202</v>
      </c>
      <c r="C25" s="4" t="s">
        <v>230</v>
      </c>
      <c r="D25" s="4" t="s">
        <v>1209</v>
      </c>
    </row>
    <row r="26" spans="1:4" ht="14.1" customHeight="1" x14ac:dyDescent="0.25">
      <c r="A26" s="25" t="s">
        <v>6396</v>
      </c>
      <c r="B26" s="4" t="s">
        <v>1203</v>
      </c>
      <c r="C26" s="4" t="s">
        <v>326</v>
      </c>
      <c r="D26" s="4" t="s">
        <v>1209</v>
      </c>
    </row>
    <row r="27" spans="1:4" ht="14.1" customHeight="1" x14ac:dyDescent="0.25">
      <c r="A27" s="4" t="s">
        <v>245</v>
      </c>
      <c r="B27" s="4" t="s">
        <v>1204</v>
      </c>
      <c r="C27" s="4" t="s">
        <v>247</v>
      </c>
      <c r="D27" s="4" t="s">
        <v>1209</v>
      </c>
    </row>
    <row r="28" spans="1:4" ht="14.1" customHeight="1" x14ac:dyDescent="0.25">
      <c r="A28" s="4" t="s">
        <v>81</v>
      </c>
      <c r="B28" s="4" t="s">
        <v>1205</v>
      </c>
      <c r="C28" s="4" t="s">
        <v>83</v>
      </c>
      <c r="D28" s="4" t="s">
        <v>1209</v>
      </c>
    </row>
    <row r="29" spans="1:4" ht="14.1" customHeight="1" x14ac:dyDescent="0.25">
      <c r="A29" s="4" t="s">
        <v>14</v>
      </c>
      <c r="B29" s="4" t="s">
        <v>1206</v>
      </c>
      <c r="C29" s="4" t="s">
        <v>17</v>
      </c>
      <c r="D29" s="4" t="s">
        <v>1209</v>
      </c>
    </row>
    <row r="30" spans="1:4" ht="14.1" customHeight="1" x14ac:dyDescent="0.25">
      <c r="A30" s="4" t="s">
        <v>1105</v>
      </c>
      <c r="B30" s="4" t="s">
        <v>1207</v>
      </c>
      <c r="C30" s="4" t="s">
        <v>1107</v>
      </c>
      <c r="D30" s="4" t="s">
        <v>1209</v>
      </c>
    </row>
    <row r="31" spans="1:4" ht="14.1" customHeight="1" x14ac:dyDescent="0.25">
      <c r="A31" s="4" t="s">
        <v>593</v>
      </c>
      <c r="B31" s="4" t="s">
        <v>1208</v>
      </c>
      <c r="C31" s="4" t="s">
        <v>554</v>
      </c>
      <c r="D31" s="4" t="s">
        <v>1209</v>
      </c>
    </row>
    <row r="32" spans="1:4" ht="14.1" customHeight="1" x14ac:dyDescent="0.25">
      <c r="A32" s="4" t="s">
        <v>1133</v>
      </c>
      <c r="B32" s="4" t="s">
        <v>1210</v>
      </c>
      <c r="C32" s="4" t="s">
        <v>1135</v>
      </c>
      <c r="D32" s="4" t="s">
        <v>1215</v>
      </c>
    </row>
    <row r="33" spans="1:4" ht="14.1" customHeight="1" x14ac:dyDescent="0.25">
      <c r="A33" s="4" t="s">
        <v>874</v>
      </c>
      <c r="B33" s="4" t="s">
        <v>1211</v>
      </c>
      <c r="C33" s="4" t="s">
        <v>876</v>
      </c>
      <c r="D33" s="4" t="s">
        <v>1215</v>
      </c>
    </row>
    <row r="34" spans="1:4" ht="14.1" customHeight="1" x14ac:dyDescent="0.25">
      <c r="A34" s="4" t="s">
        <v>661</v>
      </c>
      <c r="B34" s="4" t="s">
        <v>1212</v>
      </c>
      <c r="C34" s="4" t="s">
        <v>663</v>
      </c>
      <c r="D34" s="4" t="s">
        <v>1215</v>
      </c>
    </row>
    <row r="35" spans="1:4" ht="14.1" customHeight="1" x14ac:dyDescent="0.25">
      <c r="A35" s="4" t="s">
        <v>762</v>
      </c>
      <c r="B35" s="4" t="s">
        <v>1213</v>
      </c>
      <c r="C35" s="4" t="s">
        <v>764</v>
      </c>
      <c r="D35" s="4" t="s">
        <v>1215</v>
      </c>
    </row>
    <row r="36" spans="1:4" ht="14.1" customHeight="1" x14ac:dyDescent="0.25">
      <c r="A36" s="4" t="s">
        <v>320</v>
      </c>
      <c r="B36" s="4" t="s">
        <v>1214</v>
      </c>
      <c r="C36" s="4" t="s">
        <v>322</v>
      </c>
      <c r="D36" s="4" t="s">
        <v>1215</v>
      </c>
    </row>
    <row r="37" spans="1:4" ht="14.1" customHeight="1" x14ac:dyDescent="0.25">
      <c r="A37" s="4" t="s">
        <v>1044</v>
      </c>
      <c r="B37" s="4" t="s">
        <v>1214</v>
      </c>
      <c r="C37" s="4" t="s">
        <v>1046</v>
      </c>
      <c r="D37" s="4" t="s">
        <v>1215</v>
      </c>
    </row>
    <row r="38" spans="1:4" ht="14.1" customHeight="1" x14ac:dyDescent="0.25">
      <c r="A38" s="4" t="s">
        <v>929</v>
      </c>
      <c r="B38" s="4" t="s">
        <v>1216</v>
      </c>
      <c r="C38" s="4" t="s">
        <v>277</v>
      </c>
      <c r="D38" s="4" t="s">
        <v>1220</v>
      </c>
    </row>
    <row r="39" spans="1:4" ht="14.1" customHeight="1" x14ac:dyDescent="0.25">
      <c r="A39" s="4" t="s">
        <v>347</v>
      </c>
      <c r="B39" s="4" t="s">
        <v>1217</v>
      </c>
      <c r="C39" s="4" t="s">
        <v>349</v>
      </c>
      <c r="D39" s="4" t="s">
        <v>1220</v>
      </c>
    </row>
    <row r="40" spans="1:4" ht="14.1" customHeight="1" x14ac:dyDescent="0.25">
      <c r="A40" s="4" t="s">
        <v>908</v>
      </c>
      <c r="B40" s="4" t="s">
        <v>1218</v>
      </c>
      <c r="C40" s="4" t="s">
        <v>910</v>
      </c>
      <c r="D40" s="4" t="s">
        <v>1220</v>
      </c>
    </row>
    <row r="41" spans="1:4" ht="14.1" customHeight="1" x14ac:dyDescent="0.25">
      <c r="A41" s="4" t="s">
        <v>1169</v>
      </c>
      <c r="B41" s="4" t="s">
        <v>1219</v>
      </c>
      <c r="C41" s="4" t="s">
        <v>1171</v>
      </c>
      <c r="D41" s="4" t="s">
        <v>1220</v>
      </c>
    </row>
    <row r="42" spans="1:4" ht="14.1" customHeight="1" x14ac:dyDescent="0.25">
      <c r="A42" s="4" t="s">
        <v>359</v>
      </c>
      <c r="B42" s="4" t="s">
        <v>1221</v>
      </c>
      <c r="C42" s="4" t="s">
        <v>361</v>
      </c>
      <c r="D42" s="4" t="s">
        <v>1230</v>
      </c>
    </row>
    <row r="43" spans="1:4" ht="14.1" customHeight="1" x14ac:dyDescent="0.25">
      <c r="A43" s="4" t="s">
        <v>50</v>
      </c>
      <c r="B43" s="4" t="s">
        <v>1222</v>
      </c>
      <c r="C43" s="4" t="s">
        <v>52</v>
      </c>
      <c r="D43" s="4" t="s">
        <v>1230</v>
      </c>
    </row>
    <row r="44" spans="1:4" ht="14.1" customHeight="1" x14ac:dyDescent="0.25">
      <c r="A44" s="4" t="s">
        <v>279</v>
      </c>
      <c r="B44" s="4" t="s">
        <v>1223</v>
      </c>
      <c r="C44" s="4" t="s">
        <v>140</v>
      </c>
      <c r="D44" s="4" t="s">
        <v>1230</v>
      </c>
    </row>
    <row r="45" spans="1:4" ht="14.1" customHeight="1" x14ac:dyDescent="0.25">
      <c r="A45" s="4" t="s">
        <v>1076</v>
      </c>
      <c r="B45" s="4" t="s">
        <v>1224</v>
      </c>
      <c r="C45" s="4" t="s">
        <v>394</v>
      </c>
      <c r="D45" s="4" t="s">
        <v>1230</v>
      </c>
    </row>
    <row r="46" spans="1:4" ht="14.1" customHeight="1" x14ac:dyDescent="0.25">
      <c r="A46" s="4" t="s">
        <v>619</v>
      </c>
      <c r="B46" s="4" t="s">
        <v>1225</v>
      </c>
      <c r="C46" s="4" t="s">
        <v>621</v>
      </c>
      <c r="D46" s="4" t="s">
        <v>1230</v>
      </c>
    </row>
    <row r="47" spans="1:4" ht="14.1" customHeight="1" x14ac:dyDescent="0.25">
      <c r="A47" s="4" t="s">
        <v>383</v>
      </c>
      <c r="B47" s="4" t="s">
        <v>1226</v>
      </c>
      <c r="C47" s="4" t="s">
        <v>27</v>
      </c>
      <c r="D47" s="4" t="s">
        <v>1230</v>
      </c>
    </row>
    <row r="48" spans="1:4" ht="14.1" customHeight="1" x14ac:dyDescent="0.25">
      <c r="A48" s="4" t="s">
        <v>629</v>
      </c>
      <c r="B48" s="4" t="s">
        <v>1227</v>
      </c>
      <c r="C48" s="4" t="s">
        <v>631</v>
      </c>
      <c r="D48" s="4" t="s">
        <v>1230</v>
      </c>
    </row>
    <row r="49" spans="1:4" ht="14.1" customHeight="1" x14ac:dyDescent="0.25">
      <c r="A49" s="4" t="s">
        <v>1100</v>
      </c>
      <c r="B49" s="4" t="s">
        <v>1228</v>
      </c>
      <c r="C49" s="4" t="s">
        <v>1037</v>
      </c>
      <c r="D49" s="4" t="s">
        <v>1230</v>
      </c>
    </row>
    <row r="50" spans="1:4" ht="14.1" customHeight="1" x14ac:dyDescent="0.25">
      <c r="A50" s="4" t="s">
        <v>984</v>
      </c>
      <c r="B50" s="4" t="s">
        <v>1229</v>
      </c>
      <c r="C50" s="4" t="s">
        <v>986</v>
      </c>
      <c r="D50" s="4" t="s">
        <v>1230</v>
      </c>
    </row>
    <row r="51" spans="1:4" ht="14.1" customHeight="1" x14ac:dyDescent="0.25">
      <c r="A51" s="4" t="s">
        <v>988</v>
      </c>
      <c r="B51" s="4" t="s">
        <v>1221</v>
      </c>
      <c r="C51" s="4" t="s">
        <v>361</v>
      </c>
      <c r="D51" s="4" t="s">
        <v>1230</v>
      </c>
    </row>
    <row r="52" spans="1:4" ht="14.1" customHeight="1" x14ac:dyDescent="0.25">
      <c r="A52" s="4" t="s">
        <v>431</v>
      </c>
      <c r="B52" s="4" t="s">
        <v>1222</v>
      </c>
      <c r="C52" s="4" t="s">
        <v>52</v>
      </c>
      <c r="D52" s="4" t="s">
        <v>1230</v>
      </c>
    </row>
    <row r="53" spans="1:4" ht="14.1" customHeight="1" x14ac:dyDescent="0.25">
      <c r="A53" s="4" t="s">
        <v>1151</v>
      </c>
      <c r="B53" s="4" t="s">
        <v>1231</v>
      </c>
      <c r="C53" s="4" t="s">
        <v>179</v>
      </c>
      <c r="D53" s="4" t="s">
        <v>1232</v>
      </c>
    </row>
    <row r="54" spans="1:4" ht="14.1" customHeight="1" x14ac:dyDescent="0.25">
      <c r="A54" s="4" t="s">
        <v>1165</v>
      </c>
      <c r="B54" s="4" t="s">
        <v>1231</v>
      </c>
      <c r="C54" s="4" t="s">
        <v>179</v>
      </c>
      <c r="D54" s="4" t="s">
        <v>1232</v>
      </c>
    </row>
    <row r="55" spans="1:4" ht="14.1" customHeight="1" x14ac:dyDescent="0.25">
      <c r="A55" s="4" t="s">
        <v>615</v>
      </c>
      <c r="B55" s="4" t="s">
        <v>1233</v>
      </c>
      <c r="C55" s="4" t="s">
        <v>617</v>
      </c>
      <c r="D55" s="4" t="s">
        <v>1247</v>
      </c>
    </row>
    <row r="56" spans="1:4" ht="14.1" customHeight="1" x14ac:dyDescent="0.25">
      <c r="A56" s="4" t="s">
        <v>54</v>
      </c>
      <c r="B56" s="4" t="s">
        <v>1234</v>
      </c>
      <c r="C56" s="4" t="s">
        <v>56</v>
      </c>
      <c r="D56" s="4" t="s">
        <v>1247</v>
      </c>
    </row>
    <row r="57" spans="1:4" ht="14.1" customHeight="1" x14ac:dyDescent="0.25">
      <c r="A57" s="4" t="s">
        <v>201</v>
      </c>
      <c r="B57" s="4" t="s">
        <v>1235</v>
      </c>
      <c r="C57" s="4" t="s">
        <v>203</v>
      </c>
      <c r="D57" s="4" t="s">
        <v>1247</v>
      </c>
    </row>
    <row r="58" spans="1:4" ht="14.1" customHeight="1" x14ac:dyDescent="0.25">
      <c r="A58" s="4" t="s">
        <v>19</v>
      </c>
      <c r="B58" s="4" t="s">
        <v>23</v>
      </c>
      <c r="C58" s="4" t="s">
        <v>22</v>
      </c>
      <c r="D58" s="4" t="s">
        <v>1247</v>
      </c>
    </row>
    <row r="59" spans="1:4" ht="14.1" customHeight="1" x14ac:dyDescent="0.25">
      <c r="A59" s="4" t="s">
        <v>1002</v>
      </c>
      <c r="B59" s="4" t="s">
        <v>1236</v>
      </c>
      <c r="C59" s="4" t="s">
        <v>91</v>
      </c>
      <c r="D59" s="4" t="s">
        <v>1247</v>
      </c>
    </row>
    <row r="60" spans="1:4" ht="14.1" customHeight="1" x14ac:dyDescent="0.25">
      <c r="A60" s="4" t="s">
        <v>776</v>
      </c>
      <c r="B60" s="4" t="s">
        <v>23</v>
      </c>
      <c r="C60" s="4" t="s">
        <v>22</v>
      </c>
      <c r="D60" s="4" t="s">
        <v>1247</v>
      </c>
    </row>
    <row r="61" spans="1:4" ht="14.1" customHeight="1" x14ac:dyDescent="0.25">
      <c r="A61" s="4" t="s">
        <v>305</v>
      </c>
      <c r="B61" s="4" t="s">
        <v>1237</v>
      </c>
      <c r="C61" s="4" t="s">
        <v>307</v>
      </c>
      <c r="D61" s="4" t="s">
        <v>1247</v>
      </c>
    </row>
    <row r="62" spans="1:4" ht="14.1" customHeight="1" x14ac:dyDescent="0.25">
      <c r="A62" s="4" t="s">
        <v>669</v>
      </c>
      <c r="B62" s="4" t="s">
        <v>1233</v>
      </c>
      <c r="C62" s="4" t="s">
        <v>617</v>
      </c>
      <c r="D62" s="4" t="s">
        <v>1247</v>
      </c>
    </row>
    <row r="63" spans="1:4" ht="14.1" customHeight="1" x14ac:dyDescent="0.25">
      <c r="A63" s="4" t="s">
        <v>563</v>
      </c>
      <c r="B63" s="4" t="s">
        <v>1234</v>
      </c>
      <c r="C63" s="4" t="s">
        <v>56</v>
      </c>
      <c r="D63" s="4" t="s">
        <v>1247</v>
      </c>
    </row>
    <row r="64" spans="1:4" ht="14.1" customHeight="1" x14ac:dyDescent="0.25">
      <c r="A64" s="4" t="s">
        <v>1096</v>
      </c>
      <c r="B64" s="4" t="s">
        <v>1238</v>
      </c>
      <c r="C64" s="4" t="s">
        <v>187</v>
      </c>
      <c r="D64" s="4" t="s">
        <v>1247</v>
      </c>
    </row>
    <row r="65" spans="1:4" ht="14.1" customHeight="1" x14ac:dyDescent="0.25">
      <c r="A65" s="4" t="s">
        <v>1142</v>
      </c>
      <c r="B65" s="4" t="s">
        <v>1239</v>
      </c>
      <c r="C65" s="4" t="s">
        <v>1144</v>
      </c>
      <c r="D65" s="4" t="s">
        <v>1247</v>
      </c>
    </row>
    <row r="66" spans="1:4" ht="14.1" customHeight="1" x14ac:dyDescent="0.25">
      <c r="A66" s="25" t="s">
        <v>821</v>
      </c>
      <c r="B66" s="4" t="s">
        <v>1235</v>
      </c>
      <c r="C66" s="4" t="s">
        <v>823</v>
      </c>
      <c r="D66" s="4" t="s">
        <v>1247</v>
      </c>
    </row>
    <row r="67" spans="1:4" ht="14.1" customHeight="1" x14ac:dyDescent="0.25">
      <c r="A67" s="25" t="s">
        <v>821</v>
      </c>
      <c r="B67" s="4" t="s">
        <v>1240</v>
      </c>
      <c r="C67" s="4" t="s">
        <v>823</v>
      </c>
      <c r="D67" s="4" t="s">
        <v>1247</v>
      </c>
    </row>
    <row r="68" spans="1:4" ht="14.1" customHeight="1" x14ac:dyDescent="0.25">
      <c r="A68" s="4" t="s">
        <v>962</v>
      </c>
      <c r="B68" s="4" t="s">
        <v>1235</v>
      </c>
      <c r="C68" s="4" t="s">
        <v>203</v>
      </c>
      <c r="D68" s="4" t="s">
        <v>1247</v>
      </c>
    </row>
    <row r="69" spans="1:4" ht="14.1" customHeight="1" x14ac:dyDescent="0.25">
      <c r="A69" s="4" t="s">
        <v>85</v>
      </c>
      <c r="B69" s="4" t="s">
        <v>1241</v>
      </c>
      <c r="C69" s="4" t="s">
        <v>87</v>
      </c>
      <c r="D69" s="4" t="s">
        <v>1247</v>
      </c>
    </row>
    <row r="70" spans="1:4" ht="14.1" customHeight="1" x14ac:dyDescent="0.25">
      <c r="A70" s="4" t="s">
        <v>371</v>
      </c>
      <c r="B70" s="4" t="s">
        <v>1242</v>
      </c>
      <c r="C70" s="4" t="s">
        <v>373</v>
      </c>
      <c r="D70" s="4" t="s">
        <v>1247</v>
      </c>
    </row>
    <row r="71" spans="1:4" ht="14.1" customHeight="1" x14ac:dyDescent="0.25">
      <c r="A71" s="4" t="s">
        <v>810</v>
      </c>
      <c r="B71" s="4" t="s">
        <v>1243</v>
      </c>
      <c r="C71" s="4" t="s">
        <v>812</v>
      </c>
      <c r="D71" s="4" t="s">
        <v>1247</v>
      </c>
    </row>
    <row r="72" spans="1:4" ht="14.1" customHeight="1" x14ac:dyDescent="0.25">
      <c r="A72" s="4" t="s">
        <v>157</v>
      </c>
      <c r="B72" s="4" t="s">
        <v>1244</v>
      </c>
      <c r="C72" s="4" t="s">
        <v>159</v>
      </c>
      <c r="D72" s="4" t="s">
        <v>1247</v>
      </c>
    </row>
    <row r="73" spans="1:4" ht="14.1" customHeight="1" x14ac:dyDescent="0.25">
      <c r="A73" s="4" t="s">
        <v>89</v>
      </c>
      <c r="B73" s="4" t="s">
        <v>1236</v>
      </c>
      <c r="C73" s="4" t="s">
        <v>91</v>
      </c>
      <c r="D73" s="4" t="s">
        <v>1247</v>
      </c>
    </row>
    <row r="74" spans="1:4" ht="14.1" customHeight="1" x14ac:dyDescent="0.25">
      <c r="A74" s="4" t="s">
        <v>117</v>
      </c>
      <c r="B74" s="4" t="s">
        <v>1245</v>
      </c>
      <c r="C74" s="4" t="s">
        <v>40</v>
      </c>
      <c r="D74" s="4" t="s">
        <v>1247</v>
      </c>
    </row>
    <row r="75" spans="1:4" ht="14.1" customHeight="1" x14ac:dyDescent="0.25">
      <c r="A75" s="4" t="s">
        <v>328</v>
      </c>
      <c r="B75" s="4" t="s">
        <v>1246</v>
      </c>
      <c r="C75" s="4" t="s">
        <v>330</v>
      </c>
      <c r="D75" s="4" t="s">
        <v>1247</v>
      </c>
    </row>
    <row r="76" spans="1:4" ht="14.1" customHeight="1" x14ac:dyDescent="0.25">
      <c r="A76" s="4" t="s">
        <v>996</v>
      </c>
      <c r="B76" s="4" t="s">
        <v>1248</v>
      </c>
      <c r="C76" s="4" t="s">
        <v>512</v>
      </c>
      <c r="D76" s="4" t="s">
        <v>1251</v>
      </c>
    </row>
    <row r="77" spans="1:4" ht="14.1" customHeight="1" x14ac:dyDescent="0.25">
      <c r="A77" s="4" t="s">
        <v>789</v>
      </c>
      <c r="B77" s="4" t="s">
        <v>1249</v>
      </c>
      <c r="C77" s="4" t="s">
        <v>345</v>
      </c>
      <c r="D77" s="4" t="s">
        <v>1251</v>
      </c>
    </row>
    <row r="78" spans="1:4" ht="14.1" customHeight="1" x14ac:dyDescent="0.25">
      <c r="A78" s="4" t="s">
        <v>979</v>
      </c>
      <c r="B78" s="4" t="s">
        <v>1250</v>
      </c>
      <c r="C78" s="4" t="s">
        <v>981</v>
      </c>
      <c r="D78" s="4" t="s">
        <v>1251</v>
      </c>
    </row>
    <row r="79" spans="1:4" ht="14.1" customHeight="1" x14ac:dyDescent="0.25">
      <c r="A79" s="4" t="s">
        <v>510</v>
      </c>
      <c r="B79" s="4" t="s">
        <v>1248</v>
      </c>
      <c r="C79" s="4" t="s">
        <v>512</v>
      </c>
      <c r="D79" s="4" t="s">
        <v>1251</v>
      </c>
    </row>
    <row r="80" spans="1:4" ht="14.1" customHeight="1" x14ac:dyDescent="0.25">
      <c r="A80" s="4" t="s">
        <v>588</v>
      </c>
      <c r="B80" s="4" t="s">
        <v>1252</v>
      </c>
      <c r="C80" s="4" t="s">
        <v>590</v>
      </c>
      <c r="D80" s="4" t="s">
        <v>1257</v>
      </c>
    </row>
    <row r="81" spans="1:4" ht="14.1" customHeight="1" x14ac:dyDescent="0.25">
      <c r="A81" s="4" t="s">
        <v>745</v>
      </c>
      <c r="B81" s="4" t="s">
        <v>1253</v>
      </c>
      <c r="C81" s="4" t="s">
        <v>747</v>
      </c>
      <c r="D81" s="4" t="s">
        <v>1257</v>
      </c>
    </row>
    <row r="82" spans="1:4" ht="14.1" customHeight="1" x14ac:dyDescent="0.25">
      <c r="A82" s="4" t="s">
        <v>1097</v>
      </c>
      <c r="B82" s="4" t="s">
        <v>1252</v>
      </c>
      <c r="C82" s="4" t="s">
        <v>590</v>
      </c>
      <c r="D82" s="4" t="s">
        <v>1257</v>
      </c>
    </row>
    <row r="83" spans="1:4" ht="14.1" customHeight="1" x14ac:dyDescent="0.25">
      <c r="A83" s="4" t="s">
        <v>506</v>
      </c>
      <c r="B83" s="4" t="s">
        <v>1254</v>
      </c>
      <c r="C83" s="4" t="s">
        <v>508</v>
      </c>
      <c r="D83" s="4" t="s">
        <v>1257</v>
      </c>
    </row>
    <row r="84" spans="1:4" ht="14.1" customHeight="1" x14ac:dyDescent="0.25">
      <c r="A84" s="4" t="s">
        <v>1122</v>
      </c>
      <c r="B84" s="4" t="s">
        <v>1255</v>
      </c>
      <c r="C84" s="4" t="s">
        <v>1124</v>
      </c>
      <c r="D84" s="4" t="s">
        <v>1257</v>
      </c>
    </row>
    <row r="85" spans="1:4" ht="14.1" customHeight="1" x14ac:dyDescent="0.25">
      <c r="A85" s="4" t="s">
        <v>841</v>
      </c>
      <c r="B85" s="4" t="s">
        <v>1256</v>
      </c>
      <c r="C85" s="4" t="s">
        <v>843</v>
      </c>
      <c r="D85" s="4" t="s">
        <v>1257</v>
      </c>
    </row>
    <row r="86" spans="1:4" ht="14.1" customHeight="1" x14ac:dyDescent="0.25">
      <c r="A86" s="4" t="s">
        <v>189</v>
      </c>
      <c r="B86" s="4" t="s">
        <v>1258</v>
      </c>
      <c r="C86" s="4" t="s">
        <v>191</v>
      </c>
      <c r="D86" s="4" t="s">
        <v>1264</v>
      </c>
    </row>
    <row r="87" spans="1:4" ht="14.1" customHeight="1" x14ac:dyDescent="0.25">
      <c r="A87" s="4" t="s">
        <v>856</v>
      </c>
      <c r="B87" s="4" t="s">
        <v>1259</v>
      </c>
      <c r="C87" s="4" t="s">
        <v>858</v>
      </c>
      <c r="D87" s="4" t="s">
        <v>1264</v>
      </c>
    </row>
    <row r="88" spans="1:4" ht="14.1" customHeight="1" x14ac:dyDescent="0.25">
      <c r="A88" s="4" t="s">
        <v>235</v>
      </c>
      <c r="B88" s="4" t="s">
        <v>1260</v>
      </c>
      <c r="C88" s="4" t="s">
        <v>140</v>
      </c>
      <c r="D88" s="4" t="s">
        <v>1264</v>
      </c>
    </row>
    <row r="89" spans="1:4" ht="14.1" customHeight="1" x14ac:dyDescent="0.25">
      <c r="A89" s="4" t="s">
        <v>375</v>
      </c>
      <c r="B89" s="4" t="s">
        <v>1261</v>
      </c>
      <c r="C89" s="4" t="s">
        <v>377</v>
      </c>
      <c r="D89" s="4" t="s">
        <v>1264</v>
      </c>
    </row>
    <row r="90" spans="1:4" ht="14.1" customHeight="1" x14ac:dyDescent="0.25">
      <c r="A90" s="4" t="s">
        <v>1138</v>
      </c>
      <c r="B90" s="4" t="s">
        <v>1262</v>
      </c>
      <c r="C90" s="4" t="s">
        <v>1140</v>
      </c>
      <c r="D90" s="4" t="s">
        <v>1264</v>
      </c>
    </row>
    <row r="91" spans="1:4" ht="14.1" customHeight="1" x14ac:dyDescent="0.25">
      <c r="A91" s="4" t="s">
        <v>263</v>
      </c>
      <c r="B91" s="4" t="s">
        <v>1263</v>
      </c>
      <c r="C91" s="4" t="s">
        <v>265</v>
      </c>
      <c r="D91" s="4" t="s">
        <v>1264</v>
      </c>
    </row>
    <row r="92" spans="1:4" ht="14.1" customHeight="1" x14ac:dyDescent="0.25">
      <c r="A92" s="4" t="s">
        <v>581</v>
      </c>
      <c r="B92" s="4" t="s">
        <v>1265</v>
      </c>
      <c r="C92" s="4" t="s">
        <v>485</v>
      </c>
      <c r="D92" s="4" t="s">
        <v>1276</v>
      </c>
    </row>
    <row r="93" spans="1:4" ht="14.1" customHeight="1" x14ac:dyDescent="0.25">
      <c r="A93" s="4" t="s">
        <v>766</v>
      </c>
      <c r="B93" s="4" t="s">
        <v>1266</v>
      </c>
      <c r="C93" s="4" t="s">
        <v>768</v>
      </c>
      <c r="D93" s="4" t="s">
        <v>1276</v>
      </c>
    </row>
    <row r="94" spans="1:4" ht="14.1" customHeight="1" x14ac:dyDescent="0.25">
      <c r="A94" s="4" t="s">
        <v>93</v>
      </c>
      <c r="B94" s="4" t="s">
        <v>1267</v>
      </c>
      <c r="C94" s="4" t="s">
        <v>95</v>
      </c>
      <c r="D94" s="4" t="s">
        <v>1276</v>
      </c>
    </row>
    <row r="95" spans="1:4" ht="14.1" customHeight="1" x14ac:dyDescent="0.25">
      <c r="A95" s="4" t="s">
        <v>935</v>
      </c>
      <c r="B95" s="4" t="s">
        <v>1268</v>
      </c>
      <c r="C95" s="4" t="s">
        <v>937</v>
      </c>
      <c r="D95" s="4" t="s">
        <v>1276</v>
      </c>
    </row>
    <row r="96" spans="1:4" ht="14.1" customHeight="1" x14ac:dyDescent="0.25">
      <c r="A96" s="4" t="s">
        <v>672</v>
      </c>
      <c r="B96" s="4" t="s">
        <v>1269</v>
      </c>
      <c r="C96" s="4" t="s">
        <v>674</v>
      </c>
      <c r="D96" s="4" t="s">
        <v>1276</v>
      </c>
    </row>
    <row r="97" spans="1:4" ht="14.1" customHeight="1" x14ac:dyDescent="0.25">
      <c r="A97" s="4" t="s">
        <v>517</v>
      </c>
      <c r="B97" s="4" t="s">
        <v>1270</v>
      </c>
      <c r="C97" s="4" t="s">
        <v>519</v>
      </c>
      <c r="D97" s="4" t="s">
        <v>1276</v>
      </c>
    </row>
    <row r="98" spans="1:4" ht="14.1" customHeight="1" x14ac:dyDescent="0.25">
      <c r="A98" s="4" t="s">
        <v>846</v>
      </c>
      <c r="B98" s="4" t="s">
        <v>1271</v>
      </c>
      <c r="C98" s="4" t="s">
        <v>848</v>
      </c>
      <c r="D98" s="4" t="s">
        <v>1276</v>
      </c>
    </row>
    <row r="99" spans="1:4" ht="14.1" customHeight="1" x14ac:dyDescent="0.25">
      <c r="A99" s="4" t="s">
        <v>469</v>
      </c>
      <c r="B99" s="4" t="s">
        <v>1272</v>
      </c>
      <c r="C99" s="4" t="s">
        <v>471</v>
      </c>
      <c r="D99" s="4" t="s">
        <v>1276</v>
      </c>
    </row>
    <row r="100" spans="1:4" ht="14.1" customHeight="1" x14ac:dyDescent="0.25">
      <c r="A100" s="4" t="s">
        <v>1147</v>
      </c>
      <c r="B100" s="4" t="s">
        <v>1273</v>
      </c>
      <c r="C100" s="4" t="s">
        <v>1149</v>
      </c>
      <c r="D100" s="4" t="s">
        <v>1276</v>
      </c>
    </row>
    <row r="101" spans="1:4" ht="14.1" customHeight="1" x14ac:dyDescent="0.25">
      <c r="A101" s="4" t="s">
        <v>101</v>
      </c>
      <c r="B101" s="4" t="s">
        <v>1274</v>
      </c>
      <c r="C101" s="4" t="s">
        <v>103</v>
      </c>
      <c r="D101" s="4" t="s">
        <v>1276</v>
      </c>
    </row>
    <row r="102" spans="1:4" ht="14.1" customHeight="1" x14ac:dyDescent="0.25">
      <c r="A102" s="4" t="s">
        <v>754</v>
      </c>
      <c r="B102" s="4" t="s">
        <v>1275</v>
      </c>
      <c r="C102" s="4" t="s">
        <v>756</v>
      </c>
      <c r="D102" s="4" t="s">
        <v>1276</v>
      </c>
    </row>
    <row r="103" spans="1:4" ht="14.1" customHeight="1" x14ac:dyDescent="0.25">
      <c r="A103" s="4" t="s">
        <v>801</v>
      </c>
      <c r="B103" s="4" t="s">
        <v>1277</v>
      </c>
      <c r="C103" s="4" t="s">
        <v>803</v>
      </c>
      <c r="D103" s="4" t="s">
        <v>1284</v>
      </c>
    </row>
    <row r="104" spans="1:4" ht="14.1" customHeight="1" x14ac:dyDescent="0.25">
      <c r="A104" s="4" t="s">
        <v>828</v>
      </c>
      <c r="B104" s="4" t="s">
        <v>1278</v>
      </c>
      <c r="C104" s="4" t="s">
        <v>830</v>
      </c>
      <c r="D104" s="4" t="s">
        <v>1284</v>
      </c>
    </row>
    <row r="105" spans="1:4" ht="14.1" customHeight="1" x14ac:dyDescent="0.25">
      <c r="A105" s="4" t="s">
        <v>419</v>
      </c>
      <c r="B105" s="4" t="s">
        <v>3</v>
      </c>
      <c r="C105" s="4" t="s">
        <v>421</v>
      </c>
      <c r="D105" s="4" t="s">
        <v>1284</v>
      </c>
    </row>
    <row r="106" spans="1:4" ht="14.1" customHeight="1" x14ac:dyDescent="0.25">
      <c r="A106" s="4" t="s">
        <v>1072</v>
      </c>
      <c r="B106" s="4" t="s">
        <v>1279</v>
      </c>
      <c r="C106" s="4" t="s">
        <v>893</v>
      </c>
      <c r="D106" s="4" t="s">
        <v>1284</v>
      </c>
    </row>
    <row r="107" spans="1:4" ht="14.1" customHeight="1" x14ac:dyDescent="0.25">
      <c r="A107" s="4" t="s">
        <v>665</v>
      </c>
      <c r="B107" s="4" t="s">
        <v>1280</v>
      </c>
      <c r="C107" s="4" t="s">
        <v>667</v>
      </c>
      <c r="D107" s="4" t="s">
        <v>1284</v>
      </c>
    </row>
    <row r="108" spans="1:4" ht="14.1" customHeight="1" x14ac:dyDescent="0.25">
      <c r="A108" s="4" t="s">
        <v>1082</v>
      </c>
      <c r="B108" s="4" t="s">
        <v>1277</v>
      </c>
      <c r="C108" s="4" t="s">
        <v>1084</v>
      </c>
      <c r="D108" s="4" t="s">
        <v>1284</v>
      </c>
    </row>
    <row r="109" spans="1:4" ht="14.1" customHeight="1" x14ac:dyDescent="0.25">
      <c r="A109" s="4" t="s">
        <v>970</v>
      </c>
      <c r="B109" s="4" t="s">
        <v>1281</v>
      </c>
      <c r="C109" s="4" t="s">
        <v>972</v>
      </c>
      <c r="D109" s="4" t="s">
        <v>1284</v>
      </c>
    </row>
    <row r="110" spans="1:4" ht="14.1" customHeight="1" x14ac:dyDescent="0.25">
      <c r="A110" s="4" t="s">
        <v>46</v>
      </c>
      <c r="B110" s="4" t="s">
        <v>1279</v>
      </c>
      <c r="C110" s="4" t="s">
        <v>48</v>
      </c>
      <c r="D110" s="4" t="s">
        <v>1284</v>
      </c>
    </row>
    <row r="111" spans="1:4" ht="14.1" customHeight="1" x14ac:dyDescent="0.25">
      <c r="A111" s="4" t="s">
        <v>600</v>
      </c>
      <c r="B111" s="4" t="s">
        <v>1282</v>
      </c>
      <c r="C111" s="4" t="s">
        <v>602</v>
      </c>
      <c r="D111" s="4" t="s">
        <v>1284</v>
      </c>
    </row>
    <row r="112" spans="1:4" ht="14.1" customHeight="1" x14ac:dyDescent="0.25">
      <c r="A112" s="4" t="s">
        <v>1157</v>
      </c>
      <c r="B112" s="4" t="s">
        <v>1283</v>
      </c>
      <c r="C112" s="4" t="s">
        <v>1159</v>
      </c>
      <c r="D112" s="4" t="s">
        <v>1284</v>
      </c>
    </row>
    <row r="113" spans="1:4" ht="14.1" customHeight="1" x14ac:dyDescent="0.25">
      <c r="A113" s="4" t="s">
        <v>918</v>
      </c>
      <c r="B113" s="4" t="s">
        <v>1266</v>
      </c>
      <c r="C113" s="4" t="s">
        <v>768</v>
      </c>
      <c r="D113" s="4" t="s">
        <v>1284</v>
      </c>
    </row>
    <row r="114" spans="1:4" ht="14.1" customHeight="1" x14ac:dyDescent="0.25">
      <c r="A114" s="4" t="s">
        <v>834</v>
      </c>
      <c r="B114" s="4" t="s">
        <v>1285</v>
      </c>
      <c r="C114" s="4" t="s">
        <v>836</v>
      </c>
      <c r="D114" s="4" t="s">
        <v>1290</v>
      </c>
    </row>
    <row r="115" spans="1:4" ht="14.1" customHeight="1" x14ac:dyDescent="0.25">
      <c r="A115" s="4" t="s">
        <v>931</v>
      </c>
      <c r="B115" s="4" t="s">
        <v>1286</v>
      </c>
      <c r="C115" s="4" t="s">
        <v>933</v>
      </c>
      <c r="D115" s="4" t="s">
        <v>1290</v>
      </c>
    </row>
    <row r="116" spans="1:4" ht="14.1" customHeight="1" x14ac:dyDescent="0.25">
      <c r="A116" s="4" t="s">
        <v>1118</v>
      </c>
      <c r="B116" s="4" t="s">
        <v>1287</v>
      </c>
      <c r="C116" s="4" t="s">
        <v>1120</v>
      </c>
      <c r="D116" s="4" t="s">
        <v>1290</v>
      </c>
    </row>
    <row r="117" spans="1:4" ht="14.1" customHeight="1" x14ac:dyDescent="0.25">
      <c r="A117" s="4" t="s">
        <v>212</v>
      </c>
      <c r="B117" s="4" t="s">
        <v>1288</v>
      </c>
      <c r="C117" s="4" t="s">
        <v>214</v>
      </c>
      <c r="D117" s="4" t="s">
        <v>1290</v>
      </c>
    </row>
    <row r="118" spans="1:4" ht="14.1" customHeight="1" x14ac:dyDescent="0.25">
      <c r="A118" s="4" t="s">
        <v>62</v>
      </c>
      <c r="B118" s="4" t="s">
        <v>1289</v>
      </c>
      <c r="C118" s="4" t="s">
        <v>64</v>
      </c>
      <c r="D118" s="4" t="s">
        <v>1290</v>
      </c>
    </row>
    <row r="119" spans="1:4" ht="14.1" customHeight="1" x14ac:dyDescent="0.25">
      <c r="A119" s="4" t="s">
        <v>567</v>
      </c>
      <c r="B119" s="4" t="s">
        <v>1291</v>
      </c>
      <c r="C119" s="4" t="s">
        <v>569</v>
      </c>
      <c r="D119" s="4" t="s">
        <v>1297</v>
      </c>
    </row>
    <row r="120" spans="1:4" ht="14.1" customHeight="1" x14ac:dyDescent="0.25">
      <c r="A120" s="4" t="s">
        <v>1092</v>
      </c>
      <c r="B120" s="4" t="s">
        <v>1292</v>
      </c>
      <c r="C120" s="4" t="s">
        <v>1094</v>
      </c>
      <c r="D120" s="4" t="s">
        <v>1297</v>
      </c>
    </row>
    <row r="121" spans="1:4" ht="14.1" customHeight="1" x14ac:dyDescent="0.25">
      <c r="A121" s="4" t="s">
        <v>339</v>
      </c>
      <c r="B121" s="4" t="s">
        <v>1293</v>
      </c>
      <c r="C121" s="4" t="s">
        <v>341</v>
      </c>
      <c r="D121" s="4" t="s">
        <v>1297</v>
      </c>
    </row>
    <row r="122" spans="1:4" ht="14.1" customHeight="1" x14ac:dyDescent="0.25">
      <c r="A122" s="4" t="s">
        <v>870</v>
      </c>
      <c r="B122" s="4" t="s">
        <v>1294</v>
      </c>
      <c r="C122" s="4" t="s">
        <v>872</v>
      </c>
      <c r="D122" s="4" t="s">
        <v>1297</v>
      </c>
    </row>
    <row r="123" spans="1:4" ht="14.1" customHeight="1" x14ac:dyDescent="0.25">
      <c r="A123" s="4" t="s">
        <v>1126</v>
      </c>
      <c r="B123" s="4" t="s">
        <v>1295</v>
      </c>
      <c r="C123" s="4" t="s">
        <v>1128</v>
      </c>
      <c r="D123" s="4" t="s">
        <v>1297</v>
      </c>
    </row>
    <row r="124" spans="1:4" ht="14.1" customHeight="1" x14ac:dyDescent="0.25">
      <c r="A124" s="4" t="s">
        <v>1113</v>
      </c>
      <c r="B124" s="4" t="s">
        <v>1296</v>
      </c>
      <c r="C124" s="4" t="s">
        <v>1115</v>
      </c>
      <c r="D124" s="4" t="s">
        <v>1297</v>
      </c>
    </row>
    <row r="125" spans="1:4" ht="14.1" customHeight="1" x14ac:dyDescent="0.25">
      <c r="A125" s="4" t="s">
        <v>496</v>
      </c>
      <c r="B125" s="4" t="s">
        <v>1298</v>
      </c>
      <c r="C125" s="4" t="s">
        <v>498</v>
      </c>
      <c r="D125" s="4" t="s">
        <v>1306</v>
      </c>
    </row>
    <row r="126" spans="1:4" ht="14.1" customHeight="1" x14ac:dyDescent="0.25">
      <c r="A126" s="4" t="s">
        <v>771</v>
      </c>
      <c r="B126" s="4" t="s">
        <v>1299</v>
      </c>
      <c r="C126" s="4" t="s">
        <v>773</v>
      </c>
      <c r="D126" s="4" t="s">
        <v>1306</v>
      </c>
    </row>
    <row r="127" spans="1:4" ht="14.1" customHeight="1" x14ac:dyDescent="0.25">
      <c r="A127" s="4" t="s">
        <v>974</v>
      </c>
      <c r="B127" s="4" t="s">
        <v>1300</v>
      </c>
      <c r="C127" s="4" t="s">
        <v>976</v>
      </c>
      <c r="D127" s="4" t="s">
        <v>1306</v>
      </c>
    </row>
    <row r="128" spans="1:4" ht="14.1" customHeight="1" x14ac:dyDescent="0.25">
      <c r="A128" s="4" t="s">
        <v>1023</v>
      </c>
      <c r="B128" s="4" t="s">
        <v>1301</v>
      </c>
      <c r="C128" s="4" t="s">
        <v>1025</v>
      </c>
      <c r="D128" s="4" t="s">
        <v>1306</v>
      </c>
    </row>
    <row r="129" spans="1:4" ht="14.1" customHeight="1" x14ac:dyDescent="0.25">
      <c r="A129" s="4" t="s">
        <v>529</v>
      </c>
      <c r="B129" s="4" t="s">
        <v>1302</v>
      </c>
      <c r="C129" s="4" t="s">
        <v>531</v>
      </c>
      <c r="D129" s="4" t="s">
        <v>1306</v>
      </c>
    </row>
    <row r="130" spans="1:4" ht="14.1" customHeight="1" x14ac:dyDescent="0.25">
      <c r="A130" s="4" t="s">
        <v>312</v>
      </c>
      <c r="B130" s="4" t="s">
        <v>1303</v>
      </c>
      <c r="C130" s="4" t="s">
        <v>314</v>
      </c>
      <c r="D130" s="4" t="s">
        <v>1306</v>
      </c>
    </row>
    <row r="131" spans="1:4" ht="14.1" customHeight="1" x14ac:dyDescent="0.25">
      <c r="A131" s="4" t="s">
        <v>925</v>
      </c>
      <c r="B131" s="4" t="s">
        <v>1304</v>
      </c>
      <c r="C131" s="4" t="s">
        <v>927</v>
      </c>
      <c r="D131" s="4" t="s">
        <v>1306</v>
      </c>
    </row>
    <row r="132" spans="1:4" ht="14.1" customHeight="1" x14ac:dyDescent="0.25">
      <c r="A132" s="4" t="s">
        <v>197</v>
      </c>
      <c r="B132" s="4" t="s">
        <v>1305</v>
      </c>
      <c r="C132" s="4" t="s">
        <v>199</v>
      </c>
      <c r="D132" s="4" t="s">
        <v>1306</v>
      </c>
    </row>
    <row r="133" spans="1:4" ht="14.1" customHeight="1" x14ac:dyDescent="0.25">
      <c r="A133" s="4" t="s">
        <v>129</v>
      </c>
      <c r="B133" s="4" t="s">
        <v>1307</v>
      </c>
      <c r="C133" s="4" t="s">
        <v>131</v>
      </c>
      <c r="D133" s="4" t="s">
        <v>1316</v>
      </c>
    </row>
    <row r="134" spans="1:4" ht="14.1" customHeight="1" x14ac:dyDescent="0.25">
      <c r="A134" s="4" t="s">
        <v>880</v>
      </c>
      <c r="B134" s="4" t="s">
        <v>1308</v>
      </c>
      <c r="C134" s="4" t="s">
        <v>882</v>
      </c>
      <c r="D134" s="4" t="s">
        <v>1316</v>
      </c>
    </row>
    <row r="135" spans="1:4" ht="14.1" customHeight="1" x14ac:dyDescent="0.25">
      <c r="A135" s="4" t="s">
        <v>584</v>
      </c>
      <c r="B135" s="4" t="s">
        <v>1309</v>
      </c>
      <c r="C135" s="4" t="s">
        <v>586</v>
      </c>
      <c r="D135" s="4" t="s">
        <v>1316</v>
      </c>
    </row>
    <row r="136" spans="1:4" ht="14.1" customHeight="1" x14ac:dyDescent="0.25">
      <c r="A136" s="4" t="s">
        <v>205</v>
      </c>
      <c r="B136" s="4" t="s">
        <v>1310</v>
      </c>
      <c r="C136" s="4" t="s">
        <v>207</v>
      </c>
      <c r="D136" s="4" t="s">
        <v>1316</v>
      </c>
    </row>
    <row r="137" spans="1:4" ht="14.1" customHeight="1" x14ac:dyDescent="0.25">
      <c r="A137" s="4" t="s">
        <v>992</v>
      </c>
      <c r="B137" s="4" t="s">
        <v>1311</v>
      </c>
      <c r="C137" s="4" t="s">
        <v>994</v>
      </c>
      <c r="D137" s="4" t="s">
        <v>1316</v>
      </c>
    </row>
    <row r="138" spans="1:4" ht="14.1" customHeight="1" x14ac:dyDescent="0.25">
      <c r="A138" s="4" t="s">
        <v>539</v>
      </c>
      <c r="B138" s="4" t="s">
        <v>1312</v>
      </c>
      <c r="C138" s="4" t="s">
        <v>541</v>
      </c>
      <c r="D138" s="4" t="s">
        <v>1316</v>
      </c>
    </row>
    <row r="139" spans="1:4" ht="14.1" customHeight="1" x14ac:dyDescent="0.25">
      <c r="A139" s="4" t="s">
        <v>1017</v>
      </c>
      <c r="B139" s="4" t="s">
        <v>1307</v>
      </c>
      <c r="C139" s="4" t="s">
        <v>131</v>
      </c>
      <c r="D139" s="4" t="s">
        <v>1316</v>
      </c>
    </row>
    <row r="140" spans="1:4" ht="14.1" customHeight="1" x14ac:dyDescent="0.25">
      <c r="A140" s="4" t="s">
        <v>641</v>
      </c>
      <c r="B140" s="4" t="s">
        <v>1313</v>
      </c>
      <c r="C140" s="4" t="s">
        <v>643</v>
      </c>
      <c r="D140" s="4" t="s">
        <v>1316</v>
      </c>
    </row>
    <row r="141" spans="1:4" ht="14.1" customHeight="1" x14ac:dyDescent="0.25">
      <c r="A141" s="4" t="s">
        <v>525</v>
      </c>
      <c r="B141" s="4" t="s">
        <v>1314</v>
      </c>
      <c r="C141" s="4" t="s">
        <v>527</v>
      </c>
      <c r="D141" s="4" t="s">
        <v>1316</v>
      </c>
    </row>
    <row r="142" spans="1:4" ht="14.1" customHeight="1" x14ac:dyDescent="0.25">
      <c r="A142" s="4" t="s">
        <v>637</v>
      </c>
      <c r="B142" s="4" t="s">
        <v>1315</v>
      </c>
      <c r="C142" s="4" t="s">
        <v>639</v>
      </c>
      <c r="D142" s="4" t="s">
        <v>1316</v>
      </c>
    </row>
    <row r="143" spans="1:4" ht="14.1" customHeight="1" x14ac:dyDescent="0.25">
      <c r="A143" s="4" t="s">
        <v>109</v>
      </c>
      <c r="B143" s="4" t="s">
        <v>1317</v>
      </c>
      <c r="C143" s="4" t="s">
        <v>111</v>
      </c>
      <c r="D143" s="4" t="s">
        <v>1322</v>
      </c>
    </row>
    <row r="144" spans="1:4" ht="14.1" customHeight="1" x14ac:dyDescent="0.25">
      <c r="A144" s="4" t="s">
        <v>423</v>
      </c>
      <c r="B144" s="4" t="s">
        <v>1318</v>
      </c>
      <c r="C144" s="4" t="s">
        <v>425</v>
      </c>
      <c r="D144" s="4" t="s">
        <v>1322</v>
      </c>
    </row>
    <row r="145" spans="1:4" ht="14.1" customHeight="1" x14ac:dyDescent="0.25">
      <c r="A145" s="4" t="s">
        <v>1153</v>
      </c>
      <c r="B145" s="4" t="s">
        <v>1319</v>
      </c>
      <c r="C145" s="4" t="s">
        <v>1155</v>
      </c>
      <c r="D145" s="4" t="s">
        <v>1322</v>
      </c>
    </row>
    <row r="146" spans="1:4" ht="14.1" customHeight="1" x14ac:dyDescent="0.25">
      <c r="A146" s="4" t="s">
        <v>650</v>
      </c>
      <c r="B146" s="4" t="s">
        <v>1320</v>
      </c>
      <c r="C146" s="4" t="s">
        <v>652</v>
      </c>
      <c r="D146" s="4" t="s">
        <v>1322</v>
      </c>
    </row>
    <row r="147" spans="1:4" ht="14.1" customHeight="1" x14ac:dyDescent="0.25">
      <c r="A147" s="4" t="s">
        <v>0</v>
      </c>
      <c r="B147" s="4" t="s">
        <v>1321</v>
      </c>
      <c r="C147" s="4" t="s">
        <v>4</v>
      </c>
      <c r="D147" s="4" t="s">
        <v>1322</v>
      </c>
    </row>
    <row r="148" spans="1:4" ht="14.1" customHeight="1" x14ac:dyDescent="0.25">
      <c r="A148" s="4" t="s">
        <v>30</v>
      </c>
      <c r="B148" s="4" t="s">
        <v>1323</v>
      </c>
      <c r="C148" s="4" t="s">
        <v>32</v>
      </c>
      <c r="D148" s="4" t="s">
        <v>1326</v>
      </c>
    </row>
    <row r="149" spans="1:4" ht="14.1" customHeight="1" x14ac:dyDescent="0.25">
      <c r="A149" s="4" t="s">
        <v>66</v>
      </c>
      <c r="B149" s="4" t="s">
        <v>1324</v>
      </c>
      <c r="C149" s="4" t="s">
        <v>68</v>
      </c>
      <c r="D149" s="4" t="s">
        <v>1326</v>
      </c>
    </row>
    <row r="150" spans="1:4" ht="14.1" customHeight="1" x14ac:dyDescent="0.25">
      <c r="A150" s="4" t="s">
        <v>58</v>
      </c>
      <c r="B150" s="4" t="s">
        <v>1325</v>
      </c>
      <c r="C150" s="4" t="s">
        <v>60</v>
      </c>
      <c r="D150" s="4" t="s">
        <v>1326</v>
      </c>
    </row>
    <row r="151" spans="1:4" ht="14.1" customHeight="1" x14ac:dyDescent="0.25">
      <c r="A151" s="4" t="s">
        <v>105</v>
      </c>
      <c r="B151" s="4" t="s">
        <v>1323</v>
      </c>
      <c r="C151" s="4" t="s">
        <v>107</v>
      </c>
      <c r="D151" s="4" t="s">
        <v>1326</v>
      </c>
    </row>
    <row r="152" spans="1:4" ht="14.1" customHeight="1" x14ac:dyDescent="0.25">
      <c r="A152" s="4" t="s">
        <v>560</v>
      </c>
      <c r="B152" s="4" t="s">
        <v>1324</v>
      </c>
      <c r="C152" s="4" t="s">
        <v>68</v>
      </c>
      <c r="D152" s="4" t="s">
        <v>1326</v>
      </c>
    </row>
    <row r="153" spans="1:4" ht="14.1" customHeight="1" x14ac:dyDescent="0.25">
      <c r="A153" s="4" t="s">
        <v>483</v>
      </c>
      <c r="B153" s="4" t="s">
        <v>1265</v>
      </c>
      <c r="C153" s="4" t="s">
        <v>485</v>
      </c>
      <c r="D153" s="4" t="s">
        <v>1326</v>
      </c>
    </row>
    <row r="154" spans="1:4" ht="14.1" customHeight="1" x14ac:dyDescent="0.25">
      <c r="A154" s="4" t="s">
        <v>947</v>
      </c>
      <c r="B154" s="4" t="s">
        <v>1325</v>
      </c>
      <c r="C154" s="4" t="s">
        <v>60</v>
      </c>
      <c r="D154" s="4" t="s">
        <v>1326</v>
      </c>
    </row>
    <row r="155" spans="1:4" ht="14.1" customHeight="1" x14ac:dyDescent="0.25">
      <c r="A155" s="4" t="s">
        <v>316</v>
      </c>
      <c r="B155" s="4" t="s">
        <v>1327</v>
      </c>
      <c r="C155" s="4" t="s">
        <v>318</v>
      </c>
      <c r="D155" s="4" t="s">
        <v>1331</v>
      </c>
    </row>
    <row r="156" spans="1:4" ht="14.1" customHeight="1" x14ac:dyDescent="0.25">
      <c r="A156" s="4" t="s">
        <v>232</v>
      </c>
      <c r="B156" s="4" t="s">
        <v>1236</v>
      </c>
      <c r="C156" s="4" t="s">
        <v>91</v>
      </c>
      <c r="D156" s="4" t="s">
        <v>1331</v>
      </c>
    </row>
    <row r="157" spans="1:4" ht="14.1" customHeight="1" x14ac:dyDescent="0.25">
      <c r="A157" s="4" t="s">
        <v>407</v>
      </c>
      <c r="B157" s="4" t="s">
        <v>1328</v>
      </c>
      <c r="C157" s="4" t="s">
        <v>409</v>
      </c>
      <c r="D157" s="4" t="s">
        <v>1331</v>
      </c>
    </row>
    <row r="158" spans="1:4" ht="14.1" customHeight="1" x14ac:dyDescent="0.25">
      <c r="A158" s="4" t="s">
        <v>97</v>
      </c>
      <c r="B158" s="4" t="s">
        <v>1329</v>
      </c>
      <c r="C158" s="4" t="s">
        <v>99</v>
      </c>
      <c r="D158" s="4" t="s">
        <v>1331</v>
      </c>
    </row>
    <row r="159" spans="1:4" ht="14.1" customHeight="1" x14ac:dyDescent="0.25">
      <c r="A159" s="4" t="s">
        <v>716</v>
      </c>
      <c r="B159" s="4" t="s">
        <v>1330</v>
      </c>
      <c r="C159" s="4" t="s">
        <v>718</v>
      </c>
      <c r="D159" s="4" t="s">
        <v>1331</v>
      </c>
    </row>
    <row r="160" spans="1:4" ht="14.1" customHeight="1" x14ac:dyDescent="0.25">
      <c r="A160" s="4" t="s">
        <v>271</v>
      </c>
      <c r="B160" s="4" t="s">
        <v>1332</v>
      </c>
      <c r="C160" s="4" t="s">
        <v>273</v>
      </c>
      <c r="D160" s="4" t="s">
        <v>1342</v>
      </c>
    </row>
    <row r="161" spans="1:4" ht="14.1" customHeight="1" x14ac:dyDescent="0.25">
      <c r="A161" s="4" t="s">
        <v>125</v>
      </c>
      <c r="B161" s="4" t="s">
        <v>1333</v>
      </c>
      <c r="C161" s="4" t="s">
        <v>127</v>
      </c>
      <c r="D161" s="4" t="s">
        <v>1342</v>
      </c>
    </row>
    <row r="162" spans="1:4" ht="14.1" customHeight="1" x14ac:dyDescent="0.25">
      <c r="A162" s="4" t="s">
        <v>332</v>
      </c>
      <c r="B162" s="4" t="s">
        <v>1327</v>
      </c>
      <c r="C162" s="4" t="s">
        <v>318</v>
      </c>
      <c r="D162" s="4" t="s">
        <v>1342</v>
      </c>
    </row>
    <row r="163" spans="1:4" ht="14.1" customHeight="1" x14ac:dyDescent="0.25">
      <c r="A163" s="4" t="s">
        <v>724</v>
      </c>
      <c r="B163" s="4" t="s">
        <v>1334</v>
      </c>
      <c r="C163" s="4" t="s">
        <v>726</v>
      </c>
      <c r="D163" s="4" t="s">
        <v>1342</v>
      </c>
    </row>
    <row r="164" spans="1:4" ht="14.1" customHeight="1" x14ac:dyDescent="0.25">
      <c r="A164" s="4" t="s">
        <v>1040</v>
      </c>
      <c r="B164" s="4" t="s">
        <v>1335</v>
      </c>
      <c r="C164" s="4" t="s">
        <v>1042</v>
      </c>
      <c r="D164" s="4" t="s">
        <v>1342</v>
      </c>
    </row>
    <row r="165" spans="1:4" ht="14.1" customHeight="1" x14ac:dyDescent="0.25">
      <c r="A165" s="4" t="s">
        <v>220</v>
      </c>
      <c r="B165" s="4" t="s">
        <v>1336</v>
      </c>
      <c r="C165" s="4" t="s">
        <v>222</v>
      </c>
      <c r="D165" s="4" t="s">
        <v>1342</v>
      </c>
    </row>
    <row r="166" spans="1:4" ht="14.1" customHeight="1" x14ac:dyDescent="0.25">
      <c r="A166" s="4" t="s">
        <v>1031</v>
      </c>
      <c r="B166" s="4" t="s">
        <v>1337</v>
      </c>
      <c r="C166" s="4" t="s">
        <v>1033</v>
      </c>
      <c r="D166" s="4" t="s">
        <v>1342</v>
      </c>
    </row>
    <row r="167" spans="1:4" ht="14.1" customHeight="1" x14ac:dyDescent="0.25">
      <c r="A167" s="4" t="s">
        <v>355</v>
      </c>
      <c r="B167" s="4" t="s">
        <v>1338</v>
      </c>
      <c r="C167" s="4" t="s">
        <v>357</v>
      </c>
      <c r="D167" s="4" t="s">
        <v>1342</v>
      </c>
    </row>
    <row r="168" spans="1:4" ht="14.1" customHeight="1" x14ac:dyDescent="0.25">
      <c r="A168" s="4" t="s">
        <v>293</v>
      </c>
      <c r="B168" s="4" t="s">
        <v>1339</v>
      </c>
      <c r="C168" s="4" t="s">
        <v>295</v>
      </c>
      <c r="D168" s="4" t="s">
        <v>1342</v>
      </c>
    </row>
    <row r="169" spans="1:4" ht="14.1" customHeight="1" x14ac:dyDescent="0.25">
      <c r="A169" s="4" t="s">
        <v>241</v>
      </c>
      <c r="B169" s="4" t="s">
        <v>1340</v>
      </c>
      <c r="C169" s="4" t="s">
        <v>243</v>
      </c>
      <c r="D169" s="4" t="s">
        <v>1342</v>
      </c>
    </row>
    <row r="170" spans="1:4" ht="14.1" customHeight="1" x14ac:dyDescent="0.25">
      <c r="A170" s="4" t="s">
        <v>335</v>
      </c>
      <c r="B170" s="4" t="s">
        <v>1236</v>
      </c>
      <c r="C170" s="4" t="s">
        <v>91</v>
      </c>
      <c r="D170" s="4" t="s">
        <v>1342</v>
      </c>
    </row>
    <row r="171" spans="1:4" ht="14.1" customHeight="1" x14ac:dyDescent="0.25">
      <c r="A171" s="4" t="s">
        <v>921</v>
      </c>
      <c r="B171" s="4" t="s">
        <v>1341</v>
      </c>
      <c r="C171" s="4" t="s">
        <v>923</v>
      </c>
      <c r="D171" s="4" t="s">
        <v>1342</v>
      </c>
    </row>
    <row r="172" spans="1:4" ht="14.1" customHeight="1" x14ac:dyDescent="0.25">
      <c r="A172" s="4" t="s">
        <v>133</v>
      </c>
      <c r="B172" s="4" t="s">
        <v>1343</v>
      </c>
      <c r="C172" s="4" t="s">
        <v>135</v>
      </c>
      <c r="D172" s="4" t="s">
        <v>1351</v>
      </c>
    </row>
    <row r="173" spans="1:4" ht="14.1" customHeight="1" x14ac:dyDescent="0.25">
      <c r="A173" s="4" t="s">
        <v>690</v>
      </c>
      <c r="B173" s="4" t="s">
        <v>1344</v>
      </c>
      <c r="C173" s="4" t="s">
        <v>692</v>
      </c>
      <c r="D173" s="4" t="s">
        <v>1351</v>
      </c>
    </row>
    <row r="174" spans="1:4" ht="14.1" customHeight="1" x14ac:dyDescent="0.25">
      <c r="A174" s="4" t="s">
        <v>427</v>
      </c>
      <c r="B174" s="4" t="s">
        <v>1345</v>
      </c>
      <c r="C174" s="4" t="s">
        <v>429</v>
      </c>
      <c r="D174" s="4" t="s">
        <v>1351</v>
      </c>
    </row>
    <row r="175" spans="1:4" ht="14.1" customHeight="1" x14ac:dyDescent="0.25">
      <c r="A175" s="4" t="s">
        <v>169</v>
      </c>
      <c r="B175" s="4" t="s">
        <v>1346</v>
      </c>
      <c r="C175" s="4" t="s">
        <v>171</v>
      </c>
      <c r="D175" s="4" t="s">
        <v>1351</v>
      </c>
    </row>
    <row r="176" spans="1:4" ht="14.1" customHeight="1" x14ac:dyDescent="0.25">
      <c r="A176" s="25" t="s">
        <v>388</v>
      </c>
      <c r="B176" s="4" t="s">
        <v>1347</v>
      </c>
      <c r="C176" s="4" t="s">
        <v>390</v>
      </c>
      <c r="D176" s="4" t="s">
        <v>1351</v>
      </c>
    </row>
    <row r="177" spans="1:4" ht="14.1" customHeight="1" x14ac:dyDescent="0.25">
      <c r="A177" s="25" t="s">
        <v>388</v>
      </c>
      <c r="B177" s="4" t="s">
        <v>1348</v>
      </c>
      <c r="C177" s="4" t="s">
        <v>390</v>
      </c>
      <c r="D177" s="4" t="s">
        <v>1351</v>
      </c>
    </row>
    <row r="178" spans="1:4" ht="14.1" customHeight="1" x14ac:dyDescent="0.25">
      <c r="A178" s="4" t="s">
        <v>903</v>
      </c>
      <c r="B178" s="4" t="s">
        <v>1349</v>
      </c>
      <c r="C178" s="4" t="s">
        <v>905</v>
      </c>
      <c r="D178" s="4" t="s">
        <v>1351</v>
      </c>
    </row>
    <row r="179" spans="1:4" ht="14.1" customHeight="1" x14ac:dyDescent="0.25">
      <c r="A179" s="4" t="s">
        <v>173</v>
      </c>
      <c r="B179" s="4" t="s">
        <v>1350</v>
      </c>
      <c r="C179" s="4" t="s">
        <v>175</v>
      </c>
      <c r="D179" s="4" t="s">
        <v>1351</v>
      </c>
    </row>
    <row r="180" spans="1:4" ht="14.1" customHeight="1" x14ac:dyDescent="0.25">
      <c r="A180" s="25" t="s">
        <v>863</v>
      </c>
      <c r="B180" s="4" t="s">
        <v>1352</v>
      </c>
      <c r="C180" s="4" t="s">
        <v>865</v>
      </c>
      <c r="D180" s="4" t="s">
        <v>1355</v>
      </c>
    </row>
    <row r="181" spans="1:4" ht="14.1" customHeight="1" x14ac:dyDescent="0.25">
      <c r="A181" s="25" t="s">
        <v>863</v>
      </c>
      <c r="B181" s="4" t="s">
        <v>1353</v>
      </c>
      <c r="C181" s="4" t="s">
        <v>865</v>
      </c>
      <c r="D181" s="4" t="s">
        <v>1355</v>
      </c>
    </row>
    <row r="182" spans="1:4" ht="14.1" customHeight="1" x14ac:dyDescent="0.25">
      <c r="A182" s="25" t="s">
        <v>863</v>
      </c>
      <c r="B182" s="4" t="s">
        <v>1354</v>
      </c>
      <c r="C182" s="4" t="s">
        <v>865</v>
      </c>
      <c r="D182" s="4" t="s">
        <v>1355</v>
      </c>
    </row>
    <row r="183" spans="1:4" ht="14.1" customHeight="1" x14ac:dyDescent="0.25">
      <c r="A183" s="4" t="s">
        <v>607</v>
      </c>
      <c r="B183" s="4" t="s">
        <v>1356</v>
      </c>
      <c r="C183" s="4" t="s">
        <v>609</v>
      </c>
      <c r="D183" s="4" t="s">
        <v>1362</v>
      </c>
    </row>
    <row r="184" spans="1:4" ht="14.1" customHeight="1" x14ac:dyDescent="0.25">
      <c r="A184" s="4" t="s">
        <v>714</v>
      </c>
      <c r="B184" s="4" t="s">
        <v>1357</v>
      </c>
      <c r="C184" s="4" t="s">
        <v>436</v>
      </c>
      <c r="D184" s="4" t="s">
        <v>1362</v>
      </c>
    </row>
    <row r="185" spans="1:4" ht="14.1" customHeight="1" x14ac:dyDescent="0.25">
      <c r="A185" s="4" t="s">
        <v>806</v>
      </c>
      <c r="B185" s="4" t="s">
        <v>1356</v>
      </c>
      <c r="C185" s="4" t="s">
        <v>808</v>
      </c>
      <c r="D185" s="4" t="s">
        <v>1362</v>
      </c>
    </row>
    <row r="186" spans="1:4" ht="14.1" customHeight="1" x14ac:dyDescent="0.25">
      <c r="A186" s="4" t="s">
        <v>492</v>
      </c>
      <c r="B186" s="4" t="s">
        <v>1358</v>
      </c>
      <c r="C186" s="4" t="s">
        <v>467</v>
      </c>
      <c r="D186" s="4" t="s">
        <v>1362</v>
      </c>
    </row>
    <row r="187" spans="1:4" ht="14.1" customHeight="1" x14ac:dyDescent="0.25">
      <c r="A187" s="4" t="s">
        <v>645</v>
      </c>
      <c r="B187" s="4" t="s">
        <v>1357</v>
      </c>
      <c r="C187" s="4" t="s">
        <v>647</v>
      </c>
      <c r="D187" s="4" t="s">
        <v>1362</v>
      </c>
    </row>
    <row r="188" spans="1:4" ht="14.1" customHeight="1" x14ac:dyDescent="0.25">
      <c r="A188" s="4" t="s">
        <v>1081</v>
      </c>
      <c r="B188" s="4" t="s">
        <v>1359</v>
      </c>
      <c r="C188" s="4" t="s">
        <v>504</v>
      </c>
      <c r="D188" s="4" t="s">
        <v>1362</v>
      </c>
    </row>
    <row r="189" spans="1:4" ht="14.1" customHeight="1" x14ac:dyDescent="0.25">
      <c r="A189" s="4" t="s">
        <v>950</v>
      </c>
      <c r="B189" s="4" t="s">
        <v>1360</v>
      </c>
      <c r="C189" s="4" t="s">
        <v>952</v>
      </c>
      <c r="D189" s="4" t="s">
        <v>1362</v>
      </c>
    </row>
    <row r="190" spans="1:4" ht="14.1" customHeight="1" x14ac:dyDescent="0.25">
      <c r="A190" s="4" t="s">
        <v>70</v>
      </c>
      <c r="B190" s="4" t="s">
        <v>1361</v>
      </c>
      <c r="C190" s="4" t="s">
        <v>72</v>
      </c>
      <c r="D190" s="4" t="s">
        <v>1362</v>
      </c>
    </row>
    <row r="191" spans="1:4" ht="14.1" customHeight="1" x14ac:dyDescent="0.25">
      <c r="A191" s="4" t="s">
        <v>487</v>
      </c>
      <c r="B191" s="4" t="s">
        <v>1363</v>
      </c>
      <c r="C191" s="4" t="s">
        <v>489</v>
      </c>
      <c r="D191" s="4" t="s">
        <v>1368</v>
      </c>
    </row>
    <row r="192" spans="1:4" ht="14.1" customHeight="1" x14ac:dyDescent="0.25">
      <c r="A192" s="4" t="s">
        <v>500</v>
      </c>
      <c r="B192" s="4" t="s">
        <v>1364</v>
      </c>
      <c r="C192" s="4" t="s">
        <v>79</v>
      </c>
      <c r="D192" s="4" t="s">
        <v>1368</v>
      </c>
    </row>
    <row r="193" spans="1:4" ht="14.1" customHeight="1" x14ac:dyDescent="0.25">
      <c r="A193" s="4" t="s">
        <v>153</v>
      </c>
      <c r="B193" s="4" t="s">
        <v>1365</v>
      </c>
      <c r="C193" s="4" t="s">
        <v>155</v>
      </c>
      <c r="D193" s="4" t="s">
        <v>1368</v>
      </c>
    </row>
    <row r="194" spans="1:4" ht="14.1" customHeight="1" x14ac:dyDescent="0.25">
      <c r="A194" s="4" t="s">
        <v>958</v>
      </c>
      <c r="B194" s="4" t="s">
        <v>1366</v>
      </c>
      <c r="C194" s="4" t="s">
        <v>960</v>
      </c>
      <c r="D194" s="4" t="s">
        <v>1368</v>
      </c>
    </row>
    <row r="195" spans="1:4" ht="14.1" customHeight="1" x14ac:dyDescent="0.25">
      <c r="A195" s="4" t="s">
        <v>267</v>
      </c>
      <c r="B195" s="4" t="s">
        <v>1367</v>
      </c>
      <c r="C195" s="4" t="s">
        <v>269</v>
      </c>
      <c r="D195" s="4" t="s">
        <v>1368</v>
      </c>
    </row>
    <row r="196" spans="1:4" ht="14.1" customHeight="1" x14ac:dyDescent="0.25">
      <c r="A196" s="4" t="s">
        <v>493</v>
      </c>
      <c r="B196" s="4" t="s">
        <v>1369</v>
      </c>
      <c r="C196" s="4" t="s">
        <v>463</v>
      </c>
      <c r="D196" s="4" t="s">
        <v>1379</v>
      </c>
    </row>
    <row r="197" spans="1:4" ht="14.1" customHeight="1" x14ac:dyDescent="0.25">
      <c r="A197" s="4" t="s">
        <v>702</v>
      </c>
      <c r="B197" s="4" t="s">
        <v>1370</v>
      </c>
      <c r="C197" s="4" t="s">
        <v>704</v>
      </c>
      <c r="D197" s="4" t="s">
        <v>1379</v>
      </c>
    </row>
    <row r="198" spans="1:4" ht="14.1" customHeight="1" x14ac:dyDescent="0.25">
      <c r="A198" s="4" t="s">
        <v>1089</v>
      </c>
      <c r="B198" s="4" t="s">
        <v>1371</v>
      </c>
      <c r="C198" s="4" t="s">
        <v>303</v>
      </c>
      <c r="D198" s="4" t="s">
        <v>1379</v>
      </c>
    </row>
    <row r="199" spans="1:4" ht="14.1" customHeight="1" x14ac:dyDescent="0.25">
      <c r="A199" s="4" t="s">
        <v>888</v>
      </c>
      <c r="B199" s="4" t="s">
        <v>1372</v>
      </c>
      <c r="C199" s="4" t="s">
        <v>635</v>
      </c>
      <c r="D199" s="4" t="s">
        <v>1379</v>
      </c>
    </row>
    <row r="200" spans="1:4" ht="14.1" customHeight="1" x14ac:dyDescent="0.25">
      <c r="A200" s="4" t="s">
        <v>461</v>
      </c>
      <c r="B200" s="4" t="s">
        <v>1369</v>
      </c>
      <c r="C200" s="4" t="s">
        <v>463</v>
      </c>
      <c r="D200" s="4" t="s">
        <v>1379</v>
      </c>
    </row>
    <row r="201" spans="1:4" ht="14.1" customHeight="1" x14ac:dyDescent="0.25">
      <c r="A201" s="4" t="s">
        <v>732</v>
      </c>
      <c r="B201" s="4" t="s">
        <v>1234</v>
      </c>
      <c r="C201" s="4" t="s">
        <v>56</v>
      </c>
      <c r="D201" s="4" t="s">
        <v>1379</v>
      </c>
    </row>
    <row r="202" spans="1:4" ht="14.1" customHeight="1" x14ac:dyDescent="0.25">
      <c r="A202" s="4" t="s">
        <v>941</v>
      </c>
      <c r="B202" s="4" t="s">
        <v>1373</v>
      </c>
      <c r="C202" s="4" t="s">
        <v>943</v>
      </c>
      <c r="D202" s="4" t="s">
        <v>1379</v>
      </c>
    </row>
    <row r="203" spans="1:4" ht="14.1" customHeight="1" x14ac:dyDescent="0.25">
      <c r="A203" s="4" t="s">
        <v>384</v>
      </c>
      <c r="B203" s="4" t="s">
        <v>1374</v>
      </c>
      <c r="C203" s="4" t="s">
        <v>386</v>
      </c>
      <c r="D203" s="4" t="s">
        <v>1379</v>
      </c>
    </row>
    <row r="204" spans="1:4" ht="14.1" customHeight="1" x14ac:dyDescent="0.25">
      <c r="A204" s="4" t="s">
        <v>301</v>
      </c>
      <c r="B204" s="4" t="s">
        <v>1371</v>
      </c>
      <c r="C204" s="4" t="s">
        <v>303</v>
      </c>
      <c r="D204" s="4" t="s">
        <v>1379</v>
      </c>
    </row>
    <row r="205" spans="1:4" ht="14.1" customHeight="1" x14ac:dyDescent="0.25">
      <c r="A205" s="4" t="s">
        <v>363</v>
      </c>
      <c r="B205" s="4" t="s">
        <v>1375</v>
      </c>
      <c r="C205" s="4" t="s">
        <v>365</v>
      </c>
      <c r="D205" s="4" t="s">
        <v>1379</v>
      </c>
    </row>
    <row r="206" spans="1:4" ht="14.1" customHeight="1" x14ac:dyDescent="0.25">
      <c r="A206" s="4" t="s">
        <v>654</v>
      </c>
      <c r="B206" s="4" t="s">
        <v>1376</v>
      </c>
      <c r="C206" s="4" t="s">
        <v>656</v>
      </c>
      <c r="D206" s="4" t="s">
        <v>1379</v>
      </c>
    </row>
    <row r="207" spans="1:4" ht="14.1" customHeight="1" x14ac:dyDescent="0.25">
      <c r="A207" s="4" t="s">
        <v>633</v>
      </c>
      <c r="B207" s="4" t="s">
        <v>1372</v>
      </c>
      <c r="C207" s="4" t="s">
        <v>635</v>
      </c>
      <c r="D207" s="4" t="s">
        <v>1379</v>
      </c>
    </row>
    <row r="208" spans="1:4" ht="14.1" customHeight="1" x14ac:dyDescent="0.25">
      <c r="A208" s="4" t="s">
        <v>891</v>
      </c>
      <c r="B208" s="4" t="s">
        <v>1279</v>
      </c>
      <c r="C208" s="4" t="s">
        <v>893</v>
      </c>
      <c r="D208" s="4" t="s">
        <v>1379</v>
      </c>
    </row>
    <row r="209" spans="1:4" ht="14.1" customHeight="1" x14ac:dyDescent="0.25">
      <c r="A209" s="4" t="s">
        <v>611</v>
      </c>
      <c r="B209" s="4" t="s">
        <v>1377</v>
      </c>
      <c r="C209" s="4" t="s">
        <v>613</v>
      </c>
      <c r="D209" s="4" t="s">
        <v>1379</v>
      </c>
    </row>
    <row r="210" spans="1:4" ht="14.1" customHeight="1" x14ac:dyDescent="0.25">
      <c r="A210" s="4" t="s">
        <v>814</v>
      </c>
      <c r="B210" s="4" t="s">
        <v>1378</v>
      </c>
      <c r="C210" s="4" t="s">
        <v>816</v>
      </c>
      <c r="D210" s="4" t="s">
        <v>1379</v>
      </c>
    </row>
    <row r="211" spans="1:4" ht="14.1" customHeight="1" x14ac:dyDescent="0.25">
      <c r="A211" s="4" t="s">
        <v>338</v>
      </c>
      <c r="B211" s="4" t="s">
        <v>1190</v>
      </c>
      <c r="C211" s="4" t="s">
        <v>36</v>
      </c>
      <c r="D211" s="4" t="s">
        <v>1383</v>
      </c>
    </row>
    <row r="212" spans="1:4" ht="14.1" customHeight="1" x14ac:dyDescent="0.25">
      <c r="A212" s="4" t="s">
        <v>434</v>
      </c>
      <c r="B212" s="4" t="s">
        <v>1357</v>
      </c>
      <c r="C212" s="4" t="s">
        <v>436</v>
      </c>
      <c r="D212" s="4" t="s">
        <v>1383</v>
      </c>
    </row>
    <row r="213" spans="1:4" ht="14.1" customHeight="1" x14ac:dyDescent="0.25">
      <c r="A213" s="4" t="s">
        <v>249</v>
      </c>
      <c r="B213" s="4" t="s">
        <v>1380</v>
      </c>
      <c r="C213" s="4" t="s">
        <v>251</v>
      </c>
      <c r="D213" s="4" t="s">
        <v>1383</v>
      </c>
    </row>
    <row r="214" spans="1:4" ht="14.1" customHeight="1" x14ac:dyDescent="0.25">
      <c r="A214" s="4" t="s">
        <v>465</v>
      </c>
      <c r="B214" s="4" t="s">
        <v>1358</v>
      </c>
      <c r="C214" s="4" t="s">
        <v>467</v>
      </c>
      <c r="D214" s="4" t="s">
        <v>1383</v>
      </c>
    </row>
    <row r="215" spans="1:4" ht="14.1" customHeight="1" x14ac:dyDescent="0.25">
      <c r="A215" s="4" t="s">
        <v>491</v>
      </c>
      <c r="B215" s="4" t="s">
        <v>1361</v>
      </c>
      <c r="C215" s="4" t="s">
        <v>72</v>
      </c>
      <c r="D215" s="4" t="s">
        <v>1383</v>
      </c>
    </row>
    <row r="216" spans="1:4" ht="14.1" customHeight="1" x14ac:dyDescent="0.25">
      <c r="A216" s="4" t="s">
        <v>930</v>
      </c>
      <c r="B216" s="4" t="s">
        <v>1357</v>
      </c>
      <c r="C216" s="4" t="s">
        <v>647</v>
      </c>
      <c r="D216" s="4" t="s">
        <v>1383</v>
      </c>
    </row>
    <row r="217" spans="1:4" ht="14.1" customHeight="1" x14ac:dyDescent="0.25">
      <c r="A217" s="4" t="s">
        <v>649</v>
      </c>
      <c r="B217" s="4" t="s">
        <v>1381</v>
      </c>
      <c r="C217" s="4" t="s">
        <v>535</v>
      </c>
      <c r="D217" s="4" t="s">
        <v>1383</v>
      </c>
    </row>
    <row r="218" spans="1:4" ht="14.1" customHeight="1" x14ac:dyDescent="0.25">
      <c r="A218" s="4" t="s">
        <v>502</v>
      </c>
      <c r="B218" s="4" t="s">
        <v>1359</v>
      </c>
      <c r="C218" s="4" t="s">
        <v>504</v>
      </c>
      <c r="D218" s="4" t="s">
        <v>1383</v>
      </c>
    </row>
    <row r="219" spans="1:4" ht="14.1" customHeight="1" x14ac:dyDescent="0.25">
      <c r="A219" s="4" t="s">
        <v>253</v>
      </c>
      <c r="B219" s="4" t="s">
        <v>1382</v>
      </c>
      <c r="C219" s="4" t="s">
        <v>255</v>
      </c>
      <c r="D219" s="4" t="s">
        <v>1383</v>
      </c>
    </row>
    <row r="220" spans="1:4" ht="14.1" customHeight="1" x14ac:dyDescent="0.25">
      <c r="A220" s="4" t="s">
        <v>551</v>
      </c>
      <c r="B220" s="4" t="s">
        <v>1181</v>
      </c>
      <c r="C220" s="4" t="s">
        <v>151</v>
      </c>
      <c r="D220" s="4" t="s">
        <v>1386</v>
      </c>
    </row>
    <row r="221" spans="1:4" ht="14.1" customHeight="1" x14ac:dyDescent="0.25">
      <c r="A221" s="4" t="s">
        <v>165</v>
      </c>
      <c r="B221" s="4" t="s">
        <v>1384</v>
      </c>
      <c r="C221" s="4" t="s">
        <v>167</v>
      </c>
      <c r="D221" s="4" t="s">
        <v>1386</v>
      </c>
    </row>
    <row r="222" spans="1:4" ht="14.1" customHeight="1" x14ac:dyDescent="0.25">
      <c r="A222" s="4" t="s">
        <v>1063</v>
      </c>
      <c r="B222" s="4" t="s">
        <v>1183</v>
      </c>
      <c r="C222" s="4" t="s">
        <v>901</v>
      </c>
      <c r="D222" s="4" t="s">
        <v>1386</v>
      </c>
    </row>
    <row r="223" spans="1:4" ht="14.1" customHeight="1" x14ac:dyDescent="0.25">
      <c r="A223" s="4" t="s">
        <v>142</v>
      </c>
      <c r="B223" s="4" t="s">
        <v>1184</v>
      </c>
      <c r="C223" s="4" t="s">
        <v>144</v>
      </c>
      <c r="D223" s="4" t="s">
        <v>1386</v>
      </c>
    </row>
    <row r="224" spans="1:4" ht="14.1" customHeight="1" x14ac:dyDescent="0.25">
      <c r="A224" s="4" t="s">
        <v>438</v>
      </c>
      <c r="B224" s="4" t="s">
        <v>1185</v>
      </c>
      <c r="C224" s="4" t="s">
        <v>440</v>
      </c>
      <c r="D224" s="4" t="s">
        <v>1386</v>
      </c>
    </row>
    <row r="225" spans="1:4" ht="14.1" customHeight="1" x14ac:dyDescent="0.25">
      <c r="A225" s="4" t="s">
        <v>1180</v>
      </c>
      <c r="B225" s="4" t="s">
        <v>1186</v>
      </c>
      <c r="C225" s="4" t="s">
        <v>1059</v>
      </c>
      <c r="D225" s="4" t="s">
        <v>1386</v>
      </c>
    </row>
    <row r="226" spans="1:4" ht="14.1" customHeight="1" x14ac:dyDescent="0.25">
      <c r="A226" s="4" t="s">
        <v>1075</v>
      </c>
      <c r="B226" s="4" t="s">
        <v>1385</v>
      </c>
      <c r="C226" s="4" t="s">
        <v>696</v>
      </c>
      <c r="D226" s="4" t="s">
        <v>1386</v>
      </c>
    </row>
    <row r="227" spans="1:4" ht="14.1" customHeight="1" x14ac:dyDescent="0.25">
      <c r="A227" s="4" t="s">
        <v>193</v>
      </c>
      <c r="B227" s="4" t="s">
        <v>1185</v>
      </c>
      <c r="C227" s="4" t="s">
        <v>195</v>
      </c>
      <c r="D227" s="4" t="s">
        <v>1388</v>
      </c>
    </row>
    <row r="228" spans="1:4" ht="14.1" customHeight="1" x14ac:dyDescent="0.25">
      <c r="A228" s="4" t="s">
        <v>396</v>
      </c>
      <c r="B228" s="4" t="s">
        <v>1387</v>
      </c>
      <c r="C228" s="4" t="s">
        <v>398</v>
      </c>
      <c r="D228" s="4" t="s">
        <v>1388</v>
      </c>
    </row>
    <row r="229" spans="1:4" ht="14.1" customHeight="1" x14ac:dyDescent="0.25">
      <c r="A229" s="4" t="s">
        <v>991</v>
      </c>
      <c r="B229" s="4" t="s">
        <v>1195</v>
      </c>
      <c r="C229" s="4" t="s">
        <v>448</v>
      </c>
      <c r="D229" s="4" t="s">
        <v>1388</v>
      </c>
    </row>
    <row r="230" spans="1:4" ht="14.1" customHeight="1" x14ac:dyDescent="0.25">
      <c r="A230" s="4" t="s">
        <v>1062</v>
      </c>
      <c r="B230" s="4" t="s">
        <v>1196</v>
      </c>
      <c r="C230" s="4" t="s">
        <v>123</v>
      </c>
      <c r="D230" s="4" t="s">
        <v>1388</v>
      </c>
    </row>
    <row r="231" spans="1:4" ht="14.1" customHeight="1" x14ac:dyDescent="0.25">
      <c r="A231" s="4" t="s">
        <v>1048</v>
      </c>
      <c r="B231" s="4" t="s">
        <v>1199</v>
      </c>
      <c r="C231" s="4" t="s">
        <v>852</v>
      </c>
      <c r="D231" s="4" t="s">
        <v>1388</v>
      </c>
    </row>
    <row r="232" spans="1:4" ht="14.1" customHeight="1" x14ac:dyDescent="0.25">
      <c r="A232" s="4" t="s">
        <v>514</v>
      </c>
      <c r="B232" s="4" t="s">
        <v>1190</v>
      </c>
      <c r="C232" s="4" t="s">
        <v>36</v>
      </c>
      <c r="D232" s="4" t="s">
        <v>1388</v>
      </c>
    </row>
    <row r="233" spans="1:4" ht="14.1" customHeight="1" x14ac:dyDescent="0.25">
      <c r="A233" s="4" t="s">
        <v>1179</v>
      </c>
      <c r="B233" s="4" t="s">
        <v>1223</v>
      </c>
      <c r="C233" s="4" t="s">
        <v>140</v>
      </c>
      <c r="D233" s="4" t="s">
        <v>1399</v>
      </c>
    </row>
    <row r="234" spans="1:4" ht="14.1" customHeight="1" x14ac:dyDescent="0.25">
      <c r="A234" s="4" t="s">
        <v>969</v>
      </c>
      <c r="B234" s="4" t="s">
        <v>1389</v>
      </c>
      <c r="C234" s="4" t="s">
        <v>523</v>
      </c>
      <c r="D234" s="4" t="s">
        <v>1399</v>
      </c>
    </row>
    <row r="235" spans="1:4" ht="14.1" customHeight="1" x14ac:dyDescent="0.25">
      <c r="A235" s="4" t="s">
        <v>775</v>
      </c>
      <c r="B235" s="4" t="s">
        <v>1390</v>
      </c>
      <c r="C235" s="4" t="s">
        <v>545</v>
      </c>
      <c r="D235" s="4" t="s">
        <v>1399</v>
      </c>
    </row>
    <row r="236" spans="1:4" ht="14.1" customHeight="1" x14ac:dyDescent="0.25">
      <c r="A236" s="4" t="s">
        <v>785</v>
      </c>
      <c r="B236" s="4" t="s">
        <v>1391</v>
      </c>
      <c r="C236" s="4" t="s">
        <v>787</v>
      </c>
      <c r="D236" s="4" t="s">
        <v>1399</v>
      </c>
    </row>
    <row r="237" spans="1:4" ht="14.1" customHeight="1" x14ac:dyDescent="0.25">
      <c r="A237" s="4" t="s">
        <v>954</v>
      </c>
      <c r="B237" s="4" t="s">
        <v>1392</v>
      </c>
      <c r="C237" s="4" t="s">
        <v>916</v>
      </c>
      <c r="D237" s="4" t="s">
        <v>1399</v>
      </c>
    </row>
    <row r="238" spans="1:4" ht="14.1" customHeight="1" x14ac:dyDescent="0.25">
      <c r="A238" s="4" t="s">
        <v>886</v>
      </c>
      <c r="B238" s="4" t="s">
        <v>1393</v>
      </c>
      <c r="C238" s="4" t="s">
        <v>752</v>
      </c>
      <c r="D238" s="4" t="s">
        <v>1399</v>
      </c>
    </row>
    <row r="239" spans="1:4" ht="14.1" customHeight="1" x14ac:dyDescent="0.25">
      <c r="A239" s="4" t="s">
        <v>750</v>
      </c>
      <c r="B239" s="4" t="s">
        <v>1394</v>
      </c>
      <c r="C239" s="4" t="s">
        <v>752</v>
      </c>
      <c r="D239" s="4" t="s">
        <v>1399</v>
      </c>
    </row>
    <row r="240" spans="1:4" ht="14.1" customHeight="1" x14ac:dyDescent="0.25">
      <c r="A240" s="4" t="s">
        <v>473</v>
      </c>
      <c r="B240" s="4" t="s">
        <v>1223</v>
      </c>
      <c r="C240" s="4" t="s">
        <v>140</v>
      </c>
      <c r="D240" s="4" t="s">
        <v>1399</v>
      </c>
    </row>
    <row r="241" spans="1:4" ht="14.1" customHeight="1" x14ac:dyDescent="0.25">
      <c r="A241" s="4" t="s">
        <v>805</v>
      </c>
      <c r="B241" s="4" t="s">
        <v>1223</v>
      </c>
      <c r="C241" s="4" t="s">
        <v>140</v>
      </c>
      <c r="D241" s="4" t="s">
        <v>1399</v>
      </c>
    </row>
    <row r="242" spans="1:4" ht="14.1" customHeight="1" x14ac:dyDescent="0.25">
      <c r="A242" s="4" t="s">
        <v>474</v>
      </c>
      <c r="B242" s="4" t="s">
        <v>1223</v>
      </c>
      <c r="C242" s="4" t="s">
        <v>140</v>
      </c>
      <c r="D242" s="4" t="s">
        <v>1399</v>
      </c>
    </row>
    <row r="243" spans="1:4" ht="14.1" customHeight="1" x14ac:dyDescent="0.25">
      <c r="A243" s="4" t="s">
        <v>209</v>
      </c>
      <c r="B243" s="4" t="s">
        <v>1223</v>
      </c>
      <c r="C243" s="4" t="s">
        <v>140</v>
      </c>
      <c r="D243" s="4" t="s">
        <v>1399</v>
      </c>
    </row>
    <row r="244" spans="1:4" ht="14.1" customHeight="1" x14ac:dyDescent="0.25">
      <c r="A244" s="4" t="s">
        <v>521</v>
      </c>
      <c r="B244" s="4" t="s">
        <v>1389</v>
      </c>
      <c r="C244" s="4" t="s">
        <v>523</v>
      </c>
      <c r="D244" s="4" t="s">
        <v>1399</v>
      </c>
    </row>
    <row r="245" spans="1:4" ht="14.1" customHeight="1" x14ac:dyDescent="0.25">
      <c r="A245" s="4" t="s">
        <v>819</v>
      </c>
      <c r="B245" s="4" t="s">
        <v>1395</v>
      </c>
      <c r="C245" s="4" t="s">
        <v>265</v>
      </c>
      <c r="D245" s="4" t="s">
        <v>1399</v>
      </c>
    </row>
    <row r="246" spans="1:4" ht="14.1" customHeight="1" x14ac:dyDescent="0.25">
      <c r="A246" s="4" t="s">
        <v>228</v>
      </c>
      <c r="B246" s="4" t="s">
        <v>1396</v>
      </c>
      <c r="C246" s="4" t="s">
        <v>230</v>
      </c>
      <c r="D246" s="4" t="s">
        <v>1399</v>
      </c>
    </row>
    <row r="247" spans="1:4" ht="14.1" customHeight="1" x14ac:dyDescent="0.25">
      <c r="A247" s="4" t="s">
        <v>1130</v>
      </c>
      <c r="B247" s="4" t="s">
        <v>1397</v>
      </c>
      <c r="C247" s="4" t="s">
        <v>558</v>
      </c>
      <c r="D247" s="4" t="s">
        <v>1399</v>
      </c>
    </row>
    <row r="248" spans="1:4" ht="14.1" customHeight="1" x14ac:dyDescent="0.25">
      <c r="A248" s="25" t="s">
        <v>324</v>
      </c>
      <c r="B248" s="4" t="s">
        <v>1203</v>
      </c>
      <c r="C248" s="4" t="s">
        <v>326</v>
      </c>
      <c r="D248" s="4" t="s">
        <v>1399</v>
      </c>
    </row>
    <row r="249" spans="1:4" ht="14.1" customHeight="1" x14ac:dyDescent="0.25">
      <c r="A249" s="4" t="s">
        <v>686</v>
      </c>
      <c r="B249" s="4" t="s">
        <v>1398</v>
      </c>
      <c r="C249" s="4" t="s">
        <v>687</v>
      </c>
      <c r="D249" s="4" t="s">
        <v>1399</v>
      </c>
    </row>
    <row r="250" spans="1:4" ht="14.1" customHeight="1" x14ac:dyDescent="0.25">
      <c r="A250" s="4" t="s">
        <v>1161</v>
      </c>
      <c r="B250" s="4" t="s">
        <v>1400</v>
      </c>
      <c r="C250" s="4" t="s">
        <v>1163</v>
      </c>
      <c r="D250" s="4" t="s">
        <v>1406</v>
      </c>
    </row>
    <row r="251" spans="1:4" ht="14.1" customHeight="1" x14ac:dyDescent="0.25">
      <c r="A251" s="4" t="s">
        <v>1109</v>
      </c>
      <c r="B251" s="4" t="s">
        <v>1401</v>
      </c>
      <c r="C251" s="4" t="s">
        <v>1111</v>
      </c>
      <c r="D251" s="4" t="s">
        <v>1406</v>
      </c>
    </row>
    <row r="252" spans="1:4" ht="14.1" customHeight="1" x14ac:dyDescent="0.25">
      <c r="A252" s="4" t="s">
        <v>1174</v>
      </c>
      <c r="B252" s="4" t="s">
        <v>1402</v>
      </c>
      <c r="C252" s="4" t="s">
        <v>1176</v>
      </c>
      <c r="D252" s="4" t="s">
        <v>1406</v>
      </c>
    </row>
    <row r="253" spans="1:4" ht="14.1" customHeight="1" x14ac:dyDescent="0.25">
      <c r="A253" s="4" t="s">
        <v>450</v>
      </c>
      <c r="B253" s="4" t="s">
        <v>481</v>
      </c>
      <c r="C253" s="4" t="s">
        <v>452</v>
      </c>
      <c r="D253" s="4" t="s">
        <v>1406</v>
      </c>
    </row>
    <row r="254" spans="1:4" ht="14.1" customHeight="1" x14ac:dyDescent="0.25">
      <c r="A254" s="4" t="s">
        <v>1027</v>
      </c>
      <c r="B254" s="4" t="s">
        <v>1011</v>
      </c>
      <c r="C254" s="4" t="s">
        <v>1029</v>
      </c>
      <c r="D254" s="4" t="s">
        <v>1406</v>
      </c>
    </row>
    <row r="255" spans="1:4" ht="14.1" customHeight="1" x14ac:dyDescent="0.25">
      <c r="A255" s="4" t="s">
        <v>845</v>
      </c>
      <c r="B255" s="4" t="s">
        <v>1403</v>
      </c>
      <c r="C255" s="4" t="s">
        <v>549</v>
      </c>
      <c r="D255" s="4" t="s">
        <v>1406</v>
      </c>
    </row>
    <row r="256" spans="1:4" ht="14.1" customHeight="1" x14ac:dyDescent="0.25">
      <c r="A256" s="4" t="s">
        <v>400</v>
      </c>
      <c r="B256" s="4" t="s">
        <v>1404</v>
      </c>
      <c r="C256" s="4" t="s">
        <v>402</v>
      </c>
      <c r="D256" s="4" t="s">
        <v>1406</v>
      </c>
    </row>
    <row r="257" spans="1:4" ht="14.1" customHeight="1" x14ac:dyDescent="0.25">
      <c r="A257" s="4" t="s">
        <v>895</v>
      </c>
      <c r="B257" s="4" t="s">
        <v>1405</v>
      </c>
      <c r="C257" s="4" t="s">
        <v>897</v>
      </c>
      <c r="D257" s="4" t="s">
        <v>1406</v>
      </c>
    </row>
    <row r="258" spans="1:4" ht="14.1" customHeight="1" x14ac:dyDescent="0.25">
      <c r="A258" s="4" t="s">
        <v>1049</v>
      </c>
      <c r="B258" s="4" t="s">
        <v>1407</v>
      </c>
      <c r="C258" s="4" t="s">
        <v>1051</v>
      </c>
      <c r="D258" s="4" t="s">
        <v>1414</v>
      </c>
    </row>
    <row r="259" spans="1:4" ht="14.1" customHeight="1" x14ac:dyDescent="0.25">
      <c r="A259" s="4" t="s">
        <v>965</v>
      </c>
      <c r="B259" s="4" t="s">
        <v>1408</v>
      </c>
      <c r="C259" s="4" t="s">
        <v>967</v>
      </c>
      <c r="D259" s="4" t="s">
        <v>1414</v>
      </c>
    </row>
    <row r="260" spans="1:4" ht="14.1" customHeight="1" x14ac:dyDescent="0.25">
      <c r="A260" s="4" t="s">
        <v>552</v>
      </c>
      <c r="B260" s="4" t="s">
        <v>1208</v>
      </c>
      <c r="C260" s="4" t="s">
        <v>554</v>
      </c>
      <c r="D260" s="4" t="s">
        <v>1414</v>
      </c>
    </row>
    <row r="261" spans="1:4" ht="14.1" customHeight="1" x14ac:dyDescent="0.25">
      <c r="A261" s="4" t="s">
        <v>1068</v>
      </c>
      <c r="B261" s="4" t="s">
        <v>16</v>
      </c>
      <c r="C261" s="4" t="s">
        <v>1070</v>
      </c>
      <c r="D261" s="4" t="s">
        <v>1414</v>
      </c>
    </row>
    <row r="262" spans="1:4" ht="14.1" customHeight="1" x14ac:dyDescent="0.25">
      <c r="A262" s="4" t="s">
        <v>832</v>
      </c>
      <c r="B262" s="4" t="s">
        <v>1205</v>
      </c>
      <c r="C262" s="4" t="s">
        <v>83</v>
      </c>
      <c r="D262" s="4" t="s">
        <v>1414</v>
      </c>
    </row>
    <row r="263" spans="1:4" ht="14.1" customHeight="1" x14ac:dyDescent="0.25">
      <c r="A263" s="4" t="s">
        <v>711</v>
      </c>
      <c r="B263" s="4" t="s">
        <v>1409</v>
      </c>
      <c r="C263" s="4" t="s">
        <v>345</v>
      </c>
      <c r="D263" s="4" t="s">
        <v>1414</v>
      </c>
    </row>
    <row r="264" spans="1:4" ht="14.1" customHeight="1" x14ac:dyDescent="0.25">
      <c r="A264" s="4" t="s">
        <v>698</v>
      </c>
      <c r="B264" s="4" t="s">
        <v>1410</v>
      </c>
      <c r="C264" s="4" t="s">
        <v>700</v>
      </c>
      <c r="D264" s="4" t="s">
        <v>1414</v>
      </c>
    </row>
    <row r="265" spans="1:4" ht="14.1" customHeight="1" x14ac:dyDescent="0.25">
      <c r="A265" s="4" t="s">
        <v>779</v>
      </c>
      <c r="B265" s="4" t="s">
        <v>1411</v>
      </c>
      <c r="C265" s="4" t="s">
        <v>345</v>
      </c>
      <c r="D265" s="4" t="s">
        <v>1414</v>
      </c>
    </row>
    <row r="266" spans="1:4" ht="14.1" customHeight="1" x14ac:dyDescent="0.25">
      <c r="A266" s="4" t="s">
        <v>42</v>
      </c>
      <c r="B266" s="4" t="s">
        <v>1412</v>
      </c>
      <c r="C266" s="4" t="s">
        <v>44</v>
      </c>
      <c r="D266" s="4" t="s">
        <v>1414</v>
      </c>
    </row>
    <row r="267" spans="1:4" ht="14.1" customHeight="1" x14ac:dyDescent="0.25">
      <c r="A267" s="4" t="s">
        <v>1064</v>
      </c>
      <c r="B267" s="4" t="s">
        <v>1413</v>
      </c>
      <c r="C267" s="4" t="s">
        <v>1066</v>
      </c>
      <c r="D267" s="4" t="s">
        <v>1414</v>
      </c>
    </row>
    <row r="268" spans="1:4" ht="14.1" customHeight="1" x14ac:dyDescent="0.25">
      <c r="A268" s="4" t="s">
        <v>684</v>
      </c>
      <c r="B268" s="4" t="s">
        <v>1206</v>
      </c>
      <c r="C268" s="4" t="s">
        <v>17</v>
      </c>
      <c r="D268" s="4" t="s">
        <v>1414</v>
      </c>
    </row>
    <row r="269" spans="1:4" ht="14.1" customHeight="1" x14ac:dyDescent="0.25">
      <c r="A269" s="4" t="s">
        <v>658</v>
      </c>
      <c r="B269" s="4" t="s">
        <v>1208</v>
      </c>
      <c r="C269" s="4" t="s">
        <v>554</v>
      </c>
      <c r="D269" s="4" t="s">
        <v>1414</v>
      </c>
    </row>
    <row r="270" spans="1:4" ht="14.1" customHeight="1" x14ac:dyDescent="0.25">
      <c r="A270" s="4" t="s">
        <v>275</v>
      </c>
      <c r="B270" s="4" t="s">
        <v>1415</v>
      </c>
      <c r="C270" s="4" t="s">
        <v>277</v>
      </c>
      <c r="D270" s="4" t="s">
        <v>1421</v>
      </c>
    </row>
    <row r="271" spans="1:4" ht="14.1" customHeight="1" x14ac:dyDescent="0.25">
      <c r="A271" s="4" t="s">
        <v>685</v>
      </c>
      <c r="B271" s="4" t="s">
        <v>1416</v>
      </c>
      <c r="C271" s="4" t="s">
        <v>349</v>
      </c>
      <c r="D271" s="4" t="s">
        <v>1421</v>
      </c>
    </row>
    <row r="272" spans="1:4" ht="14.1" customHeight="1" x14ac:dyDescent="0.25">
      <c r="A272" s="4" t="s">
        <v>913</v>
      </c>
      <c r="B272" s="4" t="s">
        <v>1417</v>
      </c>
      <c r="C272" s="4" t="s">
        <v>910</v>
      </c>
      <c r="D272" s="4" t="s">
        <v>1421</v>
      </c>
    </row>
    <row r="273" spans="1:4" ht="14.1" customHeight="1" x14ac:dyDescent="0.25">
      <c r="A273" s="4" t="s">
        <v>113</v>
      </c>
      <c r="B273" s="4" t="s">
        <v>1418</v>
      </c>
      <c r="C273" s="4" t="s">
        <v>115</v>
      </c>
      <c r="D273" s="4" t="s">
        <v>1421</v>
      </c>
    </row>
    <row r="274" spans="1:4" ht="14.1" customHeight="1" x14ac:dyDescent="0.25">
      <c r="A274" s="4" t="s">
        <v>259</v>
      </c>
      <c r="B274" s="4" t="s">
        <v>1419</v>
      </c>
      <c r="C274" s="4" t="s">
        <v>261</v>
      </c>
      <c r="D274" s="4" t="s">
        <v>1421</v>
      </c>
    </row>
    <row r="275" spans="1:4" ht="14.1" customHeight="1" x14ac:dyDescent="0.25">
      <c r="A275" s="4" t="s">
        <v>878</v>
      </c>
      <c r="B275" s="4" t="s">
        <v>1420</v>
      </c>
      <c r="C275" s="4" t="s">
        <v>226</v>
      </c>
      <c r="D275" s="4" t="s">
        <v>1421</v>
      </c>
    </row>
    <row r="276" spans="1:4" ht="14.1" customHeight="1" x14ac:dyDescent="0.25">
      <c r="A276" s="4" t="s">
        <v>177</v>
      </c>
      <c r="B276" s="4" t="s">
        <v>1231</v>
      </c>
      <c r="C276" s="4" t="s">
        <v>179</v>
      </c>
      <c r="D276" s="4" t="s">
        <v>1422</v>
      </c>
    </row>
    <row r="277" spans="1:4" ht="14.1" customHeight="1" x14ac:dyDescent="0.25">
      <c r="A277" s="4" t="s">
        <v>825</v>
      </c>
      <c r="B277" s="4" t="s">
        <v>1231</v>
      </c>
      <c r="C277" s="4" t="s">
        <v>179</v>
      </c>
      <c r="D277" s="4" t="s">
        <v>1422</v>
      </c>
    </row>
    <row r="278" spans="1:4" ht="14.1" customHeight="1" x14ac:dyDescent="0.25">
      <c r="A278" s="4" t="s">
        <v>689</v>
      </c>
      <c r="B278" s="4" t="s">
        <v>1397</v>
      </c>
      <c r="C278" s="4" t="s">
        <v>558</v>
      </c>
      <c r="D278" s="4" t="s">
        <v>1435</v>
      </c>
    </row>
    <row r="279" spans="1:4" ht="14.1" customHeight="1" x14ac:dyDescent="0.25">
      <c r="A279" s="4" t="s">
        <v>1053</v>
      </c>
      <c r="B279" s="4" t="s">
        <v>1423</v>
      </c>
      <c r="C279" s="4" t="s">
        <v>1055</v>
      </c>
      <c r="D279" s="4" t="s">
        <v>1435</v>
      </c>
    </row>
    <row r="280" spans="1:4" ht="14.1" customHeight="1" x14ac:dyDescent="0.25">
      <c r="A280" s="4" t="s">
        <v>794</v>
      </c>
      <c r="B280" s="4" t="s">
        <v>1424</v>
      </c>
      <c r="C280" s="4" t="s">
        <v>22</v>
      </c>
      <c r="D280" s="4" t="s">
        <v>1435</v>
      </c>
    </row>
    <row r="281" spans="1:4" ht="14.1" customHeight="1" x14ac:dyDescent="0.25">
      <c r="A281" s="4" t="s">
        <v>1035</v>
      </c>
      <c r="B281" s="4" t="s">
        <v>1425</v>
      </c>
      <c r="C281" s="4" t="s">
        <v>1037</v>
      </c>
      <c r="D281" s="4" t="s">
        <v>1435</v>
      </c>
    </row>
    <row r="282" spans="1:4" ht="14.1" customHeight="1" x14ac:dyDescent="0.25">
      <c r="A282" s="4" t="s">
        <v>946</v>
      </c>
      <c r="B282" s="4" t="s">
        <v>1426</v>
      </c>
      <c r="C282" s="4" t="s">
        <v>573</v>
      </c>
      <c r="D282" s="4" t="s">
        <v>1435</v>
      </c>
    </row>
    <row r="283" spans="1:4" ht="14.1" customHeight="1" x14ac:dyDescent="0.25">
      <c r="A283" s="4" t="s">
        <v>790</v>
      </c>
      <c r="B283" s="4" t="s">
        <v>1427</v>
      </c>
      <c r="C283" s="4" t="s">
        <v>792</v>
      </c>
      <c r="D283" s="4" t="s">
        <v>1435</v>
      </c>
    </row>
    <row r="284" spans="1:4" ht="14.1" customHeight="1" x14ac:dyDescent="0.25">
      <c r="A284" s="4" t="s">
        <v>379</v>
      </c>
      <c r="B284" s="4" t="s">
        <v>1428</v>
      </c>
      <c r="C284" s="4" t="s">
        <v>381</v>
      </c>
      <c r="D284" s="4" t="s">
        <v>1435</v>
      </c>
    </row>
    <row r="285" spans="1:4" ht="14.1" customHeight="1" x14ac:dyDescent="0.25">
      <c r="A285" s="4" t="s">
        <v>289</v>
      </c>
      <c r="B285" s="4" t="s">
        <v>1429</v>
      </c>
      <c r="C285" s="4" t="s">
        <v>291</v>
      </c>
      <c r="D285" s="4" t="s">
        <v>1435</v>
      </c>
    </row>
    <row r="286" spans="1:4" ht="14.1" customHeight="1" x14ac:dyDescent="0.25">
      <c r="A286" s="4" t="s">
        <v>351</v>
      </c>
      <c r="B286" s="4" t="s">
        <v>1430</v>
      </c>
      <c r="C286" s="4" t="s">
        <v>353</v>
      </c>
      <c r="D286" s="4" t="s">
        <v>1435</v>
      </c>
    </row>
    <row r="287" spans="1:4" ht="14.1" customHeight="1" x14ac:dyDescent="0.25">
      <c r="A287" s="4" t="s">
        <v>759</v>
      </c>
      <c r="B287" s="4" t="s">
        <v>1431</v>
      </c>
      <c r="C287" s="4" t="s">
        <v>131</v>
      </c>
      <c r="D287" s="4" t="s">
        <v>1435</v>
      </c>
    </row>
    <row r="288" spans="1:4" ht="14.1" customHeight="1" x14ac:dyDescent="0.25">
      <c r="A288" s="4" t="s">
        <v>1013</v>
      </c>
      <c r="B288" s="4" t="s">
        <v>1432</v>
      </c>
      <c r="C288" s="4" t="s">
        <v>1015</v>
      </c>
      <c r="D288" s="4" t="s">
        <v>1435</v>
      </c>
    </row>
    <row r="289" spans="1:4" ht="14.1" customHeight="1" x14ac:dyDescent="0.25">
      <c r="A289" s="4" t="s">
        <v>770</v>
      </c>
      <c r="B289" s="4" t="s">
        <v>1433</v>
      </c>
      <c r="C289" s="4" t="s">
        <v>743</v>
      </c>
      <c r="D289" s="4" t="s">
        <v>1435</v>
      </c>
    </row>
    <row r="290" spans="1:4" ht="14.1" customHeight="1" x14ac:dyDescent="0.25">
      <c r="A290" s="4" t="s">
        <v>715</v>
      </c>
      <c r="B290" s="4" t="s">
        <v>1189</v>
      </c>
      <c r="C290" s="4" t="s">
        <v>218</v>
      </c>
      <c r="D290" s="4" t="s">
        <v>1435</v>
      </c>
    </row>
    <row r="291" spans="1:4" ht="14.1" customHeight="1" x14ac:dyDescent="0.25">
      <c r="A291" s="4" t="s">
        <v>418</v>
      </c>
      <c r="B291" s="4" t="s">
        <v>1434</v>
      </c>
      <c r="C291" s="4" t="s">
        <v>330</v>
      </c>
      <c r="D291" s="4" t="s">
        <v>1435</v>
      </c>
    </row>
    <row r="292" spans="1:4" ht="14.1" customHeight="1" x14ac:dyDescent="0.25">
      <c r="A292" s="4" t="s">
        <v>1077</v>
      </c>
      <c r="B292" s="4" t="s">
        <v>1436</v>
      </c>
      <c r="C292" s="4" t="s">
        <v>1079</v>
      </c>
      <c r="D292" s="4" t="s">
        <v>1437</v>
      </c>
    </row>
    <row r="293" spans="1:4" ht="14.1" customHeight="1" x14ac:dyDescent="0.25">
      <c r="A293" s="4" t="s">
        <v>737</v>
      </c>
      <c r="B293" s="4" t="s">
        <v>1438</v>
      </c>
      <c r="C293" s="4" t="s">
        <v>739</v>
      </c>
      <c r="D293" s="4" t="s">
        <v>1440</v>
      </c>
    </row>
    <row r="294" spans="1:4" ht="14.1" customHeight="1" x14ac:dyDescent="0.25">
      <c r="A294" s="4" t="s">
        <v>297</v>
      </c>
      <c r="B294" s="4" t="s">
        <v>1439</v>
      </c>
      <c r="C294" s="4" t="s">
        <v>299</v>
      </c>
      <c r="D294" s="4" t="s">
        <v>1440</v>
      </c>
    </row>
    <row r="295" spans="1:4" ht="14.1" customHeight="1" x14ac:dyDescent="0.25">
      <c r="A295" s="4" t="s">
        <v>1019</v>
      </c>
      <c r="B295" s="4" t="s">
        <v>1441</v>
      </c>
      <c r="C295" s="4" t="s">
        <v>1021</v>
      </c>
      <c r="D295" s="4" t="s">
        <v>1445</v>
      </c>
    </row>
    <row r="296" spans="1:4" ht="14.1" customHeight="1" x14ac:dyDescent="0.25">
      <c r="A296" s="4" t="s">
        <v>781</v>
      </c>
      <c r="B296" s="4" t="s">
        <v>1442</v>
      </c>
      <c r="C296" s="4" t="s">
        <v>783</v>
      </c>
      <c r="D296" s="4" t="s">
        <v>1445</v>
      </c>
    </row>
    <row r="297" spans="1:4" ht="14.1" customHeight="1" x14ac:dyDescent="0.25">
      <c r="A297" s="4" t="s">
        <v>10</v>
      </c>
      <c r="B297" s="4" t="s">
        <v>1443</v>
      </c>
      <c r="C297" s="4" t="s">
        <v>12</v>
      </c>
      <c r="D297" s="4" t="s">
        <v>1445</v>
      </c>
    </row>
    <row r="298" spans="1:4" ht="14.1" customHeight="1" x14ac:dyDescent="0.25">
      <c r="A298" s="4" t="s">
        <v>577</v>
      </c>
      <c r="B298" s="4" t="s">
        <v>1444</v>
      </c>
      <c r="C298" s="4" t="s">
        <v>579</v>
      </c>
      <c r="D298" s="4" t="s">
        <v>1445</v>
      </c>
    </row>
    <row r="299" spans="1:4" ht="14.1" customHeight="1" x14ac:dyDescent="0.25">
      <c r="A299" s="4" t="s">
        <v>999</v>
      </c>
      <c r="B299" s="4" t="s">
        <v>1256</v>
      </c>
      <c r="C299" s="4" t="s">
        <v>843</v>
      </c>
      <c r="D299" s="4" t="s">
        <v>1446</v>
      </c>
    </row>
    <row r="300" spans="1:4" ht="14.1" customHeight="1" x14ac:dyDescent="0.25">
      <c r="A300" s="4" t="s">
        <v>77</v>
      </c>
      <c r="B300" s="4" t="s">
        <v>1447</v>
      </c>
      <c r="C300" s="4" t="s">
        <v>79</v>
      </c>
      <c r="D300" s="4" t="s">
        <v>1448</v>
      </c>
    </row>
    <row r="301" spans="1:4" ht="14.1" customHeight="1" x14ac:dyDescent="0.25">
      <c r="A301" s="4" t="s">
        <v>728</v>
      </c>
      <c r="B301" s="4" t="s">
        <v>1449</v>
      </c>
      <c r="C301" s="4" t="s">
        <v>730</v>
      </c>
      <c r="D301" s="4" t="s">
        <v>1453</v>
      </c>
    </row>
    <row r="302" spans="1:4" ht="14.1" customHeight="1" x14ac:dyDescent="0.25">
      <c r="A302" s="4" t="s">
        <v>1005</v>
      </c>
      <c r="B302" s="4" t="s">
        <v>1450</v>
      </c>
      <c r="C302" s="4" t="s">
        <v>1007</v>
      </c>
      <c r="D302" s="4" t="s">
        <v>1453</v>
      </c>
    </row>
    <row r="303" spans="1:4" ht="14.1" customHeight="1" x14ac:dyDescent="0.25">
      <c r="A303" s="4" t="s">
        <v>161</v>
      </c>
      <c r="B303" s="4" t="s">
        <v>1451</v>
      </c>
      <c r="C303" s="4" t="s">
        <v>163</v>
      </c>
      <c r="D303" s="4" t="s">
        <v>1453</v>
      </c>
    </row>
    <row r="304" spans="1:4" ht="14.1" customHeight="1" x14ac:dyDescent="0.25">
      <c r="A304" s="4" t="s">
        <v>680</v>
      </c>
      <c r="B304" s="4" t="s">
        <v>1452</v>
      </c>
      <c r="C304" s="4" t="s">
        <v>682</v>
      </c>
      <c r="D304" s="4" t="s">
        <v>1453</v>
      </c>
    </row>
    <row r="305" spans="1:4" ht="14.1" customHeight="1" x14ac:dyDescent="0.25">
      <c r="A305" s="4" t="s">
        <v>556</v>
      </c>
      <c r="B305" s="4" t="s">
        <v>1454</v>
      </c>
      <c r="C305" s="4" t="s">
        <v>558</v>
      </c>
      <c r="D305" s="4" t="s">
        <v>1459</v>
      </c>
    </row>
    <row r="306" spans="1:4" ht="14.1" customHeight="1" x14ac:dyDescent="0.25">
      <c r="A306" s="4" t="s">
        <v>887</v>
      </c>
      <c r="B306" s="4" t="s">
        <v>1203</v>
      </c>
      <c r="C306" s="4" t="s">
        <v>326</v>
      </c>
      <c r="D306" s="4" t="s">
        <v>1459</v>
      </c>
    </row>
    <row r="307" spans="1:4" ht="14.1" customHeight="1" x14ac:dyDescent="0.25">
      <c r="A307" s="4" t="s">
        <v>838</v>
      </c>
      <c r="B307" s="4" t="s">
        <v>1389</v>
      </c>
      <c r="C307" s="4" t="s">
        <v>523</v>
      </c>
      <c r="D307" s="4" t="s">
        <v>1459</v>
      </c>
    </row>
    <row r="308" spans="1:4" ht="14.1" customHeight="1" x14ac:dyDescent="0.25">
      <c r="A308" s="4" t="s">
        <v>537</v>
      </c>
      <c r="B308" s="4" t="s">
        <v>1223</v>
      </c>
      <c r="C308" s="4" t="s">
        <v>140</v>
      </c>
      <c r="D308" s="4" t="s">
        <v>1459</v>
      </c>
    </row>
    <row r="309" spans="1:4" ht="14.1" customHeight="1" x14ac:dyDescent="0.25">
      <c r="A309" s="4" t="s">
        <v>543</v>
      </c>
      <c r="B309" s="4" t="s">
        <v>1390</v>
      </c>
      <c r="C309" s="4" t="s">
        <v>545</v>
      </c>
      <c r="D309" s="4" t="s">
        <v>1459</v>
      </c>
    </row>
    <row r="310" spans="1:4" ht="14.1" customHeight="1" x14ac:dyDescent="0.25">
      <c r="A310" s="4" t="s">
        <v>978</v>
      </c>
      <c r="B310" s="4" t="s">
        <v>1455</v>
      </c>
      <c r="C310" s="4" t="s">
        <v>787</v>
      </c>
      <c r="D310" s="4" t="s">
        <v>1459</v>
      </c>
    </row>
    <row r="311" spans="1:4" ht="14.1" customHeight="1" x14ac:dyDescent="0.25">
      <c r="A311" s="4" t="s">
        <v>606</v>
      </c>
      <c r="B311" s="4" t="s">
        <v>1394</v>
      </c>
      <c r="C311" s="4" t="s">
        <v>416</v>
      </c>
      <c r="D311" s="4" t="s">
        <v>1459</v>
      </c>
    </row>
    <row r="312" spans="1:4" ht="14.1" customHeight="1" x14ac:dyDescent="0.25">
      <c r="A312" s="4" t="s">
        <v>411</v>
      </c>
      <c r="B312" s="4" t="s">
        <v>1395</v>
      </c>
      <c r="C312" s="4" t="s">
        <v>265</v>
      </c>
      <c r="D312" s="4" t="s">
        <v>1459</v>
      </c>
    </row>
    <row r="313" spans="1:4" ht="14.1" customHeight="1" x14ac:dyDescent="0.25">
      <c r="A313" s="4" t="s">
        <v>442</v>
      </c>
      <c r="B313" s="4" t="s">
        <v>1456</v>
      </c>
      <c r="C313" s="4" t="s">
        <v>444</v>
      </c>
      <c r="D313" s="4" t="s">
        <v>1459</v>
      </c>
    </row>
    <row r="314" spans="1:4" ht="14.1" customHeight="1" x14ac:dyDescent="0.25">
      <c r="A314" s="4" t="s">
        <v>720</v>
      </c>
      <c r="B314" s="4" t="s">
        <v>1457</v>
      </c>
      <c r="C314" s="4" t="s">
        <v>722</v>
      </c>
      <c r="D314" s="4" t="s">
        <v>1459</v>
      </c>
    </row>
    <row r="315" spans="1:4" ht="14.1" customHeight="1" x14ac:dyDescent="0.25">
      <c r="A315" s="4" t="s">
        <v>623</v>
      </c>
      <c r="B315" s="4" t="s">
        <v>1454</v>
      </c>
      <c r="C315" s="4" t="s">
        <v>558</v>
      </c>
      <c r="D315" s="4" t="s">
        <v>1459</v>
      </c>
    </row>
    <row r="316" spans="1:4" ht="14.1" customHeight="1" x14ac:dyDescent="0.25">
      <c r="A316" s="4" t="s">
        <v>776</v>
      </c>
      <c r="B316" s="4" t="s">
        <v>1223</v>
      </c>
      <c r="C316" s="4" t="s">
        <v>22</v>
      </c>
      <c r="D316" s="4" t="s">
        <v>1459</v>
      </c>
    </row>
    <row r="317" spans="1:4" ht="14.1" customHeight="1" x14ac:dyDescent="0.25">
      <c r="A317" s="4" t="s">
        <v>1117</v>
      </c>
      <c r="B317" s="4" t="s">
        <v>1389</v>
      </c>
      <c r="C317" s="4" t="s">
        <v>523</v>
      </c>
      <c r="D317" s="4" t="s">
        <v>1459</v>
      </c>
    </row>
    <row r="318" spans="1:4" ht="14.1" customHeight="1" x14ac:dyDescent="0.25">
      <c r="A318" s="4" t="s">
        <v>907</v>
      </c>
      <c r="B318" s="4" t="s">
        <v>1395</v>
      </c>
      <c r="C318" s="4" t="s">
        <v>265</v>
      </c>
      <c r="D318" s="4" t="s">
        <v>1459</v>
      </c>
    </row>
    <row r="319" spans="1:4" ht="14.1" customHeight="1" x14ac:dyDescent="0.25">
      <c r="A319" s="4" t="s">
        <v>1039</v>
      </c>
      <c r="B319" s="4" t="s">
        <v>1398</v>
      </c>
      <c r="C319" s="4" t="s">
        <v>687</v>
      </c>
      <c r="D319" s="4" t="s">
        <v>1459</v>
      </c>
    </row>
    <row r="320" spans="1:4" ht="14.1" customHeight="1" x14ac:dyDescent="0.25">
      <c r="A320" s="4" t="s">
        <v>592</v>
      </c>
      <c r="B320" s="4" t="s">
        <v>1396</v>
      </c>
      <c r="C320" s="4" t="s">
        <v>230</v>
      </c>
      <c r="D320" s="4" t="s">
        <v>1459</v>
      </c>
    </row>
    <row r="321" spans="1:4" ht="14.1" customHeight="1" x14ac:dyDescent="0.25">
      <c r="A321" s="4" t="s">
        <v>867</v>
      </c>
      <c r="B321" s="4" t="s">
        <v>1458</v>
      </c>
      <c r="C321" s="4" t="s">
        <v>752</v>
      </c>
      <c r="D321" s="4" t="s">
        <v>1459</v>
      </c>
    </row>
    <row r="322" spans="1:4" ht="14.1" customHeight="1" x14ac:dyDescent="0.25">
      <c r="A322" s="4" t="s">
        <v>885</v>
      </c>
      <c r="B322" s="4" t="s">
        <v>1394</v>
      </c>
      <c r="C322" s="4" t="s">
        <v>752</v>
      </c>
      <c r="D322" s="4" t="s">
        <v>1459</v>
      </c>
    </row>
    <row r="323" spans="1:4" ht="14.1" customHeight="1" x14ac:dyDescent="0.25">
      <c r="A323" s="4" t="s">
        <v>137</v>
      </c>
      <c r="B323" s="4" t="s">
        <v>1223</v>
      </c>
      <c r="C323" s="4" t="s">
        <v>140</v>
      </c>
      <c r="D323" s="4" t="s">
        <v>1459</v>
      </c>
    </row>
    <row r="324" spans="1:4" ht="14.1" customHeight="1" x14ac:dyDescent="0.25">
      <c r="A324" s="4" t="s">
        <v>879</v>
      </c>
      <c r="B324" s="4" t="s">
        <v>1223</v>
      </c>
      <c r="C324" s="4" t="s">
        <v>140</v>
      </c>
      <c r="D324" s="4" t="s">
        <v>1459</v>
      </c>
    </row>
  </sheetData>
  <phoneticPr fontId="1" type="noConversion"/>
  <pageMargins left="0.7" right="0.7" top="0.75" bottom="0.75" header="0.3" footer="0.3"/>
  <pageSetup paperSize="9"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11"/>
  <sheetViews>
    <sheetView zoomScale="110" zoomScaleNormal="110" workbookViewId="0"/>
  </sheetViews>
  <sheetFormatPr defaultRowHeight="15" x14ac:dyDescent="0.25"/>
  <cols>
    <col min="1" max="1" width="43.7109375" customWidth="1"/>
    <col min="2" max="2" width="66.28515625" style="6" customWidth="1"/>
    <col min="3" max="3" width="9.28515625" customWidth="1"/>
    <col min="4" max="4" width="26.7109375" bestFit="1" customWidth="1"/>
    <col min="5" max="5" width="28.7109375" bestFit="1" customWidth="1"/>
    <col min="6" max="6" width="19.140625" customWidth="1"/>
    <col min="7" max="7" width="25" bestFit="1" customWidth="1"/>
    <col min="8" max="8" width="13.140625" customWidth="1"/>
    <col min="9" max="9" width="13.7109375" customWidth="1"/>
    <col min="10" max="10" width="15.7109375" bestFit="1" customWidth="1"/>
    <col min="11" max="11" width="12.5703125" bestFit="1" customWidth="1"/>
    <col min="12" max="12" width="17.5703125" bestFit="1" customWidth="1"/>
    <col min="13" max="13" width="16.7109375" bestFit="1" customWidth="1"/>
    <col min="14" max="14" width="26.7109375" bestFit="1" customWidth="1"/>
    <col min="15" max="15" width="31.28515625" customWidth="1"/>
    <col min="16" max="16" width="19" bestFit="1" customWidth="1"/>
    <col min="17" max="17" width="11.5703125" bestFit="1" customWidth="1"/>
    <col min="18" max="18" width="15.28515625" bestFit="1" customWidth="1"/>
    <col min="19" max="19" width="14.28515625" bestFit="1" customWidth="1"/>
    <col min="20" max="20" width="16.7109375" bestFit="1" customWidth="1"/>
    <col min="21" max="21" width="15.5703125" bestFit="1" customWidth="1"/>
    <col min="22" max="22" width="12.5703125" bestFit="1" customWidth="1"/>
    <col min="23" max="23" width="13.7109375" bestFit="1" customWidth="1"/>
    <col min="24" max="24" width="8.140625" bestFit="1" customWidth="1"/>
  </cols>
  <sheetData>
    <row r="1" spans="1:16" x14ac:dyDescent="0.25">
      <c r="A1" t="s">
        <v>3951</v>
      </c>
      <c r="B1" s="6" t="s">
        <v>3952</v>
      </c>
      <c r="C1" t="s">
        <v>3953</v>
      </c>
      <c r="D1" t="s">
        <v>3954</v>
      </c>
      <c r="E1" t="s">
        <v>3955</v>
      </c>
      <c r="F1" t="s">
        <v>3956</v>
      </c>
      <c r="G1" t="s">
        <v>3957</v>
      </c>
      <c r="H1" t="s">
        <v>3958</v>
      </c>
      <c r="I1" t="s">
        <v>3959</v>
      </c>
      <c r="J1" t="s">
        <v>3960</v>
      </c>
      <c r="K1" t="s">
        <v>3961</v>
      </c>
      <c r="L1" t="s">
        <v>3963</v>
      </c>
      <c r="M1" t="s">
        <v>3962</v>
      </c>
      <c r="N1" t="s">
        <v>3964</v>
      </c>
      <c r="O1" t="s">
        <v>3965</v>
      </c>
      <c r="P1" t="s">
        <v>3966</v>
      </c>
    </row>
    <row r="2" spans="1:16" ht="15" customHeight="1" x14ac:dyDescent="0.25">
      <c r="A2" s="1" t="s">
        <v>1257</v>
      </c>
      <c r="B2" s="2" t="s">
        <v>1460</v>
      </c>
      <c r="C2" t="b">
        <v>0</v>
      </c>
      <c r="D2" s="1" t="s">
        <v>3</v>
      </c>
      <c r="E2" s="1" t="s">
        <v>1471</v>
      </c>
      <c r="F2" s="1" t="s">
        <v>1492</v>
      </c>
      <c r="G2" s="1"/>
      <c r="H2" s="1" t="s">
        <v>5</v>
      </c>
      <c r="I2">
        <v>18</v>
      </c>
      <c r="L2" s="1"/>
      <c r="M2" s="1"/>
      <c r="N2" s="1"/>
      <c r="O2" s="1"/>
      <c r="P2" s="1" t="s">
        <v>1533</v>
      </c>
    </row>
    <row r="3" spans="1:16" ht="15" customHeight="1" x14ac:dyDescent="0.25">
      <c r="A3" s="1" t="s">
        <v>1257</v>
      </c>
      <c r="B3" s="2" t="s">
        <v>1460</v>
      </c>
      <c r="C3" t="b">
        <v>1</v>
      </c>
      <c r="D3" s="1" t="s">
        <v>1370</v>
      </c>
      <c r="E3" s="1" t="s">
        <v>1472</v>
      </c>
      <c r="F3" s="1" t="s">
        <v>1493</v>
      </c>
      <c r="G3" s="1"/>
      <c r="H3" s="1" t="s">
        <v>5</v>
      </c>
      <c r="I3">
        <v>40</v>
      </c>
      <c r="L3" s="1"/>
      <c r="M3" s="1"/>
      <c r="N3" s="1"/>
      <c r="O3" s="1"/>
      <c r="P3" s="1" t="s">
        <v>1533</v>
      </c>
    </row>
    <row r="4" spans="1:16" ht="15" customHeight="1" x14ac:dyDescent="0.25">
      <c r="A4" s="1" t="s">
        <v>1257</v>
      </c>
      <c r="B4" s="2" t="s">
        <v>1460</v>
      </c>
      <c r="C4" t="b">
        <v>1</v>
      </c>
      <c r="D4" s="1" t="s">
        <v>1279</v>
      </c>
      <c r="E4" s="1" t="s">
        <v>1473</v>
      </c>
      <c r="F4" s="1" t="s">
        <v>1494</v>
      </c>
      <c r="G4" s="1" t="s">
        <v>1279</v>
      </c>
      <c r="H4" s="1" t="s">
        <v>5</v>
      </c>
      <c r="I4">
        <v>4</v>
      </c>
      <c r="L4" s="1"/>
      <c r="M4" s="1"/>
      <c r="N4" s="1"/>
      <c r="O4" s="1"/>
      <c r="P4" s="1" t="s">
        <v>1533</v>
      </c>
    </row>
    <row r="5" spans="1:16" ht="15" customHeight="1" x14ac:dyDescent="0.25">
      <c r="A5" s="1" t="s">
        <v>1257</v>
      </c>
      <c r="B5" s="2" t="s">
        <v>1460</v>
      </c>
      <c r="C5" t="b">
        <v>0</v>
      </c>
      <c r="D5" s="1" t="s">
        <v>1265</v>
      </c>
      <c r="E5" s="1" t="s">
        <v>1474</v>
      </c>
      <c r="F5" s="1" t="s">
        <v>1495</v>
      </c>
      <c r="G5" s="1"/>
      <c r="H5" s="1" t="s">
        <v>5</v>
      </c>
      <c r="I5">
        <v>4</v>
      </c>
      <c r="L5" s="1"/>
      <c r="M5" s="1"/>
      <c r="N5" s="1"/>
      <c r="O5" s="1"/>
      <c r="P5" s="1" t="s">
        <v>1533</v>
      </c>
    </row>
    <row r="6" spans="1:16" ht="15" customHeight="1" x14ac:dyDescent="0.25">
      <c r="A6" s="1" t="s">
        <v>1257</v>
      </c>
      <c r="B6" s="2" t="s">
        <v>1460</v>
      </c>
      <c r="C6" t="b">
        <v>1</v>
      </c>
      <c r="D6" s="1" t="s">
        <v>1369</v>
      </c>
      <c r="E6" s="1" t="s">
        <v>1475</v>
      </c>
      <c r="F6" s="1" t="s">
        <v>1496</v>
      </c>
      <c r="G6" s="1"/>
      <c r="H6" s="1" t="s">
        <v>5</v>
      </c>
      <c r="I6">
        <v>3</v>
      </c>
      <c r="L6" s="1"/>
      <c r="M6" s="1"/>
      <c r="N6" s="1"/>
      <c r="O6" s="1"/>
      <c r="P6" s="1" t="s">
        <v>1533</v>
      </c>
    </row>
    <row r="7" spans="1:16" ht="15" customHeight="1" x14ac:dyDescent="0.25">
      <c r="A7" s="1" t="s">
        <v>1257</v>
      </c>
      <c r="B7" s="2" t="s">
        <v>1460</v>
      </c>
      <c r="C7" t="b">
        <v>1</v>
      </c>
      <c r="D7" s="1" t="s">
        <v>1255</v>
      </c>
      <c r="E7" s="1" t="s">
        <v>1476</v>
      </c>
      <c r="F7" s="1" t="s">
        <v>1497</v>
      </c>
      <c r="G7" s="1"/>
      <c r="H7" s="1" t="s">
        <v>5</v>
      </c>
      <c r="I7">
        <v>1</v>
      </c>
      <c r="L7" s="1"/>
      <c r="M7" s="1"/>
      <c r="N7" s="1"/>
      <c r="O7" s="1"/>
      <c r="P7" s="1" t="s">
        <v>1533</v>
      </c>
    </row>
    <row r="8" spans="1:16" ht="15" customHeight="1" x14ac:dyDescent="0.25">
      <c r="A8" s="1" t="s">
        <v>1257</v>
      </c>
      <c r="B8" s="2" t="s">
        <v>1460</v>
      </c>
      <c r="C8" t="b">
        <v>1</v>
      </c>
      <c r="D8" s="1" t="s">
        <v>1234</v>
      </c>
      <c r="E8" s="1" t="s">
        <v>1477</v>
      </c>
      <c r="F8" s="1" t="s">
        <v>1498</v>
      </c>
      <c r="G8" s="1"/>
      <c r="H8" s="1" t="s">
        <v>5</v>
      </c>
      <c r="I8">
        <v>2</v>
      </c>
      <c r="L8" s="1"/>
      <c r="M8" s="1"/>
      <c r="N8" s="1"/>
      <c r="O8" s="1"/>
      <c r="P8" s="1" t="s">
        <v>1533</v>
      </c>
    </row>
    <row r="9" spans="1:16" ht="15" customHeight="1" x14ac:dyDescent="0.25">
      <c r="A9" s="1" t="s">
        <v>1257</v>
      </c>
      <c r="B9" s="2" t="s">
        <v>1460</v>
      </c>
      <c r="C9" t="b">
        <v>1</v>
      </c>
      <c r="D9" s="1" t="s">
        <v>1254</v>
      </c>
      <c r="E9" s="1" t="s">
        <v>1478</v>
      </c>
      <c r="F9" s="1" t="s">
        <v>1499</v>
      </c>
      <c r="G9" s="1" t="s">
        <v>1513</v>
      </c>
      <c r="H9" s="1" t="s">
        <v>5</v>
      </c>
      <c r="I9">
        <v>1</v>
      </c>
      <c r="L9" s="1"/>
      <c r="M9" s="1"/>
      <c r="N9" s="1"/>
      <c r="O9" s="1"/>
      <c r="P9" s="1" t="s">
        <v>1533</v>
      </c>
    </row>
    <row r="10" spans="1:16" ht="15" customHeight="1" x14ac:dyDescent="0.25">
      <c r="A10" s="1" t="s">
        <v>1257</v>
      </c>
      <c r="B10" s="2" t="s">
        <v>1460</v>
      </c>
      <c r="C10" t="b">
        <v>1</v>
      </c>
      <c r="D10" s="1" t="s">
        <v>1461</v>
      </c>
      <c r="E10" s="1" t="s">
        <v>1479</v>
      </c>
      <c r="F10" s="1" t="s">
        <v>1500</v>
      </c>
      <c r="G10" s="1" t="s">
        <v>1514</v>
      </c>
      <c r="H10" s="1" t="s">
        <v>5</v>
      </c>
      <c r="I10">
        <v>1</v>
      </c>
      <c r="L10" s="1"/>
      <c r="M10" s="1"/>
      <c r="N10" s="1"/>
      <c r="O10" s="1"/>
      <c r="P10" s="1" t="s">
        <v>1533</v>
      </c>
    </row>
    <row r="11" spans="1:16" ht="15" customHeight="1" x14ac:dyDescent="0.25">
      <c r="A11" s="1" t="s">
        <v>1257</v>
      </c>
      <c r="B11" s="2" t="s">
        <v>1460</v>
      </c>
      <c r="C11" t="b">
        <v>1</v>
      </c>
      <c r="D11" s="1" t="s">
        <v>1256</v>
      </c>
      <c r="E11" s="1" t="s">
        <v>1480</v>
      </c>
      <c r="F11" s="1" t="s">
        <v>1501</v>
      </c>
      <c r="G11" s="1" t="s">
        <v>1256</v>
      </c>
      <c r="H11" s="1" t="s">
        <v>5</v>
      </c>
      <c r="I11">
        <v>4</v>
      </c>
      <c r="L11" s="1"/>
      <c r="M11" s="1"/>
      <c r="N11" s="1"/>
      <c r="O11" s="1"/>
      <c r="P11" s="1" t="s">
        <v>1533</v>
      </c>
    </row>
    <row r="12" spans="1:16" ht="15" customHeight="1" x14ac:dyDescent="0.25">
      <c r="A12" s="1" t="s">
        <v>1257</v>
      </c>
      <c r="B12" s="2" t="s">
        <v>1460</v>
      </c>
      <c r="C12" t="b">
        <v>1</v>
      </c>
      <c r="D12" s="1" t="s">
        <v>1462</v>
      </c>
      <c r="E12" s="1" t="s">
        <v>1481</v>
      </c>
      <c r="F12" s="1" t="s">
        <v>1502</v>
      </c>
      <c r="G12" s="1" t="s">
        <v>1515</v>
      </c>
      <c r="H12" s="1" t="s">
        <v>5</v>
      </c>
      <c r="I12">
        <v>4</v>
      </c>
      <c r="L12" s="1"/>
      <c r="M12" s="1"/>
      <c r="N12" s="1"/>
      <c r="O12" s="1"/>
      <c r="P12" s="1" t="s">
        <v>1533</v>
      </c>
    </row>
    <row r="13" spans="1:16" ht="15" customHeight="1" x14ac:dyDescent="0.25">
      <c r="A13" s="1" t="s">
        <v>1257</v>
      </c>
      <c r="B13" s="2" t="s">
        <v>1460</v>
      </c>
      <c r="C13" t="b">
        <v>1</v>
      </c>
      <c r="D13" s="1" t="s">
        <v>1463</v>
      </c>
      <c r="E13" s="1" t="s">
        <v>1482</v>
      </c>
      <c r="F13" s="1" t="s">
        <v>1503</v>
      </c>
      <c r="G13" s="1" t="s">
        <v>1516</v>
      </c>
      <c r="H13" s="1" t="s">
        <v>5</v>
      </c>
      <c r="I13">
        <v>4</v>
      </c>
      <c r="L13" s="1"/>
      <c r="M13" s="1"/>
      <c r="N13" s="1"/>
      <c r="O13" s="1"/>
      <c r="P13" s="1" t="s">
        <v>1533</v>
      </c>
    </row>
    <row r="14" spans="1:16" ht="15" customHeight="1" x14ac:dyDescent="0.25">
      <c r="A14" s="1" t="s">
        <v>1257</v>
      </c>
      <c r="B14" s="2" t="s">
        <v>1460</v>
      </c>
      <c r="C14" t="b">
        <v>1</v>
      </c>
      <c r="D14" s="1" t="s">
        <v>1252</v>
      </c>
      <c r="E14" s="1" t="s">
        <v>1483</v>
      </c>
      <c r="F14" s="1" t="s">
        <v>1504</v>
      </c>
      <c r="G14" s="1" t="s">
        <v>1517</v>
      </c>
      <c r="H14" s="1" t="s">
        <v>5</v>
      </c>
      <c r="I14">
        <v>1</v>
      </c>
      <c r="L14" s="1"/>
      <c r="M14" s="1"/>
      <c r="N14" s="1"/>
      <c r="O14" s="1"/>
      <c r="P14" s="1" t="s">
        <v>1533</v>
      </c>
    </row>
    <row r="15" spans="1:16" ht="15" customHeight="1" x14ac:dyDescent="0.25">
      <c r="A15" s="1" t="s">
        <v>1257</v>
      </c>
      <c r="B15" s="2" t="s">
        <v>1460</v>
      </c>
      <c r="C15" t="b">
        <v>1</v>
      </c>
      <c r="D15" s="1" t="s">
        <v>1253</v>
      </c>
      <c r="E15" s="1" t="s">
        <v>1484</v>
      </c>
      <c r="F15" s="1" t="s">
        <v>1505</v>
      </c>
      <c r="G15" s="1" t="s">
        <v>1518</v>
      </c>
      <c r="H15" s="1" t="s">
        <v>748</v>
      </c>
      <c r="J15">
        <v>5</v>
      </c>
      <c r="K15">
        <v>0</v>
      </c>
      <c r="L15" s="1"/>
      <c r="M15" s="1"/>
      <c r="N15" s="1"/>
      <c r="O15" s="1"/>
      <c r="P15" s="1" t="s">
        <v>1533</v>
      </c>
    </row>
    <row r="16" spans="1:16" ht="15" customHeight="1" x14ac:dyDescent="0.25">
      <c r="A16" s="1" t="s">
        <v>1257</v>
      </c>
      <c r="B16" s="2" t="s">
        <v>1460</v>
      </c>
      <c r="C16" t="b">
        <v>1</v>
      </c>
      <c r="D16" s="1" t="s">
        <v>1464</v>
      </c>
      <c r="E16" s="1" t="s">
        <v>1485</v>
      </c>
      <c r="F16" s="1" t="s">
        <v>1506</v>
      </c>
      <c r="G16" s="1" t="s">
        <v>1519</v>
      </c>
      <c r="H16" s="1" t="s">
        <v>748</v>
      </c>
      <c r="J16">
        <v>11</v>
      </c>
      <c r="K16">
        <v>2</v>
      </c>
      <c r="L16" s="1"/>
      <c r="M16" s="1"/>
      <c r="N16" s="1"/>
      <c r="O16" s="1"/>
      <c r="P16" s="1" t="s">
        <v>1533</v>
      </c>
    </row>
    <row r="17" spans="1:16" ht="15" customHeight="1" x14ac:dyDescent="0.25">
      <c r="A17" s="1" t="s">
        <v>1257</v>
      </c>
      <c r="B17" s="2" t="s">
        <v>1460</v>
      </c>
      <c r="C17" t="b">
        <v>1</v>
      </c>
      <c r="D17" s="1" t="s">
        <v>1465</v>
      </c>
      <c r="E17" s="1" t="s">
        <v>1486</v>
      </c>
      <c r="F17" s="1" t="s">
        <v>1507</v>
      </c>
      <c r="G17" s="1" t="s">
        <v>1465</v>
      </c>
      <c r="H17" s="1" t="s">
        <v>748</v>
      </c>
      <c r="J17">
        <v>11</v>
      </c>
      <c r="K17">
        <v>2</v>
      </c>
      <c r="L17" s="1"/>
      <c r="M17" s="1"/>
      <c r="N17" s="1"/>
      <c r="O17" s="1"/>
      <c r="P17" s="1" t="s">
        <v>1533</v>
      </c>
    </row>
    <row r="18" spans="1:16" ht="15" customHeight="1" x14ac:dyDescent="0.25">
      <c r="A18" s="1" t="s">
        <v>1257</v>
      </c>
      <c r="B18" s="2" t="s">
        <v>1460</v>
      </c>
      <c r="C18" t="b">
        <v>1</v>
      </c>
      <c r="D18" s="1" t="s">
        <v>1466</v>
      </c>
      <c r="E18" s="1" t="s">
        <v>1487</v>
      </c>
      <c r="F18" s="1" t="s">
        <v>1508</v>
      </c>
      <c r="G18" s="1" t="s">
        <v>1520</v>
      </c>
      <c r="H18" s="1" t="s">
        <v>748</v>
      </c>
      <c r="J18">
        <v>13</v>
      </c>
      <c r="K18">
        <v>3</v>
      </c>
      <c r="L18" s="1"/>
      <c r="M18" s="1"/>
      <c r="N18" s="1"/>
      <c r="O18" s="1"/>
      <c r="P18" s="1" t="s">
        <v>1533</v>
      </c>
    </row>
    <row r="19" spans="1:16" ht="15" customHeight="1" x14ac:dyDescent="0.25">
      <c r="A19" s="1" t="s">
        <v>1257</v>
      </c>
      <c r="B19" s="2" t="s">
        <v>1460</v>
      </c>
      <c r="C19" t="b">
        <v>1</v>
      </c>
      <c r="D19" s="1" t="s">
        <v>1467</v>
      </c>
      <c r="E19" s="1" t="s">
        <v>1488</v>
      </c>
      <c r="F19" s="1" t="s">
        <v>1509</v>
      </c>
      <c r="G19" s="1" t="s">
        <v>1521</v>
      </c>
      <c r="H19" s="1" t="s">
        <v>748</v>
      </c>
      <c r="J19">
        <v>13</v>
      </c>
      <c r="K19">
        <v>2</v>
      </c>
      <c r="L19" s="1"/>
      <c r="M19" s="1"/>
      <c r="N19" s="1"/>
      <c r="O19" s="1"/>
      <c r="P19" s="1" t="s">
        <v>1533</v>
      </c>
    </row>
    <row r="20" spans="1:16" ht="15" customHeight="1" x14ac:dyDescent="0.25">
      <c r="A20" s="1" t="s">
        <v>1257</v>
      </c>
      <c r="B20" s="2" t="s">
        <v>1460</v>
      </c>
      <c r="C20" t="b">
        <v>1</v>
      </c>
      <c r="D20" s="1" t="s">
        <v>1468</v>
      </c>
      <c r="E20" s="1" t="s">
        <v>1489</v>
      </c>
      <c r="F20" s="1" t="s">
        <v>1510</v>
      </c>
      <c r="G20" s="1" t="s">
        <v>1522</v>
      </c>
      <c r="H20" s="1" t="s">
        <v>5</v>
      </c>
      <c r="I20">
        <v>1</v>
      </c>
      <c r="L20" s="1"/>
      <c r="M20" s="1"/>
      <c r="N20" s="1"/>
      <c r="O20" s="1"/>
      <c r="P20" s="1" t="s">
        <v>1533</v>
      </c>
    </row>
    <row r="21" spans="1:16" ht="15" customHeight="1" x14ac:dyDescent="0.25">
      <c r="A21" s="1" t="s">
        <v>1257</v>
      </c>
      <c r="B21" s="2" t="s">
        <v>1460</v>
      </c>
      <c r="C21" t="b">
        <v>1</v>
      </c>
      <c r="D21" s="1" t="s">
        <v>1469</v>
      </c>
      <c r="E21" s="1" t="s">
        <v>1490</v>
      </c>
      <c r="F21" s="1" t="s">
        <v>1511</v>
      </c>
      <c r="G21" s="1" t="s">
        <v>1469</v>
      </c>
      <c r="H21" s="1" t="s">
        <v>748</v>
      </c>
      <c r="J21">
        <v>11</v>
      </c>
      <c r="K21">
        <v>2</v>
      </c>
      <c r="L21" s="1"/>
      <c r="M21" s="1"/>
      <c r="N21" s="1"/>
      <c r="O21" s="1"/>
      <c r="P21" s="1" t="s">
        <v>1533</v>
      </c>
    </row>
    <row r="22" spans="1:16" ht="15" customHeight="1" x14ac:dyDescent="0.25">
      <c r="A22" s="1" t="s">
        <v>1257</v>
      </c>
      <c r="B22" s="2" t="s">
        <v>1460</v>
      </c>
      <c r="C22" t="b">
        <v>1</v>
      </c>
      <c r="D22" s="1" t="s">
        <v>1470</v>
      </c>
      <c r="E22" s="1" t="s">
        <v>1491</v>
      </c>
      <c r="F22" s="1" t="s">
        <v>1512</v>
      </c>
      <c r="G22" s="1" t="s">
        <v>1523</v>
      </c>
      <c r="H22" s="1" t="s">
        <v>28</v>
      </c>
      <c r="L22" s="1"/>
      <c r="M22" s="1"/>
      <c r="N22" s="1"/>
      <c r="O22" s="1"/>
      <c r="P22" s="1" t="s">
        <v>1533</v>
      </c>
    </row>
    <row r="23" spans="1:16" ht="15" customHeight="1" x14ac:dyDescent="0.25">
      <c r="A23" s="1" t="s">
        <v>1257</v>
      </c>
      <c r="B23" s="2" t="s">
        <v>1460</v>
      </c>
      <c r="D23" s="1"/>
      <c r="E23" s="1"/>
      <c r="F23" s="1"/>
      <c r="G23" s="1"/>
      <c r="H23" s="1"/>
      <c r="L23" s="1" t="s">
        <v>1524</v>
      </c>
      <c r="M23" s="1" t="s">
        <v>1525</v>
      </c>
      <c r="N23" s="1"/>
      <c r="O23" s="1"/>
      <c r="P23" s="1" t="s">
        <v>1533</v>
      </c>
    </row>
    <row r="24" spans="1:16" ht="15" customHeight="1" x14ac:dyDescent="0.25">
      <c r="A24" s="1" t="s">
        <v>1257</v>
      </c>
      <c r="B24" s="2" t="s">
        <v>1460</v>
      </c>
      <c r="D24" s="1"/>
      <c r="E24" s="1"/>
      <c r="F24" s="1"/>
      <c r="G24" s="1"/>
      <c r="H24" s="1"/>
      <c r="L24" s="1" t="s">
        <v>1524</v>
      </c>
      <c r="M24" s="1" t="s">
        <v>1526</v>
      </c>
      <c r="N24" s="1"/>
      <c r="O24" s="1"/>
      <c r="P24" s="1" t="s">
        <v>1533</v>
      </c>
    </row>
    <row r="25" spans="1:16" ht="15" customHeight="1" x14ac:dyDescent="0.25">
      <c r="A25" s="1" t="s">
        <v>1257</v>
      </c>
      <c r="B25" s="2" t="s">
        <v>1460</v>
      </c>
      <c r="D25" s="1"/>
      <c r="E25" s="1"/>
      <c r="F25" s="1"/>
      <c r="G25" s="1"/>
      <c r="H25" s="1"/>
      <c r="L25" s="1" t="s">
        <v>1524</v>
      </c>
      <c r="M25" s="1" t="s">
        <v>1527</v>
      </c>
      <c r="N25" s="1"/>
      <c r="O25" s="1"/>
      <c r="P25" s="1" t="s">
        <v>1533</v>
      </c>
    </row>
    <row r="26" spans="1:16" ht="15" customHeight="1" x14ac:dyDescent="0.25">
      <c r="A26" s="1" t="s">
        <v>1257</v>
      </c>
      <c r="B26" s="2" t="s">
        <v>1460</v>
      </c>
      <c r="D26" s="1"/>
      <c r="E26" s="1"/>
      <c r="F26" s="1"/>
      <c r="G26" s="1"/>
      <c r="H26" s="1"/>
      <c r="L26" s="1" t="s">
        <v>1524</v>
      </c>
      <c r="M26" s="1" t="s">
        <v>1528</v>
      </c>
      <c r="N26" s="1"/>
      <c r="O26" s="1"/>
      <c r="P26" s="1" t="s">
        <v>1533</v>
      </c>
    </row>
    <row r="27" spans="1:16" ht="15" customHeight="1" x14ac:dyDescent="0.25">
      <c r="A27" s="1" t="s">
        <v>1257</v>
      </c>
      <c r="B27" s="2" t="s">
        <v>1460</v>
      </c>
      <c r="D27" s="1"/>
      <c r="E27" s="1"/>
      <c r="F27" s="1"/>
      <c r="G27" s="1"/>
      <c r="H27" s="1"/>
      <c r="L27" s="1"/>
      <c r="M27" s="1"/>
      <c r="N27" s="1" t="s">
        <v>1529</v>
      </c>
      <c r="O27" s="7" t="s">
        <v>694</v>
      </c>
      <c r="P27" s="1" t="s">
        <v>1533</v>
      </c>
    </row>
    <row r="28" spans="1:16" ht="15" customHeight="1" x14ac:dyDescent="0.25">
      <c r="A28" s="1" t="s">
        <v>1257</v>
      </c>
      <c r="B28" s="2" t="s">
        <v>1460</v>
      </c>
      <c r="D28" s="1"/>
      <c r="E28" s="1"/>
      <c r="F28" s="1"/>
      <c r="G28" s="1"/>
      <c r="H28" s="1"/>
      <c r="L28" s="1"/>
      <c r="M28" s="1"/>
      <c r="N28" s="1" t="s">
        <v>1529</v>
      </c>
      <c r="O28" s="1" t="s">
        <v>1530</v>
      </c>
      <c r="P28" s="1" t="s">
        <v>1533</v>
      </c>
    </row>
    <row r="29" spans="1:16" ht="15" customHeight="1" x14ac:dyDescent="0.25">
      <c r="A29" s="1" t="s">
        <v>1257</v>
      </c>
      <c r="B29" s="2" t="s">
        <v>1460</v>
      </c>
      <c r="D29" s="1"/>
      <c r="E29" s="1"/>
      <c r="F29" s="1"/>
      <c r="G29" s="1"/>
      <c r="H29" s="1"/>
      <c r="L29" s="1"/>
      <c r="M29" s="1"/>
      <c r="N29" s="1" t="s">
        <v>1529</v>
      </c>
      <c r="O29" s="1" t="s">
        <v>1531</v>
      </c>
      <c r="P29" s="1" t="s">
        <v>1533</v>
      </c>
    </row>
    <row r="30" spans="1:16" ht="15" customHeight="1" x14ac:dyDescent="0.25">
      <c r="A30" s="1" t="s">
        <v>1257</v>
      </c>
      <c r="B30" s="2" t="s">
        <v>1460</v>
      </c>
      <c r="D30" s="1"/>
      <c r="E30" s="1"/>
      <c r="F30" s="1"/>
      <c r="G30" s="1"/>
      <c r="H30" s="1"/>
      <c r="L30" s="1"/>
      <c r="M30" s="1"/>
      <c r="N30" s="1" t="s">
        <v>1529</v>
      </c>
      <c r="O30" s="1" t="s">
        <v>1531</v>
      </c>
      <c r="P30" s="1" t="s">
        <v>1533</v>
      </c>
    </row>
    <row r="31" spans="1:16" ht="15" customHeight="1" x14ac:dyDescent="0.25">
      <c r="A31" s="1" t="s">
        <v>1257</v>
      </c>
      <c r="B31" s="2" t="s">
        <v>1460</v>
      </c>
      <c r="D31" s="1"/>
      <c r="E31" s="1"/>
      <c r="F31" s="1"/>
      <c r="G31" s="1"/>
      <c r="H31" s="1"/>
      <c r="L31" s="1"/>
      <c r="M31" s="1"/>
      <c r="N31" s="1" t="s">
        <v>1529</v>
      </c>
      <c r="O31" s="1" t="s">
        <v>1531</v>
      </c>
      <c r="P31" s="1" t="s">
        <v>1533</v>
      </c>
    </row>
    <row r="32" spans="1:16" ht="15" customHeight="1" x14ac:dyDescent="0.25">
      <c r="A32" s="1" t="s">
        <v>1257</v>
      </c>
      <c r="B32" s="2" t="s">
        <v>1460</v>
      </c>
      <c r="D32" s="1"/>
      <c r="E32" s="1"/>
      <c r="F32" s="1"/>
      <c r="G32" s="1"/>
      <c r="H32" s="1"/>
      <c r="L32" s="1"/>
      <c r="M32" s="1"/>
      <c r="N32" s="1" t="s">
        <v>1529</v>
      </c>
      <c r="O32" s="1" t="s">
        <v>1532</v>
      </c>
      <c r="P32" s="1" t="s">
        <v>1533</v>
      </c>
    </row>
    <row r="33" spans="1:16" ht="15" customHeight="1" x14ac:dyDescent="0.25">
      <c r="A33" s="1" t="s">
        <v>1257</v>
      </c>
      <c r="B33" s="2" t="s">
        <v>1460</v>
      </c>
      <c r="D33" s="1"/>
      <c r="E33" s="1"/>
      <c r="F33" s="1"/>
      <c r="G33" s="1"/>
      <c r="H33" s="1"/>
      <c r="L33" s="1"/>
      <c r="M33" s="1"/>
      <c r="N33" s="1" t="s">
        <v>1529</v>
      </c>
      <c r="O33" s="1" t="s">
        <v>1532</v>
      </c>
      <c r="P33" s="1" t="s">
        <v>1533</v>
      </c>
    </row>
    <row r="34" spans="1:16" ht="15" customHeight="1" x14ac:dyDescent="0.25">
      <c r="A34" s="1" t="s">
        <v>1257</v>
      </c>
      <c r="B34" s="2" t="s">
        <v>1460</v>
      </c>
      <c r="D34" s="1"/>
      <c r="E34" s="1"/>
      <c r="F34" s="1"/>
      <c r="G34" s="1"/>
      <c r="H34" s="1"/>
      <c r="L34" s="1"/>
      <c r="M34" s="1"/>
      <c r="N34" s="1" t="s">
        <v>1529</v>
      </c>
      <c r="O34" s="1" t="s">
        <v>1532</v>
      </c>
      <c r="P34" s="1" t="s">
        <v>1533</v>
      </c>
    </row>
    <row r="35" spans="1:16" ht="15" customHeight="1" x14ac:dyDescent="0.25">
      <c r="A35" s="1" t="s">
        <v>1257</v>
      </c>
      <c r="B35" s="2" t="s">
        <v>1460</v>
      </c>
      <c r="D35" s="1"/>
      <c r="E35" s="1"/>
      <c r="F35" s="1"/>
      <c r="G35" s="1"/>
      <c r="H35" s="1"/>
      <c r="L35" s="1"/>
      <c r="M35" s="1"/>
      <c r="N35" s="1" t="s">
        <v>1529</v>
      </c>
      <c r="O35" s="1" t="s">
        <v>1532</v>
      </c>
      <c r="P35" s="1" t="s">
        <v>1533</v>
      </c>
    </row>
    <row r="36" spans="1:16" ht="15" customHeight="1" x14ac:dyDescent="0.25">
      <c r="A36" s="1" t="s">
        <v>1535</v>
      </c>
      <c r="B36" s="2" t="s">
        <v>1536</v>
      </c>
      <c r="C36" t="b">
        <v>0</v>
      </c>
      <c r="D36" s="1" t="s">
        <v>3</v>
      </c>
      <c r="E36" s="1" t="s">
        <v>1471</v>
      </c>
      <c r="F36" s="1" t="s">
        <v>1492</v>
      </c>
      <c r="G36" s="1"/>
      <c r="H36" s="1" t="s">
        <v>5</v>
      </c>
      <c r="I36">
        <v>18</v>
      </c>
      <c r="L36" s="1"/>
      <c r="M36" s="1"/>
      <c r="N36" s="1"/>
      <c r="O36" s="1"/>
      <c r="P36" s="1" t="s">
        <v>1533</v>
      </c>
    </row>
    <row r="37" spans="1:16" ht="15" customHeight="1" x14ac:dyDescent="0.25">
      <c r="A37" s="1" t="s">
        <v>1535</v>
      </c>
      <c r="B37" s="2" t="s">
        <v>1536</v>
      </c>
      <c r="C37" t="b">
        <v>1</v>
      </c>
      <c r="D37" s="1" t="s">
        <v>1370</v>
      </c>
      <c r="E37" s="1" t="s">
        <v>1472</v>
      </c>
      <c r="F37" s="1" t="s">
        <v>1493</v>
      </c>
      <c r="G37" s="1"/>
      <c r="H37" s="1" t="s">
        <v>5</v>
      </c>
      <c r="I37">
        <v>40</v>
      </c>
      <c r="L37" s="1"/>
      <c r="M37" s="1"/>
      <c r="N37" s="1"/>
      <c r="O37" s="1"/>
      <c r="P37" s="1" t="s">
        <v>1533</v>
      </c>
    </row>
    <row r="38" spans="1:16" ht="15" customHeight="1" x14ac:dyDescent="0.25">
      <c r="A38" s="1" t="s">
        <v>1535</v>
      </c>
      <c r="B38" s="2" t="s">
        <v>1536</v>
      </c>
      <c r="C38" t="b">
        <v>1</v>
      </c>
      <c r="D38" s="1" t="s">
        <v>1279</v>
      </c>
      <c r="E38" s="1" t="s">
        <v>1473</v>
      </c>
      <c r="F38" s="1" t="s">
        <v>1494</v>
      </c>
      <c r="G38" s="1" t="s">
        <v>1279</v>
      </c>
      <c r="H38" s="1" t="s">
        <v>5</v>
      </c>
      <c r="I38">
        <v>4</v>
      </c>
      <c r="L38" s="1"/>
      <c r="M38" s="1"/>
      <c r="N38" s="1"/>
      <c r="O38" s="1"/>
      <c r="P38" s="1" t="s">
        <v>1533</v>
      </c>
    </row>
    <row r="39" spans="1:16" ht="15" customHeight="1" x14ac:dyDescent="0.25">
      <c r="A39" s="1" t="s">
        <v>1535</v>
      </c>
      <c r="B39" s="2" t="s">
        <v>1536</v>
      </c>
      <c r="C39" t="b">
        <v>0</v>
      </c>
      <c r="D39" s="1" t="s">
        <v>1265</v>
      </c>
      <c r="E39" s="1" t="s">
        <v>1474</v>
      </c>
      <c r="F39" s="1" t="s">
        <v>1495</v>
      </c>
      <c r="G39" s="1"/>
      <c r="H39" s="1" t="s">
        <v>5</v>
      </c>
      <c r="I39">
        <v>4</v>
      </c>
      <c r="L39" s="1"/>
      <c r="M39" s="1"/>
      <c r="N39" s="1"/>
      <c r="O39" s="1"/>
      <c r="P39" s="1" t="s">
        <v>1533</v>
      </c>
    </row>
    <row r="40" spans="1:16" ht="15" customHeight="1" x14ac:dyDescent="0.25">
      <c r="A40" s="1" t="s">
        <v>1535</v>
      </c>
      <c r="B40" s="2" t="s">
        <v>1536</v>
      </c>
      <c r="C40" t="b">
        <v>1</v>
      </c>
      <c r="D40" s="1" t="s">
        <v>1537</v>
      </c>
      <c r="E40" s="1" t="s">
        <v>1546</v>
      </c>
      <c r="F40" s="1" t="s">
        <v>1556</v>
      </c>
      <c r="G40" s="1" t="s">
        <v>1566</v>
      </c>
      <c r="H40" s="1" t="s">
        <v>748</v>
      </c>
      <c r="J40">
        <v>11</v>
      </c>
      <c r="K40">
        <v>2</v>
      </c>
      <c r="L40" s="1"/>
      <c r="M40" s="1"/>
      <c r="N40" s="1"/>
      <c r="O40" s="1"/>
      <c r="P40" s="1" t="s">
        <v>1533</v>
      </c>
    </row>
    <row r="41" spans="1:16" ht="15" customHeight="1" x14ac:dyDescent="0.25">
      <c r="A41" s="1" t="s">
        <v>1535</v>
      </c>
      <c r="B41" s="2" t="s">
        <v>1536</v>
      </c>
      <c r="C41" t="b">
        <v>1</v>
      </c>
      <c r="D41" s="1" t="s">
        <v>1538</v>
      </c>
      <c r="E41" s="1" t="s">
        <v>1547</v>
      </c>
      <c r="F41" s="1" t="s">
        <v>1557</v>
      </c>
      <c r="G41" s="1" t="s">
        <v>1567</v>
      </c>
      <c r="H41" s="1" t="s">
        <v>748</v>
      </c>
      <c r="J41">
        <v>11</v>
      </c>
      <c r="K41">
        <v>2</v>
      </c>
      <c r="L41" s="1"/>
      <c r="M41" s="1"/>
      <c r="N41" s="1"/>
      <c r="O41" s="1"/>
      <c r="P41" s="1" t="s">
        <v>1533</v>
      </c>
    </row>
    <row r="42" spans="1:16" ht="15" customHeight="1" x14ac:dyDescent="0.25">
      <c r="A42" s="1" t="s">
        <v>1535</v>
      </c>
      <c r="B42" s="2" t="s">
        <v>1536</v>
      </c>
      <c r="C42" t="b">
        <v>1</v>
      </c>
      <c r="D42" s="1" t="s">
        <v>1539</v>
      </c>
      <c r="E42" s="1" t="s">
        <v>1548</v>
      </c>
      <c r="F42" s="1" t="s">
        <v>1558</v>
      </c>
      <c r="G42" s="1" t="s">
        <v>1568</v>
      </c>
      <c r="H42" s="1" t="s">
        <v>748</v>
      </c>
      <c r="J42">
        <v>11</v>
      </c>
      <c r="K42">
        <v>2</v>
      </c>
      <c r="L42" s="1"/>
      <c r="M42" s="1"/>
      <c r="N42" s="1"/>
      <c r="O42" s="1"/>
      <c r="P42" s="1" t="s">
        <v>1533</v>
      </c>
    </row>
    <row r="43" spans="1:16" ht="15" customHeight="1" x14ac:dyDescent="0.25">
      <c r="A43" s="1" t="s">
        <v>1535</v>
      </c>
      <c r="B43" s="2" t="s">
        <v>1536</v>
      </c>
      <c r="C43" t="b">
        <v>1</v>
      </c>
      <c r="D43" s="1" t="s">
        <v>1540</v>
      </c>
      <c r="E43" s="1" t="s">
        <v>1549</v>
      </c>
      <c r="F43" s="1" t="s">
        <v>1559</v>
      </c>
      <c r="G43" s="1" t="s">
        <v>1569</v>
      </c>
      <c r="H43" s="1" t="s">
        <v>748</v>
      </c>
      <c r="J43">
        <v>11</v>
      </c>
      <c r="K43">
        <v>2</v>
      </c>
      <c r="L43" s="1"/>
      <c r="M43" s="1"/>
      <c r="N43" s="1"/>
      <c r="O43" s="1"/>
      <c r="P43" s="1" t="s">
        <v>1533</v>
      </c>
    </row>
    <row r="44" spans="1:16" ht="15" customHeight="1" x14ac:dyDescent="0.25">
      <c r="A44" s="1" t="s">
        <v>1535</v>
      </c>
      <c r="B44" s="2" t="s">
        <v>1536</v>
      </c>
      <c r="C44" t="b">
        <v>1</v>
      </c>
      <c r="D44" s="1" t="s">
        <v>1541</v>
      </c>
      <c r="E44" s="1" t="s">
        <v>1550</v>
      </c>
      <c r="F44" s="1" t="s">
        <v>1560</v>
      </c>
      <c r="G44" s="1" t="s">
        <v>1570</v>
      </c>
      <c r="H44" s="1" t="s">
        <v>748</v>
      </c>
      <c r="J44">
        <v>11</v>
      </c>
      <c r="K44">
        <v>2</v>
      </c>
      <c r="L44" s="1"/>
      <c r="M44" s="1"/>
      <c r="N44" s="1"/>
      <c r="O44" s="1"/>
      <c r="P44" s="1" t="s">
        <v>1533</v>
      </c>
    </row>
    <row r="45" spans="1:16" ht="15" customHeight="1" x14ac:dyDescent="0.25">
      <c r="A45" s="1" t="s">
        <v>1535</v>
      </c>
      <c r="B45" s="2" t="s">
        <v>1536</v>
      </c>
      <c r="C45" t="b">
        <v>1</v>
      </c>
      <c r="D45" s="1" t="s">
        <v>1542</v>
      </c>
      <c r="E45" s="1" t="s">
        <v>1551</v>
      </c>
      <c r="F45" s="1" t="s">
        <v>1561</v>
      </c>
      <c r="G45" s="1" t="s">
        <v>1571</v>
      </c>
      <c r="H45" s="1" t="s">
        <v>748</v>
      </c>
      <c r="J45">
        <v>11</v>
      </c>
      <c r="K45">
        <v>2</v>
      </c>
      <c r="L45" s="1"/>
      <c r="M45" s="1"/>
      <c r="N45" s="1"/>
      <c r="O45" s="1"/>
      <c r="P45" s="1" t="s">
        <v>1533</v>
      </c>
    </row>
    <row r="46" spans="1:16" ht="15" customHeight="1" x14ac:dyDescent="0.25">
      <c r="A46" s="1" t="s">
        <v>1535</v>
      </c>
      <c r="B46" s="2" t="s">
        <v>1536</v>
      </c>
      <c r="C46" t="b">
        <v>1</v>
      </c>
      <c r="D46" s="1" t="s">
        <v>1543</v>
      </c>
      <c r="E46" s="1" t="s">
        <v>1552</v>
      </c>
      <c r="F46" s="1" t="s">
        <v>1562</v>
      </c>
      <c r="G46" s="1" t="s">
        <v>1572</v>
      </c>
      <c r="H46" s="1" t="s">
        <v>1576</v>
      </c>
      <c r="J46">
        <v>2</v>
      </c>
      <c r="K46">
        <v>0</v>
      </c>
      <c r="L46" s="1"/>
      <c r="M46" s="1"/>
      <c r="N46" s="1"/>
      <c r="O46" s="1"/>
      <c r="P46" s="1" t="s">
        <v>1533</v>
      </c>
    </row>
    <row r="47" spans="1:16" ht="15" customHeight="1" x14ac:dyDescent="0.25">
      <c r="A47" s="1" t="s">
        <v>1535</v>
      </c>
      <c r="B47" s="2" t="s">
        <v>1536</v>
      </c>
      <c r="C47" t="b">
        <v>1</v>
      </c>
      <c r="D47" s="1" t="s">
        <v>1253</v>
      </c>
      <c r="E47" s="1" t="s">
        <v>1553</v>
      </c>
      <c r="F47" s="1" t="s">
        <v>1563</v>
      </c>
      <c r="G47" s="1" t="s">
        <v>1573</v>
      </c>
      <c r="H47" s="1" t="s">
        <v>748</v>
      </c>
      <c r="J47">
        <v>5</v>
      </c>
      <c r="K47">
        <v>0</v>
      </c>
      <c r="L47" s="1"/>
      <c r="M47" s="1"/>
      <c r="N47" s="1"/>
      <c r="O47" s="1"/>
      <c r="P47" s="1" t="s">
        <v>1533</v>
      </c>
    </row>
    <row r="48" spans="1:16" ht="15" customHeight="1" x14ac:dyDescent="0.25">
      <c r="A48" s="1" t="s">
        <v>1535</v>
      </c>
      <c r="B48" s="2" t="s">
        <v>1536</v>
      </c>
      <c r="C48" t="b">
        <v>1</v>
      </c>
      <c r="D48" s="1" t="s">
        <v>1544</v>
      </c>
      <c r="E48" s="1" t="s">
        <v>1554</v>
      </c>
      <c r="F48" s="1" t="s">
        <v>1564</v>
      </c>
      <c r="G48" s="1" t="s">
        <v>1574</v>
      </c>
      <c r="H48" s="1" t="s">
        <v>5</v>
      </c>
      <c r="I48">
        <v>1</v>
      </c>
      <c r="L48" s="1"/>
      <c r="M48" s="1"/>
      <c r="N48" s="1"/>
      <c r="O48" s="1"/>
      <c r="P48" s="1" t="s">
        <v>1533</v>
      </c>
    </row>
    <row r="49" spans="1:16" ht="15" customHeight="1" x14ac:dyDescent="0.25">
      <c r="A49" s="1" t="s">
        <v>1535</v>
      </c>
      <c r="B49" s="2" t="s">
        <v>1536</v>
      </c>
      <c r="C49" t="b">
        <v>1</v>
      </c>
      <c r="D49" s="1" t="s">
        <v>1545</v>
      </c>
      <c r="E49" s="1" t="s">
        <v>1555</v>
      </c>
      <c r="F49" s="1" t="s">
        <v>1565</v>
      </c>
      <c r="G49" s="1" t="s">
        <v>1575</v>
      </c>
      <c r="H49" s="1" t="s">
        <v>5</v>
      </c>
      <c r="I49">
        <v>4</v>
      </c>
      <c r="L49" s="1"/>
      <c r="M49" s="1"/>
      <c r="N49" s="1"/>
      <c r="O49" s="1"/>
      <c r="P49" s="1" t="s">
        <v>1533</v>
      </c>
    </row>
    <row r="50" spans="1:16" ht="15" customHeight="1" x14ac:dyDescent="0.25">
      <c r="A50" s="1" t="s">
        <v>1535</v>
      </c>
      <c r="B50" s="2" t="s">
        <v>1536</v>
      </c>
      <c r="D50" s="1"/>
      <c r="E50" s="1"/>
      <c r="F50" s="1"/>
      <c r="G50" s="1"/>
      <c r="H50" s="1"/>
      <c r="L50" s="1" t="s">
        <v>1524</v>
      </c>
      <c r="M50" s="1" t="s">
        <v>1525</v>
      </c>
      <c r="N50" s="1"/>
      <c r="O50" s="1"/>
      <c r="P50" s="1" t="s">
        <v>1533</v>
      </c>
    </row>
    <row r="51" spans="1:16" ht="15" customHeight="1" x14ac:dyDescent="0.25">
      <c r="A51" s="1" t="s">
        <v>1535</v>
      </c>
      <c r="B51" s="2" t="s">
        <v>1536</v>
      </c>
      <c r="D51" s="1"/>
      <c r="E51" s="1"/>
      <c r="F51" s="1"/>
      <c r="G51" s="1"/>
      <c r="H51" s="1"/>
      <c r="L51" s="1" t="s">
        <v>1524</v>
      </c>
      <c r="M51" s="1" t="s">
        <v>1526</v>
      </c>
      <c r="N51" s="1"/>
      <c r="O51" s="1"/>
      <c r="P51" s="1" t="s">
        <v>1533</v>
      </c>
    </row>
    <row r="52" spans="1:16" ht="15" customHeight="1" x14ac:dyDescent="0.25">
      <c r="A52" s="1" t="s">
        <v>1535</v>
      </c>
      <c r="B52" s="2" t="s">
        <v>1536</v>
      </c>
      <c r="D52" s="1"/>
      <c r="E52" s="1"/>
      <c r="F52" s="1"/>
      <c r="G52" s="1"/>
      <c r="H52" s="1"/>
      <c r="L52" s="1" t="s">
        <v>1524</v>
      </c>
      <c r="M52" s="1" t="s">
        <v>1527</v>
      </c>
      <c r="N52" s="1"/>
      <c r="O52" s="1"/>
      <c r="P52" s="1" t="s">
        <v>1533</v>
      </c>
    </row>
    <row r="53" spans="1:16" ht="15" customHeight="1" x14ac:dyDescent="0.25">
      <c r="A53" s="1" t="s">
        <v>1535</v>
      </c>
      <c r="B53" s="2" t="s">
        <v>1536</v>
      </c>
      <c r="D53" s="1"/>
      <c r="E53" s="1"/>
      <c r="F53" s="1"/>
      <c r="G53" s="1"/>
      <c r="H53" s="1"/>
      <c r="L53" s="1" t="s">
        <v>1524</v>
      </c>
      <c r="M53" s="1" t="s">
        <v>1528</v>
      </c>
      <c r="N53" s="1"/>
      <c r="O53" s="1"/>
      <c r="P53" s="1" t="s">
        <v>1533</v>
      </c>
    </row>
    <row r="54" spans="1:16" ht="15" customHeight="1" x14ac:dyDescent="0.25">
      <c r="A54" s="1" t="s">
        <v>1535</v>
      </c>
      <c r="B54" s="2" t="s">
        <v>1536</v>
      </c>
      <c r="D54" s="1"/>
      <c r="E54" s="1"/>
      <c r="F54" s="1"/>
      <c r="G54" s="1"/>
      <c r="H54" s="1"/>
      <c r="L54" s="1"/>
      <c r="M54" s="1"/>
      <c r="N54" s="1" t="s">
        <v>1529</v>
      </c>
      <c r="O54" s="1" t="s">
        <v>1577</v>
      </c>
      <c r="P54" s="1" t="s">
        <v>1533</v>
      </c>
    </row>
    <row r="55" spans="1:16" ht="15" customHeight="1" x14ac:dyDescent="0.25">
      <c r="A55" s="1" t="s">
        <v>1535</v>
      </c>
      <c r="B55" s="2" t="s">
        <v>1536</v>
      </c>
      <c r="D55" s="1"/>
      <c r="E55" s="1"/>
      <c r="F55" s="1"/>
      <c r="G55" s="1"/>
      <c r="H55" s="1"/>
      <c r="L55" s="1"/>
      <c r="M55" s="1"/>
      <c r="N55" s="1" t="s">
        <v>1529</v>
      </c>
      <c r="O55" s="1" t="s">
        <v>1577</v>
      </c>
      <c r="P55" s="1" t="s">
        <v>1533</v>
      </c>
    </row>
    <row r="56" spans="1:16" ht="15" customHeight="1" x14ac:dyDescent="0.25">
      <c r="A56" s="1" t="s">
        <v>1535</v>
      </c>
      <c r="B56" s="2" t="s">
        <v>1536</v>
      </c>
      <c r="D56" s="1"/>
      <c r="E56" s="1"/>
      <c r="F56" s="1"/>
      <c r="G56" s="1"/>
      <c r="H56" s="1"/>
      <c r="L56" s="1"/>
      <c r="M56" s="1"/>
      <c r="N56" s="1" t="s">
        <v>1529</v>
      </c>
      <c r="O56" s="1" t="s">
        <v>1578</v>
      </c>
      <c r="P56" s="1" t="s">
        <v>1533</v>
      </c>
    </row>
    <row r="57" spans="1:16" ht="15" customHeight="1" x14ac:dyDescent="0.25">
      <c r="A57" s="1" t="s">
        <v>1535</v>
      </c>
      <c r="B57" s="2" t="s">
        <v>1536</v>
      </c>
      <c r="D57" s="1"/>
      <c r="E57" s="1"/>
      <c r="F57" s="1"/>
      <c r="G57" s="1"/>
      <c r="H57" s="1"/>
      <c r="L57" s="1"/>
      <c r="M57" s="1"/>
      <c r="N57" s="1" t="s">
        <v>1529</v>
      </c>
      <c r="O57" s="1" t="s">
        <v>1578</v>
      </c>
      <c r="P57" s="1" t="s">
        <v>1533</v>
      </c>
    </row>
    <row r="58" spans="1:16" ht="15" customHeight="1" x14ac:dyDescent="0.25">
      <c r="A58" s="1" t="s">
        <v>1535</v>
      </c>
      <c r="B58" s="2" t="s">
        <v>1536</v>
      </c>
      <c r="D58" s="1"/>
      <c r="E58" s="1"/>
      <c r="F58" s="1"/>
      <c r="G58" s="1"/>
      <c r="H58" s="1"/>
      <c r="L58" s="1"/>
      <c r="M58" s="1"/>
      <c r="N58" s="1" t="s">
        <v>1529</v>
      </c>
      <c r="O58" s="1" t="s">
        <v>1578</v>
      </c>
      <c r="P58" s="1" t="s">
        <v>1533</v>
      </c>
    </row>
    <row r="59" spans="1:16" ht="15" customHeight="1" x14ac:dyDescent="0.25">
      <c r="A59" s="1" t="s">
        <v>1535</v>
      </c>
      <c r="B59" s="2" t="s">
        <v>1536</v>
      </c>
      <c r="D59" s="1"/>
      <c r="E59" s="1"/>
      <c r="F59" s="1"/>
      <c r="G59" s="1"/>
      <c r="H59" s="1"/>
      <c r="L59" s="1"/>
      <c r="M59" s="1"/>
      <c r="N59" s="1" t="s">
        <v>1529</v>
      </c>
      <c r="O59" s="1" t="s">
        <v>1579</v>
      </c>
      <c r="P59" s="1" t="s">
        <v>1533</v>
      </c>
    </row>
    <row r="60" spans="1:16" ht="15" customHeight="1" x14ac:dyDescent="0.25">
      <c r="A60" s="1" t="s">
        <v>1535</v>
      </c>
      <c r="B60" s="2" t="s">
        <v>1536</v>
      </c>
      <c r="D60" s="1"/>
      <c r="E60" s="1"/>
      <c r="F60" s="1"/>
      <c r="G60" s="1"/>
      <c r="H60" s="1"/>
      <c r="L60" s="1"/>
      <c r="M60" s="1"/>
      <c r="N60" s="1" t="s">
        <v>1529</v>
      </c>
      <c r="O60" s="1" t="s">
        <v>1579</v>
      </c>
      <c r="P60" s="1" t="s">
        <v>1533</v>
      </c>
    </row>
    <row r="61" spans="1:16" ht="15" customHeight="1" x14ac:dyDescent="0.25">
      <c r="A61" s="1" t="s">
        <v>1535</v>
      </c>
      <c r="B61" s="2" t="s">
        <v>1536</v>
      </c>
      <c r="D61" s="1"/>
      <c r="E61" s="1"/>
      <c r="F61" s="1"/>
      <c r="G61" s="1"/>
      <c r="H61" s="1"/>
      <c r="L61" s="1"/>
      <c r="M61" s="1"/>
      <c r="N61" s="1" t="s">
        <v>1529</v>
      </c>
      <c r="O61" s="1" t="s">
        <v>1579</v>
      </c>
      <c r="P61" s="1" t="s">
        <v>1533</v>
      </c>
    </row>
    <row r="62" spans="1:16" ht="15" customHeight="1" x14ac:dyDescent="0.25">
      <c r="A62" s="1" t="s">
        <v>1535</v>
      </c>
      <c r="B62" s="2" t="s">
        <v>1536</v>
      </c>
      <c r="D62" s="1"/>
      <c r="E62" s="1"/>
      <c r="F62" s="1"/>
      <c r="G62" s="1"/>
      <c r="H62" s="1"/>
      <c r="L62" s="1"/>
      <c r="M62" s="1"/>
      <c r="N62" s="1" t="s">
        <v>1529</v>
      </c>
      <c r="O62" s="1" t="s">
        <v>1579</v>
      </c>
      <c r="P62" s="1" t="s">
        <v>1533</v>
      </c>
    </row>
    <row r="63" spans="1:16" ht="15" customHeight="1" x14ac:dyDescent="0.25">
      <c r="A63" s="1" t="s">
        <v>1379</v>
      </c>
      <c r="B63" s="2" t="s">
        <v>1580</v>
      </c>
      <c r="C63" t="b">
        <v>0</v>
      </c>
      <c r="D63" s="1" t="s">
        <v>3</v>
      </c>
      <c r="E63" s="1" t="s">
        <v>1471</v>
      </c>
      <c r="F63" s="1" t="s">
        <v>1492</v>
      </c>
      <c r="G63" s="1" t="s">
        <v>1636</v>
      </c>
      <c r="H63" s="1" t="s">
        <v>5</v>
      </c>
      <c r="I63">
        <v>18</v>
      </c>
      <c r="L63" s="1"/>
      <c r="M63" s="1"/>
      <c r="N63" s="1"/>
      <c r="O63" s="1"/>
      <c r="P63" s="1" t="s">
        <v>1533</v>
      </c>
    </row>
    <row r="64" spans="1:16" ht="15" customHeight="1" x14ac:dyDescent="0.25">
      <c r="A64" s="1" t="s">
        <v>1379</v>
      </c>
      <c r="B64" s="2" t="s">
        <v>1580</v>
      </c>
      <c r="C64" t="b">
        <v>1</v>
      </c>
      <c r="D64" s="1" t="s">
        <v>1370</v>
      </c>
      <c r="E64" s="1" t="s">
        <v>1472</v>
      </c>
      <c r="F64" s="1" t="s">
        <v>1493</v>
      </c>
      <c r="G64" s="1" t="s">
        <v>1637</v>
      </c>
      <c r="H64" s="1" t="s">
        <v>5</v>
      </c>
      <c r="I64">
        <v>40</v>
      </c>
      <c r="L64" s="1"/>
      <c r="M64" s="1"/>
      <c r="N64" s="1"/>
      <c r="O64" s="1"/>
      <c r="P64" s="1" t="s">
        <v>1533</v>
      </c>
    </row>
    <row r="65" spans="1:16" ht="15" customHeight="1" x14ac:dyDescent="0.25">
      <c r="A65" s="1" t="s">
        <v>1379</v>
      </c>
      <c r="B65" s="2" t="s">
        <v>1580</v>
      </c>
      <c r="C65" t="b">
        <v>1</v>
      </c>
      <c r="D65" s="1" t="s">
        <v>1371</v>
      </c>
      <c r="E65" s="1" t="s">
        <v>1594</v>
      </c>
      <c r="F65" s="1" t="s">
        <v>1615</v>
      </c>
      <c r="G65" s="1" t="s">
        <v>1638</v>
      </c>
      <c r="H65" s="1" t="s">
        <v>5</v>
      </c>
      <c r="I65">
        <v>1</v>
      </c>
      <c r="L65" s="1"/>
      <c r="M65" s="1"/>
      <c r="N65" s="1"/>
      <c r="O65" s="1"/>
      <c r="P65" s="1" t="s">
        <v>1533</v>
      </c>
    </row>
    <row r="66" spans="1:16" ht="15" customHeight="1" x14ac:dyDescent="0.25">
      <c r="A66" s="1" t="s">
        <v>1379</v>
      </c>
      <c r="B66" s="2" t="s">
        <v>1580</v>
      </c>
      <c r="C66" t="b">
        <v>1</v>
      </c>
      <c r="D66" s="1" t="s">
        <v>1279</v>
      </c>
      <c r="E66" s="1" t="s">
        <v>1473</v>
      </c>
      <c r="F66" s="1" t="s">
        <v>1494</v>
      </c>
      <c r="G66" s="1" t="s">
        <v>1279</v>
      </c>
      <c r="H66" s="1" t="s">
        <v>5</v>
      </c>
      <c r="I66">
        <v>4</v>
      </c>
      <c r="L66" s="1"/>
      <c r="M66" s="1"/>
      <c r="N66" s="1"/>
      <c r="O66" s="1"/>
      <c r="P66" s="1" t="s">
        <v>1533</v>
      </c>
    </row>
    <row r="67" spans="1:16" ht="15" customHeight="1" x14ac:dyDescent="0.25">
      <c r="A67" s="1" t="s">
        <v>1379</v>
      </c>
      <c r="B67" s="2" t="s">
        <v>1580</v>
      </c>
      <c r="C67" t="b">
        <v>1</v>
      </c>
      <c r="D67" s="1" t="s">
        <v>1369</v>
      </c>
      <c r="E67" s="1" t="s">
        <v>1475</v>
      </c>
      <c r="F67" s="1" t="s">
        <v>1496</v>
      </c>
      <c r="G67" s="1" t="s">
        <v>1369</v>
      </c>
      <c r="H67" s="1" t="s">
        <v>5</v>
      </c>
      <c r="I67">
        <v>3</v>
      </c>
      <c r="L67" s="1"/>
      <c r="M67" s="1"/>
      <c r="N67" s="1"/>
      <c r="O67" s="1"/>
      <c r="P67" s="1" t="s">
        <v>1533</v>
      </c>
    </row>
    <row r="68" spans="1:16" ht="15" customHeight="1" x14ac:dyDescent="0.25">
      <c r="A68" s="1" t="s">
        <v>1379</v>
      </c>
      <c r="B68" s="2" t="s">
        <v>1580</v>
      </c>
      <c r="C68" t="b">
        <v>1</v>
      </c>
      <c r="D68" s="1" t="s">
        <v>1581</v>
      </c>
      <c r="E68" s="1" t="s">
        <v>1595</v>
      </c>
      <c r="F68" s="1" t="s">
        <v>1616</v>
      </c>
      <c r="G68" s="1" t="s">
        <v>1639</v>
      </c>
      <c r="H68" s="1" t="s">
        <v>5</v>
      </c>
      <c r="I68">
        <v>18</v>
      </c>
      <c r="L68" s="1"/>
      <c r="M68" s="1"/>
      <c r="N68" s="1"/>
      <c r="O68" s="1"/>
      <c r="P68" s="1" t="s">
        <v>1533</v>
      </c>
    </row>
    <row r="69" spans="1:16" ht="15" customHeight="1" x14ac:dyDescent="0.25">
      <c r="A69" s="1" t="s">
        <v>1379</v>
      </c>
      <c r="B69" s="2" t="s">
        <v>1580</v>
      </c>
      <c r="C69" t="b">
        <v>1</v>
      </c>
      <c r="D69" s="1" t="s">
        <v>1234</v>
      </c>
      <c r="E69" s="1" t="s">
        <v>1477</v>
      </c>
      <c r="F69" s="1" t="s">
        <v>1498</v>
      </c>
      <c r="G69" s="1" t="s">
        <v>1234</v>
      </c>
      <c r="H69" s="1" t="s">
        <v>5</v>
      </c>
      <c r="I69">
        <v>2</v>
      </c>
      <c r="L69" s="1"/>
      <c r="M69" s="1"/>
      <c r="N69" s="1"/>
      <c r="O69" s="1"/>
      <c r="P69" s="1" t="s">
        <v>1533</v>
      </c>
    </row>
    <row r="70" spans="1:16" ht="15" customHeight="1" x14ac:dyDescent="0.25">
      <c r="A70" s="1" t="s">
        <v>1379</v>
      </c>
      <c r="B70" s="2" t="s">
        <v>1580</v>
      </c>
      <c r="C70" t="b">
        <v>1</v>
      </c>
      <c r="D70" s="1" t="s">
        <v>1377</v>
      </c>
      <c r="E70" s="1" t="s">
        <v>1596</v>
      </c>
      <c r="F70" s="1" t="s">
        <v>1617</v>
      </c>
      <c r="G70" s="1" t="s">
        <v>1640</v>
      </c>
      <c r="H70" s="1" t="s">
        <v>5</v>
      </c>
      <c r="I70">
        <v>18</v>
      </c>
      <c r="L70" s="1"/>
      <c r="M70" s="1"/>
      <c r="N70" s="1"/>
      <c r="O70" s="1"/>
      <c r="P70" s="1" t="s">
        <v>1533</v>
      </c>
    </row>
    <row r="71" spans="1:16" ht="15" customHeight="1" x14ac:dyDescent="0.25">
      <c r="A71" s="1" t="s">
        <v>1379</v>
      </c>
      <c r="B71" s="2" t="s">
        <v>1580</v>
      </c>
      <c r="C71" t="b">
        <v>1</v>
      </c>
      <c r="D71" s="1" t="s">
        <v>1582</v>
      </c>
      <c r="E71" s="1" t="s">
        <v>1597</v>
      </c>
      <c r="F71" s="1" t="s">
        <v>1618</v>
      </c>
      <c r="G71" s="1" t="s">
        <v>1641</v>
      </c>
      <c r="H71" s="1" t="s">
        <v>5</v>
      </c>
      <c r="I71">
        <v>2</v>
      </c>
      <c r="L71" s="1"/>
      <c r="M71" s="1"/>
      <c r="N71" s="1"/>
      <c r="O71" s="1"/>
      <c r="P71" s="1" t="s">
        <v>1533</v>
      </c>
    </row>
    <row r="72" spans="1:16" ht="15" customHeight="1" x14ac:dyDescent="0.25">
      <c r="A72" s="1" t="s">
        <v>1379</v>
      </c>
      <c r="B72" s="2" t="s">
        <v>1580</v>
      </c>
      <c r="C72" t="b">
        <v>1</v>
      </c>
      <c r="D72" s="1" t="s">
        <v>1583</v>
      </c>
      <c r="E72" s="1" t="s">
        <v>1598</v>
      </c>
      <c r="F72" s="1" t="s">
        <v>1619</v>
      </c>
      <c r="G72" s="1" t="s">
        <v>1642</v>
      </c>
      <c r="H72" s="1" t="s">
        <v>5</v>
      </c>
      <c r="I72">
        <v>1</v>
      </c>
      <c r="L72" s="1"/>
      <c r="M72" s="1"/>
      <c r="N72" s="1"/>
      <c r="O72" s="1"/>
      <c r="P72" s="1" t="s">
        <v>1533</v>
      </c>
    </row>
    <row r="73" spans="1:16" ht="15" customHeight="1" x14ac:dyDescent="0.25">
      <c r="A73" s="1" t="s">
        <v>1379</v>
      </c>
      <c r="B73" s="2" t="s">
        <v>1580</v>
      </c>
      <c r="C73" t="b">
        <v>1</v>
      </c>
      <c r="D73" s="1" t="s">
        <v>1372</v>
      </c>
      <c r="E73" s="1" t="s">
        <v>1599</v>
      </c>
      <c r="F73" s="1" t="s">
        <v>1620</v>
      </c>
      <c r="G73" s="1" t="s">
        <v>1372</v>
      </c>
      <c r="H73" s="1" t="s">
        <v>5</v>
      </c>
      <c r="I73">
        <v>9</v>
      </c>
      <c r="L73" s="1"/>
      <c r="M73" s="1"/>
      <c r="N73" s="1"/>
      <c r="O73" s="1"/>
      <c r="P73" s="1" t="s">
        <v>1533</v>
      </c>
    </row>
    <row r="74" spans="1:16" ht="15" customHeight="1" x14ac:dyDescent="0.25">
      <c r="A74" s="1" t="s">
        <v>1379</v>
      </c>
      <c r="B74" s="2" t="s">
        <v>1580</v>
      </c>
      <c r="C74" t="b">
        <v>1</v>
      </c>
      <c r="D74" s="1" t="s">
        <v>1584</v>
      </c>
      <c r="E74" s="1" t="s">
        <v>1600</v>
      </c>
      <c r="F74" s="1" t="s">
        <v>1621</v>
      </c>
      <c r="G74" s="1" t="s">
        <v>1643</v>
      </c>
      <c r="H74" s="1" t="s">
        <v>5</v>
      </c>
      <c r="I74">
        <v>18</v>
      </c>
      <c r="L74" s="1"/>
      <c r="M74" s="1"/>
      <c r="N74" s="1"/>
      <c r="O74" s="1"/>
      <c r="P74" s="1" t="s">
        <v>1533</v>
      </c>
    </row>
    <row r="75" spans="1:16" ht="15" customHeight="1" x14ac:dyDescent="0.25">
      <c r="A75" s="1" t="s">
        <v>1379</v>
      </c>
      <c r="B75" s="2" t="s">
        <v>1580</v>
      </c>
      <c r="C75" t="b">
        <v>1</v>
      </c>
      <c r="D75" s="1" t="s">
        <v>1375</v>
      </c>
      <c r="E75" s="1" t="s">
        <v>1601</v>
      </c>
      <c r="F75" s="1" t="s">
        <v>1622</v>
      </c>
      <c r="G75" s="1" t="s">
        <v>1644</v>
      </c>
      <c r="H75" s="1" t="s">
        <v>5</v>
      </c>
      <c r="I75">
        <v>3</v>
      </c>
      <c r="L75" s="1"/>
      <c r="M75" s="1"/>
      <c r="N75" s="1"/>
      <c r="O75" s="1"/>
      <c r="P75" s="1" t="s">
        <v>1533</v>
      </c>
    </row>
    <row r="76" spans="1:16" ht="15" customHeight="1" x14ac:dyDescent="0.25">
      <c r="A76" s="1" t="s">
        <v>1379</v>
      </c>
      <c r="B76" s="2" t="s">
        <v>1580</v>
      </c>
      <c r="C76" t="b">
        <v>1</v>
      </c>
      <c r="D76" s="1" t="s">
        <v>1585</v>
      </c>
      <c r="E76" s="1" t="s">
        <v>1602</v>
      </c>
      <c r="F76" s="1" t="s">
        <v>1623</v>
      </c>
      <c r="G76" s="1" t="s">
        <v>1645</v>
      </c>
      <c r="H76" s="1" t="s">
        <v>5</v>
      </c>
      <c r="I76">
        <v>18</v>
      </c>
      <c r="L76" s="1"/>
      <c r="M76" s="1"/>
      <c r="N76" s="1"/>
      <c r="O76" s="1"/>
      <c r="P76" s="1" t="s">
        <v>1533</v>
      </c>
    </row>
    <row r="77" spans="1:16" ht="15" customHeight="1" x14ac:dyDescent="0.25">
      <c r="A77" s="1" t="s">
        <v>1379</v>
      </c>
      <c r="B77" s="2" t="s">
        <v>1580</v>
      </c>
      <c r="C77" t="b">
        <v>1</v>
      </c>
      <c r="D77" s="1" t="s">
        <v>1586</v>
      </c>
      <c r="E77" s="1" t="s">
        <v>1603</v>
      </c>
      <c r="F77" s="1" t="s">
        <v>1624</v>
      </c>
      <c r="G77" s="1" t="s">
        <v>1646</v>
      </c>
      <c r="H77" s="1" t="s">
        <v>28</v>
      </c>
      <c r="L77" s="1"/>
      <c r="M77" s="1"/>
      <c r="N77" s="1"/>
      <c r="O77" s="1"/>
      <c r="P77" s="1" t="s">
        <v>1533</v>
      </c>
    </row>
    <row r="78" spans="1:16" ht="15" customHeight="1" x14ac:dyDescent="0.25">
      <c r="A78" s="1" t="s">
        <v>1379</v>
      </c>
      <c r="B78" s="2" t="s">
        <v>1580</v>
      </c>
      <c r="C78" t="b">
        <v>1</v>
      </c>
      <c r="D78" s="1" t="s">
        <v>1374</v>
      </c>
      <c r="E78" s="1" t="s">
        <v>1604</v>
      </c>
      <c r="F78" s="1" t="s">
        <v>1625</v>
      </c>
      <c r="G78" s="1" t="s">
        <v>1647</v>
      </c>
      <c r="H78" s="1" t="s">
        <v>5</v>
      </c>
      <c r="I78">
        <v>4</v>
      </c>
      <c r="L78" s="1"/>
      <c r="M78" s="1"/>
      <c r="N78" s="1"/>
      <c r="O78" s="1"/>
      <c r="P78" s="1" t="s">
        <v>1533</v>
      </c>
    </row>
    <row r="79" spans="1:16" ht="15" customHeight="1" x14ac:dyDescent="0.25">
      <c r="A79" s="1" t="s">
        <v>1379</v>
      </c>
      <c r="B79" s="2" t="s">
        <v>1580</v>
      </c>
      <c r="C79" t="b">
        <v>1</v>
      </c>
      <c r="D79" s="1" t="s">
        <v>1587</v>
      </c>
      <c r="E79" s="1" t="s">
        <v>1605</v>
      </c>
      <c r="F79" s="1" t="s">
        <v>1626</v>
      </c>
      <c r="G79" s="1" t="s">
        <v>1587</v>
      </c>
      <c r="H79" s="1" t="s">
        <v>748</v>
      </c>
      <c r="J79">
        <v>13</v>
      </c>
      <c r="K79">
        <v>3</v>
      </c>
      <c r="L79" s="1"/>
      <c r="M79" s="1"/>
      <c r="N79" s="1"/>
      <c r="O79" s="1"/>
      <c r="P79" s="1" t="s">
        <v>1533</v>
      </c>
    </row>
    <row r="80" spans="1:16" ht="15" customHeight="1" x14ac:dyDescent="0.25">
      <c r="A80" s="1" t="s">
        <v>1379</v>
      </c>
      <c r="B80" s="2" t="s">
        <v>1580</v>
      </c>
      <c r="C80" t="b">
        <v>1</v>
      </c>
      <c r="D80" s="1" t="s">
        <v>1588</v>
      </c>
      <c r="E80" s="1" t="s">
        <v>1606</v>
      </c>
      <c r="F80" s="1" t="s">
        <v>1627</v>
      </c>
      <c r="G80" s="1" t="s">
        <v>1588</v>
      </c>
      <c r="H80" s="1" t="s">
        <v>748</v>
      </c>
      <c r="J80">
        <v>13</v>
      </c>
      <c r="K80">
        <v>3</v>
      </c>
      <c r="L80" s="1"/>
      <c r="M80" s="1"/>
      <c r="N80" s="1"/>
      <c r="O80" s="1"/>
      <c r="P80" s="1" t="s">
        <v>1533</v>
      </c>
    </row>
    <row r="81" spans="1:16" ht="15" customHeight="1" x14ac:dyDescent="0.25">
      <c r="A81" s="1" t="s">
        <v>1379</v>
      </c>
      <c r="B81" s="2" t="s">
        <v>1580</v>
      </c>
      <c r="C81" t="b">
        <v>1</v>
      </c>
      <c r="D81" s="1" t="s">
        <v>1589</v>
      </c>
      <c r="E81" s="1" t="s">
        <v>1607</v>
      </c>
      <c r="F81" s="1" t="s">
        <v>1628</v>
      </c>
      <c r="G81" s="1" t="s">
        <v>1589</v>
      </c>
      <c r="H81" s="1" t="s">
        <v>5</v>
      </c>
      <c r="I81">
        <v>3</v>
      </c>
      <c r="L81" s="1"/>
      <c r="M81" s="1"/>
      <c r="N81" s="1"/>
      <c r="O81" s="1"/>
      <c r="P81" s="1" t="s">
        <v>1533</v>
      </c>
    </row>
    <row r="82" spans="1:16" ht="15" customHeight="1" x14ac:dyDescent="0.25">
      <c r="A82" s="1" t="s">
        <v>1379</v>
      </c>
      <c r="B82" s="2" t="s">
        <v>1580</v>
      </c>
      <c r="C82" t="b">
        <v>1</v>
      </c>
      <c r="D82" s="1" t="s">
        <v>1590</v>
      </c>
      <c r="E82" s="1" t="s">
        <v>1608</v>
      </c>
      <c r="F82" s="1" t="s">
        <v>1629</v>
      </c>
      <c r="G82" s="1" t="s">
        <v>1590</v>
      </c>
      <c r="H82" s="1" t="s">
        <v>748</v>
      </c>
      <c r="J82">
        <v>13</v>
      </c>
      <c r="K82">
        <v>3</v>
      </c>
      <c r="L82" s="1"/>
      <c r="M82" s="1"/>
      <c r="N82" s="1"/>
      <c r="O82" s="1"/>
      <c r="P82" s="1" t="s">
        <v>1533</v>
      </c>
    </row>
    <row r="83" spans="1:16" ht="15" customHeight="1" x14ac:dyDescent="0.25">
      <c r="A83" s="1" t="s">
        <v>1379</v>
      </c>
      <c r="B83" s="2" t="s">
        <v>1580</v>
      </c>
      <c r="C83" t="b">
        <v>1</v>
      </c>
      <c r="D83" s="1" t="s">
        <v>1591</v>
      </c>
      <c r="E83" s="1" t="s">
        <v>1609</v>
      </c>
      <c r="F83" s="1" t="s">
        <v>1630</v>
      </c>
      <c r="G83" s="1" t="s">
        <v>1648</v>
      </c>
      <c r="H83" s="1" t="s">
        <v>5</v>
      </c>
      <c r="I83">
        <v>3</v>
      </c>
      <c r="L83" s="1"/>
      <c r="M83" s="1"/>
      <c r="N83" s="1"/>
      <c r="O83" s="1"/>
      <c r="P83" s="1" t="s">
        <v>1533</v>
      </c>
    </row>
    <row r="84" spans="1:16" ht="15" customHeight="1" x14ac:dyDescent="0.25">
      <c r="A84" s="1" t="s">
        <v>1379</v>
      </c>
      <c r="B84" s="2" t="s">
        <v>1580</v>
      </c>
      <c r="C84" t="b">
        <v>1</v>
      </c>
      <c r="D84" s="1" t="s">
        <v>1592</v>
      </c>
      <c r="E84" s="1" t="s">
        <v>1610</v>
      </c>
      <c r="F84" s="1" t="s">
        <v>1631</v>
      </c>
      <c r="G84" s="1" t="s">
        <v>1649</v>
      </c>
      <c r="H84" s="1" t="s">
        <v>5</v>
      </c>
      <c r="I84">
        <v>32</v>
      </c>
      <c r="L84" s="1"/>
      <c r="M84" s="1"/>
      <c r="N84" s="1"/>
      <c r="O84" s="1"/>
      <c r="P84" s="1" t="s">
        <v>1533</v>
      </c>
    </row>
    <row r="85" spans="1:16" ht="15" customHeight="1" x14ac:dyDescent="0.25">
      <c r="A85" s="1" t="s">
        <v>1379</v>
      </c>
      <c r="B85" s="2" t="s">
        <v>1580</v>
      </c>
      <c r="C85" t="b">
        <v>1</v>
      </c>
      <c r="D85" s="1" t="s">
        <v>1593</v>
      </c>
      <c r="E85" s="1" t="s">
        <v>1611</v>
      </c>
      <c r="F85" s="1" t="s">
        <v>1632</v>
      </c>
      <c r="G85" s="1" t="s">
        <v>1650</v>
      </c>
      <c r="H85" s="1" t="s">
        <v>5</v>
      </c>
      <c r="I85">
        <v>18</v>
      </c>
      <c r="L85" s="1"/>
      <c r="M85" s="1"/>
      <c r="N85" s="1"/>
      <c r="O85" s="1"/>
      <c r="P85" s="1" t="s">
        <v>1533</v>
      </c>
    </row>
    <row r="86" spans="1:16" ht="15" customHeight="1" x14ac:dyDescent="0.25">
      <c r="A86" s="1" t="s">
        <v>1379</v>
      </c>
      <c r="B86" s="2" t="s">
        <v>1580</v>
      </c>
      <c r="C86" t="b">
        <v>1</v>
      </c>
      <c r="D86" s="1" t="s">
        <v>1373</v>
      </c>
      <c r="E86" s="1" t="s">
        <v>1612</v>
      </c>
      <c r="F86" s="1" t="s">
        <v>1633</v>
      </c>
      <c r="G86" s="1" t="s">
        <v>1651</v>
      </c>
      <c r="H86" s="1" t="s">
        <v>5</v>
      </c>
      <c r="I86">
        <v>2</v>
      </c>
      <c r="L86" s="1"/>
      <c r="M86" s="1"/>
      <c r="N86" s="1"/>
      <c r="O86" s="1"/>
      <c r="P86" s="1" t="s">
        <v>1533</v>
      </c>
    </row>
    <row r="87" spans="1:16" ht="15" customHeight="1" x14ac:dyDescent="0.25">
      <c r="A87" s="1" t="s">
        <v>1379</v>
      </c>
      <c r="B87" s="2" t="s">
        <v>1580</v>
      </c>
      <c r="C87" t="b">
        <v>1</v>
      </c>
      <c r="D87" s="1" t="s">
        <v>1376</v>
      </c>
      <c r="E87" s="1" t="s">
        <v>1613</v>
      </c>
      <c r="F87" s="1" t="s">
        <v>1634</v>
      </c>
      <c r="G87" s="1" t="s">
        <v>1652</v>
      </c>
      <c r="H87" s="1" t="s">
        <v>5</v>
      </c>
      <c r="I87">
        <v>4</v>
      </c>
      <c r="L87" s="1"/>
      <c r="M87" s="1"/>
      <c r="N87" s="1"/>
      <c r="O87" s="1"/>
      <c r="P87" s="1" t="s">
        <v>1533</v>
      </c>
    </row>
    <row r="88" spans="1:16" ht="15" customHeight="1" x14ac:dyDescent="0.25">
      <c r="A88" s="1" t="s">
        <v>1379</v>
      </c>
      <c r="B88" s="2" t="s">
        <v>1580</v>
      </c>
      <c r="C88" t="b">
        <v>1</v>
      </c>
      <c r="D88" s="1" t="s">
        <v>1378</v>
      </c>
      <c r="E88" s="1" t="s">
        <v>1614</v>
      </c>
      <c r="F88" s="1" t="s">
        <v>1635</v>
      </c>
      <c r="G88" s="1" t="s">
        <v>1653</v>
      </c>
      <c r="H88" s="1" t="s">
        <v>5</v>
      </c>
      <c r="I88">
        <v>18</v>
      </c>
      <c r="L88" s="1"/>
      <c r="M88" s="1"/>
      <c r="N88" s="1"/>
      <c r="O88" s="1"/>
      <c r="P88" s="1" t="s">
        <v>1533</v>
      </c>
    </row>
    <row r="89" spans="1:16" ht="15" customHeight="1" x14ac:dyDescent="0.25">
      <c r="A89" s="1" t="s">
        <v>1379</v>
      </c>
      <c r="B89" s="2" t="s">
        <v>1580</v>
      </c>
      <c r="D89" s="1"/>
      <c r="E89" s="1"/>
      <c r="F89" s="1"/>
      <c r="G89" s="1"/>
      <c r="H89" s="1"/>
      <c r="L89" s="1" t="s">
        <v>1524</v>
      </c>
      <c r="M89" s="1" t="s">
        <v>1525</v>
      </c>
      <c r="N89" s="1"/>
      <c r="O89" s="1"/>
      <c r="P89" s="1" t="s">
        <v>1533</v>
      </c>
    </row>
    <row r="90" spans="1:16" ht="15" customHeight="1" x14ac:dyDescent="0.25">
      <c r="A90" s="1" t="s">
        <v>1379</v>
      </c>
      <c r="B90" s="2" t="s">
        <v>1580</v>
      </c>
      <c r="D90" s="1"/>
      <c r="E90" s="1"/>
      <c r="F90" s="1"/>
      <c r="G90" s="1"/>
      <c r="H90" s="1"/>
      <c r="L90" s="1" t="s">
        <v>1524</v>
      </c>
      <c r="M90" s="1" t="s">
        <v>1526</v>
      </c>
      <c r="N90" s="1"/>
      <c r="O90" s="1"/>
      <c r="P90" s="1" t="s">
        <v>1533</v>
      </c>
    </row>
    <row r="91" spans="1:16" ht="15" customHeight="1" x14ac:dyDescent="0.25">
      <c r="A91" s="1" t="s">
        <v>1379</v>
      </c>
      <c r="B91" s="2" t="s">
        <v>1580</v>
      </c>
      <c r="D91" s="1"/>
      <c r="E91" s="1"/>
      <c r="F91" s="1"/>
      <c r="G91" s="1"/>
      <c r="H91" s="1"/>
      <c r="L91" s="1"/>
      <c r="M91" s="1"/>
      <c r="N91" s="1" t="s">
        <v>1529</v>
      </c>
      <c r="O91" s="1" t="s">
        <v>1577</v>
      </c>
      <c r="P91" s="1" t="s">
        <v>1533</v>
      </c>
    </row>
    <row r="92" spans="1:16" ht="15" customHeight="1" x14ac:dyDescent="0.25">
      <c r="A92" s="1" t="s">
        <v>1379</v>
      </c>
      <c r="B92" s="2" t="s">
        <v>1580</v>
      </c>
      <c r="D92" s="1"/>
      <c r="E92" s="1"/>
      <c r="F92" s="1"/>
      <c r="G92" s="1"/>
      <c r="H92" s="1"/>
      <c r="L92" s="1"/>
      <c r="M92" s="1"/>
      <c r="N92" s="1" t="s">
        <v>1529</v>
      </c>
      <c r="O92" s="1" t="s">
        <v>1577</v>
      </c>
      <c r="P92" s="1" t="s">
        <v>1533</v>
      </c>
    </row>
    <row r="93" spans="1:16" ht="15" customHeight="1" x14ac:dyDescent="0.25">
      <c r="A93" s="1" t="s">
        <v>1440</v>
      </c>
      <c r="B93" s="2" t="s">
        <v>1654</v>
      </c>
      <c r="C93" t="b">
        <v>0</v>
      </c>
      <c r="D93" s="1" t="s">
        <v>3</v>
      </c>
      <c r="E93" s="1" t="s">
        <v>1471</v>
      </c>
      <c r="F93" s="1" t="s">
        <v>1492</v>
      </c>
      <c r="G93" s="1" t="s">
        <v>1636</v>
      </c>
      <c r="H93" s="1" t="s">
        <v>5</v>
      </c>
      <c r="I93">
        <v>18</v>
      </c>
      <c r="L93" s="1"/>
      <c r="M93" s="1"/>
      <c r="N93" s="1"/>
      <c r="O93" s="1"/>
      <c r="P93" s="1" t="s">
        <v>1533</v>
      </c>
    </row>
    <row r="94" spans="1:16" ht="15" customHeight="1" x14ac:dyDescent="0.25">
      <c r="A94" s="1" t="s">
        <v>1440</v>
      </c>
      <c r="B94" s="2" t="s">
        <v>1654</v>
      </c>
      <c r="C94" t="b">
        <v>1</v>
      </c>
      <c r="D94" s="1" t="s">
        <v>1370</v>
      </c>
      <c r="E94" s="1" t="s">
        <v>1472</v>
      </c>
      <c r="F94" s="1" t="s">
        <v>1493</v>
      </c>
      <c r="G94" s="1" t="s">
        <v>1637</v>
      </c>
      <c r="H94" s="1" t="s">
        <v>5</v>
      </c>
      <c r="I94">
        <v>40</v>
      </c>
      <c r="L94" s="1"/>
      <c r="M94" s="1"/>
      <c r="N94" s="1"/>
      <c r="O94" s="1"/>
      <c r="P94" s="1" t="s">
        <v>1533</v>
      </c>
    </row>
    <row r="95" spans="1:16" ht="15" customHeight="1" x14ac:dyDescent="0.25">
      <c r="A95" s="1" t="s">
        <v>1440</v>
      </c>
      <c r="B95" s="2" t="s">
        <v>1654</v>
      </c>
      <c r="C95" t="b">
        <v>1</v>
      </c>
      <c r="D95" s="1" t="s">
        <v>1279</v>
      </c>
      <c r="E95" s="1" t="s">
        <v>1473</v>
      </c>
      <c r="F95" s="1" t="s">
        <v>1494</v>
      </c>
      <c r="G95" s="1" t="s">
        <v>1279</v>
      </c>
      <c r="H95" s="1" t="s">
        <v>5</v>
      </c>
      <c r="I95">
        <v>4</v>
      </c>
      <c r="L95" s="1"/>
      <c r="M95" s="1"/>
      <c r="N95" s="1"/>
      <c r="O95" s="1"/>
      <c r="P95" s="1" t="s">
        <v>1533</v>
      </c>
    </row>
    <row r="96" spans="1:16" ht="15" customHeight="1" x14ac:dyDescent="0.25">
      <c r="A96" s="1" t="s">
        <v>1440</v>
      </c>
      <c r="B96" s="2" t="s">
        <v>1654</v>
      </c>
      <c r="C96" t="b">
        <v>1</v>
      </c>
      <c r="D96" s="1" t="s">
        <v>1655</v>
      </c>
      <c r="E96" s="1" t="s">
        <v>1672</v>
      </c>
      <c r="F96" s="1" t="s">
        <v>1691</v>
      </c>
      <c r="G96" s="1" t="s">
        <v>1710</v>
      </c>
      <c r="H96" s="1" t="s">
        <v>5</v>
      </c>
      <c r="I96">
        <v>18</v>
      </c>
      <c r="L96" s="1"/>
      <c r="M96" s="1"/>
      <c r="N96" s="1"/>
      <c r="O96" s="1"/>
      <c r="P96" s="1" t="s">
        <v>1533</v>
      </c>
    </row>
    <row r="97" spans="1:16" ht="15" customHeight="1" x14ac:dyDescent="0.25">
      <c r="A97" s="1" t="s">
        <v>1440</v>
      </c>
      <c r="B97" s="2" t="s">
        <v>1654</v>
      </c>
      <c r="C97" t="b">
        <v>1</v>
      </c>
      <c r="D97" s="1" t="s">
        <v>1656</v>
      </c>
      <c r="E97" s="1" t="s">
        <v>1673</v>
      </c>
      <c r="F97" s="1" t="s">
        <v>1692</v>
      </c>
      <c r="G97" s="1" t="s">
        <v>1711</v>
      </c>
      <c r="H97" s="1" t="s">
        <v>5</v>
      </c>
      <c r="I97">
        <v>18</v>
      </c>
      <c r="L97" s="1"/>
      <c r="M97" s="1"/>
      <c r="N97" s="1"/>
      <c r="O97" s="1"/>
      <c r="P97" s="1" t="s">
        <v>1533</v>
      </c>
    </row>
    <row r="98" spans="1:16" ht="15" customHeight="1" x14ac:dyDescent="0.25">
      <c r="A98" s="1" t="s">
        <v>1440</v>
      </c>
      <c r="B98" s="2" t="s">
        <v>1654</v>
      </c>
      <c r="C98" t="b">
        <v>1</v>
      </c>
      <c r="D98" s="1" t="s">
        <v>1657</v>
      </c>
      <c r="E98" s="1" t="s">
        <v>1674</v>
      </c>
      <c r="F98" s="1" t="s">
        <v>1693</v>
      </c>
      <c r="G98" s="1" t="s">
        <v>1712</v>
      </c>
      <c r="H98" s="1" t="s">
        <v>5</v>
      </c>
      <c r="I98">
        <v>4</v>
      </c>
      <c r="L98" s="1"/>
      <c r="M98" s="1"/>
      <c r="N98" s="1"/>
      <c r="O98" s="1"/>
      <c r="P98" s="1" t="s">
        <v>1533</v>
      </c>
    </row>
    <row r="99" spans="1:16" ht="15" customHeight="1" x14ac:dyDescent="0.25">
      <c r="A99" s="1" t="s">
        <v>1440</v>
      </c>
      <c r="B99" s="2" t="s">
        <v>1654</v>
      </c>
      <c r="C99" t="b">
        <v>1</v>
      </c>
      <c r="D99" s="1" t="s">
        <v>1658</v>
      </c>
      <c r="E99" s="1" t="s">
        <v>1675</v>
      </c>
      <c r="F99" s="1" t="s">
        <v>1694</v>
      </c>
      <c r="G99" s="1" t="s">
        <v>1658</v>
      </c>
      <c r="H99" s="1" t="s">
        <v>5</v>
      </c>
      <c r="I99">
        <v>1</v>
      </c>
      <c r="L99" s="1"/>
      <c r="M99" s="1"/>
      <c r="N99" s="1"/>
      <c r="O99" s="1"/>
      <c r="P99" s="1" t="s">
        <v>1533</v>
      </c>
    </row>
    <row r="100" spans="1:16" ht="15" customHeight="1" x14ac:dyDescent="0.25">
      <c r="A100" s="1" t="s">
        <v>1440</v>
      </c>
      <c r="B100" s="2" t="s">
        <v>1654</v>
      </c>
      <c r="C100" t="b">
        <v>1</v>
      </c>
      <c r="D100" s="1" t="s">
        <v>1438</v>
      </c>
      <c r="E100" s="1" t="s">
        <v>1676</v>
      </c>
      <c r="F100" s="1" t="s">
        <v>1695</v>
      </c>
      <c r="G100" s="1" t="s">
        <v>1438</v>
      </c>
      <c r="H100" s="1" t="s">
        <v>5</v>
      </c>
      <c r="I100">
        <v>48</v>
      </c>
      <c r="L100" s="1"/>
      <c r="M100" s="1"/>
      <c r="N100" s="1"/>
      <c r="O100" s="1"/>
      <c r="P100" s="1" t="s">
        <v>1533</v>
      </c>
    </row>
    <row r="101" spans="1:16" ht="15" customHeight="1" x14ac:dyDescent="0.25">
      <c r="A101" s="1" t="s">
        <v>1440</v>
      </c>
      <c r="B101" s="2" t="s">
        <v>1654</v>
      </c>
      <c r="C101" t="b">
        <v>1</v>
      </c>
      <c r="D101" s="1" t="s">
        <v>1659</v>
      </c>
      <c r="E101" s="1" t="s">
        <v>1677</v>
      </c>
      <c r="F101" s="1" t="s">
        <v>1696</v>
      </c>
      <c r="G101" s="1" t="s">
        <v>1713</v>
      </c>
      <c r="H101" s="1" t="s">
        <v>5</v>
      </c>
      <c r="I101">
        <v>3</v>
      </c>
      <c r="L101" s="1"/>
      <c r="M101" s="1"/>
      <c r="N101" s="1"/>
      <c r="O101" s="1"/>
      <c r="P101" s="1" t="s">
        <v>1533</v>
      </c>
    </row>
    <row r="102" spans="1:16" ht="15" customHeight="1" x14ac:dyDescent="0.25">
      <c r="A102" s="1" t="s">
        <v>1440</v>
      </c>
      <c r="B102" s="2" t="s">
        <v>1654</v>
      </c>
      <c r="C102" t="b">
        <v>1</v>
      </c>
      <c r="D102" s="1" t="s">
        <v>1660</v>
      </c>
      <c r="E102" s="1" t="s">
        <v>1678</v>
      </c>
      <c r="F102" s="1" t="s">
        <v>1697</v>
      </c>
      <c r="G102" s="1" t="s">
        <v>1714</v>
      </c>
      <c r="H102" s="1" t="s">
        <v>5</v>
      </c>
      <c r="I102">
        <v>1</v>
      </c>
      <c r="L102" s="1"/>
      <c r="M102" s="1"/>
      <c r="N102" s="1"/>
      <c r="O102" s="1"/>
      <c r="P102" s="1" t="s">
        <v>1533</v>
      </c>
    </row>
    <row r="103" spans="1:16" ht="15" customHeight="1" x14ac:dyDescent="0.25">
      <c r="A103" s="1" t="s">
        <v>1440</v>
      </c>
      <c r="B103" s="2" t="s">
        <v>1654</v>
      </c>
      <c r="C103" t="b">
        <v>1</v>
      </c>
      <c r="D103" s="1" t="s">
        <v>1661</v>
      </c>
      <c r="E103" s="1" t="s">
        <v>1679</v>
      </c>
      <c r="F103" s="1" t="s">
        <v>1698</v>
      </c>
      <c r="G103" s="1" t="s">
        <v>1715</v>
      </c>
      <c r="H103" s="1" t="s">
        <v>5</v>
      </c>
      <c r="I103">
        <v>1</v>
      </c>
      <c r="L103" s="1"/>
      <c r="M103" s="1"/>
      <c r="N103" s="1"/>
      <c r="O103" s="1"/>
      <c r="P103" s="1" t="s">
        <v>1533</v>
      </c>
    </row>
    <row r="104" spans="1:16" ht="15" customHeight="1" x14ac:dyDescent="0.25">
      <c r="A104" s="1" t="s">
        <v>1440</v>
      </c>
      <c r="B104" s="2" t="s">
        <v>1654</v>
      </c>
      <c r="C104" t="b">
        <v>1</v>
      </c>
      <c r="D104" s="1" t="s">
        <v>1662</v>
      </c>
      <c r="E104" s="1" t="s">
        <v>1680</v>
      </c>
      <c r="F104" s="1" t="s">
        <v>1699</v>
      </c>
      <c r="G104" s="1" t="s">
        <v>1716</v>
      </c>
      <c r="H104" s="1" t="s">
        <v>5</v>
      </c>
      <c r="I104">
        <v>1</v>
      </c>
      <c r="L104" s="1"/>
      <c r="M104" s="1"/>
      <c r="N104" s="1"/>
      <c r="O104" s="1"/>
      <c r="P104" s="1" t="s">
        <v>1533</v>
      </c>
    </row>
    <row r="105" spans="1:16" ht="15" customHeight="1" x14ac:dyDescent="0.25">
      <c r="A105" s="1" t="s">
        <v>1440</v>
      </c>
      <c r="B105" s="2" t="s">
        <v>1654</v>
      </c>
      <c r="C105" t="b">
        <v>1</v>
      </c>
      <c r="D105" s="1" t="s">
        <v>1663</v>
      </c>
      <c r="E105" s="1" t="s">
        <v>1681</v>
      </c>
      <c r="F105" s="1" t="s">
        <v>1700</v>
      </c>
      <c r="G105" s="1" t="s">
        <v>1717</v>
      </c>
      <c r="H105" s="1" t="s">
        <v>5</v>
      </c>
      <c r="I105">
        <v>22</v>
      </c>
      <c r="L105" s="1"/>
      <c r="M105" s="1"/>
      <c r="N105" s="1"/>
      <c r="O105" s="1"/>
      <c r="P105" s="1" t="s">
        <v>1533</v>
      </c>
    </row>
    <row r="106" spans="1:16" ht="15" customHeight="1" x14ac:dyDescent="0.25">
      <c r="A106" s="1" t="s">
        <v>1440</v>
      </c>
      <c r="B106" s="2" t="s">
        <v>1654</v>
      </c>
      <c r="C106" t="b">
        <v>1</v>
      </c>
      <c r="D106" s="1" t="s">
        <v>1664</v>
      </c>
      <c r="E106" s="1" t="s">
        <v>1682</v>
      </c>
      <c r="F106" s="1" t="s">
        <v>1701</v>
      </c>
      <c r="G106" s="1" t="s">
        <v>1718</v>
      </c>
      <c r="H106" s="1" t="s">
        <v>5</v>
      </c>
      <c r="I106">
        <v>3</v>
      </c>
      <c r="L106" s="1"/>
      <c r="M106" s="1"/>
      <c r="N106" s="1"/>
      <c r="O106" s="1"/>
      <c r="P106" s="1" t="s">
        <v>1533</v>
      </c>
    </row>
    <row r="107" spans="1:16" ht="15" customHeight="1" x14ac:dyDescent="0.25">
      <c r="A107" s="1" t="s">
        <v>1440</v>
      </c>
      <c r="B107" s="2" t="s">
        <v>1654</v>
      </c>
      <c r="C107" t="b">
        <v>1</v>
      </c>
      <c r="D107" s="1" t="s">
        <v>1665</v>
      </c>
      <c r="E107" s="1" t="s">
        <v>1683</v>
      </c>
      <c r="F107" s="1" t="s">
        <v>1702</v>
      </c>
      <c r="G107" s="1" t="s">
        <v>1719</v>
      </c>
      <c r="H107" s="1" t="s">
        <v>5</v>
      </c>
      <c r="I107">
        <v>2</v>
      </c>
      <c r="L107" s="1"/>
      <c r="M107" s="1"/>
      <c r="N107" s="1"/>
      <c r="O107" s="1"/>
      <c r="P107" s="1" t="s">
        <v>1533</v>
      </c>
    </row>
    <row r="108" spans="1:16" ht="15" customHeight="1" x14ac:dyDescent="0.25">
      <c r="A108" s="1" t="s">
        <v>1440</v>
      </c>
      <c r="B108" s="2" t="s">
        <v>1654</v>
      </c>
      <c r="C108" t="b">
        <v>1</v>
      </c>
      <c r="D108" s="1" t="s">
        <v>1666</v>
      </c>
      <c r="E108" s="1" t="s">
        <v>1684</v>
      </c>
      <c r="F108" s="1" t="s">
        <v>1703</v>
      </c>
      <c r="G108" s="1" t="s">
        <v>1720</v>
      </c>
      <c r="H108" s="1" t="s">
        <v>5</v>
      </c>
      <c r="I108">
        <v>3</v>
      </c>
      <c r="L108" s="1"/>
      <c r="M108" s="1"/>
      <c r="N108" s="1"/>
      <c r="O108" s="1"/>
      <c r="P108" s="1" t="s">
        <v>1533</v>
      </c>
    </row>
    <row r="109" spans="1:16" ht="15" customHeight="1" x14ac:dyDescent="0.25">
      <c r="A109" s="1" t="s">
        <v>1440</v>
      </c>
      <c r="B109" s="2" t="s">
        <v>1654</v>
      </c>
      <c r="C109" t="b">
        <v>1</v>
      </c>
      <c r="D109" s="1" t="s">
        <v>1667</v>
      </c>
      <c r="E109" s="1" t="s">
        <v>1685</v>
      </c>
      <c r="F109" s="1" t="s">
        <v>1704</v>
      </c>
      <c r="G109" s="1" t="s">
        <v>1721</v>
      </c>
      <c r="H109" s="1" t="s">
        <v>5</v>
      </c>
      <c r="I109">
        <v>6</v>
      </c>
      <c r="L109" s="1"/>
      <c r="M109" s="1"/>
      <c r="N109" s="1"/>
      <c r="O109" s="1"/>
      <c r="P109" s="1" t="s">
        <v>1533</v>
      </c>
    </row>
    <row r="110" spans="1:16" ht="15" customHeight="1" x14ac:dyDescent="0.25">
      <c r="A110" s="1" t="s">
        <v>1440</v>
      </c>
      <c r="B110" s="2" t="s">
        <v>1654</v>
      </c>
      <c r="C110" t="b">
        <v>1</v>
      </c>
      <c r="D110" s="1" t="s">
        <v>1668</v>
      </c>
      <c r="E110" s="1" t="s">
        <v>1686</v>
      </c>
      <c r="F110" s="1" t="s">
        <v>1705</v>
      </c>
      <c r="G110" s="1" t="s">
        <v>1722</v>
      </c>
      <c r="H110" s="1" t="s">
        <v>5</v>
      </c>
      <c r="I110">
        <v>4</v>
      </c>
      <c r="L110" s="1"/>
      <c r="M110" s="1"/>
      <c r="N110" s="1"/>
      <c r="O110" s="1"/>
      <c r="P110" s="1" t="s">
        <v>1533</v>
      </c>
    </row>
    <row r="111" spans="1:16" ht="15" customHeight="1" x14ac:dyDescent="0.25">
      <c r="A111" s="1" t="s">
        <v>1440</v>
      </c>
      <c r="B111" s="2" t="s">
        <v>1654</v>
      </c>
      <c r="C111" t="b">
        <v>1</v>
      </c>
      <c r="D111" s="1" t="s">
        <v>1669</v>
      </c>
      <c r="E111" s="1" t="s">
        <v>1687</v>
      </c>
      <c r="F111" s="1" t="s">
        <v>1706</v>
      </c>
      <c r="G111" s="1" t="s">
        <v>1723</v>
      </c>
      <c r="H111" s="1" t="s">
        <v>1576</v>
      </c>
      <c r="J111">
        <v>3</v>
      </c>
      <c r="K111">
        <v>0</v>
      </c>
      <c r="L111" s="1"/>
      <c r="M111" s="1"/>
      <c r="N111" s="1"/>
      <c r="O111" s="1"/>
      <c r="P111" s="1" t="s">
        <v>1533</v>
      </c>
    </row>
    <row r="112" spans="1:16" ht="15" customHeight="1" x14ac:dyDescent="0.25">
      <c r="A112" s="1" t="s">
        <v>1440</v>
      </c>
      <c r="B112" s="2" t="s">
        <v>1654</v>
      </c>
      <c r="C112" t="b">
        <v>1</v>
      </c>
      <c r="D112" s="1" t="s">
        <v>1439</v>
      </c>
      <c r="E112" s="1" t="s">
        <v>1688</v>
      </c>
      <c r="F112" s="1" t="s">
        <v>1707</v>
      </c>
      <c r="G112" s="1" t="s">
        <v>1724</v>
      </c>
      <c r="H112" s="1" t="s">
        <v>5</v>
      </c>
      <c r="I112">
        <v>18</v>
      </c>
      <c r="L112" s="1"/>
      <c r="M112" s="1"/>
      <c r="N112" s="1"/>
      <c r="O112" s="1"/>
      <c r="P112" s="1" t="s">
        <v>1533</v>
      </c>
    </row>
    <row r="113" spans="1:16" ht="15" customHeight="1" x14ac:dyDescent="0.25">
      <c r="A113" s="1" t="s">
        <v>1440</v>
      </c>
      <c r="B113" s="2" t="s">
        <v>1654</v>
      </c>
      <c r="C113" t="b">
        <v>1</v>
      </c>
      <c r="D113" s="1" t="s">
        <v>1670</v>
      </c>
      <c r="E113" s="1" t="s">
        <v>1689</v>
      </c>
      <c r="F113" s="1" t="s">
        <v>1708</v>
      </c>
      <c r="G113" s="1" t="s">
        <v>1291</v>
      </c>
      <c r="H113" s="1" t="s">
        <v>5</v>
      </c>
      <c r="I113">
        <v>1</v>
      </c>
      <c r="L113" s="1"/>
      <c r="M113" s="1"/>
      <c r="N113" s="1"/>
      <c r="O113" s="1"/>
      <c r="P113" s="1" t="s">
        <v>1533</v>
      </c>
    </row>
    <row r="114" spans="1:16" ht="15" customHeight="1" x14ac:dyDescent="0.25">
      <c r="A114" s="1" t="s">
        <v>1440</v>
      </c>
      <c r="B114" s="2" t="s">
        <v>1654</v>
      </c>
      <c r="C114" t="b">
        <v>1</v>
      </c>
      <c r="D114" s="1" t="s">
        <v>1671</v>
      </c>
      <c r="E114" s="1" t="s">
        <v>1690</v>
      </c>
      <c r="F114" s="1" t="s">
        <v>1709</v>
      </c>
      <c r="G114" s="1" t="s">
        <v>1725</v>
      </c>
      <c r="H114" s="1" t="s">
        <v>5</v>
      </c>
      <c r="I114">
        <v>1</v>
      </c>
      <c r="L114" s="1"/>
      <c r="M114" s="1"/>
      <c r="N114" s="1"/>
      <c r="O114" s="1"/>
      <c r="P114" s="1" t="s">
        <v>1533</v>
      </c>
    </row>
    <row r="115" spans="1:16" ht="15" customHeight="1" x14ac:dyDescent="0.25">
      <c r="A115" s="1" t="s">
        <v>1440</v>
      </c>
      <c r="B115" s="2" t="s">
        <v>1654</v>
      </c>
      <c r="D115" s="1"/>
      <c r="E115" s="1"/>
      <c r="F115" s="1"/>
      <c r="G115" s="1"/>
      <c r="H115" s="1"/>
      <c r="L115" s="1" t="s">
        <v>1524</v>
      </c>
      <c r="M115" s="1" t="s">
        <v>1525</v>
      </c>
      <c r="N115" s="1"/>
      <c r="O115" s="1"/>
      <c r="P115" s="1" t="s">
        <v>1533</v>
      </c>
    </row>
    <row r="116" spans="1:16" ht="15" customHeight="1" x14ac:dyDescent="0.25">
      <c r="A116" s="1" t="s">
        <v>1440</v>
      </c>
      <c r="B116" s="2" t="s">
        <v>1654</v>
      </c>
      <c r="D116" s="1"/>
      <c r="E116" s="1"/>
      <c r="F116" s="1"/>
      <c r="G116" s="1"/>
      <c r="H116" s="1"/>
      <c r="L116" s="1" t="s">
        <v>1524</v>
      </c>
      <c r="M116" s="1" t="s">
        <v>1526</v>
      </c>
      <c r="N116" s="1"/>
      <c r="O116" s="1"/>
      <c r="P116" s="1" t="s">
        <v>1533</v>
      </c>
    </row>
    <row r="117" spans="1:16" ht="15" customHeight="1" x14ac:dyDescent="0.25">
      <c r="A117" s="1" t="s">
        <v>1440</v>
      </c>
      <c r="B117" s="2" t="s">
        <v>1654</v>
      </c>
      <c r="D117" s="1"/>
      <c r="E117" s="1"/>
      <c r="F117" s="1"/>
      <c r="G117" s="1"/>
      <c r="H117" s="1"/>
      <c r="L117" s="1"/>
      <c r="M117" s="1"/>
      <c r="N117" s="1" t="s">
        <v>1529</v>
      </c>
      <c r="O117" s="1" t="s">
        <v>1726</v>
      </c>
      <c r="P117" s="1" t="s">
        <v>1533</v>
      </c>
    </row>
    <row r="118" spans="1:16" ht="15" customHeight="1" x14ac:dyDescent="0.25">
      <c r="A118" s="1" t="s">
        <v>1440</v>
      </c>
      <c r="B118" s="2" t="s">
        <v>1654</v>
      </c>
      <c r="D118" s="1"/>
      <c r="E118" s="1"/>
      <c r="F118" s="1"/>
      <c r="G118" s="1"/>
      <c r="H118" s="1"/>
      <c r="L118" s="1"/>
      <c r="M118" s="1"/>
      <c r="N118" s="1" t="s">
        <v>1529</v>
      </c>
      <c r="O118" s="1" t="s">
        <v>1726</v>
      </c>
      <c r="P118" s="1" t="s">
        <v>1533</v>
      </c>
    </row>
    <row r="119" spans="1:16" ht="15" customHeight="1" x14ac:dyDescent="0.25">
      <c r="A119" s="1" t="s">
        <v>1445</v>
      </c>
      <c r="B119" s="2" t="s">
        <v>1727</v>
      </c>
      <c r="C119" t="b">
        <v>0</v>
      </c>
      <c r="D119" s="1" t="s">
        <v>3</v>
      </c>
      <c r="E119" s="1" t="s">
        <v>1471</v>
      </c>
      <c r="F119" s="1" t="s">
        <v>1492</v>
      </c>
      <c r="G119" s="1"/>
      <c r="H119" s="1" t="s">
        <v>5</v>
      </c>
      <c r="I119">
        <v>18</v>
      </c>
      <c r="L119" s="1"/>
      <c r="M119" s="1"/>
      <c r="N119" s="1"/>
      <c r="O119" s="1"/>
      <c r="P119" s="1" t="s">
        <v>1533</v>
      </c>
    </row>
    <row r="120" spans="1:16" ht="15" customHeight="1" x14ac:dyDescent="0.25">
      <c r="A120" s="1" t="s">
        <v>1445</v>
      </c>
      <c r="B120" s="2" t="s">
        <v>1727</v>
      </c>
      <c r="C120" t="b">
        <v>1</v>
      </c>
      <c r="D120" s="1" t="s">
        <v>1370</v>
      </c>
      <c r="E120" s="1" t="s">
        <v>1472</v>
      </c>
      <c r="F120" s="1" t="s">
        <v>1493</v>
      </c>
      <c r="G120" s="1"/>
      <c r="H120" s="1" t="s">
        <v>5</v>
      </c>
      <c r="I120">
        <v>40</v>
      </c>
      <c r="L120" s="1"/>
      <c r="M120" s="1"/>
      <c r="N120" s="1"/>
      <c r="O120" s="1"/>
      <c r="P120" s="1" t="s">
        <v>1533</v>
      </c>
    </row>
    <row r="121" spans="1:16" ht="15" customHeight="1" x14ac:dyDescent="0.25">
      <c r="A121" s="1" t="s">
        <v>1445</v>
      </c>
      <c r="B121" s="2" t="s">
        <v>1727</v>
      </c>
      <c r="C121" t="b">
        <v>1</v>
      </c>
      <c r="D121" s="1" t="s">
        <v>1279</v>
      </c>
      <c r="E121" s="1" t="s">
        <v>1473</v>
      </c>
      <c r="F121" s="1" t="s">
        <v>1494</v>
      </c>
      <c r="G121" s="1" t="s">
        <v>1279</v>
      </c>
      <c r="H121" s="1" t="s">
        <v>5</v>
      </c>
      <c r="I121">
        <v>4</v>
      </c>
      <c r="L121" s="1"/>
      <c r="M121" s="1"/>
      <c r="N121" s="1"/>
      <c r="O121" s="1"/>
      <c r="P121" s="1" t="s">
        <v>1533</v>
      </c>
    </row>
    <row r="122" spans="1:16" ht="15" customHeight="1" x14ac:dyDescent="0.25">
      <c r="A122" s="1" t="s">
        <v>1445</v>
      </c>
      <c r="B122" s="2" t="s">
        <v>1727</v>
      </c>
      <c r="C122" t="b">
        <v>0</v>
      </c>
      <c r="D122" s="1" t="s">
        <v>1265</v>
      </c>
      <c r="E122" s="1" t="s">
        <v>1474</v>
      </c>
      <c r="F122" s="1" t="s">
        <v>1495</v>
      </c>
      <c r="G122" s="1"/>
      <c r="H122" s="1" t="s">
        <v>5</v>
      </c>
      <c r="I122">
        <v>4</v>
      </c>
      <c r="L122" s="1"/>
      <c r="M122" s="1"/>
      <c r="N122" s="1"/>
      <c r="O122" s="1"/>
      <c r="P122" s="1" t="s">
        <v>1533</v>
      </c>
    </row>
    <row r="123" spans="1:16" ht="15" customHeight="1" x14ac:dyDescent="0.25">
      <c r="A123" s="1" t="s">
        <v>1445</v>
      </c>
      <c r="B123" s="2" t="s">
        <v>1727</v>
      </c>
      <c r="C123" t="b">
        <v>1</v>
      </c>
      <c r="D123" s="1" t="s">
        <v>1369</v>
      </c>
      <c r="E123" s="1" t="s">
        <v>1475</v>
      </c>
      <c r="F123" s="1" t="s">
        <v>1496</v>
      </c>
      <c r="G123" s="1"/>
      <c r="H123" s="1" t="s">
        <v>5</v>
      </c>
      <c r="I123">
        <v>3</v>
      </c>
      <c r="L123" s="1"/>
      <c r="M123" s="1"/>
      <c r="N123" s="1"/>
      <c r="O123" s="1"/>
      <c r="P123" s="1" t="s">
        <v>1533</v>
      </c>
    </row>
    <row r="124" spans="1:16" ht="15" customHeight="1" x14ac:dyDescent="0.25">
      <c r="A124" s="1" t="s">
        <v>1445</v>
      </c>
      <c r="B124" s="2" t="s">
        <v>1727</v>
      </c>
      <c r="C124" t="b">
        <v>1</v>
      </c>
      <c r="D124" s="1" t="s">
        <v>1728</v>
      </c>
      <c r="E124" s="1" t="s">
        <v>1742</v>
      </c>
      <c r="F124" s="1" t="s">
        <v>1762</v>
      </c>
      <c r="G124" s="1"/>
      <c r="H124" s="1" t="s">
        <v>5</v>
      </c>
      <c r="I124">
        <v>1</v>
      </c>
      <c r="L124" s="1"/>
      <c r="M124" s="1"/>
      <c r="N124" s="1"/>
      <c r="O124" s="1"/>
      <c r="P124" s="1" t="s">
        <v>1533</v>
      </c>
    </row>
    <row r="125" spans="1:16" ht="15" customHeight="1" x14ac:dyDescent="0.25">
      <c r="A125" s="1" t="s">
        <v>1445</v>
      </c>
      <c r="B125" s="2" t="s">
        <v>1727</v>
      </c>
      <c r="C125" t="b">
        <v>1</v>
      </c>
      <c r="D125" s="1" t="s">
        <v>1729</v>
      </c>
      <c r="E125" s="1" t="s">
        <v>1743</v>
      </c>
      <c r="F125" s="1" t="s">
        <v>1763</v>
      </c>
      <c r="G125" s="1" t="s">
        <v>1782</v>
      </c>
      <c r="H125" s="1" t="s">
        <v>5</v>
      </c>
      <c r="I125">
        <v>1</v>
      </c>
      <c r="L125" s="1"/>
      <c r="M125" s="1"/>
      <c r="N125" s="1"/>
      <c r="O125" s="1"/>
      <c r="P125" s="1" t="s">
        <v>1533</v>
      </c>
    </row>
    <row r="126" spans="1:16" ht="15" customHeight="1" x14ac:dyDescent="0.25">
      <c r="A126" s="1" t="s">
        <v>1445</v>
      </c>
      <c r="B126" s="2" t="s">
        <v>1727</v>
      </c>
      <c r="C126" t="b">
        <v>1</v>
      </c>
      <c r="D126" s="1" t="s">
        <v>1442</v>
      </c>
      <c r="E126" s="1" t="s">
        <v>1744</v>
      </c>
      <c r="F126" s="1" t="s">
        <v>1764</v>
      </c>
      <c r="G126" s="1" t="s">
        <v>1783</v>
      </c>
      <c r="H126" s="1" t="s">
        <v>5</v>
      </c>
      <c r="I126">
        <v>4</v>
      </c>
      <c r="L126" s="1"/>
      <c r="M126" s="1"/>
      <c r="N126" s="1"/>
      <c r="O126" s="1"/>
      <c r="P126" s="1" t="s">
        <v>1533</v>
      </c>
    </row>
    <row r="127" spans="1:16" ht="15" customHeight="1" x14ac:dyDescent="0.25">
      <c r="A127" s="1" t="s">
        <v>1445</v>
      </c>
      <c r="B127" s="2" t="s">
        <v>1727</v>
      </c>
      <c r="C127" t="b">
        <v>1</v>
      </c>
      <c r="D127" s="1" t="s">
        <v>1730</v>
      </c>
      <c r="E127" s="1" t="s">
        <v>1745</v>
      </c>
      <c r="F127" s="1" t="s">
        <v>1765</v>
      </c>
      <c r="G127" s="1" t="s">
        <v>1784</v>
      </c>
      <c r="H127" s="1" t="s">
        <v>5</v>
      </c>
      <c r="I127">
        <v>1</v>
      </c>
      <c r="L127" s="1"/>
      <c r="M127" s="1"/>
      <c r="N127" s="1"/>
      <c r="O127" s="1"/>
      <c r="P127" s="1" t="s">
        <v>1533</v>
      </c>
    </row>
    <row r="128" spans="1:16" ht="15" customHeight="1" x14ac:dyDescent="0.25">
      <c r="A128" s="1" t="s">
        <v>1445</v>
      </c>
      <c r="B128" s="2" t="s">
        <v>1727</v>
      </c>
      <c r="C128" t="b">
        <v>1</v>
      </c>
      <c r="D128" s="1" t="s">
        <v>1731</v>
      </c>
      <c r="E128" s="1" t="s">
        <v>1746</v>
      </c>
      <c r="F128" s="1" t="s">
        <v>1766</v>
      </c>
      <c r="G128" s="1" t="s">
        <v>1785</v>
      </c>
      <c r="H128" s="1" t="s">
        <v>5</v>
      </c>
      <c r="I128">
        <v>10</v>
      </c>
      <c r="L128" s="1"/>
      <c r="M128" s="1"/>
      <c r="N128" s="1"/>
      <c r="O128" s="1"/>
      <c r="P128" s="1" t="s">
        <v>1533</v>
      </c>
    </row>
    <row r="129" spans="1:16" ht="15" customHeight="1" x14ac:dyDescent="0.25">
      <c r="A129" s="1" t="s">
        <v>1445</v>
      </c>
      <c r="B129" s="2" t="s">
        <v>1727</v>
      </c>
      <c r="C129" t="b">
        <v>1</v>
      </c>
      <c r="D129" s="1" t="s">
        <v>1444</v>
      </c>
      <c r="E129" s="1" t="s">
        <v>1747</v>
      </c>
      <c r="F129" s="1" t="s">
        <v>1767</v>
      </c>
      <c r="G129" s="1"/>
      <c r="H129" s="1" t="s">
        <v>5</v>
      </c>
      <c r="I129">
        <v>6</v>
      </c>
      <c r="L129" s="1"/>
      <c r="M129" s="1"/>
      <c r="N129" s="1"/>
      <c r="O129" s="1"/>
      <c r="P129" s="1" t="s">
        <v>1533</v>
      </c>
    </row>
    <row r="130" spans="1:16" ht="15" customHeight="1" x14ac:dyDescent="0.25">
      <c r="A130" s="1" t="s">
        <v>1445</v>
      </c>
      <c r="B130" s="2" t="s">
        <v>1727</v>
      </c>
      <c r="C130" t="b">
        <v>1</v>
      </c>
      <c r="D130" s="1" t="s">
        <v>1312</v>
      </c>
      <c r="E130" s="1" t="s">
        <v>1748</v>
      </c>
      <c r="F130" s="1" t="s">
        <v>1768</v>
      </c>
      <c r="G130" s="1"/>
      <c r="H130" s="1" t="s">
        <v>5</v>
      </c>
      <c r="I130">
        <v>2</v>
      </c>
      <c r="L130" s="1"/>
      <c r="M130" s="1"/>
      <c r="N130" s="1"/>
      <c r="O130" s="1"/>
      <c r="P130" s="1" t="s">
        <v>1533</v>
      </c>
    </row>
    <row r="131" spans="1:16" ht="15" customHeight="1" x14ac:dyDescent="0.25">
      <c r="A131" s="1" t="s">
        <v>1445</v>
      </c>
      <c r="B131" s="2" t="s">
        <v>1727</v>
      </c>
      <c r="C131" t="b">
        <v>1</v>
      </c>
      <c r="D131" s="1" t="s">
        <v>1470</v>
      </c>
      <c r="E131" s="1" t="s">
        <v>1749</v>
      </c>
      <c r="F131" s="1" t="s">
        <v>1769</v>
      </c>
      <c r="G131" s="1"/>
      <c r="H131" s="1" t="s">
        <v>28</v>
      </c>
      <c r="L131" s="1"/>
      <c r="M131" s="1"/>
      <c r="N131" s="1"/>
      <c r="O131" s="1"/>
      <c r="P131" s="1" t="s">
        <v>1533</v>
      </c>
    </row>
    <row r="132" spans="1:16" ht="15" customHeight="1" x14ac:dyDescent="0.25">
      <c r="A132" s="1" t="s">
        <v>1445</v>
      </c>
      <c r="B132" s="2" t="s">
        <v>1727</v>
      </c>
      <c r="C132" t="b">
        <v>1</v>
      </c>
      <c r="D132" s="1" t="s">
        <v>1732</v>
      </c>
      <c r="E132" s="1" t="s">
        <v>1750</v>
      </c>
      <c r="F132" s="1" t="s">
        <v>1770</v>
      </c>
      <c r="G132" s="1"/>
      <c r="H132" s="1" t="s">
        <v>5</v>
      </c>
      <c r="I132">
        <v>10</v>
      </c>
      <c r="L132" s="1"/>
      <c r="M132" s="1"/>
      <c r="N132" s="1"/>
      <c r="O132" s="1"/>
      <c r="P132" s="1" t="s">
        <v>1533</v>
      </c>
    </row>
    <row r="133" spans="1:16" ht="15" customHeight="1" x14ac:dyDescent="0.25">
      <c r="A133" s="1" t="s">
        <v>1445</v>
      </c>
      <c r="B133" s="2" t="s">
        <v>1727</v>
      </c>
      <c r="C133" t="b">
        <v>1</v>
      </c>
      <c r="D133" s="1" t="s">
        <v>1733</v>
      </c>
      <c r="E133" s="1" t="s">
        <v>1751</v>
      </c>
      <c r="F133" s="1" t="s">
        <v>1771</v>
      </c>
      <c r="G133" s="1"/>
      <c r="H133" s="1" t="s">
        <v>5</v>
      </c>
      <c r="I133">
        <v>2</v>
      </c>
      <c r="L133" s="1"/>
      <c r="M133" s="1"/>
      <c r="N133" s="1"/>
      <c r="O133" s="1"/>
      <c r="P133" s="1" t="s">
        <v>1533</v>
      </c>
    </row>
    <row r="134" spans="1:16" ht="15" customHeight="1" x14ac:dyDescent="0.25">
      <c r="A134" s="1" t="s">
        <v>1445</v>
      </c>
      <c r="B134" s="2" t="s">
        <v>1727</v>
      </c>
      <c r="C134" t="b">
        <v>1</v>
      </c>
      <c r="D134" s="1" t="s">
        <v>1734</v>
      </c>
      <c r="E134" s="1" t="s">
        <v>1752</v>
      </c>
      <c r="F134" s="1" t="s">
        <v>1772</v>
      </c>
      <c r="G134" s="1"/>
      <c r="H134" s="1" t="s">
        <v>5</v>
      </c>
      <c r="I134">
        <v>1</v>
      </c>
      <c r="L134" s="1"/>
      <c r="M134" s="1"/>
      <c r="N134" s="1"/>
      <c r="O134" s="1"/>
      <c r="P134" s="1" t="s">
        <v>1533</v>
      </c>
    </row>
    <row r="135" spans="1:16" ht="15" customHeight="1" x14ac:dyDescent="0.25">
      <c r="A135" s="1" t="s">
        <v>1445</v>
      </c>
      <c r="B135" s="2" t="s">
        <v>1727</v>
      </c>
      <c r="C135" t="b">
        <v>1</v>
      </c>
      <c r="D135" s="1" t="s">
        <v>1441</v>
      </c>
      <c r="E135" s="1" t="s">
        <v>1753</v>
      </c>
      <c r="F135" s="1" t="s">
        <v>1773</v>
      </c>
      <c r="G135" s="1"/>
      <c r="H135" s="1" t="s">
        <v>5</v>
      </c>
      <c r="I135">
        <v>8</v>
      </c>
      <c r="L135" s="1"/>
      <c r="M135" s="1"/>
      <c r="N135" s="1"/>
      <c r="O135" s="1"/>
      <c r="P135" s="1" t="s">
        <v>1533</v>
      </c>
    </row>
    <row r="136" spans="1:16" ht="15" customHeight="1" x14ac:dyDescent="0.25">
      <c r="A136" s="1" t="s">
        <v>1445</v>
      </c>
      <c r="B136" s="2" t="s">
        <v>1727</v>
      </c>
      <c r="C136" t="b">
        <v>1</v>
      </c>
      <c r="D136" s="1" t="s">
        <v>1735</v>
      </c>
      <c r="E136" s="1" t="s">
        <v>1754</v>
      </c>
      <c r="F136" s="1" t="s">
        <v>1774</v>
      </c>
      <c r="G136" s="1"/>
      <c r="H136" s="1" t="s">
        <v>5</v>
      </c>
      <c r="I136">
        <v>2</v>
      </c>
      <c r="L136" s="1"/>
      <c r="M136" s="1"/>
      <c r="N136" s="1"/>
      <c r="O136" s="1"/>
      <c r="P136" s="1" t="s">
        <v>1533</v>
      </c>
    </row>
    <row r="137" spans="1:16" ht="15" customHeight="1" x14ac:dyDescent="0.25">
      <c r="A137" s="1" t="s">
        <v>1445</v>
      </c>
      <c r="B137" s="2" t="s">
        <v>1727</v>
      </c>
      <c r="C137" t="b">
        <v>1</v>
      </c>
      <c r="D137" s="1" t="s">
        <v>1443</v>
      </c>
      <c r="E137" s="1" t="s">
        <v>1755</v>
      </c>
      <c r="F137" s="1" t="s">
        <v>1775</v>
      </c>
      <c r="G137" s="1"/>
      <c r="H137" s="1" t="s">
        <v>5</v>
      </c>
      <c r="I137">
        <v>1</v>
      </c>
      <c r="L137" s="1"/>
      <c r="M137" s="1"/>
      <c r="N137" s="1"/>
      <c r="O137" s="1"/>
      <c r="P137" s="1" t="s">
        <v>1533</v>
      </c>
    </row>
    <row r="138" spans="1:16" ht="15" customHeight="1" x14ac:dyDescent="0.25">
      <c r="A138" s="1" t="s">
        <v>1445</v>
      </c>
      <c r="B138" s="2" t="s">
        <v>1727</v>
      </c>
      <c r="C138" t="b">
        <v>1</v>
      </c>
      <c r="D138" s="1" t="s">
        <v>1736</v>
      </c>
      <c r="E138" s="1" t="s">
        <v>1756</v>
      </c>
      <c r="F138" s="1" t="s">
        <v>1776</v>
      </c>
      <c r="G138" s="1"/>
      <c r="H138" s="1" t="s">
        <v>5</v>
      </c>
      <c r="I138">
        <v>2</v>
      </c>
      <c r="L138" s="1"/>
      <c r="M138" s="1"/>
      <c r="N138" s="1"/>
      <c r="O138" s="1"/>
      <c r="P138" s="1" t="s">
        <v>1533</v>
      </c>
    </row>
    <row r="139" spans="1:16" ht="15" customHeight="1" x14ac:dyDescent="0.25">
      <c r="A139" s="1" t="s">
        <v>1445</v>
      </c>
      <c r="B139" s="2" t="s">
        <v>1727</v>
      </c>
      <c r="C139" t="b">
        <v>1</v>
      </c>
      <c r="D139" s="1" t="s">
        <v>1737</v>
      </c>
      <c r="E139" s="1" t="s">
        <v>1757</v>
      </c>
      <c r="F139" s="1" t="s">
        <v>1777</v>
      </c>
      <c r="G139" s="1"/>
      <c r="H139" s="1" t="s">
        <v>748</v>
      </c>
      <c r="J139">
        <v>13</v>
      </c>
      <c r="K139">
        <v>0</v>
      </c>
      <c r="L139" s="1"/>
      <c r="M139" s="1"/>
      <c r="N139" s="1"/>
      <c r="O139" s="1"/>
      <c r="P139" s="1" t="s">
        <v>1533</v>
      </c>
    </row>
    <row r="140" spans="1:16" ht="15" customHeight="1" x14ac:dyDescent="0.25">
      <c r="A140" s="1" t="s">
        <v>1445</v>
      </c>
      <c r="B140" s="2" t="s">
        <v>1727</v>
      </c>
      <c r="C140" t="b">
        <v>1</v>
      </c>
      <c r="D140" s="1" t="s">
        <v>1738</v>
      </c>
      <c r="E140" s="1" t="s">
        <v>1758</v>
      </c>
      <c r="F140" s="1" t="s">
        <v>1778</v>
      </c>
      <c r="G140" s="1"/>
      <c r="H140" s="1" t="s">
        <v>5</v>
      </c>
      <c r="I140">
        <v>1</v>
      </c>
      <c r="L140" s="1"/>
      <c r="M140" s="1"/>
      <c r="N140" s="1"/>
      <c r="O140" s="1"/>
      <c r="P140" s="1" t="s">
        <v>1533</v>
      </c>
    </row>
    <row r="141" spans="1:16" ht="15" customHeight="1" x14ac:dyDescent="0.25">
      <c r="A141" s="1" t="s">
        <v>1445</v>
      </c>
      <c r="B141" s="2" t="s">
        <v>1727</v>
      </c>
      <c r="C141" t="b">
        <v>1</v>
      </c>
      <c r="D141" s="1" t="s">
        <v>1739</v>
      </c>
      <c r="E141" s="1" t="s">
        <v>1759</v>
      </c>
      <c r="F141" s="1" t="s">
        <v>1779</v>
      </c>
      <c r="G141" s="1"/>
      <c r="H141" s="1" t="s">
        <v>5</v>
      </c>
      <c r="I141">
        <v>1</v>
      </c>
      <c r="L141" s="1"/>
      <c r="M141" s="1"/>
      <c r="N141" s="1"/>
      <c r="O141" s="1"/>
      <c r="P141" s="1" t="s">
        <v>1533</v>
      </c>
    </row>
    <row r="142" spans="1:16" ht="15" customHeight="1" x14ac:dyDescent="0.25">
      <c r="A142" s="1" t="s">
        <v>1445</v>
      </c>
      <c r="B142" s="2" t="s">
        <v>1727</v>
      </c>
      <c r="C142" t="b">
        <v>1</v>
      </c>
      <c r="D142" s="1" t="s">
        <v>1740</v>
      </c>
      <c r="E142" s="1" t="s">
        <v>1760</v>
      </c>
      <c r="F142" s="1" t="s">
        <v>1780</v>
      </c>
      <c r="G142" s="1"/>
      <c r="H142" s="1" t="s">
        <v>5</v>
      </c>
      <c r="I142">
        <v>1</v>
      </c>
      <c r="L142" s="1"/>
      <c r="M142" s="1"/>
      <c r="N142" s="1"/>
      <c r="O142" s="1"/>
      <c r="P142" s="1" t="s">
        <v>1533</v>
      </c>
    </row>
    <row r="143" spans="1:16" ht="15" customHeight="1" x14ac:dyDescent="0.25">
      <c r="A143" s="1" t="s">
        <v>1445</v>
      </c>
      <c r="B143" s="2" t="s">
        <v>1727</v>
      </c>
      <c r="C143" t="b">
        <v>1</v>
      </c>
      <c r="D143" s="1" t="s">
        <v>1741</v>
      </c>
      <c r="E143" s="1" t="s">
        <v>1761</v>
      </c>
      <c r="F143" s="1" t="s">
        <v>1781</v>
      </c>
      <c r="G143" s="1"/>
      <c r="H143" s="1" t="s">
        <v>5</v>
      </c>
      <c r="I143">
        <v>4</v>
      </c>
      <c r="L143" s="1"/>
      <c r="M143" s="1"/>
      <c r="N143" s="1"/>
      <c r="O143" s="1"/>
      <c r="P143" s="1" t="s">
        <v>1533</v>
      </c>
    </row>
    <row r="144" spans="1:16" ht="15" customHeight="1" x14ac:dyDescent="0.25">
      <c r="A144" s="1" t="s">
        <v>1445</v>
      </c>
      <c r="B144" s="2" t="s">
        <v>1727</v>
      </c>
      <c r="D144" s="1"/>
      <c r="E144" s="1"/>
      <c r="F144" s="1"/>
      <c r="G144" s="1"/>
      <c r="H144" s="1"/>
      <c r="L144" s="1" t="s">
        <v>1524</v>
      </c>
      <c r="M144" s="1" t="s">
        <v>1525</v>
      </c>
      <c r="N144" s="1"/>
      <c r="O144" s="1"/>
      <c r="P144" s="1" t="s">
        <v>1533</v>
      </c>
    </row>
    <row r="145" spans="1:16" ht="15" customHeight="1" x14ac:dyDescent="0.25">
      <c r="A145" s="1" t="s">
        <v>1445</v>
      </c>
      <c r="B145" s="2" t="s">
        <v>1727</v>
      </c>
      <c r="D145" s="1"/>
      <c r="E145" s="1"/>
      <c r="F145" s="1"/>
      <c r="G145" s="1"/>
      <c r="H145" s="1"/>
      <c r="L145" s="1" t="s">
        <v>1524</v>
      </c>
      <c r="M145" s="1" t="s">
        <v>1526</v>
      </c>
      <c r="N145" s="1"/>
      <c r="O145" s="1"/>
      <c r="P145" s="1" t="s">
        <v>1533</v>
      </c>
    </row>
    <row r="146" spans="1:16" ht="15" customHeight="1" x14ac:dyDescent="0.25">
      <c r="A146" s="1" t="s">
        <v>1445</v>
      </c>
      <c r="B146" s="2" t="s">
        <v>1727</v>
      </c>
      <c r="D146" s="1"/>
      <c r="E146" s="1"/>
      <c r="F146" s="1"/>
      <c r="G146" s="1"/>
      <c r="H146" s="1"/>
      <c r="L146" s="1" t="s">
        <v>1524</v>
      </c>
      <c r="M146" s="1" t="s">
        <v>1527</v>
      </c>
      <c r="N146" s="1"/>
      <c r="O146" s="1"/>
      <c r="P146" s="1" t="s">
        <v>1533</v>
      </c>
    </row>
    <row r="147" spans="1:16" ht="15" customHeight="1" x14ac:dyDescent="0.25">
      <c r="A147" s="1" t="s">
        <v>1445</v>
      </c>
      <c r="B147" s="2" t="s">
        <v>1727</v>
      </c>
      <c r="D147" s="1"/>
      <c r="E147" s="1"/>
      <c r="F147" s="1"/>
      <c r="G147" s="1"/>
      <c r="H147" s="1"/>
      <c r="L147" s="1" t="s">
        <v>1524</v>
      </c>
      <c r="M147" s="1" t="s">
        <v>1528</v>
      </c>
      <c r="N147" s="1"/>
      <c r="O147" s="1"/>
      <c r="P147" s="1" t="s">
        <v>1533</v>
      </c>
    </row>
    <row r="148" spans="1:16" ht="15" customHeight="1" x14ac:dyDescent="0.25">
      <c r="A148" s="1" t="s">
        <v>1445</v>
      </c>
      <c r="B148" s="2" t="s">
        <v>1727</v>
      </c>
      <c r="D148" s="1"/>
      <c r="E148" s="1"/>
      <c r="F148" s="1"/>
      <c r="G148" s="1"/>
      <c r="H148" s="1"/>
      <c r="L148" s="1"/>
      <c r="M148" s="1"/>
      <c r="N148" s="1" t="s">
        <v>1529</v>
      </c>
      <c r="O148" s="1" t="s">
        <v>1577</v>
      </c>
      <c r="P148" s="1" t="s">
        <v>1533</v>
      </c>
    </row>
    <row r="149" spans="1:16" ht="15" customHeight="1" x14ac:dyDescent="0.25">
      <c r="A149" s="1" t="s">
        <v>1445</v>
      </c>
      <c r="B149" s="2" t="s">
        <v>1727</v>
      </c>
      <c r="D149" s="1"/>
      <c r="E149" s="1"/>
      <c r="F149" s="1"/>
      <c r="G149" s="1"/>
      <c r="H149" s="1"/>
      <c r="L149" s="1"/>
      <c r="M149" s="1"/>
      <c r="N149" s="1" t="s">
        <v>1529</v>
      </c>
      <c r="O149" s="1" t="s">
        <v>1577</v>
      </c>
      <c r="P149" s="1" t="s">
        <v>1533</v>
      </c>
    </row>
    <row r="150" spans="1:16" ht="15" customHeight="1" x14ac:dyDescent="0.25">
      <c r="A150" s="1" t="s">
        <v>1445</v>
      </c>
      <c r="B150" s="2" t="s">
        <v>1727</v>
      </c>
      <c r="D150" s="1"/>
      <c r="E150" s="1"/>
      <c r="F150" s="1"/>
      <c r="G150" s="1"/>
      <c r="H150" s="1"/>
      <c r="L150" s="1"/>
      <c r="M150" s="1"/>
      <c r="N150" s="1" t="s">
        <v>1529</v>
      </c>
      <c r="O150" s="1" t="s">
        <v>1578</v>
      </c>
      <c r="P150" s="1" t="s">
        <v>1533</v>
      </c>
    </row>
    <row r="151" spans="1:16" ht="15" customHeight="1" x14ac:dyDescent="0.25">
      <c r="A151" s="1" t="s">
        <v>1445</v>
      </c>
      <c r="B151" s="2" t="s">
        <v>1727</v>
      </c>
      <c r="D151" s="1"/>
      <c r="E151" s="1"/>
      <c r="F151" s="1"/>
      <c r="G151" s="1"/>
      <c r="H151" s="1"/>
      <c r="L151" s="1"/>
      <c r="M151" s="1"/>
      <c r="N151" s="1" t="s">
        <v>1529</v>
      </c>
      <c r="O151" s="1" t="s">
        <v>1578</v>
      </c>
      <c r="P151" s="1" t="s">
        <v>1533</v>
      </c>
    </row>
    <row r="152" spans="1:16" ht="15" customHeight="1" x14ac:dyDescent="0.25">
      <c r="A152" s="1" t="s">
        <v>1445</v>
      </c>
      <c r="B152" s="2" t="s">
        <v>1727</v>
      </c>
      <c r="D152" s="1"/>
      <c r="E152" s="1"/>
      <c r="F152" s="1"/>
      <c r="G152" s="1"/>
      <c r="H152" s="1"/>
      <c r="L152" s="1"/>
      <c r="M152" s="1"/>
      <c r="N152" s="1" t="s">
        <v>1529</v>
      </c>
      <c r="O152" s="1" t="s">
        <v>1578</v>
      </c>
      <c r="P152" s="1" t="s">
        <v>1533</v>
      </c>
    </row>
    <row r="153" spans="1:16" ht="15" customHeight="1" x14ac:dyDescent="0.25">
      <c r="A153" s="1" t="s">
        <v>1445</v>
      </c>
      <c r="B153" s="2" t="s">
        <v>1727</v>
      </c>
      <c r="D153" s="1"/>
      <c r="E153" s="1"/>
      <c r="F153" s="1"/>
      <c r="G153" s="1"/>
      <c r="H153" s="1"/>
      <c r="L153" s="1"/>
      <c r="M153" s="1"/>
      <c r="N153" s="1" t="s">
        <v>1529</v>
      </c>
      <c r="O153" s="1" t="s">
        <v>1579</v>
      </c>
      <c r="P153" s="1" t="s">
        <v>1533</v>
      </c>
    </row>
    <row r="154" spans="1:16" ht="15" customHeight="1" x14ac:dyDescent="0.25">
      <c r="A154" s="1" t="s">
        <v>1445</v>
      </c>
      <c r="B154" s="2" t="s">
        <v>1727</v>
      </c>
      <c r="D154" s="1"/>
      <c r="E154" s="1"/>
      <c r="F154" s="1"/>
      <c r="G154" s="1"/>
      <c r="H154" s="1"/>
      <c r="L154" s="1"/>
      <c r="M154" s="1"/>
      <c r="N154" s="1" t="s">
        <v>1529</v>
      </c>
      <c r="O154" s="1" t="s">
        <v>1579</v>
      </c>
      <c r="P154" s="1" t="s">
        <v>1533</v>
      </c>
    </row>
    <row r="155" spans="1:16" ht="15" customHeight="1" x14ac:dyDescent="0.25">
      <c r="A155" s="1" t="s">
        <v>1445</v>
      </c>
      <c r="B155" s="2" t="s">
        <v>1727</v>
      </c>
      <c r="D155" s="1"/>
      <c r="E155" s="1"/>
      <c r="F155" s="1"/>
      <c r="G155" s="1"/>
      <c r="H155" s="1"/>
      <c r="L155" s="1"/>
      <c r="M155" s="1"/>
      <c r="N155" s="1" t="s">
        <v>1529</v>
      </c>
      <c r="O155" s="1" t="s">
        <v>1579</v>
      </c>
      <c r="P155" s="1" t="s">
        <v>1533</v>
      </c>
    </row>
    <row r="156" spans="1:16" ht="15" customHeight="1" x14ac:dyDescent="0.25">
      <c r="A156" s="1" t="s">
        <v>1445</v>
      </c>
      <c r="B156" s="2" t="s">
        <v>1727</v>
      </c>
      <c r="D156" s="1"/>
      <c r="E156" s="1"/>
      <c r="F156" s="1"/>
      <c r="G156" s="1"/>
      <c r="H156" s="1"/>
      <c r="L156" s="1"/>
      <c r="M156" s="1"/>
      <c r="N156" s="1" t="s">
        <v>1529</v>
      </c>
      <c r="O156" s="1" t="s">
        <v>1579</v>
      </c>
      <c r="P156" s="1" t="s">
        <v>1533</v>
      </c>
    </row>
    <row r="157" spans="1:16" ht="15" customHeight="1" x14ac:dyDescent="0.25">
      <c r="A157" s="1" t="s">
        <v>1446</v>
      </c>
      <c r="B157" s="2" t="s">
        <v>1786</v>
      </c>
      <c r="C157" t="b">
        <v>0</v>
      </c>
      <c r="D157" s="1" t="s">
        <v>3</v>
      </c>
      <c r="E157" s="1" t="s">
        <v>1471</v>
      </c>
      <c r="F157" s="1" t="s">
        <v>1492</v>
      </c>
      <c r="G157" s="1"/>
      <c r="H157" s="1" t="s">
        <v>5</v>
      </c>
      <c r="I157">
        <v>18</v>
      </c>
      <c r="L157" s="1"/>
      <c r="M157" s="1"/>
      <c r="N157" s="1"/>
      <c r="O157" s="1"/>
      <c r="P157" s="1" t="s">
        <v>1533</v>
      </c>
    </row>
    <row r="158" spans="1:16" ht="15" customHeight="1" x14ac:dyDescent="0.25">
      <c r="A158" s="1" t="s">
        <v>1446</v>
      </c>
      <c r="B158" s="2" t="s">
        <v>1786</v>
      </c>
      <c r="C158" t="b">
        <v>1</v>
      </c>
      <c r="D158" s="1" t="s">
        <v>1370</v>
      </c>
      <c r="E158" s="1" t="s">
        <v>1472</v>
      </c>
      <c r="F158" s="1" t="s">
        <v>1493</v>
      </c>
      <c r="G158" s="1"/>
      <c r="H158" s="1" t="s">
        <v>5</v>
      </c>
      <c r="I158">
        <v>40</v>
      </c>
      <c r="L158" s="1"/>
      <c r="M158" s="1"/>
      <c r="N158" s="1"/>
      <c r="O158" s="1"/>
      <c r="P158" s="1" t="s">
        <v>1533</v>
      </c>
    </row>
    <row r="159" spans="1:16" ht="15" customHeight="1" x14ac:dyDescent="0.25">
      <c r="A159" s="1" t="s">
        <v>1446</v>
      </c>
      <c r="B159" s="2" t="s">
        <v>1786</v>
      </c>
      <c r="C159" t="b">
        <v>1</v>
      </c>
      <c r="D159" s="1" t="s">
        <v>1279</v>
      </c>
      <c r="E159" s="1" t="s">
        <v>1473</v>
      </c>
      <c r="F159" s="1" t="s">
        <v>1494</v>
      </c>
      <c r="G159" s="1" t="s">
        <v>1279</v>
      </c>
      <c r="H159" s="1" t="s">
        <v>5</v>
      </c>
      <c r="I159">
        <v>4</v>
      </c>
      <c r="L159" s="1"/>
      <c r="M159" s="1"/>
      <c r="N159" s="1"/>
      <c r="O159" s="1"/>
      <c r="P159" s="1" t="s">
        <v>1533</v>
      </c>
    </row>
    <row r="160" spans="1:16" ht="15" customHeight="1" x14ac:dyDescent="0.25">
      <c r="A160" s="1" t="s">
        <v>1446</v>
      </c>
      <c r="B160" s="2" t="s">
        <v>1786</v>
      </c>
      <c r="C160" t="b">
        <v>0</v>
      </c>
      <c r="D160" s="1" t="s">
        <v>1265</v>
      </c>
      <c r="E160" s="1" t="s">
        <v>1474</v>
      </c>
      <c r="F160" s="1" t="s">
        <v>1495</v>
      </c>
      <c r="G160" s="1"/>
      <c r="H160" s="1" t="s">
        <v>5</v>
      </c>
      <c r="I160">
        <v>4</v>
      </c>
      <c r="L160" s="1"/>
      <c r="M160" s="1"/>
      <c r="N160" s="1"/>
      <c r="O160" s="1"/>
      <c r="P160" s="1" t="s">
        <v>1533</v>
      </c>
    </row>
    <row r="161" spans="1:16" ht="15" customHeight="1" x14ac:dyDescent="0.25">
      <c r="A161" s="1" t="s">
        <v>1446</v>
      </c>
      <c r="B161" s="2" t="s">
        <v>1786</v>
      </c>
      <c r="C161" t="b">
        <v>1</v>
      </c>
      <c r="D161" s="1" t="s">
        <v>1787</v>
      </c>
      <c r="E161" s="1" t="s">
        <v>1805</v>
      </c>
      <c r="F161" s="1" t="s">
        <v>1821</v>
      </c>
      <c r="G161" s="1" t="s">
        <v>1836</v>
      </c>
      <c r="H161" s="1" t="s">
        <v>1576</v>
      </c>
      <c r="J161">
        <v>3</v>
      </c>
      <c r="K161">
        <v>0</v>
      </c>
      <c r="L161" s="1"/>
      <c r="M161" s="1"/>
      <c r="N161" s="1"/>
      <c r="O161" s="1"/>
      <c r="P161" s="1" t="s">
        <v>1533</v>
      </c>
    </row>
    <row r="162" spans="1:16" ht="15" customHeight="1" x14ac:dyDescent="0.25">
      <c r="A162" s="1" t="s">
        <v>1446</v>
      </c>
      <c r="B162" s="2" t="s">
        <v>1786</v>
      </c>
      <c r="C162" t="b">
        <v>1</v>
      </c>
      <c r="D162" s="1" t="s">
        <v>1788</v>
      </c>
      <c r="E162" s="1" t="s">
        <v>1806</v>
      </c>
      <c r="F162" s="1" t="s">
        <v>1822</v>
      </c>
      <c r="G162" s="1" t="s">
        <v>1837</v>
      </c>
      <c r="H162" s="1" t="s">
        <v>1576</v>
      </c>
      <c r="J162">
        <v>4</v>
      </c>
      <c r="K162">
        <v>0</v>
      </c>
      <c r="L162" s="1"/>
      <c r="M162" s="1"/>
      <c r="N162" s="1"/>
      <c r="O162" s="1"/>
      <c r="P162" s="1" t="s">
        <v>1533</v>
      </c>
    </row>
    <row r="163" spans="1:16" ht="15" customHeight="1" x14ac:dyDescent="0.25">
      <c r="A163" s="1" t="s">
        <v>1446</v>
      </c>
      <c r="B163" s="2" t="s">
        <v>1786</v>
      </c>
      <c r="C163" t="b">
        <v>1</v>
      </c>
      <c r="D163" s="1" t="s">
        <v>1789</v>
      </c>
      <c r="E163" s="1" t="s">
        <v>1807</v>
      </c>
      <c r="F163" s="1" t="s">
        <v>1823</v>
      </c>
      <c r="G163" s="1" t="s">
        <v>1838</v>
      </c>
      <c r="H163" s="1" t="s">
        <v>748</v>
      </c>
      <c r="J163">
        <v>11</v>
      </c>
      <c r="K163">
        <v>2</v>
      </c>
      <c r="L163" s="1"/>
      <c r="M163" s="1"/>
      <c r="N163" s="1"/>
      <c r="O163" s="1"/>
      <c r="P163" s="1" t="s">
        <v>1533</v>
      </c>
    </row>
    <row r="164" spans="1:16" ht="15" customHeight="1" x14ac:dyDescent="0.25">
      <c r="A164" s="1" t="s">
        <v>1446</v>
      </c>
      <c r="B164" s="2" t="s">
        <v>1786</v>
      </c>
      <c r="C164" t="b">
        <v>1</v>
      </c>
      <c r="D164" s="1" t="s">
        <v>1790</v>
      </c>
      <c r="E164" s="1" t="s">
        <v>1808</v>
      </c>
      <c r="F164" s="1" t="s">
        <v>1824</v>
      </c>
      <c r="G164" s="1" t="s">
        <v>1839</v>
      </c>
      <c r="H164" s="1" t="s">
        <v>1576</v>
      </c>
      <c r="J164">
        <v>3</v>
      </c>
      <c r="K164">
        <v>0</v>
      </c>
      <c r="L164" s="1"/>
      <c r="M164" s="1"/>
      <c r="N164" s="1"/>
      <c r="O164" s="1"/>
      <c r="P164" s="1" t="s">
        <v>1533</v>
      </c>
    </row>
    <row r="165" spans="1:16" ht="15" customHeight="1" x14ac:dyDescent="0.25">
      <c r="A165" s="1" t="s">
        <v>1446</v>
      </c>
      <c r="B165" s="2" t="s">
        <v>1786</v>
      </c>
      <c r="C165" t="b">
        <v>1</v>
      </c>
      <c r="D165" s="1" t="s">
        <v>1791</v>
      </c>
      <c r="E165" s="1" t="s">
        <v>1809</v>
      </c>
      <c r="F165" s="1" t="s">
        <v>1825</v>
      </c>
      <c r="G165" s="1" t="s">
        <v>1840</v>
      </c>
      <c r="H165" s="1" t="s">
        <v>1576</v>
      </c>
      <c r="J165">
        <v>4</v>
      </c>
      <c r="K165">
        <v>0</v>
      </c>
      <c r="L165" s="1"/>
      <c r="M165" s="1"/>
      <c r="N165" s="1"/>
      <c r="O165" s="1"/>
      <c r="P165" s="1" t="s">
        <v>1533</v>
      </c>
    </row>
    <row r="166" spans="1:16" ht="15" customHeight="1" x14ac:dyDescent="0.25">
      <c r="A166" s="1" t="s">
        <v>1446</v>
      </c>
      <c r="B166" s="2" t="s">
        <v>1786</v>
      </c>
      <c r="C166" t="b">
        <v>1</v>
      </c>
      <c r="D166" s="1" t="s">
        <v>1792</v>
      </c>
      <c r="E166" s="1" t="s">
        <v>1810</v>
      </c>
      <c r="F166" s="1" t="s">
        <v>1826</v>
      </c>
      <c r="G166" s="1" t="s">
        <v>1792</v>
      </c>
      <c r="H166" s="1" t="s">
        <v>748</v>
      </c>
      <c r="J166">
        <v>11</v>
      </c>
      <c r="K166">
        <v>2</v>
      </c>
      <c r="L166" s="1"/>
      <c r="M166" s="1"/>
      <c r="N166" s="1"/>
      <c r="O166" s="1"/>
      <c r="P166" s="1" t="s">
        <v>1533</v>
      </c>
    </row>
    <row r="167" spans="1:16" ht="15" customHeight="1" x14ac:dyDescent="0.25">
      <c r="A167" s="1" t="s">
        <v>1446</v>
      </c>
      <c r="B167" s="2" t="s">
        <v>1786</v>
      </c>
      <c r="C167" t="b">
        <v>1</v>
      </c>
      <c r="D167" s="1" t="s">
        <v>1793</v>
      </c>
      <c r="E167" s="1" t="s">
        <v>1486</v>
      </c>
      <c r="F167" s="1" t="s">
        <v>1507</v>
      </c>
      <c r="G167" s="1" t="s">
        <v>1465</v>
      </c>
      <c r="H167" s="1" t="s">
        <v>748</v>
      </c>
      <c r="J167">
        <v>11</v>
      </c>
      <c r="K167">
        <v>2</v>
      </c>
      <c r="L167" s="1"/>
      <c r="M167" s="1"/>
      <c r="N167" s="1"/>
      <c r="O167" s="1"/>
      <c r="P167" s="1" t="s">
        <v>1533</v>
      </c>
    </row>
    <row r="168" spans="1:16" ht="15" customHeight="1" x14ac:dyDescent="0.25">
      <c r="A168" s="1" t="s">
        <v>1446</v>
      </c>
      <c r="B168" s="2" t="s">
        <v>1786</v>
      </c>
      <c r="C168" t="b">
        <v>1</v>
      </c>
      <c r="D168" s="1" t="s">
        <v>1794</v>
      </c>
      <c r="E168" s="1" t="s">
        <v>1811</v>
      </c>
      <c r="F168" s="1" t="s">
        <v>1827</v>
      </c>
      <c r="G168" s="1" t="s">
        <v>1841</v>
      </c>
      <c r="H168" s="1" t="s">
        <v>1576</v>
      </c>
      <c r="J168">
        <v>3</v>
      </c>
      <c r="K168">
        <v>0</v>
      </c>
      <c r="L168" s="1"/>
      <c r="M168" s="1"/>
      <c r="N168" s="1"/>
      <c r="O168" s="1"/>
      <c r="P168" s="1" t="s">
        <v>1533</v>
      </c>
    </row>
    <row r="169" spans="1:16" ht="15" customHeight="1" x14ac:dyDescent="0.25">
      <c r="A169" s="1" t="s">
        <v>1446</v>
      </c>
      <c r="B169" s="2" t="s">
        <v>1786</v>
      </c>
      <c r="C169" t="b">
        <v>1</v>
      </c>
      <c r="D169" s="1" t="s">
        <v>1795</v>
      </c>
      <c r="E169" s="1" t="s">
        <v>1812</v>
      </c>
      <c r="F169" s="1" t="s">
        <v>1828</v>
      </c>
      <c r="G169" s="1" t="s">
        <v>1842</v>
      </c>
      <c r="H169" s="1" t="s">
        <v>1576</v>
      </c>
      <c r="J169">
        <v>4</v>
      </c>
      <c r="K169">
        <v>0</v>
      </c>
      <c r="L169" s="1"/>
      <c r="M169" s="1"/>
      <c r="N169" s="1"/>
      <c r="O169" s="1"/>
      <c r="P169" s="1" t="s">
        <v>1533</v>
      </c>
    </row>
    <row r="170" spans="1:16" ht="15" customHeight="1" x14ac:dyDescent="0.25">
      <c r="A170" s="1" t="s">
        <v>1446</v>
      </c>
      <c r="B170" s="2" t="s">
        <v>1786</v>
      </c>
      <c r="C170" t="b">
        <v>1</v>
      </c>
      <c r="D170" s="1" t="s">
        <v>1796</v>
      </c>
      <c r="E170" s="1" t="s">
        <v>1813</v>
      </c>
      <c r="F170" s="1" t="s">
        <v>1829</v>
      </c>
      <c r="G170" s="1" t="s">
        <v>1843</v>
      </c>
      <c r="H170" s="1" t="s">
        <v>748</v>
      </c>
      <c r="J170">
        <v>11</v>
      </c>
      <c r="K170">
        <v>2</v>
      </c>
      <c r="L170" s="1"/>
      <c r="M170" s="1"/>
      <c r="N170" s="1"/>
      <c r="O170" s="1"/>
      <c r="P170" s="1" t="s">
        <v>1533</v>
      </c>
    </row>
    <row r="171" spans="1:16" ht="15" customHeight="1" x14ac:dyDescent="0.25">
      <c r="A171" s="1" t="s">
        <v>1446</v>
      </c>
      <c r="B171" s="2" t="s">
        <v>1786</v>
      </c>
      <c r="C171" t="b">
        <v>1</v>
      </c>
      <c r="D171" s="1" t="s">
        <v>1797</v>
      </c>
      <c r="E171" s="1" t="s">
        <v>1814</v>
      </c>
      <c r="F171" s="1" t="s">
        <v>1830</v>
      </c>
      <c r="G171" s="1" t="s">
        <v>1844</v>
      </c>
      <c r="H171" s="1" t="s">
        <v>748</v>
      </c>
      <c r="J171">
        <v>11</v>
      </c>
      <c r="K171">
        <v>2</v>
      </c>
      <c r="L171" s="1"/>
      <c r="M171" s="1"/>
      <c r="N171" s="1"/>
      <c r="O171" s="1"/>
      <c r="P171" s="1" t="s">
        <v>1533</v>
      </c>
    </row>
    <row r="172" spans="1:16" ht="15" customHeight="1" x14ac:dyDescent="0.25">
      <c r="A172" s="1" t="s">
        <v>1446</v>
      </c>
      <c r="B172" s="2" t="s">
        <v>1786</v>
      </c>
      <c r="C172" t="b">
        <v>1</v>
      </c>
      <c r="D172" s="1" t="s">
        <v>1798</v>
      </c>
      <c r="E172" s="1" t="s">
        <v>1815</v>
      </c>
      <c r="F172" s="1" t="s">
        <v>1831</v>
      </c>
      <c r="G172" s="1" t="s">
        <v>1845</v>
      </c>
      <c r="H172" s="1" t="s">
        <v>28</v>
      </c>
      <c r="L172" s="1"/>
      <c r="M172" s="1"/>
      <c r="N172" s="1"/>
      <c r="O172" s="1"/>
      <c r="P172" s="1" t="s">
        <v>1533</v>
      </c>
    </row>
    <row r="173" spans="1:16" ht="15" customHeight="1" x14ac:dyDescent="0.25">
      <c r="A173" s="1" t="s">
        <v>1446</v>
      </c>
      <c r="B173" s="2" t="s">
        <v>1786</v>
      </c>
      <c r="C173" t="b">
        <v>1</v>
      </c>
      <c r="D173" s="1" t="s">
        <v>1799</v>
      </c>
      <c r="E173" s="1" t="s">
        <v>1816</v>
      </c>
      <c r="F173" s="1" t="s">
        <v>1832</v>
      </c>
      <c r="G173" s="1" t="s">
        <v>1846</v>
      </c>
      <c r="H173" s="1" t="s">
        <v>748</v>
      </c>
      <c r="J173">
        <v>11</v>
      </c>
      <c r="K173">
        <v>2</v>
      </c>
      <c r="L173" s="1"/>
      <c r="M173" s="1"/>
      <c r="N173" s="1"/>
      <c r="O173" s="1"/>
      <c r="P173" s="1" t="s">
        <v>1533</v>
      </c>
    </row>
    <row r="174" spans="1:16" ht="15" customHeight="1" x14ac:dyDescent="0.25">
      <c r="A174" s="1" t="s">
        <v>1446</v>
      </c>
      <c r="B174" s="2" t="s">
        <v>1786</v>
      </c>
      <c r="C174" t="b">
        <v>1</v>
      </c>
      <c r="D174" s="1" t="s">
        <v>1800</v>
      </c>
      <c r="E174" s="1" t="s">
        <v>1817</v>
      </c>
      <c r="F174" s="1" t="s">
        <v>1833</v>
      </c>
      <c r="G174" s="1" t="s">
        <v>1847</v>
      </c>
      <c r="H174" s="1" t="s">
        <v>28</v>
      </c>
      <c r="L174" s="1"/>
      <c r="M174" s="1"/>
      <c r="N174" s="1"/>
      <c r="O174" s="1"/>
      <c r="P174" s="1" t="s">
        <v>1533</v>
      </c>
    </row>
    <row r="175" spans="1:16" ht="15" customHeight="1" x14ac:dyDescent="0.25">
      <c r="A175" s="1" t="s">
        <v>1446</v>
      </c>
      <c r="B175" s="2" t="s">
        <v>1786</v>
      </c>
      <c r="C175" t="b">
        <v>1</v>
      </c>
      <c r="D175" s="1" t="s">
        <v>1801</v>
      </c>
      <c r="E175" s="1" t="s">
        <v>1818</v>
      </c>
      <c r="F175" s="1" t="s">
        <v>1834</v>
      </c>
      <c r="G175" s="1" t="s">
        <v>1848</v>
      </c>
      <c r="H175" s="1" t="s">
        <v>748</v>
      </c>
      <c r="J175">
        <v>11</v>
      </c>
      <c r="K175">
        <v>2</v>
      </c>
      <c r="L175" s="1"/>
      <c r="M175" s="1"/>
      <c r="N175" s="1"/>
      <c r="O175" s="1"/>
      <c r="P175" s="1" t="s">
        <v>1533</v>
      </c>
    </row>
    <row r="176" spans="1:16" ht="15" customHeight="1" x14ac:dyDescent="0.25">
      <c r="A176" s="1" t="s">
        <v>1446</v>
      </c>
      <c r="B176" s="2" t="s">
        <v>1786</v>
      </c>
      <c r="C176" t="b">
        <v>1</v>
      </c>
      <c r="D176" s="1" t="s">
        <v>1802</v>
      </c>
      <c r="E176" s="1" t="s">
        <v>1819</v>
      </c>
      <c r="F176" s="1" t="s">
        <v>1835</v>
      </c>
      <c r="G176" s="1" t="s">
        <v>1849</v>
      </c>
      <c r="H176" s="1" t="s">
        <v>28</v>
      </c>
      <c r="L176" s="1"/>
      <c r="M176" s="1"/>
      <c r="N176" s="1"/>
      <c r="O176" s="1"/>
      <c r="P176" s="1" t="s">
        <v>1533</v>
      </c>
    </row>
    <row r="177" spans="1:16" ht="15" customHeight="1" x14ac:dyDescent="0.25">
      <c r="A177" s="1" t="s">
        <v>1446</v>
      </c>
      <c r="B177" s="2" t="s">
        <v>1786</v>
      </c>
      <c r="C177" t="b">
        <v>1</v>
      </c>
      <c r="D177" s="1" t="s">
        <v>1256</v>
      </c>
      <c r="E177" s="1" t="s">
        <v>1480</v>
      </c>
      <c r="F177" s="1" t="s">
        <v>1501</v>
      </c>
      <c r="G177" s="1" t="s">
        <v>1256</v>
      </c>
      <c r="H177" s="1" t="s">
        <v>5</v>
      </c>
      <c r="I177">
        <v>4</v>
      </c>
      <c r="L177" s="1"/>
      <c r="M177" s="1"/>
      <c r="N177" s="1"/>
      <c r="O177" s="1"/>
      <c r="P177" s="1" t="s">
        <v>1533</v>
      </c>
    </row>
    <row r="178" spans="1:16" ht="15" customHeight="1" x14ac:dyDescent="0.25">
      <c r="A178" s="1" t="s">
        <v>1446</v>
      </c>
      <c r="B178" s="2" t="s">
        <v>1786</v>
      </c>
      <c r="C178" t="b">
        <v>1</v>
      </c>
      <c r="D178" s="1" t="s">
        <v>1255</v>
      </c>
      <c r="E178" s="1" t="s">
        <v>1820</v>
      </c>
      <c r="F178" s="1" t="s">
        <v>1497</v>
      </c>
      <c r="G178" s="1" t="s">
        <v>1255</v>
      </c>
      <c r="H178" s="1" t="s">
        <v>5</v>
      </c>
      <c r="I178">
        <v>1</v>
      </c>
      <c r="L178" s="1"/>
      <c r="M178" s="1"/>
      <c r="N178" s="1"/>
      <c r="O178" s="1"/>
      <c r="P178" s="1" t="s">
        <v>1533</v>
      </c>
    </row>
    <row r="179" spans="1:16" ht="15" customHeight="1" x14ac:dyDescent="0.25">
      <c r="A179" s="1" t="s">
        <v>1446</v>
      </c>
      <c r="B179" s="2" t="s">
        <v>1786</v>
      </c>
      <c r="C179" t="b">
        <v>1</v>
      </c>
      <c r="D179" s="1" t="s">
        <v>1803</v>
      </c>
      <c r="E179" s="1" t="s">
        <v>1481</v>
      </c>
      <c r="F179" s="1" t="s">
        <v>1502</v>
      </c>
      <c r="G179" s="1" t="s">
        <v>1515</v>
      </c>
      <c r="H179" s="1" t="s">
        <v>5</v>
      </c>
      <c r="I179">
        <v>4</v>
      </c>
      <c r="L179" s="1"/>
      <c r="M179" s="1"/>
      <c r="N179" s="1"/>
      <c r="O179" s="1"/>
      <c r="P179" s="1" t="s">
        <v>1533</v>
      </c>
    </row>
    <row r="180" spans="1:16" ht="15" customHeight="1" x14ac:dyDescent="0.25">
      <c r="A180" s="1" t="s">
        <v>1446</v>
      </c>
      <c r="B180" s="2" t="s">
        <v>1786</v>
      </c>
      <c r="C180" t="b">
        <v>1</v>
      </c>
      <c r="D180" s="1" t="s">
        <v>1804</v>
      </c>
      <c r="E180" s="1" t="s">
        <v>1482</v>
      </c>
      <c r="F180" s="1" t="s">
        <v>1503</v>
      </c>
      <c r="G180" s="1" t="s">
        <v>1516</v>
      </c>
      <c r="H180" s="1" t="s">
        <v>5</v>
      </c>
      <c r="I180">
        <v>4</v>
      </c>
      <c r="L180" s="1"/>
      <c r="M180" s="1"/>
      <c r="N180" s="1"/>
      <c r="O180" s="1"/>
      <c r="P180" s="1" t="s">
        <v>1533</v>
      </c>
    </row>
    <row r="181" spans="1:16" ht="15" customHeight="1" x14ac:dyDescent="0.25">
      <c r="A181" s="1" t="s">
        <v>1446</v>
      </c>
      <c r="B181" s="2" t="s">
        <v>1786</v>
      </c>
      <c r="C181" t="b">
        <v>1</v>
      </c>
      <c r="D181" s="1" t="s">
        <v>1252</v>
      </c>
      <c r="E181" s="1" t="s">
        <v>1483</v>
      </c>
      <c r="F181" s="1" t="s">
        <v>1504</v>
      </c>
      <c r="G181" s="1" t="s">
        <v>1517</v>
      </c>
      <c r="H181" s="1" t="s">
        <v>5</v>
      </c>
      <c r="I181">
        <v>1</v>
      </c>
      <c r="L181" s="1"/>
      <c r="M181" s="1"/>
      <c r="N181" s="1"/>
      <c r="O181" s="1"/>
      <c r="P181" s="1" t="s">
        <v>1533</v>
      </c>
    </row>
    <row r="182" spans="1:16" ht="15" customHeight="1" x14ac:dyDescent="0.25">
      <c r="A182" s="1" t="s">
        <v>1446</v>
      </c>
      <c r="B182" s="2" t="s">
        <v>1786</v>
      </c>
      <c r="C182" t="b">
        <v>1</v>
      </c>
      <c r="D182" s="1" t="s">
        <v>1518</v>
      </c>
      <c r="E182" s="1" t="s">
        <v>1484</v>
      </c>
      <c r="F182" s="1" t="s">
        <v>1505</v>
      </c>
      <c r="G182" s="1" t="s">
        <v>1518</v>
      </c>
      <c r="H182" s="1" t="s">
        <v>748</v>
      </c>
      <c r="J182">
        <v>5</v>
      </c>
      <c r="K182">
        <v>0</v>
      </c>
      <c r="L182" s="1"/>
      <c r="M182" s="1"/>
      <c r="N182" s="1"/>
      <c r="O182" s="1"/>
      <c r="P182" s="1" t="s">
        <v>1533</v>
      </c>
    </row>
    <row r="183" spans="1:16" ht="15" customHeight="1" x14ac:dyDescent="0.25">
      <c r="A183" s="1" t="s">
        <v>1446</v>
      </c>
      <c r="B183" s="2" t="s">
        <v>1786</v>
      </c>
      <c r="C183" t="b">
        <v>1</v>
      </c>
      <c r="D183" s="1" t="s">
        <v>1464</v>
      </c>
      <c r="E183" s="1" t="s">
        <v>1485</v>
      </c>
      <c r="F183" s="1" t="s">
        <v>1506</v>
      </c>
      <c r="G183" s="1" t="s">
        <v>1519</v>
      </c>
      <c r="H183" s="1" t="s">
        <v>748</v>
      </c>
      <c r="J183">
        <v>11</v>
      </c>
      <c r="K183">
        <v>2</v>
      </c>
      <c r="L183" s="1"/>
      <c r="M183" s="1"/>
      <c r="N183" s="1"/>
      <c r="O183" s="1"/>
      <c r="P183" s="1" t="s">
        <v>1533</v>
      </c>
    </row>
    <row r="184" spans="1:16" ht="15" customHeight="1" x14ac:dyDescent="0.25">
      <c r="A184" s="1" t="s">
        <v>1446</v>
      </c>
      <c r="B184" s="2" t="s">
        <v>1786</v>
      </c>
      <c r="D184" s="1"/>
      <c r="E184" s="1"/>
      <c r="F184" s="1"/>
      <c r="G184" s="1"/>
      <c r="H184" s="1"/>
      <c r="L184" s="1" t="s">
        <v>1524</v>
      </c>
      <c r="M184" s="1" t="s">
        <v>1525</v>
      </c>
      <c r="N184" s="1"/>
      <c r="O184" s="1"/>
      <c r="P184" s="1" t="s">
        <v>1533</v>
      </c>
    </row>
    <row r="185" spans="1:16" ht="15" customHeight="1" x14ac:dyDescent="0.25">
      <c r="A185" s="1" t="s">
        <v>1446</v>
      </c>
      <c r="B185" s="2" t="s">
        <v>1786</v>
      </c>
      <c r="D185" s="1"/>
      <c r="E185" s="1"/>
      <c r="F185" s="1"/>
      <c r="G185" s="1"/>
      <c r="H185" s="1"/>
      <c r="L185" s="1" t="s">
        <v>1524</v>
      </c>
      <c r="M185" s="1" t="s">
        <v>1526</v>
      </c>
      <c r="N185" s="1"/>
      <c r="O185" s="1"/>
      <c r="P185" s="1" t="s">
        <v>1533</v>
      </c>
    </row>
    <row r="186" spans="1:16" ht="15" customHeight="1" x14ac:dyDescent="0.25">
      <c r="A186" s="1" t="s">
        <v>1446</v>
      </c>
      <c r="B186" s="2" t="s">
        <v>1786</v>
      </c>
      <c r="D186" s="1"/>
      <c r="E186" s="1"/>
      <c r="F186" s="1"/>
      <c r="G186" s="1"/>
      <c r="H186" s="1"/>
      <c r="L186" s="1" t="s">
        <v>1524</v>
      </c>
      <c r="M186" s="1" t="s">
        <v>1527</v>
      </c>
      <c r="N186" s="1"/>
      <c r="O186" s="1"/>
      <c r="P186" s="1" t="s">
        <v>1533</v>
      </c>
    </row>
    <row r="187" spans="1:16" ht="15" customHeight="1" x14ac:dyDescent="0.25">
      <c r="A187" s="1" t="s">
        <v>1446</v>
      </c>
      <c r="B187" s="2" t="s">
        <v>1786</v>
      </c>
      <c r="D187" s="1"/>
      <c r="E187" s="1"/>
      <c r="F187" s="1"/>
      <c r="G187" s="1"/>
      <c r="H187" s="1"/>
      <c r="L187" s="1" t="s">
        <v>1524</v>
      </c>
      <c r="M187" s="1" t="s">
        <v>1528</v>
      </c>
      <c r="N187" s="1"/>
      <c r="O187" s="1"/>
      <c r="P187" s="1" t="s">
        <v>1533</v>
      </c>
    </row>
    <row r="188" spans="1:16" ht="15" customHeight="1" x14ac:dyDescent="0.25">
      <c r="A188" s="1" t="s">
        <v>1446</v>
      </c>
      <c r="B188" s="2" t="s">
        <v>1786</v>
      </c>
      <c r="D188" s="1"/>
      <c r="E188" s="1"/>
      <c r="F188" s="1"/>
      <c r="G188" s="1"/>
      <c r="H188" s="1"/>
      <c r="L188" s="1"/>
      <c r="M188" s="1"/>
      <c r="N188" s="1" t="s">
        <v>1529</v>
      </c>
      <c r="O188" s="1" t="s">
        <v>1577</v>
      </c>
      <c r="P188" s="1" t="s">
        <v>1533</v>
      </c>
    </row>
    <row r="189" spans="1:16" ht="15" customHeight="1" x14ac:dyDescent="0.25">
      <c r="A189" s="1" t="s">
        <v>1446</v>
      </c>
      <c r="B189" s="2" t="s">
        <v>1786</v>
      </c>
      <c r="D189" s="1"/>
      <c r="E189" s="1"/>
      <c r="F189" s="1"/>
      <c r="G189" s="1"/>
      <c r="H189" s="1"/>
      <c r="L189" s="1"/>
      <c r="M189" s="1"/>
      <c r="N189" s="1" t="s">
        <v>1529</v>
      </c>
      <c r="O189" s="1" t="s">
        <v>1577</v>
      </c>
      <c r="P189" s="1" t="s">
        <v>1533</v>
      </c>
    </row>
    <row r="190" spans="1:16" ht="15" customHeight="1" x14ac:dyDescent="0.25">
      <c r="A190" s="1" t="s">
        <v>1446</v>
      </c>
      <c r="B190" s="2" t="s">
        <v>1786</v>
      </c>
      <c r="D190" s="1"/>
      <c r="E190" s="1"/>
      <c r="F190" s="1"/>
      <c r="G190" s="1"/>
      <c r="H190" s="1"/>
      <c r="L190" s="1"/>
      <c r="M190" s="1"/>
      <c r="N190" s="1" t="s">
        <v>1529</v>
      </c>
      <c r="O190" s="1" t="s">
        <v>1578</v>
      </c>
      <c r="P190" s="1" t="s">
        <v>1533</v>
      </c>
    </row>
    <row r="191" spans="1:16" ht="15" customHeight="1" x14ac:dyDescent="0.25">
      <c r="A191" s="1" t="s">
        <v>1446</v>
      </c>
      <c r="B191" s="2" t="s">
        <v>1786</v>
      </c>
      <c r="D191" s="1"/>
      <c r="E191" s="1"/>
      <c r="F191" s="1"/>
      <c r="G191" s="1"/>
      <c r="H191" s="1"/>
      <c r="L191" s="1"/>
      <c r="M191" s="1"/>
      <c r="N191" s="1" t="s">
        <v>1529</v>
      </c>
      <c r="O191" s="1" t="s">
        <v>1578</v>
      </c>
      <c r="P191" s="1" t="s">
        <v>1533</v>
      </c>
    </row>
    <row r="192" spans="1:16" ht="15" customHeight="1" x14ac:dyDescent="0.25">
      <c r="A192" s="1" t="s">
        <v>1446</v>
      </c>
      <c r="B192" s="2" t="s">
        <v>1786</v>
      </c>
      <c r="D192" s="1"/>
      <c r="E192" s="1"/>
      <c r="F192" s="1"/>
      <c r="G192" s="1"/>
      <c r="H192" s="1"/>
      <c r="L192" s="1"/>
      <c r="M192" s="1"/>
      <c r="N192" s="1" t="s">
        <v>1529</v>
      </c>
      <c r="O192" s="1" t="s">
        <v>1578</v>
      </c>
      <c r="P192" s="1" t="s">
        <v>1533</v>
      </c>
    </row>
    <row r="193" spans="1:16" ht="15" customHeight="1" x14ac:dyDescent="0.25">
      <c r="A193" s="1" t="s">
        <v>1446</v>
      </c>
      <c r="B193" s="2" t="s">
        <v>1786</v>
      </c>
      <c r="D193" s="1"/>
      <c r="E193" s="1"/>
      <c r="F193" s="1"/>
      <c r="G193" s="1"/>
      <c r="H193" s="1"/>
      <c r="L193" s="1"/>
      <c r="M193" s="1"/>
      <c r="N193" s="1" t="s">
        <v>1529</v>
      </c>
      <c r="O193" s="1" t="s">
        <v>1579</v>
      </c>
      <c r="P193" s="1" t="s">
        <v>1533</v>
      </c>
    </row>
    <row r="194" spans="1:16" ht="15" customHeight="1" x14ac:dyDescent="0.25">
      <c r="A194" s="1" t="s">
        <v>1446</v>
      </c>
      <c r="B194" s="2" t="s">
        <v>1786</v>
      </c>
      <c r="D194" s="1"/>
      <c r="E194" s="1"/>
      <c r="F194" s="1"/>
      <c r="G194" s="1"/>
      <c r="H194" s="1"/>
      <c r="L194" s="1"/>
      <c r="M194" s="1"/>
      <c r="N194" s="1" t="s">
        <v>1529</v>
      </c>
      <c r="O194" s="1" t="s">
        <v>1579</v>
      </c>
      <c r="P194" s="1" t="s">
        <v>1533</v>
      </c>
    </row>
    <row r="195" spans="1:16" ht="15" customHeight="1" x14ac:dyDescent="0.25">
      <c r="A195" s="1" t="s">
        <v>1446</v>
      </c>
      <c r="B195" s="2" t="s">
        <v>1786</v>
      </c>
      <c r="D195" s="1"/>
      <c r="E195" s="1"/>
      <c r="F195" s="1"/>
      <c r="G195" s="1"/>
      <c r="H195" s="1"/>
      <c r="L195" s="1"/>
      <c r="M195" s="1"/>
      <c r="N195" s="1" t="s">
        <v>1529</v>
      </c>
      <c r="O195" s="1" t="s">
        <v>1579</v>
      </c>
      <c r="P195" s="1" t="s">
        <v>1533</v>
      </c>
    </row>
    <row r="196" spans="1:16" ht="15" customHeight="1" x14ac:dyDescent="0.25">
      <c r="A196" s="1" t="s">
        <v>1446</v>
      </c>
      <c r="B196" s="2" t="s">
        <v>1786</v>
      </c>
      <c r="D196" s="1"/>
      <c r="E196" s="1"/>
      <c r="F196" s="1"/>
      <c r="G196" s="1"/>
      <c r="H196" s="1"/>
      <c r="L196" s="1"/>
      <c r="M196" s="1"/>
      <c r="N196" s="1" t="s">
        <v>1529</v>
      </c>
      <c r="O196" s="1" t="s">
        <v>1579</v>
      </c>
      <c r="P196" s="1" t="s">
        <v>1533</v>
      </c>
    </row>
    <row r="197" spans="1:16" ht="15" customHeight="1" x14ac:dyDescent="0.25">
      <c r="A197" s="1" t="s">
        <v>1448</v>
      </c>
      <c r="B197" s="2" t="s">
        <v>1850</v>
      </c>
      <c r="C197" t="b">
        <v>0</v>
      </c>
      <c r="D197" s="1" t="s">
        <v>3</v>
      </c>
      <c r="E197" s="1" t="s">
        <v>1471</v>
      </c>
      <c r="F197" s="1" t="s">
        <v>1492</v>
      </c>
      <c r="G197" s="1" t="s">
        <v>1636</v>
      </c>
      <c r="H197" s="1" t="s">
        <v>5</v>
      </c>
      <c r="I197">
        <v>18</v>
      </c>
      <c r="L197" s="1"/>
      <c r="M197" s="1"/>
      <c r="N197" s="1"/>
      <c r="O197" s="1"/>
      <c r="P197" s="1" t="s">
        <v>1533</v>
      </c>
    </row>
    <row r="198" spans="1:16" ht="15" customHeight="1" x14ac:dyDescent="0.25">
      <c r="A198" s="1" t="s">
        <v>1448</v>
      </c>
      <c r="B198" s="2" t="s">
        <v>1850</v>
      </c>
      <c r="C198" t="b">
        <v>1</v>
      </c>
      <c r="D198" s="1" t="s">
        <v>1370</v>
      </c>
      <c r="E198" s="1" t="s">
        <v>1472</v>
      </c>
      <c r="F198" s="1" t="s">
        <v>1493</v>
      </c>
      <c r="G198" s="1" t="s">
        <v>1637</v>
      </c>
      <c r="H198" s="1" t="s">
        <v>5</v>
      </c>
      <c r="I198">
        <v>40</v>
      </c>
      <c r="L198" s="1"/>
      <c r="M198" s="1"/>
      <c r="N198" s="1"/>
      <c r="O198" s="1"/>
      <c r="P198" s="1" t="s">
        <v>1533</v>
      </c>
    </row>
    <row r="199" spans="1:16" ht="15" customHeight="1" x14ac:dyDescent="0.25">
      <c r="A199" s="1" t="s">
        <v>1448</v>
      </c>
      <c r="B199" s="2" t="s">
        <v>1850</v>
      </c>
      <c r="C199" t="b">
        <v>1</v>
      </c>
      <c r="D199" s="1" t="s">
        <v>1279</v>
      </c>
      <c r="E199" s="1" t="s">
        <v>1473</v>
      </c>
      <c r="F199" s="1" t="s">
        <v>1494</v>
      </c>
      <c r="G199" s="1" t="s">
        <v>1279</v>
      </c>
      <c r="H199" s="1" t="s">
        <v>5</v>
      </c>
      <c r="I199">
        <v>4</v>
      </c>
      <c r="L199" s="1"/>
      <c r="M199" s="1"/>
      <c r="N199" s="1"/>
      <c r="O199" s="1"/>
      <c r="P199" s="1" t="s">
        <v>1533</v>
      </c>
    </row>
    <row r="200" spans="1:16" ht="15" customHeight="1" x14ac:dyDescent="0.25">
      <c r="A200" s="1" t="s">
        <v>1448</v>
      </c>
      <c r="B200" s="2" t="s">
        <v>1850</v>
      </c>
      <c r="C200" t="b">
        <v>0</v>
      </c>
      <c r="D200" s="1" t="s">
        <v>1265</v>
      </c>
      <c r="E200" s="1" t="s">
        <v>1474</v>
      </c>
      <c r="F200" s="1" t="s">
        <v>1495</v>
      </c>
      <c r="G200" s="1"/>
      <c r="H200" s="1" t="s">
        <v>5</v>
      </c>
      <c r="I200">
        <v>4</v>
      </c>
      <c r="L200" s="1"/>
      <c r="M200" s="1"/>
      <c r="N200" s="1"/>
      <c r="O200" s="1"/>
      <c r="P200" s="1" t="s">
        <v>1533</v>
      </c>
    </row>
    <row r="201" spans="1:16" ht="15" customHeight="1" x14ac:dyDescent="0.25">
      <c r="A201" s="1" t="s">
        <v>1448</v>
      </c>
      <c r="B201" s="2" t="s">
        <v>1850</v>
      </c>
      <c r="C201" t="b">
        <v>1</v>
      </c>
      <c r="D201" s="1" t="s">
        <v>1266</v>
      </c>
      <c r="E201" s="1" t="s">
        <v>1857</v>
      </c>
      <c r="F201" s="1" t="s">
        <v>1866</v>
      </c>
      <c r="G201" s="1"/>
      <c r="H201" s="1" t="s">
        <v>5</v>
      </c>
      <c r="I201">
        <v>4</v>
      </c>
      <c r="L201" s="1"/>
      <c r="M201" s="1"/>
      <c r="N201" s="1"/>
      <c r="O201" s="1"/>
      <c r="P201" s="1" t="s">
        <v>1533</v>
      </c>
    </row>
    <row r="202" spans="1:16" ht="15" customHeight="1" x14ac:dyDescent="0.25">
      <c r="A202" s="1" t="s">
        <v>1448</v>
      </c>
      <c r="B202" s="2" t="s">
        <v>1850</v>
      </c>
      <c r="C202" t="b">
        <v>1</v>
      </c>
      <c r="D202" s="1" t="s">
        <v>1369</v>
      </c>
      <c r="E202" s="1" t="s">
        <v>1475</v>
      </c>
      <c r="F202" s="1" t="s">
        <v>1496</v>
      </c>
      <c r="G202" s="1" t="s">
        <v>1369</v>
      </c>
      <c r="H202" s="1" t="s">
        <v>5</v>
      </c>
      <c r="I202">
        <v>3</v>
      </c>
      <c r="L202" s="1"/>
      <c r="M202" s="1"/>
      <c r="N202" s="1"/>
      <c r="O202" s="1"/>
      <c r="P202" s="1" t="s">
        <v>1533</v>
      </c>
    </row>
    <row r="203" spans="1:16" ht="15" customHeight="1" x14ac:dyDescent="0.25">
      <c r="A203" s="1" t="s">
        <v>1448</v>
      </c>
      <c r="B203" s="2" t="s">
        <v>1850</v>
      </c>
      <c r="C203" t="b">
        <v>1</v>
      </c>
      <c r="D203" s="1" t="s">
        <v>1295</v>
      </c>
      <c r="E203" s="1" t="s">
        <v>1858</v>
      </c>
      <c r="F203" s="1" t="s">
        <v>1867</v>
      </c>
      <c r="G203" s="1"/>
      <c r="H203" s="1" t="s">
        <v>5</v>
      </c>
      <c r="I203">
        <v>1</v>
      </c>
      <c r="L203" s="1"/>
      <c r="M203" s="1"/>
      <c r="N203" s="1"/>
      <c r="O203" s="1"/>
      <c r="P203" s="1" t="s">
        <v>1533</v>
      </c>
    </row>
    <row r="204" spans="1:16" ht="15" customHeight="1" x14ac:dyDescent="0.25">
      <c r="A204" s="1" t="s">
        <v>1448</v>
      </c>
      <c r="B204" s="2" t="s">
        <v>1850</v>
      </c>
      <c r="C204" t="b">
        <v>1</v>
      </c>
      <c r="D204" s="1" t="s">
        <v>1447</v>
      </c>
      <c r="E204" s="1" t="s">
        <v>1859</v>
      </c>
      <c r="F204" s="1" t="s">
        <v>1868</v>
      </c>
      <c r="G204" s="1"/>
      <c r="H204" s="1" t="s">
        <v>5</v>
      </c>
      <c r="I204">
        <v>2</v>
      </c>
      <c r="L204" s="1"/>
      <c r="M204" s="1"/>
      <c r="N204" s="1"/>
      <c r="O204" s="1"/>
      <c r="P204" s="1" t="s">
        <v>1533</v>
      </c>
    </row>
    <row r="205" spans="1:16" ht="15" customHeight="1" x14ac:dyDescent="0.25">
      <c r="A205" s="1" t="s">
        <v>1448</v>
      </c>
      <c r="B205" s="2" t="s">
        <v>1850</v>
      </c>
      <c r="C205" t="b">
        <v>1</v>
      </c>
      <c r="D205" s="1" t="s">
        <v>1851</v>
      </c>
      <c r="E205" s="1" t="s">
        <v>1860</v>
      </c>
      <c r="F205" s="1" t="s">
        <v>1869</v>
      </c>
      <c r="G205" s="1"/>
      <c r="H205" s="1" t="s">
        <v>5</v>
      </c>
      <c r="I205">
        <v>18</v>
      </c>
      <c r="L205" s="1"/>
      <c r="M205" s="1"/>
      <c r="N205" s="1"/>
      <c r="O205" s="1"/>
      <c r="P205" s="1" t="s">
        <v>1533</v>
      </c>
    </row>
    <row r="206" spans="1:16" ht="15" customHeight="1" x14ac:dyDescent="0.25">
      <c r="A206" s="1" t="s">
        <v>1448</v>
      </c>
      <c r="B206" s="2" t="s">
        <v>1850</v>
      </c>
      <c r="C206" t="b">
        <v>1</v>
      </c>
      <c r="D206" s="1" t="s">
        <v>1852</v>
      </c>
      <c r="E206" s="1" t="s">
        <v>1861</v>
      </c>
      <c r="F206" s="1" t="s">
        <v>1870</v>
      </c>
      <c r="G206" s="1"/>
      <c r="H206" s="1" t="s">
        <v>5</v>
      </c>
      <c r="I206">
        <v>4</v>
      </c>
      <c r="L206" s="1"/>
      <c r="M206" s="1"/>
      <c r="N206" s="1"/>
      <c r="O206" s="1"/>
      <c r="P206" s="1" t="s">
        <v>1533</v>
      </c>
    </row>
    <row r="207" spans="1:16" ht="15" customHeight="1" x14ac:dyDescent="0.25">
      <c r="A207" s="1" t="s">
        <v>1448</v>
      </c>
      <c r="B207" s="2" t="s">
        <v>1850</v>
      </c>
      <c r="C207" t="b">
        <v>1</v>
      </c>
      <c r="D207" s="1" t="s">
        <v>1853</v>
      </c>
      <c r="E207" s="1" t="s">
        <v>1862</v>
      </c>
      <c r="F207" s="1" t="s">
        <v>1871</v>
      </c>
      <c r="G207" s="1"/>
      <c r="H207" s="1" t="s">
        <v>28</v>
      </c>
      <c r="L207" s="1"/>
      <c r="M207" s="1"/>
      <c r="N207" s="1"/>
      <c r="O207" s="1"/>
      <c r="P207" s="1" t="s">
        <v>1533</v>
      </c>
    </row>
    <row r="208" spans="1:16" ht="15" customHeight="1" x14ac:dyDescent="0.25">
      <c r="A208" s="1" t="s">
        <v>1448</v>
      </c>
      <c r="B208" s="2" t="s">
        <v>1850</v>
      </c>
      <c r="C208" t="b">
        <v>1</v>
      </c>
      <c r="D208" s="1" t="s">
        <v>1854</v>
      </c>
      <c r="E208" s="1" t="s">
        <v>1863</v>
      </c>
      <c r="F208" s="1" t="s">
        <v>1872</v>
      </c>
      <c r="G208" s="1"/>
      <c r="H208" s="1" t="s">
        <v>748</v>
      </c>
      <c r="J208">
        <v>4</v>
      </c>
      <c r="K208">
        <v>0</v>
      </c>
      <c r="L208" s="1"/>
      <c r="M208" s="1"/>
      <c r="N208" s="1"/>
      <c r="O208" s="1"/>
      <c r="P208" s="1" t="s">
        <v>1533</v>
      </c>
    </row>
    <row r="209" spans="1:16" ht="15" customHeight="1" x14ac:dyDescent="0.25">
      <c r="A209" s="1" t="s">
        <v>1448</v>
      </c>
      <c r="B209" s="2" t="s">
        <v>1850</v>
      </c>
      <c r="C209" t="b">
        <v>1</v>
      </c>
      <c r="D209" s="1" t="s">
        <v>1855</v>
      </c>
      <c r="E209" s="1" t="s">
        <v>1864</v>
      </c>
      <c r="F209" s="1" t="s">
        <v>1873</v>
      </c>
      <c r="G209" s="1"/>
      <c r="H209" s="1" t="s">
        <v>5</v>
      </c>
      <c r="I209">
        <v>1</v>
      </c>
      <c r="L209" s="1"/>
      <c r="M209" s="1"/>
      <c r="N209" s="1"/>
      <c r="O209" s="1"/>
      <c r="P209" s="1" t="s">
        <v>1533</v>
      </c>
    </row>
    <row r="210" spans="1:16" ht="15" customHeight="1" x14ac:dyDescent="0.25">
      <c r="A210" s="1" t="s">
        <v>1448</v>
      </c>
      <c r="B210" s="2" t="s">
        <v>1850</v>
      </c>
      <c r="C210" t="b">
        <v>1</v>
      </c>
      <c r="D210" s="1" t="s">
        <v>1856</v>
      </c>
      <c r="E210" s="1" t="s">
        <v>1865</v>
      </c>
      <c r="F210" s="1" t="s">
        <v>1874</v>
      </c>
      <c r="G210" s="1"/>
      <c r="H210" s="1" t="s">
        <v>5</v>
      </c>
      <c r="I210">
        <v>1</v>
      </c>
      <c r="L210" s="1"/>
      <c r="M210" s="1"/>
      <c r="N210" s="1"/>
      <c r="O210" s="1"/>
      <c r="P210" s="1" t="s">
        <v>1533</v>
      </c>
    </row>
    <row r="211" spans="1:16" ht="15" customHeight="1" x14ac:dyDescent="0.25">
      <c r="A211" s="1" t="s">
        <v>1448</v>
      </c>
      <c r="B211" s="2" t="s">
        <v>1850</v>
      </c>
      <c r="D211" s="1"/>
      <c r="E211" s="1"/>
      <c r="F211" s="1"/>
      <c r="G211" s="1"/>
      <c r="H211" s="1"/>
      <c r="L211" s="1" t="s">
        <v>1524</v>
      </c>
      <c r="M211" s="1" t="s">
        <v>1525</v>
      </c>
      <c r="N211" s="1"/>
      <c r="O211" s="1"/>
      <c r="P211" s="1" t="s">
        <v>1533</v>
      </c>
    </row>
    <row r="212" spans="1:16" ht="15" customHeight="1" x14ac:dyDescent="0.25">
      <c r="A212" s="1" t="s">
        <v>1448</v>
      </c>
      <c r="B212" s="2" t="s">
        <v>1850</v>
      </c>
      <c r="D212" s="1"/>
      <c r="E212" s="1"/>
      <c r="F212" s="1"/>
      <c r="G212" s="1"/>
      <c r="H212" s="1"/>
      <c r="L212" s="1" t="s">
        <v>1524</v>
      </c>
      <c r="M212" s="1" t="s">
        <v>1526</v>
      </c>
      <c r="N212" s="1"/>
      <c r="O212" s="1"/>
      <c r="P212" s="1" t="s">
        <v>1533</v>
      </c>
    </row>
    <row r="213" spans="1:16" ht="15" customHeight="1" x14ac:dyDescent="0.25">
      <c r="A213" s="1" t="s">
        <v>1448</v>
      </c>
      <c r="B213" s="2" t="s">
        <v>1850</v>
      </c>
      <c r="D213" s="1"/>
      <c r="E213" s="1"/>
      <c r="F213" s="1"/>
      <c r="G213" s="1"/>
      <c r="H213" s="1"/>
      <c r="L213" s="1" t="s">
        <v>1524</v>
      </c>
      <c r="M213" s="1" t="s">
        <v>1527</v>
      </c>
      <c r="N213" s="1"/>
      <c r="O213" s="1"/>
      <c r="P213" s="1" t="s">
        <v>1533</v>
      </c>
    </row>
    <row r="214" spans="1:16" ht="15" customHeight="1" x14ac:dyDescent="0.25">
      <c r="A214" s="1" t="s">
        <v>1448</v>
      </c>
      <c r="B214" s="2" t="s">
        <v>1850</v>
      </c>
      <c r="D214" s="1"/>
      <c r="E214" s="1"/>
      <c r="F214" s="1"/>
      <c r="G214" s="1"/>
      <c r="H214" s="1"/>
      <c r="L214" s="1"/>
      <c r="M214" s="1"/>
      <c r="N214" s="1" t="s">
        <v>1529</v>
      </c>
      <c r="O214" s="1" t="s">
        <v>1577</v>
      </c>
      <c r="P214" s="1" t="s">
        <v>1533</v>
      </c>
    </row>
    <row r="215" spans="1:16" ht="15" customHeight="1" x14ac:dyDescent="0.25">
      <c r="A215" s="1" t="s">
        <v>1448</v>
      </c>
      <c r="B215" s="2" t="s">
        <v>1850</v>
      </c>
      <c r="D215" s="1"/>
      <c r="E215" s="1"/>
      <c r="F215" s="1"/>
      <c r="G215" s="1"/>
      <c r="H215" s="1"/>
      <c r="L215" s="1"/>
      <c r="M215" s="1"/>
      <c r="N215" s="1" t="s">
        <v>1529</v>
      </c>
      <c r="O215" s="1" t="s">
        <v>1577</v>
      </c>
      <c r="P215" s="1" t="s">
        <v>1533</v>
      </c>
    </row>
    <row r="216" spans="1:16" ht="15" customHeight="1" x14ac:dyDescent="0.25">
      <c r="A216" s="1" t="s">
        <v>1448</v>
      </c>
      <c r="B216" s="2" t="s">
        <v>1850</v>
      </c>
      <c r="D216" s="1"/>
      <c r="E216" s="1"/>
      <c r="F216" s="1"/>
      <c r="G216" s="1"/>
      <c r="H216" s="1"/>
      <c r="L216" s="1"/>
      <c r="M216" s="1"/>
      <c r="N216" s="1" t="s">
        <v>1529</v>
      </c>
      <c r="O216" s="1" t="s">
        <v>1578</v>
      </c>
      <c r="P216" s="1" t="s">
        <v>1533</v>
      </c>
    </row>
    <row r="217" spans="1:16" ht="15" customHeight="1" x14ac:dyDescent="0.25">
      <c r="A217" s="1" t="s">
        <v>1448</v>
      </c>
      <c r="B217" s="2" t="s">
        <v>1850</v>
      </c>
      <c r="D217" s="1"/>
      <c r="E217" s="1"/>
      <c r="F217" s="1"/>
      <c r="G217" s="1"/>
      <c r="H217" s="1"/>
      <c r="L217" s="1"/>
      <c r="M217" s="1"/>
      <c r="N217" s="1" t="s">
        <v>1529</v>
      </c>
      <c r="O217" s="1" t="s">
        <v>1578</v>
      </c>
      <c r="P217" s="1" t="s">
        <v>1533</v>
      </c>
    </row>
    <row r="218" spans="1:16" ht="15" customHeight="1" x14ac:dyDescent="0.25">
      <c r="A218" s="1" t="s">
        <v>1448</v>
      </c>
      <c r="B218" s="2" t="s">
        <v>1850</v>
      </c>
      <c r="D218" s="1"/>
      <c r="E218" s="1"/>
      <c r="F218" s="1"/>
      <c r="G218" s="1"/>
      <c r="H218" s="1"/>
      <c r="L218" s="1"/>
      <c r="M218" s="1"/>
      <c r="N218" s="1" t="s">
        <v>1529</v>
      </c>
      <c r="O218" s="1" t="s">
        <v>1578</v>
      </c>
      <c r="P218" s="1" t="s">
        <v>1533</v>
      </c>
    </row>
    <row r="219" spans="1:16" ht="15" customHeight="1" x14ac:dyDescent="0.25">
      <c r="A219" s="1" t="s">
        <v>1264</v>
      </c>
      <c r="B219" s="2" t="s">
        <v>1875</v>
      </c>
      <c r="C219" t="b">
        <v>0</v>
      </c>
      <c r="D219" s="1" t="s">
        <v>3</v>
      </c>
      <c r="E219" s="1" t="s">
        <v>1471</v>
      </c>
      <c r="F219" s="1" t="s">
        <v>1492</v>
      </c>
      <c r="G219" s="1" t="s">
        <v>1636</v>
      </c>
      <c r="H219" s="1" t="s">
        <v>5</v>
      </c>
      <c r="I219">
        <v>18</v>
      </c>
      <c r="L219" s="1"/>
      <c r="M219" s="1"/>
      <c r="N219" s="1"/>
      <c r="O219" s="1"/>
      <c r="P219" s="1" t="s">
        <v>1533</v>
      </c>
    </row>
    <row r="220" spans="1:16" ht="15" customHeight="1" x14ac:dyDescent="0.25">
      <c r="A220" s="1" t="s">
        <v>1264</v>
      </c>
      <c r="B220" s="2" t="s">
        <v>1875</v>
      </c>
      <c r="C220" t="b">
        <v>1</v>
      </c>
      <c r="D220" s="1" t="s">
        <v>1370</v>
      </c>
      <c r="E220" s="1" t="s">
        <v>1472</v>
      </c>
      <c r="F220" s="1" t="s">
        <v>1493</v>
      </c>
      <c r="G220" s="1" t="s">
        <v>1637</v>
      </c>
      <c r="H220" s="1" t="s">
        <v>5</v>
      </c>
      <c r="I220">
        <v>40</v>
      </c>
      <c r="L220" s="1"/>
      <c r="M220" s="1"/>
      <c r="N220" s="1"/>
      <c r="O220" s="1"/>
      <c r="P220" s="1" t="s">
        <v>1533</v>
      </c>
    </row>
    <row r="221" spans="1:16" ht="15" customHeight="1" x14ac:dyDescent="0.25">
      <c r="A221" s="1" t="s">
        <v>1264</v>
      </c>
      <c r="B221" s="2" t="s">
        <v>1875</v>
      </c>
      <c r="C221" t="b">
        <v>1</v>
      </c>
      <c r="D221" s="1" t="s">
        <v>1279</v>
      </c>
      <c r="E221" s="1" t="s">
        <v>1473</v>
      </c>
      <c r="F221" s="1" t="s">
        <v>1494</v>
      </c>
      <c r="G221" s="1" t="s">
        <v>1279</v>
      </c>
      <c r="H221" s="1" t="s">
        <v>5</v>
      </c>
      <c r="I221">
        <v>4</v>
      </c>
      <c r="L221" s="1"/>
      <c r="M221" s="1"/>
      <c r="N221" s="1"/>
      <c r="O221" s="1"/>
      <c r="P221" s="1" t="s">
        <v>1533</v>
      </c>
    </row>
    <row r="222" spans="1:16" ht="15" customHeight="1" x14ac:dyDescent="0.25">
      <c r="A222" s="1" t="s">
        <v>1264</v>
      </c>
      <c r="B222" s="2" t="s">
        <v>1875</v>
      </c>
      <c r="C222" t="b">
        <v>0</v>
      </c>
      <c r="D222" s="1" t="s">
        <v>1265</v>
      </c>
      <c r="E222" s="1" t="s">
        <v>1474</v>
      </c>
      <c r="F222" s="1" t="s">
        <v>1495</v>
      </c>
      <c r="G222" s="1" t="s">
        <v>1265</v>
      </c>
      <c r="H222" s="1" t="s">
        <v>5</v>
      </c>
      <c r="I222">
        <v>4</v>
      </c>
      <c r="L222" s="1"/>
      <c r="M222" s="1"/>
      <c r="N222" s="1"/>
      <c r="O222" s="1"/>
      <c r="P222" s="1" t="s">
        <v>1533</v>
      </c>
    </row>
    <row r="223" spans="1:16" ht="15" customHeight="1" x14ac:dyDescent="0.25">
      <c r="A223" s="1" t="s">
        <v>1264</v>
      </c>
      <c r="B223" s="2" t="s">
        <v>1875</v>
      </c>
      <c r="C223" t="b">
        <v>1</v>
      </c>
      <c r="D223" s="1" t="s">
        <v>1258</v>
      </c>
      <c r="E223" s="1" t="s">
        <v>1883</v>
      </c>
      <c r="F223" s="1" t="s">
        <v>1896</v>
      </c>
      <c r="G223" s="1" t="s">
        <v>1909</v>
      </c>
      <c r="H223" s="1" t="s">
        <v>5</v>
      </c>
      <c r="I223">
        <v>17</v>
      </c>
      <c r="L223" s="1"/>
      <c r="M223" s="1"/>
      <c r="N223" s="1"/>
      <c r="O223" s="1"/>
      <c r="P223" s="1" t="s">
        <v>1533</v>
      </c>
    </row>
    <row r="224" spans="1:16" ht="15" customHeight="1" x14ac:dyDescent="0.25">
      <c r="A224" s="1" t="s">
        <v>1264</v>
      </c>
      <c r="B224" s="2" t="s">
        <v>1875</v>
      </c>
      <c r="C224" t="b">
        <v>1</v>
      </c>
      <c r="D224" s="1" t="s">
        <v>1262</v>
      </c>
      <c r="E224" s="1" t="s">
        <v>1884</v>
      </c>
      <c r="F224" s="1" t="s">
        <v>1897</v>
      </c>
      <c r="G224" s="1" t="s">
        <v>1910</v>
      </c>
      <c r="H224" s="1" t="s">
        <v>5</v>
      </c>
      <c r="I224">
        <v>4</v>
      </c>
      <c r="L224" s="1"/>
      <c r="M224" s="1"/>
      <c r="N224" s="1"/>
      <c r="O224" s="1"/>
      <c r="P224" s="1" t="s">
        <v>1533</v>
      </c>
    </row>
    <row r="225" spans="1:16" ht="15" customHeight="1" x14ac:dyDescent="0.25">
      <c r="A225" s="1" t="s">
        <v>1264</v>
      </c>
      <c r="B225" s="2" t="s">
        <v>1875</v>
      </c>
      <c r="C225" t="b">
        <v>1</v>
      </c>
      <c r="D225" s="1" t="s">
        <v>1876</v>
      </c>
      <c r="E225" s="1" t="s">
        <v>1885</v>
      </c>
      <c r="F225" s="1" t="s">
        <v>1898</v>
      </c>
      <c r="G225" s="1" t="s">
        <v>1911</v>
      </c>
      <c r="H225" s="1" t="s">
        <v>5</v>
      </c>
      <c r="I225">
        <v>15</v>
      </c>
      <c r="L225" s="1"/>
      <c r="M225" s="1"/>
      <c r="N225" s="1"/>
      <c r="O225" s="1"/>
      <c r="P225" s="1" t="s">
        <v>1533</v>
      </c>
    </row>
    <row r="226" spans="1:16" ht="15" customHeight="1" x14ac:dyDescent="0.25">
      <c r="A226" s="1" t="s">
        <v>1264</v>
      </c>
      <c r="B226" s="2" t="s">
        <v>1875</v>
      </c>
      <c r="C226" t="b">
        <v>1</v>
      </c>
      <c r="D226" s="1" t="s">
        <v>1877</v>
      </c>
      <c r="E226" s="1" t="s">
        <v>1886</v>
      </c>
      <c r="F226" s="1" t="s">
        <v>1899</v>
      </c>
      <c r="G226" s="1" t="s">
        <v>1912</v>
      </c>
      <c r="H226" s="1" t="s">
        <v>5</v>
      </c>
      <c r="I226">
        <v>9</v>
      </c>
      <c r="L226" s="1"/>
      <c r="M226" s="1"/>
      <c r="N226" s="1"/>
      <c r="O226" s="1"/>
      <c r="P226" s="1" t="s">
        <v>1533</v>
      </c>
    </row>
    <row r="227" spans="1:16" ht="15" customHeight="1" x14ac:dyDescent="0.25">
      <c r="A227" s="1" t="s">
        <v>1264</v>
      </c>
      <c r="B227" s="2" t="s">
        <v>1875</v>
      </c>
      <c r="C227" t="b">
        <v>1</v>
      </c>
      <c r="D227" s="1" t="s">
        <v>1259</v>
      </c>
      <c r="E227" s="1" t="s">
        <v>1887</v>
      </c>
      <c r="F227" s="1" t="s">
        <v>1900</v>
      </c>
      <c r="G227" s="1" t="s">
        <v>1913</v>
      </c>
      <c r="H227" s="1" t="s">
        <v>5</v>
      </c>
      <c r="I227">
        <v>16</v>
      </c>
      <c r="L227" s="1"/>
      <c r="M227" s="1"/>
      <c r="N227" s="1"/>
      <c r="O227" s="1"/>
      <c r="P227" s="1" t="s">
        <v>1533</v>
      </c>
    </row>
    <row r="228" spans="1:16" ht="15" customHeight="1" x14ac:dyDescent="0.25">
      <c r="A228" s="1" t="s">
        <v>1264</v>
      </c>
      <c r="B228" s="2" t="s">
        <v>1875</v>
      </c>
      <c r="C228" t="b">
        <v>1</v>
      </c>
      <c r="D228" s="1" t="s">
        <v>1260</v>
      </c>
      <c r="E228" s="1" t="s">
        <v>1888</v>
      </c>
      <c r="F228" s="1" t="s">
        <v>1901</v>
      </c>
      <c r="G228" s="1" t="s">
        <v>1914</v>
      </c>
      <c r="H228" s="1" t="s">
        <v>5</v>
      </c>
      <c r="I228">
        <v>3</v>
      </c>
      <c r="L228" s="1"/>
      <c r="M228" s="1"/>
      <c r="N228" s="1"/>
      <c r="O228" s="1"/>
      <c r="P228" s="1" t="s">
        <v>1533</v>
      </c>
    </row>
    <row r="229" spans="1:16" ht="15" customHeight="1" x14ac:dyDescent="0.25">
      <c r="A229" s="1" t="s">
        <v>1264</v>
      </c>
      <c r="B229" s="2" t="s">
        <v>1875</v>
      </c>
      <c r="C229" t="b">
        <v>1</v>
      </c>
      <c r="D229" s="1" t="s">
        <v>1263</v>
      </c>
      <c r="E229" s="1" t="s">
        <v>1889</v>
      </c>
      <c r="F229" s="1" t="s">
        <v>1902</v>
      </c>
      <c r="G229" s="1" t="s">
        <v>1915</v>
      </c>
      <c r="H229" s="1" t="s">
        <v>5</v>
      </c>
      <c r="I229">
        <v>3</v>
      </c>
      <c r="L229" s="1"/>
      <c r="M229" s="1"/>
      <c r="N229" s="1"/>
      <c r="O229" s="1"/>
      <c r="P229" s="1" t="s">
        <v>1533</v>
      </c>
    </row>
    <row r="230" spans="1:16" ht="15" customHeight="1" x14ac:dyDescent="0.25">
      <c r="A230" s="1" t="s">
        <v>1264</v>
      </c>
      <c r="B230" s="2" t="s">
        <v>1875</v>
      </c>
      <c r="C230" t="b">
        <v>1</v>
      </c>
      <c r="D230" s="1" t="s">
        <v>1878</v>
      </c>
      <c r="E230" s="1" t="s">
        <v>1890</v>
      </c>
      <c r="F230" s="1" t="s">
        <v>1903</v>
      </c>
      <c r="G230" s="1" t="s">
        <v>1916</v>
      </c>
      <c r="H230" s="1" t="s">
        <v>5</v>
      </c>
      <c r="I230">
        <v>12</v>
      </c>
      <c r="L230" s="1"/>
      <c r="M230" s="1"/>
      <c r="N230" s="1"/>
      <c r="O230" s="1"/>
      <c r="P230" s="1" t="s">
        <v>1533</v>
      </c>
    </row>
    <row r="231" spans="1:16" ht="15" customHeight="1" x14ac:dyDescent="0.25">
      <c r="A231" s="1" t="s">
        <v>1264</v>
      </c>
      <c r="B231" s="2" t="s">
        <v>1875</v>
      </c>
      <c r="C231" t="b">
        <v>1</v>
      </c>
      <c r="D231" s="1" t="s">
        <v>1879</v>
      </c>
      <c r="E231" s="1" t="s">
        <v>1891</v>
      </c>
      <c r="F231" s="1" t="s">
        <v>1904</v>
      </c>
      <c r="G231" s="1" t="s">
        <v>1917</v>
      </c>
      <c r="H231" s="1" t="s">
        <v>5</v>
      </c>
      <c r="I231">
        <v>6</v>
      </c>
      <c r="L231" s="1"/>
      <c r="M231" s="1"/>
      <c r="N231" s="1"/>
      <c r="O231" s="1"/>
      <c r="P231" s="1" t="s">
        <v>1533</v>
      </c>
    </row>
    <row r="232" spans="1:16" ht="15" customHeight="1" x14ac:dyDescent="0.25">
      <c r="A232" s="1" t="s">
        <v>1264</v>
      </c>
      <c r="B232" s="2" t="s">
        <v>1875</v>
      </c>
      <c r="C232" t="b">
        <v>1</v>
      </c>
      <c r="D232" s="1" t="s">
        <v>1261</v>
      </c>
      <c r="E232" s="1" t="s">
        <v>1892</v>
      </c>
      <c r="F232" s="1" t="s">
        <v>1905</v>
      </c>
      <c r="G232" s="1" t="s">
        <v>1918</v>
      </c>
      <c r="H232" s="1" t="s">
        <v>5</v>
      </c>
      <c r="I232">
        <v>1</v>
      </c>
      <c r="L232" s="1"/>
      <c r="M232" s="1"/>
      <c r="N232" s="1"/>
      <c r="O232" s="1"/>
      <c r="P232" s="1" t="s">
        <v>1533</v>
      </c>
    </row>
    <row r="233" spans="1:16" ht="15" customHeight="1" x14ac:dyDescent="0.25">
      <c r="A233" s="1" t="s">
        <v>1264</v>
      </c>
      <c r="B233" s="2" t="s">
        <v>1875</v>
      </c>
      <c r="C233" t="b">
        <v>1</v>
      </c>
      <c r="D233" s="1" t="s">
        <v>1880</v>
      </c>
      <c r="E233" s="1" t="s">
        <v>1893</v>
      </c>
      <c r="F233" s="1" t="s">
        <v>1906</v>
      </c>
      <c r="G233" s="1" t="s">
        <v>1919</v>
      </c>
      <c r="H233" s="1" t="s">
        <v>5</v>
      </c>
      <c r="I233">
        <v>8</v>
      </c>
      <c r="L233" s="1"/>
      <c r="M233" s="1"/>
      <c r="N233" s="1"/>
      <c r="O233" s="1"/>
      <c r="P233" s="1" t="s">
        <v>1533</v>
      </c>
    </row>
    <row r="234" spans="1:16" ht="15" customHeight="1" x14ac:dyDescent="0.25">
      <c r="A234" s="1" t="s">
        <v>1264</v>
      </c>
      <c r="B234" s="2" t="s">
        <v>1875</v>
      </c>
      <c r="C234" t="b">
        <v>1</v>
      </c>
      <c r="D234" s="1" t="s">
        <v>1881</v>
      </c>
      <c r="E234" s="1" t="s">
        <v>1894</v>
      </c>
      <c r="F234" s="1" t="s">
        <v>1907</v>
      </c>
      <c r="G234" s="1" t="s">
        <v>1920</v>
      </c>
      <c r="H234" s="1" t="s">
        <v>28</v>
      </c>
      <c r="L234" s="1"/>
      <c r="M234" s="1"/>
      <c r="N234" s="1"/>
      <c r="O234" s="1"/>
      <c r="P234" s="1" t="s">
        <v>1533</v>
      </c>
    </row>
    <row r="235" spans="1:16" ht="15" customHeight="1" x14ac:dyDescent="0.25">
      <c r="A235" s="1" t="s">
        <v>1264</v>
      </c>
      <c r="B235" s="2" t="s">
        <v>1875</v>
      </c>
      <c r="C235" t="b">
        <v>1</v>
      </c>
      <c r="D235" s="1" t="s">
        <v>1882</v>
      </c>
      <c r="E235" s="1" t="s">
        <v>1895</v>
      </c>
      <c r="F235" s="1" t="s">
        <v>1908</v>
      </c>
      <c r="G235" s="1" t="s">
        <v>1921</v>
      </c>
      <c r="H235" s="1" t="s">
        <v>5</v>
      </c>
      <c r="I235">
        <v>1</v>
      </c>
      <c r="L235" s="1"/>
      <c r="M235" s="1"/>
      <c r="N235" s="1"/>
      <c r="O235" s="1"/>
      <c r="P235" s="1" t="s">
        <v>1533</v>
      </c>
    </row>
    <row r="236" spans="1:16" ht="15" customHeight="1" x14ac:dyDescent="0.25">
      <c r="A236" s="1" t="s">
        <v>1264</v>
      </c>
      <c r="B236" s="2" t="s">
        <v>1875</v>
      </c>
      <c r="D236" s="1"/>
      <c r="E236" s="1"/>
      <c r="F236" s="1"/>
      <c r="G236" s="1"/>
      <c r="H236" s="1"/>
      <c r="L236" s="1" t="s">
        <v>1524</v>
      </c>
      <c r="M236" s="1" t="s">
        <v>1525</v>
      </c>
      <c r="N236" s="1"/>
      <c r="O236" s="1"/>
      <c r="P236" s="1" t="s">
        <v>1533</v>
      </c>
    </row>
    <row r="237" spans="1:16" ht="15" customHeight="1" x14ac:dyDescent="0.25">
      <c r="A237" s="1" t="s">
        <v>1264</v>
      </c>
      <c r="B237" s="2" t="s">
        <v>1875</v>
      </c>
      <c r="D237" s="1"/>
      <c r="E237" s="1"/>
      <c r="F237" s="1"/>
      <c r="G237" s="1"/>
      <c r="H237" s="1"/>
      <c r="L237" s="1" t="s">
        <v>1524</v>
      </c>
      <c r="M237" s="1" t="s">
        <v>1526</v>
      </c>
      <c r="N237" s="1"/>
      <c r="O237" s="1"/>
      <c r="P237" s="1" t="s">
        <v>1533</v>
      </c>
    </row>
    <row r="238" spans="1:16" ht="15" customHeight="1" x14ac:dyDescent="0.25">
      <c r="A238" s="1" t="s">
        <v>1264</v>
      </c>
      <c r="B238" s="2" t="s">
        <v>1875</v>
      </c>
      <c r="D238" s="1"/>
      <c r="E238" s="1"/>
      <c r="F238" s="1"/>
      <c r="G238" s="1"/>
      <c r="H238" s="1"/>
      <c r="L238" s="1" t="s">
        <v>1524</v>
      </c>
      <c r="M238" s="1" t="s">
        <v>1527</v>
      </c>
      <c r="N238" s="1"/>
      <c r="O238" s="1"/>
      <c r="P238" s="1" t="s">
        <v>1533</v>
      </c>
    </row>
    <row r="239" spans="1:16" ht="15" customHeight="1" x14ac:dyDescent="0.25">
      <c r="A239" s="1" t="s">
        <v>1264</v>
      </c>
      <c r="B239" s="2" t="s">
        <v>1875</v>
      </c>
      <c r="D239" s="1"/>
      <c r="E239" s="1"/>
      <c r="F239" s="1"/>
      <c r="G239" s="1"/>
      <c r="H239" s="1"/>
      <c r="L239" s="1"/>
      <c r="M239" s="1"/>
      <c r="N239" s="1" t="s">
        <v>1529</v>
      </c>
      <c r="O239" s="1" t="s">
        <v>1577</v>
      </c>
      <c r="P239" s="1" t="s">
        <v>1533</v>
      </c>
    </row>
    <row r="240" spans="1:16" ht="15" customHeight="1" x14ac:dyDescent="0.25">
      <c r="A240" s="1" t="s">
        <v>1264</v>
      </c>
      <c r="B240" s="2" t="s">
        <v>1875</v>
      </c>
      <c r="D240" s="1"/>
      <c r="E240" s="1"/>
      <c r="F240" s="1"/>
      <c r="G240" s="1"/>
      <c r="H240" s="1"/>
      <c r="L240" s="1"/>
      <c r="M240" s="1"/>
      <c r="N240" s="1" t="s">
        <v>1529</v>
      </c>
      <c r="O240" s="1" t="s">
        <v>1577</v>
      </c>
      <c r="P240" s="1" t="s">
        <v>1533</v>
      </c>
    </row>
    <row r="241" spans="1:16" ht="15" customHeight="1" x14ac:dyDescent="0.25">
      <c r="A241" s="1" t="s">
        <v>1264</v>
      </c>
      <c r="B241" s="2" t="s">
        <v>1875</v>
      </c>
      <c r="D241" s="1"/>
      <c r="E241" s="1"/>
      <c r="F241" s="1"/>
      <c r="G241" s="1"/>
      <c r="H241" s="1"/>
      <c r="L241" s="1"/>
      <c r="M241" s="1"/>
      <c r="N241" s="1" t="s">
        <v>1529</v>
      </c>
      <c r="O241" s="1" t="s">
        <v>1578</v>
      </c>
      <c r="P241" s="1" t="s">
        <v>1533</v>
      </c>
    </row>
    <row r="242" spans="1:16" ht="15" customHeight="1" x14ac:dyDescent="0.25">
      <c r="A242" s="1" t="s">
        <v>1264</v>
      </c>
      <c r="B242" s="2" t="s">
        <v>1875</v>
      </c>
      <c r="D242" s="1"/>
      <c r="E242" s="1"/>
      <c r="F242" s="1"/>
      <c r="G242" s="1"/>
      <c r="H242" s="1"/>
      <c r="L242" s="1"/>
      <c r="M242" s="1"/>
      <c r="N242" s="1" t="s">
        <v>1529</v>
      </c>
      <c r="O242" s="1" t="s">
        <v>1578</v>
      </c>
      <c r="P242" s="1" t="s">
        <v>1533</v>
      </c>
    </row>
    <row r="243" spans="1:16" ht="15" customHeight="1" x14ac:dyDescent="0.25">
      <c r="A243" s="1" t="s">
        <v>1264</v>
      </c>
      <c r="B243" s="2" t="s">
        <v>1875</v>
      </c>
      <c r="D243" s="1"/>
      <c r="E243" s="1"/>
      <c r="F243" s="1"/>
      <c r="G243" s="1"/>
      <c r="H243" s="1"/>
      <c r="L243" s="1"/>
      <c r="M243" s="1"/>
      <c r="N243" s="1" t="s">
        <v>1529</v>
      </c>
      <c r="O243" s="1" t="s">
        <v>1578</v>
      </c>
      <c r="P243" s="1" t="s">
        <v>1533</v>
      </c>
    </row>
    <row r="244" spans="1:16" ht="15" customHeight="1" x14ac:dyDescent="0.25">
      <c r="A244" s="1" t="s">
        <v>1922</v>
      </c>
      <c r="B244" s="2" t="s">
        <v>1923</v>
      </c>
      <c r="C244" t="b">
        <v>0</v>
      </c>
      <c r="D244" s="1" t="s">
        <v>3</v>
      </c>
      <c r="E244" s="1" t="s">
        <v>1471</v>
      </c>
      <c r="F244" s="1" t="s">
        <v>1492</v>
      </c>
      <c r="G244" s="1" t="s">
        <v>1636</v>
      </c>
      <c r="H244" s="1" t="s">
        <v>5</v>
      </c>
      <c r="I244">
        <v>18</v>
      </c>
      <c r="L244" s="1"/>
      <c r="M244" s="1"/>
      <c r="N244" s="1"/>
      <c r="O244" s="1"/>
      <c r="P244" s="1" t="s">
        <v>1533</v>
      </c>
    </row>
    <row r="245" spans="1:16" ht="15" customHeight="1" x14ac:dyDescent="0.25">
      <c r="A245" s="1" t="s">
        <v>1922</v>
      </c>
      <c r="B245" s="2" t="s">
        <v>1923</v>
      </c>
      <c r="C245" t="b">
        <v>1</v>
      </c>
      <c r="D245" s="1" t="s">
        <v>1370</v>
      </c>
      <c r="E245" s="1" t="s">
        <v>1472</v>
      </c>
      <c r="F245" s="1" t="s">
        <v>1493</v>
      </c>
      <c r="G245" s="1" t="s">
        <v>1637</v>
      </c>
      <c r="H245" s="1" t="s">
        <v>5</v>
      </c>
      <c r="I245">
        <v>40</v>
      </c>
      <c r="L245" s="1"/>
      <c r="M245" s="1"/>
      <c r="N245" s="1"/>
      <c r="O245" s="1"/>
      <c r="P245" s="1" t="s">
        <v>1533</v>
      </c>
    </row>
    <row r="246" spans="1:16" ht="15" customHeight="1" x14ac:dyDescent="0.25">
      <c r="A246" s="1" t="s">
        <v>1922</v>
      </c>
      <c r="B246" s="2" t="s">
        <v>1923</v>
      </c>
      <c r="C246" t="b">
        <v>1</v>
      </c>
      <c r="D246" s="1" t="s">
        <v>1279</v>
      </c>
      <c r="E246" s="1" t="s">
        <v>1473</v>
      </c>
      <c r="F246" s="1" t="s">
        <v>1494</v>
      </c>
      <c r="G246" s="1" t="s">
        <v>1279</v>
      </c>
      <c r="H246" s="1" t="s">
        <v>5</v>
      </c>
      <c r="I246">
        <v>4</v>
      </c>
      <c r="L246" s="1"/>
      <c r="M246" s="1"/>
      <c r="N246" s="1"/>
      <c r="O246" s="1"/>
      <c r="P246" s="1" t="s">
        <v>1533</v>
      </c>
    </row>
    <row r="247" spans="1:16" ht="15" customHeight="1" x14ac:dyDescent="0.25">
      <c r="A247" s="1" t="s">
        <v>1922</v>
      </c>
      <c r="B247" s="2" t="s">
        <v>1923</v>
      </c>
      <c r="C247" t="b">
        <v>0</v>
      </c>
      <c r="D247" s="1" t="s">
        <v>1265</v>
      </c>
      <c r="E247" s="1" t="s">
        <v>1474</v>
      </c>
      <c r="F247" s="1" t="s">
        <v>1495</v>
      </c>
      <c r="G247" s="1" t="s">
        <v>1265</v>
      </c>
      <c r="H247" s="1" t="s">
        <v>5</v>
      </c>
      <c r="I247">
        <v>4</v>
      </c>
      <c r="L247" s="1"/>
      <c r="M247" s="1"/>
      <c r="N247" s="1"/>
      <c r="O247" s="1"/>
      <c r="P247" s="1" t="s">
        <v>1533</v>
      </c>
    </row>
    <row r="248" spans="1:16" ht="15" customHeight="1" x14ac:dyDescent="0.25">
      <c r="A248" s="1" t="s">
        <v>1922</v>
      </c>
      <c r="B248" s="2" t="s">
        <v>1923</v>
      </c>
      <c r="C248" t="b">
        <v>1</v>
      </c>
      <c r="D248" s="1" t="s">
        <v>1924</v>
      </c>
      <c r="E248" s="1" t="s">
        <v>1883</v>
      </c>
      <c r="F248" s="1" t="s">
        <v>1896</v>
      </c>
      <c r="G248" s="1" t="s">
        <v>1909</v>
      </c>
      <c r="H248" s="1" t="s">
        <v>5</v>
      </c>
      <c r="I248">
        <v>17</v>
      </c>
      <c r="L248" s="1"/>
      <c r="M248" s="1"/>
      <c r="N248" s="1"/>
      <c r="O248" s="1"/>
      <c r="P248" s="1" t="s">
        <v>1533</v>
      </c>
    </row>
    <row r="249" spans="1:16" ht="15" customHeight="1" x14ac:dyDescent="0.25">
      <c r="A249" s="1" t="s">
        <v>1922</v>
      </c>
      <c r="B249" s="2" t="s">
        <v>1923</v>
      </c>
      <c r="C249" t="b">
        <v>1</v>
      </c>
      <c r="D249" s="1" t="s">
        <v>1262</v>
      </c>
      <c r="E249" s="1" t="s">
        <v>1884</v>
      </c>
      <c r="F249" s="1" t="s">
        <v>1897</v>
      </c>
      <c r="G249" s="1" t="s">
        <v>1910</v>
      </c>
      <c r="H249" s="1" t="s">
        <v>5</v>
      </c>
      <c r="I249">
        <v>4</v>
      </c>
      <c r="L249" s="1"/>
      <c r="M249" s="1"/>
      <c r="N249" s="1"/>
      <c r="O249" s="1"/>
      <c r="P249" s="1" t="s">
        <v>1533</v>
      </c>
    </row>
    <row r="250" spans="1:16" ht="15" customHeight="1" x14ac:dyDescent="0.25">
      <c r="A250" s="1" t="s">
        <v>1922</v>
      </c>
      <c r="B250" s="2" t="s">
        <v>1923</v>
      </c>
      <c r="C250" t="b">
        <v>1</v>
      </c>
      <c r="D250" s="1" t="s">
        <v>1925</v>
      </c>
      <c r="E250" s="1" t="s">
        <v>1885</v>
      </c>
      <c r="F250" s="1" t="s">
        <v>1898</v>
      </c>
      <c r="G250" s="1" t="s">
        <v>1911</v>
      </c>
      <c r="H250" s="1" t="s">
        <v>5</v>
      </c>
      <c r="I250">
        <v>15</v>
      </c>
      <c r="L250" s="1"/>
      <c r="M250" s="1"/>
      <c r="N250" s="1"/>
      <c r="O250" s="1"/>
      <c r="P250" s="1" t="s">
        <v>1533</v>
      </c>
    </row>
    <row r="251" spans="1:16" ht="15" customHeight="1" x14ac:dyDescent="0.25">
      <c r="A251" s="1" t="s">
        <v>1922</v>
      </c>
      <c r="B251" s="2" t="s">
        <v>1923</v>
      </c>
      <c r="C251" t="b">
        <v>1</v>
      </c>
      <c r="D251" s="1" t="s">
        <v>1877</v>
      </c>
      <c r="E251" s="1" t="s">
        <v>1886</v>
      </c>
      <c r="F251" s="1" t="s">
        <v>1899</v>
      </c>
      <c r="G251" s="1" t="s">
        <v>1912</v>
      </c>
      <c r="H251" s="1" t="s">
        <v>5</v>
      </c>
      <c r="I251">
        <v>9</v>
      </c>
      <c r="L251" s="1"/>
      <c r="M251" s="1"/>
      <c r="N251" s="1"/>
      <c r="O251" s="1"/>
      <c r="P251" s="1" t="s">
        <v>1533</v>
      </c>
    </row>
    <row r="252" spans="1:16" ht="15" customHeight="1" x14ac:dyDescent="0.25">
      <c r="A252" s="1" t="s">
        <v>1922</v>
      </c>
      <c r="B252" s="2" t="s">
        <v>1923</v>
      </c>
      <c r="C252" t="b">
        <v>1</v>
      </c>
      <c r="D252" s="1" t="s">
        <v>1259</v>
      </c>
      <c r="E252" s="1" t="s">
        <v>1887</v>
      </c>
      <c r="F252" s="1" t="s">
        <v>1900</v>
      </c>
      <c r="G252" s="1" t="s">
        <v>1913</v>
      </c>
      <c r="H252" s="1" t="s">
        <v>5</v>
      </c>
      <c r="I252">
        <v>16</v>
      </c>
      <c r="L252" s="1"/>
      <c r="M252" s="1"/>
      <c r="N252" s="1"/>
      <c r="O252" s="1"/>
      <c r="P252" s="1" t="s">
        <v>1533</v>
      </c>
    </row>
    <row r="253" spans="1:16" ht="15" customHeight="1" x14ac:dyDescent="0.25">
      <c r="A253" s="1" t="s">
        <v>1922</v>
      </c>
      <c r="B253" s="2" t="s">
        <v>1923</v>
      </c>
      <c r="C253" t="b">
        <v>1</v>
      </c>
      <c r="D253" s="1" t="s">
        <v>1926</v>
      </c>
      <c r="E253" s="1" t="s">
        <v>1888</v>
      </c>
      <c r="F253" s="1" t="s">
        <v>1901</v>
      </c>
      <c r="G253" s="1" t="s">
        <v>1914</v>
      </c>
      <c r="H253" s="1" t="s">
        <v>5</v>
      </c>
      <c r="I253">
        <v>3</v>
      </c>
      <c r="L253" s="1"/>
      <c r="M253" s="1"/>
      <c r="N253" s="1"/>
      <c r="O253" s="1"/>
      <c r="P253" s="1" t="s">
        <v>1533</v>
      </c>
    </row>
    <row r="254" spans="1:16" ht="15" customHeight="1" x14ac:dyDescent="0.25">
      <c r="A254" s="1" t="s">
        <v>1922</v>
      </c>
      <c r="B254" s="2" t="s">
        <v>1923</v>
      </c>
      <c r="C254" t="b">
        <v>1</v>
      </c>
      <c r="D254" s="1" t="s">
        <v>1927</v>
      </c>
      <c r="E254" s="1" t="s">
        <v>1889</v>
      </c>
      <c r="F254" s="1" t="s">
        <v>1902</v>
      </c>
      <c r="G254" s="1" t="s">
        <v>1915</v>
      </c>
      <c r="H254" s="1" t="s">
        <v>5</v>
      </c>
      <c r="I254">
        <v>3</v>
      </c>
      <c r="L254" s="1"/>
      <c r="M254" s="1"/>
      <c r="N254" s="1"/>
      <c r="O254" s="1"/>
      <c r="P254" s="1" t="s">
        <v>1533</v>
      </c>
    </row>
    <row r="255" spans="1:16" ht="15" customHeight="1" x14ac:dyDescent="0.25">
      <c r="A255" s="1" t="s">
        <v>1922</v>
      </c>
      <c r="B255" s="2" t="s">
        <v>1923</v>
      </c>
      <c r="C255" t="b">
        <v>1</v>
      </c>
      <c r="D255" s="1" t="s">
        <v>1878</v>
      </c>
      <c r="E255" s="1" t="s">
        <v>1890</v>
      </c>
      <c r="F255" s="1" t="s">
        <v>1903</v>
      </c>
      <c r="G255" s="1" t="s">
        <v>1916</v>
      </c>
      <c r="H255" s="1" t="s">
        <v>5</v>
      </c>
      <c r="I255">
        <v>12</v>
      </c>
      <c r="L255" s="1"/>
      <c r="M255" s="1"/>
      <c r="N255" s="1"/>
      <c r="O255" s="1"/>
      <c r="P255" s="1" t="s">
        <v>1533</v>
      </c>
    </row>
    <row r="256" spans="1:16" ht="15" customHeight="1" x14ac:dyDescent="0.25">
      <c r="A256" s="1" t="s">
        <v>1922</v>
      </c>
      <c r="B256" s="2" t="s">
        <v>1923</v>
      </c>
      <c r="C256" t="b">
        <v>1</v>
      </c>
      <c r="D256" s="1" t="s">
        <v>1879</v>
      </c>
      <c r="E256" s="1" t="s">
        <v>1891</v>
      </c>
      <c r="F256" s="1" t="s">
        <v>1904</v>
      </c>
      <c r="G256" s="1" t="s">
        <v>1917</v>
      </c>
      <c r="H256" s="1" t="s">
        <v>5</v>
      </c>
      <c r="I256">
        <v>6</v>
      </c>
      <c r="L256" s="1"/>
      <c r="M256" s="1"/>
      <c r="N256" s="1"/>
      <c r="O256" s="1"/>
      <c r="P256" s="1" t="s">
        <v>1533</v>
      </c>
    </row>
    <row r="257" spans="1:16" ht="15" customHeight="1" x14ac:dyDescent="0.25">
      <c r="A257" s="1" t="s">
        <v>1922</v>
      </c>
      <c r="B257" s="2" t="s">
        <v>1923</v>
      </c>
      <c r="C257" t="b">
        <v>1</v>
      </c>
      <c r="D257" s="1" t="s">
        <v>1261</v>
      </c>
      <c r="E257" s="1" t="s">
        <v>1892</v>
      </c>
      <c r="F257" s="1" t="s">
        <v>1905</v>
      </c>
      <c r="G257" s="1" t="s">
        <v>1918</v>
      </c>
      <c r="H257" s="1" t="s">
        <v>5</v>
      </c>
      <c r="I257">
        <v>1</v>
      </c>
      <c r="L257" s="1"/>
      <c r="M257" s="1"/>
      <c r="N257" s="1"/>
      <c r="O257" s="1"/>
      <c r="P257" s="1" t="s">
        <v>1533</v>
      </c>
    </row>
    <row r="258" spans="1:16" ht="15" customHeight="1" x14ac:dyDescent="0.25">
      <c r="A258" s="1" t="s">
        <v>1922</v>
      </c>
      <c r="B258" s="2" t="s">
        <v>1923</v>
      </c>
      <c r="C258" t="b">
        <v>1</v>
      </c>
      <c r="D258" s="1" t="s">
        <v>1880</v>
      </c>
      <c r="E258" s="1" t="s">
        <v>1893</v>
      </c>
      <c r="F258" s="1" t="s">
        <v>1906</v>
      </c>
      <c r="G258" s="1" t="s">
        <v>1919</v>
      </c>
      <c r="H258" s="1" t="s">
        <v>5</v>
      </c>
      <c r="I258">
        <v>8</v>
      </c>
      <c r="L258" s="1"/>
      <c r="M258" s="1"/>
      <c r="N258" s="1"/>
      <c r="O258" s="1"/>
      <c r="P258" s="1" t="s">
        <v>1533</v>
      </c>
    </row>
    <row r="259" spans="1:16" ht="15" customHeight="1" x14ac:dyDescent="0.25">
      <c r="A259" s="1" t="s">
        <v>1922</v>
      </c>
      <c r="B259" s="2" t="s">
        <v>1923</v>
      </c>
      <c r="C259" t="b">
        <v>1</v>
      </c>
      <c r="D259" s="1" t="s">
        <v>1881</v>
      </c>
      <c r="E259" s="1" t="s">
        <v>1894</v>
      </c>
      <c r="F259" s="1" t="s">
        <v>1907</v>
      </c>
      <c r="G259" s="1" t="s">
        <v>1920</v>
      </c>
      <c r="H259" s="1" t="s">
        <v>28</v>
      </c>
      <c r="L259" s="1"/>
      <c r="M259" s="1"/>
      <c r="N259" s="1"/>
      <c r="O259" s="1"/>
      <c r="P259" s="1" t="s">
        <v>1533</v>
      </c>
    </row>
    <row r="260" spans="1:16" ht="15" customHeight="1" x14ac:dyDescent="0.25">
      <c r="A260" s="1" t="s">
        <v>1922</v>
      </c>
      <c r="B260" s="2" t="s">
        <v>1923</v>
      </c>
      <c r="C260" t="b">
        <v>1</v>
      </c>
      <c r="D260" s="1" t="s">
        <v>1882</v>
      </c>
      <c r="E260" s="1" t="s">
        <v>1895</v>
      </c>
      <c r="F260" s="1" t="s">
        <v>1908</v>
      </c>
      <c r="G260" s="1" t="s">
        <v>1921</v>
      </c>
      <c r="H260" s="1" t="s">
        <v>5</v>
      </c>
      <c r="I260">
        <v>1</v>
      </c>
      <c r="L260" s="1"/>
      <c r="M260" s="1"/>
      <c r="N260" s="1"/>
      <c r="O260" s="1"/>
      <c r="P260" s="1" t="s">
        <v>1533</v>
      </c>
    </row>
    <row r="261" spans="1:16" ht="15" customHeight="1" x14ac:dyDescent="0.25">
      <c r="A261" s="1" t="s">
        <v>1922</v>
      </c>
      <c r="B261" s="2" t="s">
        <v>1923</v>
      </c>
      <c r="D261" s="1"/>
      <c r="E261" s="1"/>
      <c r="F261" s="1"/>
      <c r="G261" s="1"/>
      <c r="H261" s="1"/>
      <c r="L261" s="1" t="s">
        <v>1524</v>
      </c>
      <c r="M261" s="1" t="s">
        <v>1525</v>
      </c>
      <c r="N261" s="1"/>
      <c r="O261" s="1"/>
      <c r="P261" s="1" t="s">
        <v>1533</v>
      </c>
    </row>
    <row r="262" spans="1:16" ht="15" customHeight="1" x14ac:dyDescent="0.25">
      <c r="A262" s="1" t="s">
        <v>1922</v>
      </c>
      <c r="B262" s="2" t="s">
        <v>1923</v>
      </c>
      <c r="D262" s="1"/>
      <c r="E262" s="1"/>
      <c r="F262" s="1"/>
      <c r="G262" s="1"/>
      <c r="H262" s="1"/>
      <c r="L262" s="1" t="s">
        <v>1524</v>
      </c>
      <c r="M262" s="1" t="s">
        <v>1526</v>
      </c>
      <c r="N262" s="1"/>
      <c r="O262" s="1"/>
      <c r="P262" s="1" t="s">
        <v>1533</v>
      </c>
    </row>
    <row r="263" spans="1:16" ht="15" customHeight="1" x14ac:dyDescent="0.25">
      <c r="A263" s="1" t="s">
        <v>1922</v>
      </c>
      <c r="B263" s="2" t="s">
        <v>1923</v>
      </c>
      <c r="D263" s="1"/>
      <c r="E263" s="1"/>
      <c r="F263" s="1"/>
      <c r="G263" s="1"/>
      <c r="H263" s="1"/>
      <c r="L263" s="1" t="s">
        <v>1524</v>
      </c>
      <c r="M263" s="1" t="s">
        <v>1527</v>
      </c>
      <c r="N263" s="1"/>
      <c r="O263" s="1"/>
      <c r="P263" s="1" t="s">
        <v>1533</v>
      </c>
    </row>
    <row r="264" spans="1:16" ht="15" customHeight="1" x14ac:dyDescent="0.25">
      <c r="A264" s="1" t="s">
        <v>1922</v>
      </c>
      <c r="B264" s="2" t="s">
        <v>1923</v>
      </c>
      <c r="D264" s="1"/>
      <c r="E264" s="1"/>
      <c r="F264" s="1"/>
      <c r="G264" s="1"/>
      <c r="H264" s="1"/>
      <c r="L264" s="1"/>
      <c r="M264" s="1"/>
      <c r="N264" s="1" t="s">
        <v>1529</v>
      </c>
      <c r="O264" s="1" t="s">
        <v>1577</v>
      </c>
      <c r="P264" s="1" t="s">
        <v>1533</v>
      </c>
    </row>
    <row r="265" spans="1:16" ht="15" customHeight="1" x14ac:dyDescent="0.25">
      <c r="A265" s="1" t="s">
        <v>1922</v>
      </c>
      <c r="B265" s="2" t="s">
        <v>1923</v>
      </c>
      <c r="D265" s="1"/>
      <c r="E265" s="1"/>
      <c r="F265" s="1"/>
      <c r="G265" s="1"/>
      <c r="H265" s="1"/>
      <c r="L265" s="1"/>
      <c r="M265" s="1"/>
      <c r="N265" s="1" t="s">
        <v>1529</v>
      </c>
      <c r="O265" s="1" t="s">
        <v>1577</v>
      </c>
      <c r="P265" s="1" t="s">
        <v>1533</v>
      </c>
    </row>
    <row r="266" spans="1:16" ht="15" customHeight="1" x14ac:dyDescent="0.25">
      <c r="A266" s="1" t="s">
        <v>1922</v>
      </c>
      <c r="B266" s="2" t="s">
        <v>1923</v>
      </c>
      <c r="D266" s="1"/>
      <c r="E266" s="1"/>
      <c r="F266" s="1"/>
      <c r="G266" s="1"/>
      <c r="H266" s="1"/>
      <c r="L266" s="1"/>
      <c r="M266" s="1"/>
      <c r="N266" s="1" t="s">
        <v>1529</v>
      </c>
      <c r="O266" s="1" t="s">
        <v>1578</v>
      </c>
      <c r="P266" s="1" t="s">
        <v>1533</v>
      </c>
    </row>
    <row r="267" spans="1:16" ht="15" customHeight="1" x14ac:dyDescent="0.25">
      <c r="A267" s="1" t="s">
        <v>1922</v>
      </c>
      <c r="B267" s="2" t="s">
        <v>1923</v>
      </c>
      <c r="D267" s="1"/>
      <c r="E267" s="1"/>
      <c r="F267" s="1"/>
      <c r="G267" s="1"/>
      <c r="H267" s="1"/>
      <c r="L267" s="1"/>
      <c r="M267" s="1"/>
      <c r="N267" s="1" t="s">
        <v>1529</v>
      </c>
      <c r="O267" s="1" t="s">
        <v>1578</v>
      </c>
      <c r="P267" s="1" t="s">
        <v>1533</v>
      </c>
    </row>
    <row r="268" spans="1:16" ht="15" customHeight="1" x14ac:dyDescent="0.25">
      <c r="A268" s="1" t="s">
        <v>1922</v>
      </c>
      <c r="B268" s="2" t="s">
        <v>1923</v>
      </c>
      <c r="D268" s="1"/>
      <c r="E268" s="1"/>
      <c r="F268" s="1"/>
      <c r="G268" s="1"/>
      <c r="H268" s="1"/>
      <c r="L268" s="1"/>
      <c r="M268" s="1"/>
      <c r="N268" s="1" t="s">
        <v>1529</v>
      </c>
      <c r="O268" s="1" t="s">
        <v>1578</v>
      </c>
      <c r="P268" s="1" t="s">
        <v>1533</v>
      </c>
    </row>
    <row r="269" spans="1:16" ht="15" customHeight="1" x14ac:dyDescent="0.25">
      <c r="A269" s="1" t="s">
        <v>1276</v>
      </c>
      <c r="B269" s="2" t="s">
        <v>1928</v>
      </c>
      <c r="C269" t="b">
        <v>0</v>
      </c>
      <c r="D269" s="1" t="s">
        <v>3</v>
      </c>
      <c r="E269" s="1" t="s">
        <v>1471</v>
      </c>
      <c r="F269" s="1" t="s">
        <v>1492</v>
      </c>
      <c r="G269" s="1"/>
      <c r="H269" s="1" t="s">
        <v>5</v>
      </c>
      <c r="I269">
        <v>18</v>
      </c>
      <c r="L269" s="1"/>
      <c r="M269" s="1"/>
      <c r="N269" s="1"/>
      <c r="O269" s="1"/>
      <c r="P269" s="1" t="s">
        <v>1533</v>
      </c>
    </row>
    <row r="270" spans="1:16" ht="15" customHeight="1" x14ac:dyDescent="0.25">
      <c r="A270" s="1" t="s">
        <v>1276</v>
      </c>
      <c r="B270" s="2" t="s">
        <v>1928</v>
      </c>
      <c r="C270" t="b">
        <v>1</v>
      </c>
      <c r="D270" s="1" t="s">
        <v>1370</v>
      </c>
      <c r="E270" s="1" t="s">
        <v>1472</v>
      </c>
      <c r="F270" s="1" t="s">
        <v>1493</v>
      </c>
      <c r="G270" s="1"/>
      <c r="H270" s="1" t="s">
        <v>5</v>
      </c>
      <c r="I270">
        <v>40</v>
      </c>
      <c r="L270" s="1"/>
      <c r="M270" s="1"/>
      <c r="N270" s="1"/>
      <c r="O270" s="1"/>
      <c r="P270" s="1" t="s">
        <v>1533</v>
      </c>
    </row>
    <row r="271" spans="1:16" ht="15" customHeight="1" x14ac:dyDescent="0.25">
      <c r="A271" s="1" t="s">
        <v>1276</v>
      </c>
      <c r="B271" s="2" t="s">
        <v>1928</v>
      </c>
      <c r="C271" t="b">
        <v>1</v>
      </c>
      <c r="D271" s="1" t="s">
        <v>1279</v>
      </c>
      <c r="E271" s="1" t="s">
        <v>1473</v>
      </c>
      <c r="F271" s="1" t="s">
        <v>1494</v>
      </c>
      <c r="G271" s="1" t="s">
        <v>1279</v>
      </c>
      <c r="H271" s="1" t="s">
        <v>5</v>
      </c>
      <c r="I271">
        <v>4</v>
      </c>
      <c r="L271" s="1"/>
      <c r="M271" s="1"/>
      <c r="N271" s="1"/>
      <c r="O271" s="1"/>
      <c r="P271" s="1" t="s">
        <v>1533</v>
      </c>
    </row>
    <row r="272" spans="1:16" ht="15" customHeight="1" x14ac:dyDescent="0.25">
      <c r="A272" s="1" t="s">
        <v>1276</v>
      </c>
      <c r="B272" s="2" t="s">
        <v>1928</v>
      </c>
      <c r="C272" t="b">
        <v>0</v>
      </c>
      <c r="D272" s="1" t="s">
        <v>1265</v>
      </c>
      <c r="E272" s="1" t="s">
        <v>1474</v>
      </c>
      <c r="F272" s="1" t="s">
        <v>1495</v>
      </c>
      <c r="G272" s="1"/>
      <c r="H272" s="1" t="s">
        <v>5</v>
      </c>
      <c r="I272">
        <v>4</v>
      </c>
      <c r="L272" s="1"/>
      <c r="M272" s="1"/>
      <c r="N272" s="1"/>
      <c r="O272" s="1"/>
      <c r="P272" s="1" t="s">
        <v>1533</v>
      </c>
    </row>
    <row r="273" spans="1:16" ht="15" customHeight="1" x14ac:dyDescent="0.25">
      <c r="A273" s="1" t="s">
        <v>1276</v>
      </c>
      <c r="B273" s="2" t="s">
        <v>1928</v>
      </c>
      <c r="C273" t="b">
        <v>1</v>
      </c>
      <c r="D273" s="1" t="s">
        <v>1266</v>
      </c>
      <c r="E273" s="1" t="s">
        <v>1857</v>
      </c>
      <c r="F273" s="1" t="s">
        <v>1866</v>
      </c>
      <c r="G273" s="1"/>
      <c r="H273" s="1" t="s">
        <v>5</v>
      </c>
      <c r="I273">
        <v>4</v>
      </c>
      <c r="L273" s="1"/>
      <c r="M273" s="1"/>
      <c r="N273" s="1"/>
      <c r="O273" s="1"/>
      <c r="P273" s="1" t="s">
        <v>1533</v>
      </c>
    </row>
    <row r="274" spans="1:16" ht="15" customHeight="1" x14ac:dyDescent="0.25">
      <c r="A274" s="1" t="s">
        <v>1276</v>
      </c>
      <c r="B274" s="2" t="s">
        <v>1928</v>
      </c>
      <c r="C274" t="b">
        <v>1</v>
      </c>
      <c r="D274" s="1" t="s">
        <v>1369</v>
      </c>
      <c r="E274" s="1" t="s">
        <v>1475</v>
      </c>
      <c r="F274" s="1" t="s">
        <v>1496</v>
      </c>
      <c r="G274" s="1"/>
      <c r="H274" s="1" t="s">
        <v>5</v>
      </c>
      <c r="I274">
        <v>3</v>
      </c>
      <c r="L274" s="1"/>
      <c r="M274" s="1"/>
      <c r="N274" s="1"/>
      <c r="O274" s="1"/>
      <c r="P274" s="1" t="s">
        <v>1533</v>
      </c>
    </row>
    <row r="275" spans="1:16" ht="15" customHeight="1" x14ac:dyDescent="0.25">
      <c r="A275" s="1" t="s">
        <v>1276</v>
      </c>
      <c r="B275" s="2" t="s">
        <v>1928</v>
      </c>
      <c r="C275" t="b">
        <v>1</v>
      </c>
      <c r="D275" s="1" t="s">
        <v>1929</v>
      </c>
      <c r="E275" s="1" t="s">
        <v>1943</v>
      </c>
      <c r="F275" s="1" t="s">
        <v>1966</v>
      </c>
      <c r="G275" s="1"/>
      <c r="H275" s="1" t="s">
        <v>5</v>
      </c>
      <c r="I275">
        <v>3</v>
      </c>
      <c r="L275" s="1"/>
      <c r="M275" s="1"/>
      <c r="N275" s="1"/>
      <c r="O275" s="1"/>
      <c r="P275" s="1" t="s">
        <v>1533</v>
      </c>
    </row>
    <row r="276" spans="1:16" ht="15" customHeight="1" x14ac:dyDescent="0.25">
      <c r="A276" s="1" t="s">
        <v>1276</v>
      </c>
      <c r="B276" s="2" t="s">
        <v>1928</v>
      </c>
      <c r="C276" t="b">
        <v>1</v>
      </c>
      <c r="D276" s="1" t="s">
        <v>1930</v>
      </c>
      <c r="E276" s="1" t="s">
        <v>1944</v>
      </c>
      <c r="F276" s="1" t="s">
        <v>1967</v>
      </c>
      <c r="G276" s="1"/>
      <c r="H276" s="1" t="s">
        <v>5</v>
      </c>
      <c r="I276">
        <v>10</v>
      </c>
      <c r="L276" s="1"/>
      <c r="M276" s="1"/>
      <c r="N276" s="1"/>
      <c r="O276" s="1"/>
      <c r="P276" s="1" t="s">
        <v>1533</v>
      </c>
    </row>
    <row r="277" spans="1:16" ht="15" customHeight="1" x14ac:dyDescent="0.25">
      <c r="A277" s="1" t="s">
        <v>1276</v>
      </c>
      <c r="B277" s="2" t="s">
        <v>1928</v>
      </c>
      <c r="C277" t="b">
        <v>1</v>
      </c>
      <c r="D277" s="1" t="s">
        <v>1931</v>
      </c>
      <c r="E277" s="1" t="s">
        <v>1945</v>
      </c>
      <c r="F277" s="1" t="s">
        <v>1968</v>
      </c>
      <c r="G277" s="1"/>
      <c r="H277" s="1" t="s">
        <v>5</v>
      </c>
      <c r="I277">
        <v>3</v>
      </c>
      <c r="L277" s="1"/>
      <c r="M277" s="1"/>
      <c r="N277" s="1"/>
      <c r="O277" s="1"/>
      <c r="P277" s="1" t="s">
        <v>1533</v>
      </c>
    </row>
    <row r="278" spans="1:16" ht="15" customHeight="1" x14ac:dyDescent="0.25">
      <c r="A278" s="1" t="s">
        <v>1276</v>
      </c>
      <c r="B278" s="2" t="s">
        <v>1928</v>
      </c>
      <c r="C278" t="b">
        <v>1</v>
      </c>
      <c r="D278" s="1" t="s">
        <v>1275</v>
      </c>
      <c r="E278" s="1" t="s">
        <v>1946</v>
      </c>
      <c r="F278" s="1" t="s">
        <v>1969</v>
      </c>
      <c r="G278" s="1"/>
      <c r="H278" s="1" t="s">
        <v>5</v>
      </c>
      <c r="I278">
        <v>2</v>
      </c>
      <c r="L278" s="1"/>
      <c r="M278" s="1"/>
      <c r="N278" s="1"/>
      <c r="O278" s="1"/>
      <c r="P278" s="1" t="s">
        <v>1533</v>
      </c>
    </row>
    <row r="279" spans="1:16" ht="15" customHeight="1" x14ac:dyDescent="0.25">
      <c r="A279" s="1" t="s">
        <v>1276</v>
      </c>
      <c r="B279" s="2" t="s">
        <v>1928</v>
      </c>
      <c r="C279" t="b">
        <v>1</v>
      </c>
      <c r="D279" s="1" t="s">
        <v>1274</v>
      </c>
      <c r="E279" s="1" t="s">
        <v>1947</v>
      </c>
      <c r="F279" s="1" t="s">
        <v>1970</v>
      </c>
      <c r="G279" s="1"/>
      <c r="H279" s="1" t="s">
        <v>5</v>
      </c>
      <c r="I279">
        <v>2</v>
      </c>
      <c r="L279" s="1"/>
      <c r="M279" s="1"/>
      <c r="N279" s="1"/>
      <c r="O279" s="1"/>
      <c r="P279" s="1" t="s">
        <v>1533</v>
      </c>
    </row>
    <row r="280" spans="1:16" ht="15" customHeight="1" x14ac:dyDescent="0.25">
      <c r="A280" s="1" t="s">
        <v>1276</v>
      </c>
      <c r="B280" s="2" t="s">
        <v>1928</v>
      </c>
      <c r="C280" t="b">
        <v>1</v>
      </c>
      <c r="D280" s="1" t="s">
        <v>1268</v>
      </c>
      <c r="E280" s="1" t="s">
        <v>1948</v>
      </c>
      <c r="F280" s="1" t="s">
        <v>1971</v>
      </c>
      <c r="G280" s="1"/>
      <c r="H280" s="1" t="s">
        <v>5</v>
      </c>
      <c r="I280">
        <v>2</v>
      </c>
      <c r="L280" s="1"/>
      <c r="M280" s="1"/>
      <c r="N280" s="1"/>
      <c r="O280" s="1"/>
      <c r="P280" s="1" t="s">
        <v>1533</v>
      </c>
    </row>
    <row r="281" spans="1:16" ht="15" customHeight="1" x14ac:dyDescent="0.25">
      <c r="A281" s="1" t="s">
        <v>1276</v>
      </c>
      <c r="B281" s="2" t="s">
        <v>1928</v>
      </c>
      <c r="C281" t="b">
        <v>1</v>
      </c>
      <c r="D281" s="1" t="s">
        <v>1269</v>
      </c>
      <c r="E281" s="1" t="s">
        <v>1949</v>
      </c>
      <c r="F281" s="1" t="s">
        <v>1972</v>
      </c>
      <c r="G281" s="1"/>
      <c r="H281" s="1" t="s">
        <v>5</v>
      </c>
      <c r="I281">
        <v>18</v>
      </c>
      <c r="L281" s="1"/>
      <c r="M281" s="1"/>
      <c r="N281" s="1"/>
      <c r="O281" s="1"/>
      <c r="P281" s="1" t="s">
        <v>1533</v>
      </c>
    </row>
    <row r="282" spans="1:16" ht="15" customHeight="1" x14ac:dyDescent="0.25">
      <c r="A282" s="1" t="s">
        <v>1276</v>
      </c>
      <c r="B282" s="2" t="s">
        <v>1928</v>
      </c>
      <c r="C282" t="b">
        <v>1</v>
      </c>
      <c r="D282" s="1" t="s">
        <v>1267</v>
      </c>
      <c r="E282" s="1" t="s">
        <v>1950</v>
      </c>
      <c r="F282" s="1" t="s">
        <v>1973</v>
      </c>
      <c r="G282" s="1"/>
      <c r="H282" s="1" t="s">
        <v>5</v>
      </c>
      <c r="I282">
        <v>1</v>
      </c>
      <c r="L282" s="1"/>
      <c r="M282" s="1"/>
      <c r="N282" s="1"/>
      <c r="O282" s="1"/>
      <c r="P282" s="1" t="s">
        <v>1533</v>
      </c>
    </row>
    <row r="283" spans="1:16" ht="15" customHeight="1" x14ac:dyDescent="0.25">
      <c r="A283" s="1" t="s">
        <v>1276</v>
      </c>
      <c r="B283" s="2" t="s">
        <v>1928</v>
      </c>
      <c r="C283" t="b">
        <v>1</v>
      </c>
      <c r="D283" s="1" t="s">
        <v>1932</v>
      </c>
      <c r="E283" s="1" t="s">
        <v>1951</v>
      </c>
      <c r="F283" s="1" t="s">
        <v>1974</v>
      </c>
      <c r="G283" s="1"/>
      <c r="H283" s="1" t="s">
        <v>5</v>
      </c>
      <c r="I283">
        <v>1</v>
      </c>
      <c r="L283" s="1"/>
      <c r="M283" s="1"/>
      <c r="N283" s="1"/>
      <c r="O283" s="1"/>
      <c r="P283" s="1" t="s">
        <v>1533</v>
      </c>
    </row>
    <row r="284" spans="1:16" ht="15" customHeight="1" x14ac:dyDescent="0.25">
      <c r="A284" s="1" t="s">
        <v>1276</v>
      </c>
      <c r="B284" s="2" t="s">
        <v>1928</v>
      </c>
      <c r="C284" t="b">
        <v>1</v>
      </c>
      <c r="D284" s="1" t="s">
        <v>1933</v>
      </c>
      <c r="E284" s="1" t="s">
        <v>1952</v>
      </c>
      <c r="F284" s="1" t="s">
        <v>1975</v>
      </c>
      <c r="G284" s="1"/>
      <c r="H284" s="1" t="s">
        <v>748</v>
      </c>
      <c r="J284">
        <v>13</v>
      </c>
      <c r="K284">
        <v>3</v>
      </c>
      <c r="L284" s="1"/>
      <c r="M284" s="1"/>
      <c r="N284" s="1"/>
      <c r="O284" s="1"/>
      <c r="P284" s="1" t="s">
        <v>1533</v>
      </c>
    </row>
    <row r="285" spans="1:16" ht="15" customHeight="1" x14ac:dyDescent="0.25">
      <c r="A285" s="1" t="s">
        <v>1276</v>
      </c>
      <c r="B285" s="2" t="s">
        <v>1928</v>
      </c>
      <c r="C285" t="b">
        <v>1</v>
      </c>
      <c r="D285" s="1" t="s">
        <v>1271</v>
      </c>
      <c r="E285" s="1" t="s">
        <v>1953</v>
      </c>
      <c r="F285" s="1" t="s">
        <v>1976</v>
      </c>
      <c r="G285" s="1"/>
      <c r="H285" s="1" t="s">
        <v>5</v>
      </c>
      <c r="I285">
        <v>2</v>
      </c>
      <c r="L285" s="1"/>
      <c r="M285" s="1"/>
      <c r="N285" s="1"/>
      <c r="O285" s="1"/>
      <c r="P285" s="1" t="s">
        <v>1533</v>
      </c>
    </row>
    <row r="286" spans="1:16" ht="15" customHeight="1" x14ac:dyDescent="0.25">
      <c r="A286" s="1" t="s">
        <v>1276</v>
      </c>
      <c r="B286" s="2" t="s">
        <v>1928</v>
      </c>
      <c r="C286" t="b">
        <v>1</v>
      </c>
      <c r="D286" s="1" t="s">
        <v>1270</v>
      </c>
      <c r="E286" s="1" t="s">
        <v>1954</v>
      </c>
      <c r="F286" s="1" t="s">
        <v>1977</v>
      </c>
      <c r="G286" s="1"/>
      <c r="H286" s="1" t="s">
        <v>5</v>
      </c>
      <c r="I286">
        <v>2</v>
      </c>
      <c r="L286" s="1"/>
      <c r="M286" s="1"/>
      <c r="N286" s="1"/>
      <c r="O286" s="1"/>
      <c r="P286" s="1" t="s">
        <v>1533</v>
      </c>
    </row>
    <row r="287" spans="1:16" ht="15" customHeight="1" x14ac:dyDescent="0.25">
      <c r="A287" s="1" t="s">
        <v>1276</v>
      </c>
      <c r="B287" s="2" t="s">
        <v>1928</v>
      </c>
      <c r="C287" t="b">
        <v>1</v>
      </c>
      <c r="D287" s="1" t="s">
        <v>1934</v>
      </c>
      <c r="E287" s="1" t="s">
        <v>1955</v>
      </c>
      <c r="F287" s="1" t="s">
        <v>1978</v>
      </c>
      <c r="G287" s="1"/>
      <c r="H287" s="1" t="s">
        <v>5</v>
      </c>
      <c r="I287">
        <v>1</v>
      </c>
      <c r="L287" s="1"/>
      <c r="M287" s="1"/>
      <c r="N287" s="1"/>
      <c r="O287" s="1"/>
      <c r="P287" s="1" t="s">
        <v>1533</v>
      </c>
    </row>
    <row r="288" spans="1:16" ht="15" customHeight="1" x14ac:dyDescent="0.25">
      <c r="A288" s="1" t="s">
        <v>1276</v>
      </c>
      <c r="B288" s="2" t="s">
        <v>1928</v>
      </c>
      <c r="C288" t="b">
        <v>1</v>
      </c>
      <c r="D288" s="1" t="s">
        <v>1935</v>
      </c>
      <c r="E288" s="1" t="s">
        <v>1956</v>
      </c>
      <c r="F288" s="1" t="s">
        <v>1979</v>
      </c>
      <c r="G288" s="1"/>
      <c r="H288" s="1" t="s">
        <v>5</v>
      </c>
      <c r="I288">
        <v>1</v>
      </c>
      <c r="L288" s="1"/>
      <c r="M288" s="1"/>
      <c r="N288" s="1"/>
      <c r="O288" s="1"/>
      <c r="P288" s="1" t="s">
        <v>1533</v>
      </c>
    </row>
    <row r="289" spans="1:16" ht="15" customHeight="1" x14ac:dyDescent="0.25">
      <c r="A289" s="1" t="s">
        <v>1276</v>
      </c>
      <c r="B289" s="2" t="s">
        <v>1928</v>
      </c>
      <c r="C289" t="b">
        <v>1</v>
      </c>
      <c r="D289" s="1" t="s">
        <v>1936</v>
      </c>
      <c r="E289" s="1" t="s">
        <v>1957</v>
      </c>
      <c r="F289" s="1" t="s">
        <v>1980</v>
      </c>
      <c r="G289" s="1"/>
      <c r="H289" s="1" t="s">
        <v>5</v>
      </c>
      <c r="I289">
        <v>18</v>
      </c>
      <c r="L289" s="1"/>
      <c r="M289" s="1"/>
      <c r="N289" s="1"/>
      <c r="O289" s="1"/>
      <c r="P289" s="1" t="s">
        <v>1533</v>
      </c>
    </row>
    <row r="290" spans="1:16" ht="15" customHeight="1" x14ac:dyDescent="0.25">
      <c r="A290" s="1" t="s">
        <v>1276</v>
      </c>
      <c r="B290" s="2" t="s">
        <v>1928</v>
      </c>
      <c r="C290" t="b">
        <v>1</v>
      </c>
      <c r="D290" s="1" t="s">
        <v>1937</v>
      </c>
      <c r="E290" s="1" t="s">
        <v>1958</v>
      </c>
      <c r="F290" s="1" t="s">
        <v>1981</v>
      </c>
      <c r="G290" s="1"/>
      <c r="H290" s="1" t="s">
        <v>5</v>
      </c>
      <c r="I290">
        <v>1</v>
      </c>
      <c r="L290" s="1"/>
      <c r="M290" s="1"/>
      <c r="N290" s="1"/>
      <c r="O290" s="1"/>
      <c r="P290" s="1" t="s">
        <v>1533</v>
      </c>
    </row>
    <row r="291" spans="1:16" ht="15" customHeight="1" x14ac:dyDescent="0.25">
      <c r="A291" s="1" t="s">
        <v>1276</v>
      </c>
      <c r="B291" s="2" t="s">
        <v>1928</v>
      </c>
      <c r="C291" t="b">
        <v>1</v>
      </c>
      <c r="D291" s="1" t="s">
        <v>1938</v>
      </c>
      <c r="E291" s="1" t="s">
        <v>1959</v>
      </c>
      <c r="F291" s="1" t="s">
        <v>1982</v>
      </c>
      <c r="G291" s="1"/>
      <c r="H291" s="1" t="s">
        <v>748</v>
      </c>
      <c r="J291">
        <v>5</v>
      </c>
      <c r="K291">
        <v>0</v>
      </c>
      <c r="L291" s="1"/>
      <c r="M291" s="1"/>
      <c r="N291" s="1"/>
      <c r="O291" s="1"/>
      <c r="P291" s="1" t="s">
        <v>1533</v>
      </c>
    </row>
    <row r="292" spans="1:16" ht="15" customHeight="1" x14ac:dyDescent="0.25">
      <c r="A292" s="1" t="s">
        <v>1276</v>
      </c>
      <c r="B292" s="2" t="s">
        <v>1928</v>
      </c>
      <c r="C292" t="b">
        <v>1</v>
      </c>
      <c r="D292" s="1" t="s">
        <v>1939</v>
      </c>
      <c r="E292" s="1" t="s">
        <v>1960</v>
      </c>
      <c r="F292" s="1" t="s">
        <v>1983</v>
      </c>
      <c r="G292" s="1"/>
      <c r="H292" s="1" t="s">
        <v>5</v>
      </c>
      <c r="I292">
        <v>3</v>
      </c>
      <c r="L292" s="1"/>
      <c r="M292" s="1"/>
      <c r="N292" s="1"/>
      <c r="O292" s="1"/>
      <c r="P292" s="1" t="s">
        <v>1533</v>
      </c>
    </row>
    <row r="293" spans="1:16" ht="15" customHeight="1" x14ac:dyDescent="0.25">
      <c r="A293" s="1" t="s">
        <v>1276</v>
      </c>
      <c r="B293" s="2" t="s">
        <v>1928</v>
      </c>
      <c r="C293" t="b">
        <v>1</v>
      </c>
      <c r="D293" s="1" t="s">
        <v>1940</v>
      </c>
      <c r="E293" s="1" t="s">
        <v>1961</v>
      </c>
      <c r="F293" s="1" t="s">
        <v>1984</v>
      </c>
      <c r="G293" s="1"/>
      <c r="H293" s="1" t="s">
        <v>748</v>
      </c>
      <c r="J293">
        <v>4</v>
      </c>
      <c r="K293">
        <v>0</v>
      </c>
      <c r="L293" s="1"/>
      <c r="M293" s="1"/>
      <c r="N293" s="1"/>
      <c r="O293" s="1"/>
      <c r="P293" s="1" t="s">
        <v>1533</v>
      </c>
    </row>
    <row r="294" spans="1:16" ht="15" customHeight="1" x14ac:dyDescent="0.25">
      <c r="A294" s="1" t="s">
        <v>1276</v>
      </c>
      <c r="B294" s="2" t="s">
        <v>1928</v>
      </c>
      <c r="C294" t="b">
        <v>1</v>
      </c>
      <c r="D294" s="1" t="s">
        <v>1941</v>
      </c>
      <c r="E294" s="1" t="s">
        <v>1962</v>
      </c>
      <c r="F294" s="1" t="s">
        <v>1985</v>
      </c>
      <c r="G294" s="1"/>
      <c r="H294" s="1" t="s">
        <v>748</v>
      </c>
      <c r="J294">
        <v>4</v>
      </c>
      <c r="K294">
        <v>0</v>
      </c>
      <c r="L294" s="1"/>
      <c r="M294" s="1"/>
      <c r="N294" s="1"/>
      <c r="O294" s="1"/>
      <c r="P294" s="1" t="s">
        <v>1533</v>
      </c>
    </row>
    <row r="295" spans="1:16" ht="15" customHeight="1" x14ac:dyDescent="0.25">
      <c r="A295" s="1" t="s">
        <v>1276</v>
      </c>
      <c r="B295" s="2" t="s">
        <v>1928</v>
      </c>
      <c r="C295" t="b">
        <v>1</v>
      </c>
      <c r="D295" s="1" t="s">
        <v>1272</v>
      </c>
      <c r="E295" s="1" t="s">
        <v>1963</v>
      </c>
      <c r="F295" s="1" t="s">
        <v>1986</v>
      </c>
      <c r="G295" s="1"/>
      <c r="H295" s="1" t="s">
        <v>5</v>
      </c>
      <c r="I295">
        <v>1</v>
      </c>
      <c r="L295" s="1"/>
      <c r="M295" s="1"/>
      <c r="N295" s="1"/>
      <c r="O295" s="1"/>
      <c r="P295" s="1" t="s">
        <v>1533</v>
      </c>
    </row>
    <row r="296" spans="1:16" ht="15" customHeight="1" x14ac:dyDescent="0.25">
      <c r="A296" s="1" t="s">
        <v>1276</v>
      </c>
      <c r="B296" s="2" t="s">
        <v>1928</v>
      </c>
      <c r="C296" t="b">
        <v>1</v>
      </c>
      <c r="D296" s="1" t="s">
        <v>1273</v>
      </c>
      <c r="E296" s="1" t="s">
        <v>1964</v>
      </c>
      <c r="F296" s="1" t="s">
        <v>1987</v>
      </c>
      <c r="G296" s="1"/>
      <c r="H296" s="1" t="s">
        <v>5</v>
      </c>
      <c r="I296">
        <v>1</v>
      </c>
      <c r="L296" s="1"/>
      <c r="M296" s="1"/>
      <c r="N296" s="1"/>
      <c r="O296" s="1"/>
      <c r="P296" s="1" t="s">
        <v>1533</v>
      </c>
    </row>
    <row r="297" spans="1:16" ht="15" customHeight="1" x14ac:dyDescent="0.25">
      <c r="A297" s="1" t="s">
        <v>1276</v>
      </c>
      <c r="B297" s="2" t="s">
        <v>1928</v>
      </c>
      <c r="C297" t="b">
        <v>1</v>
      </c>
      <c r="D297" s="1" t="s">
        <v>1942</v>
      </c>
      <c r="E297" s="1" t="s">
        <v>1965</v>
      </c>
      <c r="F297" s="1" t="s">
        <v>1988</v>
      </c>
      <c r="G297" s="1"/>
      <c r="H297" s="1" t="s">
        <v>748</v>
      </c>
      <c r="J297">
        <v>3</v>
      </c>
      <c r="K297">
        <v>0</v>
      </c>
      <c r="L297" s="1"/>
      <c r="M297" s="1"/>
      <c r="N297" s="1"/>
      <c r="O297" s="1"/>
      <c r="P297" s="1" t="s">
        <v>1533</v>
      </c>
    </row>
    <row r="298" spans="1:16" ht="15" customHeight="1" x14ac:dyDescent="0.25">
      <c r="A298" s="1" t="s">
        <v>1276</v>
      </c>
      <c r="B298" s="2" t="s">
        <v>1928</v>
      </c>
      <c r="D298" s="1"/>
      <c r="E298" s="1"/>
      <c r="F298" s="1"/>
      <c r="G298" s="1"/>
      <c r="H298" s="1"/>
      <c r="L298" s="1" t="s">
        <v>1524</v>
      </c>
      <c r="M298" s="1" t="s">
        <v>1525</v>
      </c>
      <c r="N298" s="1"/>
      <c r="O298" s="1"/>
      <c r="P298" s="1" t="s">
        <v>1533</v>
      </c>
    </row>
    <row r="299" spans="1:16" ht="15" customHeight="1" x14ac:dyDescent="0.25">
      <c r="A299" s="1" t="s">
        <v>1276</v>
      </c>
      <c r="B299" s="2" t="s">
        <v>1928</v>
      </c>
      <c r="D299" s="1"/>
      <c r="E299" s="1"/>
      <c r="F299" s="1"/>
      <c r="G299" s="1"/>
      <c r="H299" s="1"/>
      <c r="L299" s="1" t="s">
        <v>1524</v>
      </c>
      <c r="M299" s="1" t="s">
        <v>1526</v>
      </c>
      <c r="N299" s="1"/>
      <c r="O299" s="1"/>
      <c r="P299" s="1" t="s">
        <v>1533</v>
      </c>
    </row>
    <row r="300" spans="1:16" ht="15" customHeight="1" x14ac:dyDescent="0.25">
      <c r="A300" s="1" t="s">
        <v>1276</v>
      </c>
      <c r="B300" s="2" t="s">
        <v>1928</v>
      </c>
      <c r="D300" s="1"/>
      <c r="E300" s="1"/>
      <c r="F300" s="1"/>
      <c r="G300" s="1"/>
      <c r="H300" s="1"/>
      <c r="L300" s="1" t="s">
        <v>1524</v>
      </c>
      <c r="M300" s="1" t="s">
        <v>1527</v>
      </c>
      <c r="N300" s="1"/>
      <c r="O300" s="1"/>
      <c r="P300" s="1" t="s">
        <v>1533</v>
      </c>
    </row>
    <row r="301" spans="1:16" ht="15" customHeight="1" x14ac:dyDescent="0.25">
      <c r="A301" s="1" t="s">
        <v>1276</v>
      </c>
      <c r="B301" s="2" t="s">
        <v>1928</v>
      </c>
      <c r="D301" s="1"/>
      <c r="E301" s="1"/>
      <c r="F301" s="1"/>
      <c r="G301" s="1"/>
      <c r="H301" s="1"/>
      <c r="L301" s="1" t="s">
        <v>1524</v>
      </c>
      <c r="M301" s="1" t="s">
        <v>1989</v>
      </c>
      <c r="N301" s="1"/>
      <c r="O301" s="1"/>
      <c r="P301" s="1" t="s">
        <v>1533</v>
      </c>
    </row>
    <row r="302" spans="1:16" ht="15" customHeight="1" x14ac:dyDescent="0.25">
      <c r="A302" s="1" t="s">
        <v>1276</v>
      </c>
      <c r="B302" s="2" t="s">
        <v>1928</v>
      </c>
      <c r="D302" s="1"/>
      <c r="E302" s="1"/>
      <c r="F302" s="1"/>
      <c r="G302" s="1"/>
      <c r="H302" s="1"/>
      <c r="L302" s="1"/>
      <c r="M302" s="1"/>
      <c r="N302" s="1" t="s">
        <v>1529</v>
      </c>
      <c r="O302" s="1" t="s">
        <v>1577</v>
      </c>
      <c r="P302" s="1" t="s">
        <v>1533</v>
      </c>
    </row>
    <row r="303" spans="1:16" ht="15" customHeight="1" x14ac:dyDescent="0.25">
      <c r="A303" s="1" t="s">
        <v>1276</v>
      </c>
      <c r="B303" s="2" t="s">
        <v>1928</v>
      </c>
      <c r="D303" s="1"/>
      <c r="E303" s="1"/>
      <c r="F303" s="1"/>
      <c r="G303" s="1"/>
      <c r="H303" s="1"/>
      <c r="L303" s="1"/>
      <c r="M303" s="1"/>
      <c r="N303" s="1" t="s">
        <v>1529</v>
      </c>
      <c r="O303" s="1" t="s">
        <v>1577</v>
      </c>
      <c r="P303" s="1" t="s">
        <v>1533</v>
      </c>
    </row>
    <row r="304" spans="1:16" ht="15" customHeight="1" x14ac:dyDescent="0.25">
      <c r="A304" s="1" t="s">
        <v>1276</v>
      </c>
      <c r="B304" s="2" t="s">
        <v>1928</v>
      </c>
      <c r="D304" s="1"/>
      <c r="E304" s="1"/>
      <c r="F304" s="1"/>
      <c r="G304" s="1"/>
      <c r="H304" s="1"/>
      <c r="L304" s="1"/>
      <c r="M304" s="1"/>
      <c r="N304" s="1" t="s">
        <v>1529</v>
      </c>
      <c r="O304" s="1" t="s">
        <v>1578</v>
      </c>
      <c r="P304" s="1" t="s">
        <v>1533</v>
      </c>
    </row>
    <row r="305" spans="1:16" ht="15" customHeight="1" x14ac:dyDescent="0.25">
      <c r="A305" s="1" t="s">
        <v>1276</v>
      </c>
      <c r="B305" s="2" t="s">
        <v>1928</v>
      </c>
      <c r="D305" s="1"/>
      <c r="E305" s="1"/>
      <c r="F305" s="1"/>
      <c r="G305" s="1"/>
      <c r="H305" s="1"/>
      <c r="L305" s="1"/>
      <c r="M305" s="1"/>
      <c r="N305" s="1" t="s">
        <v>1529</v>
      </c>
      <c r="O305" s="1" t="s">
        <v>1578</v>
      </c>
      <c r="P305" s="1" t="s">
        <v>1533</v>
      </c>
    </row>
    <row r="306" spans="1:16" ht="15" customHeight="1" x14ac:dyDescent="0.25">
      <c r="A306" s="1" t="s">
        <v>1276</v>
      </c>
      <c r="B306" s="2" t="s">
        <v>1928</v>
      </c>
      <c r="D306" s="1"/>
      <c r="E306" s="1"/>
      <c r="F306" s="1"/>
      <c r="G306" s="1"/>
      <c r="H306" s="1"/>
      <c r="L306" s="1"/>
      <c r="M306" s="1"/>
      <c r="N306" s="1" t="s">
        <v>1529</v>
      </c>
      <c r="O306" s="1" t="s">
        <v>1578</v>
      </c>
      <c r="P306" s="1" t="s">
        <v>1533</v>
      </c>
    </row>
    <row r="307" spans="1:16" ht="15" customHeight="1" x14ac:dyDescent="0.25">
      <c r="A307" s="1" t="s">
        <v>1276</v>
      </c>
      <c r="B307" s="2" t="s">
        <v>1928</v>
      </c>
      <c r="D307" s="1"/>
      <c r="E307" s="1"/>
      <c r="F307" s="1"/>
      <c r="G307" s="1"/>
      <c r="H307" s="1"/>
      <c r="L307" s="1"/>
      <c r="M307" s="1"/>
      <c r="N307" s="1" t="s">
        <v>1529</v>
      </c>
      <c r="O307" s="1" t="s">
        <v>1990</v>
      </c>
      <c r="P307" s="1" t="s">
        <v>1533</v>
      </c>
    </row>
    <row r="308" spans="1:16" ht="15" customHeight="1" x14ac:dyDescent="0.25">
      <c r="A308" s="1" t="s">
        <v>1276</v>
      </c>
      <c r="B308" s="2" t="s">
        <v>1928</v>
      </c>
      <c r="D308" s="1"/>
      <c r="E308" s="1"/>
      <c r="F308" s="1"/>
      <c r="G308" s="1"/>
      <c r="H308" s="1"/>
      <c r="L308" s="1"/>
      <c r="M308" s="1"/>
      <c r="N308" s="1" t="s">
        <v>1529</v>
      </c>
      <c r="O308" s="1" t="s">
        <v>1990</v>
      </c>
      <c r="P308" s="1" t="s">
        <v>1533</v>
      </c>
    </row>
    <row r="309" spans="1:16" ht="15" customHeight="1" x14ac:dyDescent="0.25">
      <c r="A309" s="1" t="s">
        <v>1276</v>
      </c>
      <c r="B309" s="2" t="s">
        <v>1928</v>
      </c>
      <c r="D309" s="1"/>
      <c r="E309" s="1"/>
      <c r="F309" s="1"/>
      <c r="G309" s="1"/>
      <c r="H309" s="1"/>
      <c r="L309" s="1"/>
      <c r="M309" s="1"/>
      <c r="N309" s="1" t="s">
        <v>1529</v>
      </c>
      <c r="O309" s="1" t="s">
        <v>1990</v>
      </c>
      <c r="P309" s="1" t="s">
        <v>1533</v>
      </c>
    </row>
    <row r="310" spans="1:16" ht="15" customHeight="1" x14ac:dyDescent="0.25">
      <c r="A310" s="1" t="s">
        <v>1276</v>
      </c>
      <c r="B310" s="2" t="s">
        <v>1928</v>
      </c>
      <c r="D310" s="1"/>
      <c r="E310" s="1"/>
      <c r="F310" s="1"/>
      <c r="G310" s="1"/>
      <c r="H310" s="1"/>
      <c r="L310" s="1"/>
      <c r="M310" s="1"/>
      <c r="N310" s="1" t="s">
        <v>1529</v>
      </c>
      <c r="O310" s="1" t="s">
        <v>1990</v>
      </c>
      <c r="P310" s="1" t="s">
        <v>1533</v>
      </c>
    </row>
    <row r="311" spans="1:16" ht="15" customHeight="1" x14ac:dyDescent="0.25">
      <c r="A311" s="1" t="s">
        <v>1276</v>
      </c>
      <c r="B311" s="2" t="s">
        <v>1928</v>
      </c>
      <c r="D311" s="1"/>
      <c r="E311" s="1"/>
      <c r="F311" s="1"/>
      <c r="G311" s="1"/>
      <c r="H311" s="1"/>
      <c r="L311" s="1"/>
      <c r="M311" s="1"/>
      <c r="N311" s="1" t="s">
        <v>1529</v>
      </c>
      <c r="O311" s="1" t="s">
        <v>1990</v>
      </c>
      <c r="P311" s="1" t="s">
        <v>1533</v>
      </c>
    </row>
    <row r="312" spans="1:16" ht="15" customHeight="1" x14ac:dyDescent="0.25">
      <c r="A312" s="1" t="s">
        <v>1276</v>
      </c>
      <c r="B312" s="2" t="s">
        <v>1928</v>
      </c>
      <c r="D312" s="1"/>
      <c r="E312" s="1"/>
      <c r="F312" s="1"/>
      <c r="G312" s="1"/>
      <c r="H312" s="1"/>
      <c r="L312" s="1"/>
      <c r="M312" s="1"/>
      <c r="N312" s="1" t="s">
        <v>1529</v>
      </c>
      <c r="O312" s="1" t="s">
        <v>1990</v>
      </c>
      <c r="P312" s="1" t="s">
        <v>1533</v>
      </c>
    </row>
    <row r="313" spans="1:16" ht="15" customHeight="1" x14ac:dyDescent="0.25">
      <c r="A313" s="1" t="s">
        <v>1453</v>
      </c>
      <c r="B313" s="2" t="s">
        <v>1991</v>
      </c>
      <c r="C313" t="b">
        <v>0</v>
      </c>
      <c r="D313" s="1" t="s">
        <v>3</v>
      </c>
      <c r="E313" s="1" t="s">
        <v>1471</v>
      </c>
      <c r="F313" s="1" t="s">
        <v>1492</v>
      </c>
      <c r="G313" s="1"/>
      <c r="H313" s="1" t="s">
        <v>5</v>
      </c>
      <c r="I313">
        <v>18</v>
      </c>
      <c r="L313" s="1"/>
      <c r="M313" s="1"/>
      <c r="N313" s="1"/>
      <c r="O313" s="1"/>
      <c r="P313" s="1" t="s">
        <v>1533</v>
      </c>
    </row>
    <row r="314" spans="1:16" ht="15" customHeight="1" x14ac:dyDescent="0.25">
      <c r="A314" s="1" t="s">
        <v>1453</v>
      </c>
      <c r="B314" s="2" t="s">
        <v>1991</v>
      </c>
      <c r="C314" t="b">
        <v>1</v>
      </c>
      <c r="D314" s="1" t="s">
        <v>1370</v>
      </c>
      <c r="E314" s="1" t="s">
        <v>1472</v>
      </c>
      <c r="F314" s="1" t="s">
        <v>1493</v>
      </c>
      <c r="G314" s="1"/>
      <c r="H314" s="1" t="s">
        <v>5</v>
      </c>
      <c r="I314">
        <v>40</v>
      </c>
      <c r="L314" s="1"/>
      <c r="M314" s="1"/>
      <c r="N314" s="1"/>
      <c r="O314" s="1"/>
      <c r="P314" s="1" t="s">
        <v>1533</v>
      </c>
    </row>
    <row r="315" spans="1:16" ht="15" customHeight="1" x14ac:dyDescent="0.25">
      <c r="A315" s="1" t="s">
        <v>1453</v>
      </c>
      <c r="B315" s="2" t="s">
        <v>1991</v>
      </c>
      <c r="C315" t="b">
        <v>1</v>
      </c>
      <c r="D315" s="1" t="s">
        <v>1279</v>
      </c>
      <c r="E315" s="1" t="s">
        <v>1473</v>
      </c>
      <c r="F315" s="1" t="s">
        <v>1494</v>
      </c>
      <c r="G315" s="1" t="s">
        <v>1279</v>
      </c>
      <c r="H315" s="1" t="s">
        <v>5</v>
      </c>
      <c r="I315">
        <v>4</v>
      </c>
      <c r="L315" s="1"/>
      <c r="M315" s="1"/>
      <c r="N315" s="1"/>
      <c r="O315" s="1"/>
      <c r="P315" s="1" t="s">
        <v>1533</v>
      </c>
    </row>
    <row r="316" spans="1:16" ht="15" customHeight="1" x14ac:dyDescent="0.25">
      <c r="A316" s="1" t="s">
        <v>1453</v>
      </c>
      <c r="B316" s="2" t="s">
        <v>1991</v>
      </c>
      <c r="C316" t="b">
        <v>0</v>
      </c>
      <c r="D316" s="1" t="s">
        <v>1265</v>
      </c>
      <c r="E316" s="1" t="s">
        <v>1474</v>
      </c>
      <c r="F316" s="1" t="s">
        <v>1495</v>
      </c>
      <c r="G316" s="1"/>
      <c r="H316" s="1" t="s">
        <v>5</v>
      </c>
      <c r="I316">
        <v>4</v>
      </c>
      <c r="L316" s="1"/>
      <c r="M316" s="1"/>
      <c r="N316" s="1"/>
      <c r="O316" s="1"/>
      <c r="P316" s="1" t="s">
        <v>1533</v>
      </c>
    </row>
    <row r="317" spans="1:16" ht="15" customHeight="1" x14ac:dyDescent="0.25">
      <c r="A317" s="1" t="s">
        <v>1453</v>
      </c>
      <c r="B317" s="2" t="s">
        <v>1991</v>
      </c>
      <c r="C317" t="b">
        <v>1</v>
      </c>
      <c r="D317" s="1" t="s">
        <v>1266</v>
      </c>
      <c r="E317" s="1" t="s">
        <v>1857</v>
      </c>
      <c r="F317" s="1" t="s">
        <v>1866</v>
      </c>
      <c r="G317" s="1"/>
      <c r="H317" s="1" t="s">
        <v>5</v>
      </c>
      <c r="I317">
        <v>4</v>
      </c>
      <c r="L317" s="1"/>
      <c r="M317" s="1"/>
      <c r="N317" s="1"/>
      <c r="O317" s="1"/>
      <c r="P317" s="1" t="s">
        <v>1533</v>
      </c>
    </row>
    <row r="318" spans="1:16" ht="15" customHeight="1" x14ac:dyDescent="0.25">
      <c r="A318" s="1" t="s">
        <v>1453</v>
      </c>
      <c r="B318" s="2" t="s">
        <v>1991</v>
      </c>
      <c r="C318" t="b">
        <v>1</v>
      </c>
      <c r="D318" s="1" t="s">
        <v>1587</v>
      </c>
      <c r="E318" s="1" t="s">
        <v>1605</v>
      </c>
      <c r="F318" s="1" t="s">
        <v>1626</v>
      </c>
      <c r="G318" s="1"/>
      <c r="H318" s="1" t="s">
        <v>748</v>
      </c>
      <c r="J318">
        <v>13</v>
      </c>
      <c r="K318">
        <v>3</v>
      </c>
      <c r="L318" s="1"/>
      <c r="M318" s="1"/>
      <c r="N318" s="1"/>
      <c r="O318" s="1"/>
      <c r="P318" s="1" t="s">
        <v>1533</v>
      </c>
    </row>
    <row r="319" spans="1:16" ht="15" customHeight="1" x14ac:dyDescent="0.25">
      <c r="A319" s="1" t="s">
        <v>1453</v>
      </c>
      <c r="B319" s="2" t="s">
        <v>1991</v>
      </c>
      <c r="C319" t="b">
        <v>1</v>
      </c>
      <c r="D319" s="1" t="s">
        <v>1589</v>
      </c>
      <c r="E319" s="1" t="s">
        <v>1607</v>
      </c>
      <c r="F319" s="1" t="s">
        <v>1628</v>
      </c>
      <c r="G319" s="1"/>
      <c r="H319" s="1" t="s">
        <v>5</v>
      </c>
      <c r="I319">
        <v>3</v>
      </c>
      <c r="L319" s="1"/>
      <c r="M319" s="1"/>
      <c r="N319" s="1"/>
      <c r="O319" s="1"/>
      <c r="P319" s="1" t="s">
        <v>1533</v>
      </c>
    </row>
    <row r="320" spans="1:16" ht="15" customHeight="1" x14ac:dyDescent="0.25">
      <c r="A320" s="1" t="s">
        <v>1453</v>
      </c>
      <c r="B320" s="2" t="s">
        <v>1991</v>
      </c>
      <c r="C320" t="b">
        <v>1</v>
      </c>
      <c r="D320" s="1" t="s">
        <v>1588</v>
      </c>
      <c r="E320" s="1" t="s">
        <v>1606</v>
      </c>
      <c r="F320" s="1" t="s">
        <v>1627</v>
      </c>
      <c r="G320" s="1"/>
      <c r="H320" s="1" t="s">
        <v>748</v>
      </c>
      <c r="J320">
        <v>13</v>
      </c>
      <c r="K320">
        <v>3</v>
      </c>
      <c r="L320" s="1"/>
      <c r="M320" s="1"/>
      <c r="N320" s="1"/>
      <c r="O320" s="1"/>
      <c r="P320" s="1" t="s">
        <v>1533</v>
      </c>
    </row>
    <row r="321" spans="1:16" ht="15" customHeight="1" x14ac:dyDescent="0.25">
      <c r="A321" s="1" t="s">
        <v>1453</v>
      </c>
      <c r="B321" s="2" t="s">
        <v>1991</v>
      </c>
      <c r="C321" t="b">
        <v>1</v>
      </c>
      <c r="D321" s="1" t="s">
        <v>1590</v>
      </c>
      <c r="E321" s="1" t="s">
        <v>1608</v>
      </c>
      <c r="F321" s="1" t="s">
        <v>1629</v>
      </c>
      <c r="G321" s="1"/>
      <c r="H321" s="1" t="s">
        <v>748</v>
      </c>
      <c r="J321">
        <v>13</v>
      </c>
      <c r="K321">
        <v>3</v>
      </c>
      <c r="L321" s="1"/>
      <c r="M321" s="1"/>
      <c r="N321" s="1"/>
      <c r="O321" s="1"/>
      <c r="P321" s="1" t="s">
        <v>1533</v>
      </c>
    </row>
    <row r="322" spans="1:16" ht="15" customHeight="1" x14ac:dyDescent="0.25">
      <c r="A322" s="1" t="s">
        <v>1453</v>
      </c>
      <c r="B322" s="2" t="s">
        <v>1991</v>
      </c>
      <c r="C322" t="b">
        <v>1</v>
      </c>
      <c r="D322" s="1" t="s">
        <v>1591</v>
      </c>
      <c r="E322" s="1" t="s">
        <v>1609</v>
      </c>
      <c r="F322" s="1" t="s">
        <v>1630</v>
      </c>
      <c r="G322" s="1"/>
      <c r="H322" s="1" t="s">
        <v>5</v>
      </c>
      <c r="I322">
        <v>3</v>
      </c>
      <c r="L322" s="1"/>
      <c r="M322" s="1"/>
      <c r="N322" s="1"/>
      <c r="O322" s="1"/>
      <c r="P322" s="1" t="s">
        <v>1533</v>
      </c>
    </row>
    <row r="323" spans="1:16" ht="15" customHeight="1" x14ac:dyDescent="0.25">
      <c r="A323" s="1" t="s">
        <v>1453</v>
      </c>
      <c r="B323" s="2" t="s">
        <v>1991</v>
      </c>
      <c r="C323" t="b">
        <v>1</v>
      </c>
      <c r="D323" s="1" t="s">
        <v>1992</v>
      </c>
      <c r="E323" s="1" t="s">
        <v>1610</v>
      </c>
      <c r="F323" s="1" t="s">
        <v>1631</v>
      </c>
      <c r="G323" s="1"/>
      <c r="H323" s="1" t="s">
        <v>5</v>
      </c>
      <c r="I323">
        <v>32</v>
      </c>
      <c r="L323" s="1"/>
      <c r="M323" s="1"/>
      <c r="N323" s="1"/>
      <c r="O323" s="1"/>
      <c r="P323" s="1" t="s">
        <v>1533</v>
      </c>
    </row>
    <row r="324" spans="1:16" ht="15" customHeight="1" x14ac:dyDescent="0.25">
      <c r="A324" s="1" t="s">
        <v>1453</v>
      </c>
      <c r="B324" s="2" t="s">
        <v>1991</v>
      </c>
      <c r="C324" t="b">
        <v>1</v>
      </c>
      <c r="D324" s="1" t="s">
        <v>1993</v>
      </c>
      <c r="E324" s="1" t="s">
        <v>1995</v>
      </c>
      <c r="F324" s="1" t="s">
        <v>2001</v>
      </c>
      <c r="G324" s="1"/>
      <c r="H324" s="1" t="s">
        <v>5</v>
      </c>
      <c r="I324">
        <v>1</v>
      </c>
      <c r="L324" s="1"/>
      <c r="M324" s="1"/>
      <c r="N324" s="1"/>
      <c r="O324" s="1"/>
      <c r="P324" s="1" t="s">
        <v>1533</v>
      </c>
    </row>
    <row r="325" spans="1:16" ht="15" customHeight="1" x14ac:dyDescent="0.25">
      <c r="A325" s="1" t="s">
        <v>1453</v>
      </c>
      <c r="B325" s="2" t="s">
        <v>1991</v>
      </c>
      <c r="C325" t="b">
        <v>1</v>
      </c>
      <c r="D325" s="1" t="s">
        <v>1450</v>
      </c>
      <c r="E325" s="1" t="s">
        <v>1996</v>
      </c>
      <c r="F325" s="1" t="s">
        <v>2002</v>
      </c>
      <c r="G325" s="1"/>
      <c r="H325" s="1" t="s">
        <v>5</v>
      </c>
      <c r="I325">
        <v>4</v>
      </c>
      <c r="L325" s="1"/>
      <c r="M325" s="1"/>
      <c r="N325" s="1"/>
      <c r="O325" s="1"/>
      <c r="P325" s="1" t="s">
        <v>1533</v>
      </c>
    </row>
    <row r="326" spans="1:16" ht="15" customHeight="1" x14ac:dyDescent="0.25">
      <c r="A326" s="1" t="s">
        <v>1453</v>
      </c>
      <c r="B326" s="2" t="s">
        <v>1991</v>
      </c>
      <c r="C326" t="b">
        <v>1</v>
      </c>
      <c r="D326" s="1" t="s">
        <v>1452</v>
      </c>
      <c r="E326" s="1" t="s">
        <v>1997</v>
      </c>
      <c r="F326" s="1" t="s">
        <v>2003</v>
      </c>
      <c r="G326" s="1"/>
      <c r="H326" s="1" t="s">
        <v>5</v>
      </c>
      <c r="I326">
        <v>4</v>
      </c>
      <c r="L326" s="1"/>
      <c r="M326" s="1"/>
      <c r="N326" s="1"/>
      <c r="O326" s="1"/>
      <c r="P326" s="1" t="s">
        <v>1533</v>
      </c>
    </row>
    <row r="327" spans="1:16" ht="15" customHeight="1" x14ac:dyDescent="0.25">
      <c r="A327" s="1" t="s">
        <v>1453</v>
      </c>
      <c r="B327" s="2" t="s">
        <v>1991</v>
      </c>
      <c r="C327" t="b">
        <v>1</v>
      </c>
      <c r="D327" s="1" t="s">
        <v>1451</v>
      </c>
      <c r="E327" s="1" t="s">
        <v>1998</v>
      </c>
      <c r="F327" s="1" t="s">
        <v>2004</v>
      </c>
      <c r="G327" s="1"/>
      <c r="H327" s="1" t="s">
        <v>5</v>
      </c>
      <c r="I327">
        <v>1</v>
      </c>
      <c r="L327" s="1"/>
      <c r="M327" s="1"/>
      <c r="N327" s="1"/>
      <c r="O327" s="1"/>
      <c r="P327" s="1" t="s">
        <v>1533</v>
      </c>
    </row>
    <row r="328" spans="1:16" ht="15" customHeight="1" x14ac:dyDescent="0.25">
      <c r="A328" s="1" t="s">
        <v>1453</v>
      </c>
      <c r="B328" s="2" t="s">
        <v>1991</v>
      </c>
      <c r="C328" t="b">
        <v>1</v>
      </c>
      <c r="D328" s="1" t="s">
        <v>1449</v>
      </c>
      <c r="E328" s="1" t="s">
        <v>1999</v>
      </c>
      <c r="F328" s="1" t="s">
        <v>2005</v>
      </c>
      <c r="G328" s="1"/>
      <c r="H328" s="1" t="s">
        <v>5</v>
      </c>
      <c r="I328">
        <v>3</v>
      </c>
      <c r="L328" s="1"/>
      <c r="M328" s="1"/>
      <c r="N328" s="1"/>
      <c r="O328" s="1"/>
      <c r="P328" s="1" t="s">
        <v>1533</v>
      </c>
    </row>
    <row r="329" spans="1:16" ht="15" customHeight="1" x14ac:dyDescent="0.25">
      <c r="A329" s="1" t="s">
        <v>1453</v>
      </c>
      <c r="B329" s="2" t="s">
        <v>1991</v>
      </c>
      <c r="C329" t="b">
        <v>1</v>
      </c>
      <c r="D329" s="1" t="s">
        <v>1732</v>
      </c>
      <c r="E329" s="1" t="s">
        <v>1750</v>
      </c>
      <c r="F329" s="1" t="s">
        <v>1770</v>
      </c>
      <c r="G329" s="1"/>
      <c r="H329" s="1" t="s">
        <v>5</v>
      </c>
      <c r="I329">
        <v>10</v>
      </c>
      <c r="L329" s="1"/>
      <c r="M329" s="1"/>
      <c r="N329" s="1"/>
      <c r="O329" s="1"/>
      <c r="P329" s="1" t="s">
        <v>1533</v>
      </c>
    </row>
    <row r="330" spans="1:16" ht="15" customHeight="1" x14ac:dyDescent="0.25">
      <c r="A330" s="1" t="s">
        <v>1453</v>
      </c>
      <c r="B330" s="2" t="s">
        <v>1991</v>
      </c>
      <c r="C330" t="b">
        <v>1</v>
      </c>
      <c r="D330" s="1" t="s">
        <v>1994</v>
      </c>
      <c r="E330" s="1" t="s">
        <v>2000</v>
      </c>
      <c r="F330" s="1" t="s">
        <v>2006</v>
      </c>
      <c r="G330" s="1"/>
      <c r="H330" s="1" t="s">
        <v>5</v>
      </c>
      <c r="I330">
        <v>4</v>
      </c>
      <c r="L330" s="1"/>
      <c r="M330" s="1"/>
      <c r="N330" s="1"/>
      <c r="O330" s="1"/>
      <c r="P330" s="1" t="s">
        <v>1533</v>
      </c>
    </row>
    <row r="331" spans="1:16" ht="15" customHeight="1" x14ac:dyDescent="0.25">
      <c r="A331" s="1" t="s">
        <v>1453</v>
      </c>
      <c r="B331" s="2" t="s">
        <v>1991</v>
      </c>
      <c r="D331" s="1"/>
      <c r="E331" s="1"/>
      <c r="F331" s="1"/>
      <c r="G331" s="1"/>
      <c r="H331" s="1"/>
      <c r="L331" s="1" t="s">
        <v>1524</v>
      </c>
      <c r="M331" s="1" t="s">
        <v>1525</v>
      </c>
      <c r="N331" s="1"/>
      <c r="O331" s="1"/>
      <c r="P331" s="1" t="s">
        <v>1533</v>
      </c>
    </row>
    <row r="332" spans="1:16" ht="15" customHeight="1" x14ac:dyDescent="0.25">
      <c r="A332" s="1" t="s">
        <v>1453</v>
      </c>
      <c r="B332" s="2" t="s">
        <v>1991</v>
      </c>
      <c r="D332" s="1"/>
      <c r="E332" s="1"/>
      <c r="F332" s="1"/>
      <c r="G332" s="1"/>
      <c r="H332" s="1"/>
      <c r="L332" s="1" t="s">
        <v>1524</v>
      </c>
      <c r="M332" s="1" t="s">
        <v>1526</v>
      </c>
      <c r="N332" s="1"/>
      <c r="O332" s="1"/>
      <c r="P332" s="1" t="s">
        <v>1533</v>
      </c>
    </row>
    <row r="333" spans="1:16" ht="15" customHeight="1" x14ac:dyDescent="0.25">
      <c r="A333" s="1" t="s">
        <v>1453</v>
      </c>
      <c r="B333" s="2" t="s">
        <v>1991</v>
      </c>
      <c r="D333" s="1"/>
      <c r="E333" s="1"/>
      <c r="F333" s="1"/>
      <c r="G333" s="1"/>
      <c r="H333" s="1"/>
      <c r="L333" s="1" t="s">
        <v>1524</v>
      </c>
      <c r="M333" s="1" t="s">
        <v>1527</v>
      </c>
      <c r="N333" s="1"/>
      <c r="O333" s="1"/>
      <c r="P333" s="1" t="s">
        <v>1533</v>
      </c>
    </row>
    <row r="334" spans="1:16" ht="15" customHeight="1" x14ac:dyDescent="0.25">
      <c r="A334" s="1" t="s">
        <v>1453</v>
      </c>
      <c r="B334" s="2" t="s">
        <v>1991</v>
      </c>
      <c r="D334" s="1"/>
      <c r="E334" s="1"/>
      <c r="F334" s="1"/>
      <c r="G334" s="1"/>
      <c r="H334" s="1"/>
      <c r="L334" s="1"/>
      <c r="M334" s="1"/>
      <c r="N334" s="1" t="s">
        <v>1529</v>
      </c>
      <c r="O334" s="1" t="s">
        <v>1577</v>
      </c>
      <c r="P334" s="1" t="s">
        <v>1533</v>
      </c>
    </row>
    <row r="335" spans="1:16" ht="15" customHeight="1" x14ac:dyDescent="0.25">
      <c r="A335" s="1" t="s">
        <v>1453</v>
      </c>
      <c r="B335" s="2" t="s">
        <v>1991</v>
      </c>
      <c r="D335" s="1"/>
      <c r="E335" s="1"/>
      <c r="F335" s="1"/>
      <c r="G335" s="1"/>
      <c r="H335" s="1"/>
      <c r="L335" s="1"/>
      <c r="M335" s="1"/>
      <c r="N335" s="1" t="s">
        <v>1529</v>
      </c>
      <c r="O335" s="1" t="s">
        <v>1577</v>
      </c>
      <c r="P335" s="1" t="s">
        <v>1533</v>
      </c>
    </row>
    <row r="336" spans="1:16" ht="15" customHeight="1" x14ac:dyDescent="0.25">
      <c r="A336" s="1" t="s">
        <v>1453</v>
      </c>
      <c r="B336" s="2" t="s">
        <v>1991</v>
      </c>
      <c r="D336" s="1"/>
      <c r="E336" s="1"/>
      <c r="F336" s="1"/>
      <c r="G336" s="1"/>
      <c r="H336" s="1"/>
      <c r="L336" s="1"/>
      <c r="M336" s="1"/>
      <c r="N336" s="1" t="s">
        <v>1529</v>
      </c>
      <c r="O336" s="1" t="s">
        <v>1578</v>
      </c>
      <c r="P336" s="1" t="s">
        <v>1533</v>
      </c>
    </row>
    <row r="337" spans="1:16" ht="15" customHeight="1" x14ac:dyDescent="0.25">
      <c r="A337" s="1" t="s">
        <v>1453</v>
      </c>
      <c r="B337" s="2" t="s">
        <v>1991</v>
      </c>
      <c r="D337" s="1"/>
      <c r="E337" s="1"/>
      <c r="F337" s="1"/>
      <c r="G337" s="1"/>
      <c r="H337" s="1"/>
      <c r="L337" s="1"/>
      <c r="M337" s="1"/>
      <c r="N337" s="1" t="s">
        <v>1529</v>
      </c>
      <c r="O337" s="1" t="s">
        <v>1578</v>
      </c>
      <c r="P337" s="1" t="s">
        <v>1533</v>
      </c>
    </row>
    <row r="338" spans="1:16" ht="15" customHeight="1" x14ac:dyDescent="0.25">
      <c r="A338" s="1" t="s">
        <v>1453</v>
      </c>
      <c r="B338" s="2" t="s">
        <v>1991</v>
      </c>
      <c r="D338" s="1"/>
      <c r="E338" s="1"/>
      <c r="F338" s="1"/>
      <c r="G338" s="1"/>
      <c r="H338" s="1"/>
      <c r="L338" s="1"/>
      <c r="M338" s="1"/>
      <c r="N338" s="1" t="s">
        <v>1529</v>
      </c>
      <c r="O338" s="1" t="s">
        <v>1578</v>
      </c>
      <c r="P338" s="1" t="s">
        <v>1533</v>
      </c>
    </row>
    <row r="339" spans="1:16" ht="15" customHeight="1" x14ac:dyDescent="0.25">
      <c r="A339" s="1" t="s">
        <v>1284</v>
      </c>
      <c r="B339" s="2" t="s">
        <v>2007</v>
      </c>
      <c r="C339" t="b">
        <v>0</v>
      </c>
      <c r="D339" s="1" t="s">
        <v>3</v>
      </c>
      <c r="E339" s="1" t="s">
        <v>1471</v>
      </c>
      <c r="F339" s="1" t="s">
        <v>1492</v>
      </c>
      <c r="G339" s="1" t="s">
        <v>1636</v>
      </c>
      <c r="H339" s="1" t="s">
        <v>5</v>
      </c>
      <c r="I339">
        <v>18</v>
      </c>
      <c r="L339" s="1"/>
      <c r="M339" s="1"/>
      <c r="N339" s="1"/>
      <c r="O339" s="1"/>
      <c r="P339" s="1" t="s">
        <v>1533</v>
      </c>
    </row>
    <row r="340" spans="1:16" ht="15" customHeight="1" x14ac:dyDescent="0.25">
      <c r="A340" s="1" t="s">
        <v>1284</v>
      </c>
      <c r="B340" s="2" t="s">
        <v>2007</v>
      </c>
      <c r="C340" t="b">
        <v>1</v>
      </c>
      <c r="D340" s="1" t="s">
        <v>1370</v>
      </c>
      <c r="E340" s="1" t="s">
        <v>1472</v>
      </c>
      <c r="F340" s="1" t="s">
        <v>1493</v>
      </c>
      <c r="G340" s="1" t="s">
        <v>1637</v>
      </c>
      <c r="H340" s="1" t="s">
        <v>5</v>
      </c>
      <c r="I340">
        <v>40</v>
      </c>
      <c r="L340" s="1"/>
      <c r="M340" s="1"/>
      <c r="N340" s="1"/>
      <c r="O340" s="1"/>
      <c r="P340" s="1" t="s">
        <v>1533</v>
      </c>
    </row>
    <row r="341" spans="1:16" ht="15" customHeight="1" x14ac:dyDescent="0.25">
      <c r="A341" s="1" t="s">
        <v>1284</v>
      </c>
      <c r="B341" s="2" t="s">
        <v>2007</v>
      </c>
      <c r="C341" t="b">
        <v>1</v>
      </c>
      <c r="D341" s="1" t="s">
        <v>1279</v>
      </c>
      <c r="E341" s="1" t="s">
        <v>1473</v>
      </c>
      <c r="F341" s="1" t="s">
        <v>1494</v>
      </c>
      <c r="G341" s="1" t="s">
        <v>1279</v>
      </c>
      <c r="H341" s="1" t="s">
        <v>5</v>
      </c>
      <c r="I341">
        <v>4</v>
      </c>
      <c r="L341" s="1"/>
      <c r="M341" s="1"/>
      <c r="N341" s="1"/>
      <c r="O341" s="1"/>
      <c r="P341" s="1" t="s">
        <v>1533</v>
      </c>
    </row>
    <row r="342" spans="1:16" ht="15" customHeight="1" x14ac:dyDescent="0.25">
      <c r="A342" s="1" t="s">
        <v>1284</v>
      </c>
      <c r="B342" s="2" t="s">
        <v>2007</v>
      </c>
      <c r="C342" t="b">
        <v>0</v>
      </c>
      <c r="D342" s="1" t="s">
        <v>1265</v>
      </c>
      <c r="E342" s="1" t="s">
        <v>1474</v>
      </c>
      <c r="F342" s="1" t="s">
        <v>1495</v>
      </c>
      <c r="G342" s="1" t="s">
        <v>1265</v>
      </c>
      <c r="H342" s="1" t="s">
        <v>5</v>
      </c>
      <c r="I342">
        <v>4</v>
      </c>
      <c r="L342" s="1"/>
      <c r="M342" s="1"/>
      <c r="N342" s="1"/>
      <c r="O342" s="1"/>
      <c r="P342" s="1" t="s">
        <v>1533</v>
      </c>
    </row>
    <row r="343" spans="1:16" ht="15" customHeight="1" x14ac:dyDescent="0.25">
      <c r="A343" s="1" t="s">
        <v>1284</v>
      </c>
      <c r="B343" s="2" t="s">
        <v>2007</v>
      </c>
      <c r="C343" t="b">
        <v>1</v>
      </c>
      <c r="D343" s="1" t="s">
        <v>1266</v>
      </c>
      <c r="E343" s="1" t="s">
        <v>1857</v>
      </c>
      <c r="F343" s="1" t="s">
        <v>1866</v>
      </c>
      <c r="G343" s="1"/>
      <c r="H343" s="1" t="s">
        <v>5</v>
      </c>
      <c r="I343">
        <v>4</v>
      </c>
      <c r="L343" s="1"/>
      <c r="M343" s="1"/>
      <c r="N343" s="1"/>
      <c r="O343" s="1"/>
      <c r="P343" s="1" t="s">
        <v>1533</v>
      </c>
    </row>
    <row r="344" spans="1:16" ht="15" customHeight="1" x14ac:dyDescent="0.25">
      <c r="A344" s="1" t="s">
        <v>1284</v>
      </c>
      <c r="B344" s="2" t="s">
        <v>2007</v>
      </c>
      <c r="C344" t="b">
        <v>1</v>
      </c>
      <c r="D344" s="1" t="s">
        <v>2008</v>
      </c>
      <c r="E344" s="1" t="s">
        <v>1475</v>
      </c>
      <c r="F344" s="1" t="s">
        <v>1496</v>
      </c>
      <c r="G344" s="1" t="s">
        <v>1369</v>
      </c>
      <c r="H344" s="1" t="s">
        <v>5</v>
      </c>
      <c r="I344">
        <v>3</v>
      </c>
      <c r="L344" s="1"/>
      <c r="M344" s="1"/>
      <c r="N344" s="1"/>
      <c r="O344" s="1"/>
      <c r="P344" s="1" t="s">
        <v>1533</v>
      </c>
    </row>
    <row r="345" spans="1:16" ht="15" customHeight="1" x14ac:dyDescent="0.25">
      <c r="A345" s="1" t="s">
        <v>1284</v>
      </c>
      <c r="B345" s="2" t="s">
        <v>2007</v>
      </c>
      <c r="C345" t="b">
        <v>1</v>
      </c>
      <c r="D345" s="1" t="s">
        <v>1281</v>
      </c>
      <c r="E345" s="1" t="s">
        <v>2023</v>
      </c>
      <c r="F345" s="1" t="s">
        <v>2044</v>
      </c>
      <c r="G345" s="1" t="s">
        <v>1281</v>
      </c>
      <c r="H345" s="1" t="s">
        <v>5</v>
      </c>
      <c r="I345">
        <v>4</v>
      </c>
      <c r="L345" s="1"/>
      <c r="M345" s="1"/>
      <c r="N345" s="1"/>
      <c r="O345" s="1"/>
      <c r="P345" s="1" t="s">
        <v>1533</v>
      </c>
    </row>
    <row r="346" spans="1:16" ht="15" customHeight="1" x14ac:dyDescent="0.25">
      <c r="A346" s="1" t="s">
        <v>1284</v>
      </c>
      <c r="B346" s="2" t="s">
        <v>2007</v>
      </c>
      <c r="C346" t="b">
        <v>1</v>
      </c>
      <c r="D346" s="1" t="s">
        <v>1307</v>
      </c>
      <c r="E346" s="1" t="s">
        <v>2024</v>
      </c>
      <c r="F346" s="1" t="s">
        <v>2045</v>
      </c>
      <c r="G346" s="1" t="s">
        <v>1307</v>
      </c>
      <c r="H346" s="1" t="s">
        <v>5</v>
      </c>
      <c r="I346">
        <v>3</v>
      </c>
      <c r="L346" s="1"/>
      <c r="M346" s="1"/>
      <c r="N346" s="1"/>
      <c r="O346" s="1"/>
      <c r="P346" s="1" t="s">
        <v>1533</v>
      </c>
    </row>
    <row r="347" spans="1:16" ht="15" customHeight="1" x14ac:dyDescent="0.25">
      <c r="A347" s="1" t="s">
        <v>1284</v>
      </c>
      <c r="B347" s="2" t="s">
        <v>2007</v>
      </c>
      <c r="C347" t="b">
        <v>1</v>
      </c>
      <c r="D347" s="1" t="s">
        <v>2009</v>
      </c>
      <c r="E347" s="1" t="s">
        <v>2025</v>
      </c>
      <c r="F347" s="1" t="s">
        <v>2046</v>
      </c>
      <c r="G347" s="1" t="s">
        <v>2009</v>
      </c>
      <c r="H347" s="1" t="s">
        <v>5</v>
      </c>
      <c r="I347">
        <v>1</v>
      </c>
      <c r="L347" s="1"/>
      <c r="M347" s="1"/>
      <c r="N347" s="1"/>
      <c r="O347" s="1"/>
      <c r="P347" s="1" t="s">
        <v>1533</v>
      </c>
    </row>
    <row r="348" spans="1:16" ht="15" customHeight="1" x14ac:dyDescent="0.25">
      <c r="A348" s="1" t="s">
        <v>1284</v>
      </c>
      <c r="B348" s="2" t="s">
        <v>2007</v>
      </c>
      <c r="C348" t="b">
        <v>1</v>
      </c>
      <c r="D348" s="1" t="s">
        <v>2010</v>
      </c>
      <c r="E348" s="1" t="s">
        <v>1748</v>
      </c>
      <c r="F348" s="1" t="s">
        <v>1768</v>
      </c>
      <c r="G348" s="1" t="s">
        <v>2065</v>
      </c>
      <c r="H348" s="1" t="s">
        <v>5</v>
      </c>
      <c r="I348">
        <v>2</v>
      </c>
      <c r="L348" s="1"/>
      <c r="M348" s="1"/>
      <c r="N348" s="1"/>
      <c r="O348" s="1"/>
      <c r="P348" s="1" t="s">
        <v>1533</v>
      </c>
    </row>
    <row r="349" spans="1:16" ht="15" customHeight="1" x14ac:dyDescent="0.25">
      <c r="A349" s="1" t="s">
        <v>1284</v>
      </c>
      <c r="B349" s="2" t="s">
        <v>2007</v>
      </c>
      <c r="C349" t="b">
        <v>1</v>
      </c>
      <c r="D349" s="1" t="s">
        <v>1470</v>
      </c>
      <c r="E349" s="1" t="s">
        <v>1749</v>
      </c>
      <c r="F349" s="1" t="s">
        <v>1769</v>
      </c>
      <c r="G349" s="1" t="s">
        <v>2066</v>
      </c>
      <c r="H349" s="1" t="s">
        <v>28</v>
      </c>
      <c r="L349" s="1"/>
      <c r="M349" s="1"/>
      <c r="N349" s="1"/>
      <c r="O349" s="1"/>
      <c r="P349" s="1" t="s">
        <v>1533</v>
      </c>
    </row>
    <row r="350" spans="1:16" ht="15" customHeight="1" x14ac:dyDescent="0.25">
      <c r="A350" s="1" t="s">
        <v>1284</v>
      </c>
      <c r="B350" s="2" t="s">
        <v>2007</v>
      </c>
      <c r="C350" t="b">
        <v>1</v>
      </c>
      <c r="D350" s="1" t="s">
        <v>1278</v>
      </c>
      <c r="E350" s="1" t="s">
        <v>2026</v>
      </c>
      <c r="F350" s="1" t="s">
        <v>2047</v>
      </c>
      <c r="G350" s="1" t="s">
        <v>1278</v>
      </c>
      <c r="H350" s="1" t="s">
        <v>5</v>
      </c>
      <c r="I350">
        <v>2</v>
      </c>
      <c r="L350" s="1"/>
      <c r="M350" s="1"/>
      <c r="N350" s="1"/>
      <c r="O350" s="1"/>
      <c r="P350" s="1" t="s">
        <v>1533</v>
      </c>
    </row>
    <row r="351" spans="1:16" ht="15" customHeight="1" x14ac:dyDescent="0.25">
      <c r="A351" s="1" t="s">
        <v>1284</v>
      </c>
      <c r="B351" s="2" t="s">
        <v>2007</v>
      </c>
      <c r="C351" t="b">
        <v>1</v>
      </c>
      <c r="D351" s="1" t="s">
        <v>2011</v>
      </c>
      <c r="E351" s="1" t="s">
        <v>2027</v>
      </c>
      <c r="F351" s="1" t="s">
        <v>2048</v>
      </c>
      <c r="G351" s="1" t="s">
        <v>2011</v>
      </c>
      <c r="H351" s="1" t="s">
        <v>748</v>
      </c>
      <c r="J351">
        <v>13</v>
      </c>
      <c r="K351">
        <v>0</v>
      </c>
      <c r="L351" s="1"/>
      <c r="M351" s="1"/>
      <c r="N351" s="1"/>
      <c r="O351" s="1"/>
      <c r="P351" s="1" t="s">
        <v>1533</v>
      </c>
    </row>
    <row r="352" spans="1:16" ht="15" customHeight="1" x14ac:dyDescent="0.25">
      <c r="A352" s="1" t="s">
        <v>1284</v>
      </c>
      <c r="B352" s="2" t="s">
        <v>2007</v>
      </c>
      <c r="C352" t="b">
        <v>1</v>
      </c>
      <c r="D352" s="1" t="s">
        <v>2012</v>
      </c>
      <c r="E352" s="1" t="s">
        <v>2028</v>
      </c>
      <c r="F352" s="1" t="s">
        <v>2049</v>
      </c>
      <c r="G352" s="1" t="s">
        <v>2012</v>
      </c>
      <c r="H352" s="1" t="s">
        <v>1576</v>
      </c>
      <c r="J352">
        <v>3</v>
      </c>
      <c r="K352">
        <v>0</v>
      </c>
      <c r="L352" s="1"/>
      <c r="M352" s="1"/>
      <c r="N352" s="1"/>
      <c r="O352" s="1"/>
      <c r="P352" s="1" t="s">
        <v>1533</v>
      </c>
    </row>
    <row r="353" spans="1:16" ht="15" customHeight="1" x14ac:dyDescent="0.25">
      <c r="A353" s="1" t="s">
        <v>1284</v>
      </c>
      <c r="B353" s="2" t="s">
        <v>2007</v>
      </c>
      <c r="C353" t="b">
        <v>1</v>
      </c>
      <c r="D353" s="1" t="s">
        <v>1282</v>
      </c>
      <c r="E353" s="1" t="s">
        <v>2029</v>
      </c>
      <c r="F353" s="1" t="s">
        <v>2050</v>
      </c>
      <c r="G353" s="1" t="s">
        <v>1282</v>
      </c>
      <c r="H353" s="1" t="s">
        <v>5</v>
      </c>
      <c r="I353">
        <v>3</v>
      </c>
      <c r="L353" s="1"/>
      <c r="M353" s="1"/>
      <c r="N353" s="1"/>
      <c r="O353" s="1"/>
      <c r="P353" s="1" t="s">
        <v>1533</v>
      </c>
    </row>
    <row r="354" spans="1:16" ht="15" customHeight="1" x14ac:dyDescent="0.25">
      <c r="A354" s="1" t="s">
        <v>1284</v>
      </c>
      <c r="B354" s="2" t="s">
        <v>2007</v>
      </c>
      <c r="C354" t="b">
        <v>1</v>
      </c>
      <c r="D354" s="1" t="s">
        <v>1277</v>
      </c>
      <c r="E354" s="1" t="s">
        <v>2030</v>
      </c>
      <c r="F354" s="1" t="s">
        <v>2051</v>
      </c>
      <c r="G354" s="1" t="s">
        <v>2067</v>
      </c>
      <c r="H354" s="1" t="s">
        <v>5</v>
      </c>
      <c r="I354">
        <v>3</v>
      </c>
      <c r="L354" s="1"/>
      <c r="M354" s="1"/>
      <c r="N354" s="1"/>
      <c r="O354" s="1"/>
      <c r="P354" s="1" t="s">
        <v>1533</v>
      </c>
    </row>
    <row r="355" spans="1:16" ht="15" customHeight="1" x14ac:dyDescent="0.25">
      <c r="A355" s="1" t="s">
        <v>1284</v>
      </c>
      <c r="B355" s="2" t="s">
        <v>2007</v>
      </c>
      <c r="C355" t="b">
        <v>1</v>
      </c>
      <c r="D355" s="1" t="s">
        <v>1280</v>
      </c>
      <c r="E355" s="1" t="s">
        <v>2031</v>
      </c>
      <c r="F355" s="1" t="s">
        <v>2052</v>
      </c>
      <c r="G355" s="1" t="s">
        <v>2068</v>
      </c>
      <c r="H355" s="1" t="s">
        <v>5</v>
      </c>
      <c r="I355">
        <v>2</v>
      </c>
      <c r="L355" s="1"/>
      <c r="M355" s="1"/>
      <c r="N355" s="1"/>
      <c r="O355" s="1"/>
      <c r="P355" s="1" t="s">
        <v>1533</v>
      </c>
    </row>
    <row r="356" spans="1:16" ht="15" customHeight="1" x14ac:dyDescent="0.25">
      <c r="A356" s="1" t="s">
        <v>1284</v>
      </c>
      <c r="B356" s="2" t="s">
        <v>2007</v>
      </c>
      <c r="C356" t="b">
        <v>1</v>
      </c>
      <c r="D356" s="1" t="s">
        <v>2013</v>
      </c>
      <c r="E356" s="1" t="s">
        <v>2032</v>
      </c>
      <c r="F356" s="1" t="s">
        <v>2053</v>
      </c>
      <c r="G356" s="1" t="s">
        <v>2013</v>
      </c>
      <c r="H356" s="1" t="s">
        <v>748</v>
      </c>
      <c r="J356">
        <v>13</v>
      </c>
      <c r="K356">
        <v>0</v>
      </c>
      <c r="L356" s="1"/>
      <c r="M356" s="1"/>
      <c r="N356" s="1"/>
      <c r="O356" s="1"/>
      <c r="P356" s="1" t="s">
        <v>1533</v>
      </c>
    </row>
    <row r="357" spans="1:16" ht="15" customHeight="1" x14ac:dyDescent="0.25">
      <c r="A357" s="1" t="s">
        <v>1284</v>
      </c>
      <c r="B357" s="2" t="s">
        <v>2007</v>
      </c>
      <c r="C357" t="b">
        <v>1</v>
      </c>
      <c r="D357" s="1" t="s">
        <v>2014</v>
      </c>
      <c r="E357" s="1" t="s">
        <v>2033</v>
      </c>
      <c r="F357" s="1" t="s">
        <v>2054</v>
      </c>
      <c r="G357" s="1" t="s">
        <v>2014</v>
      </c>
      <c r="H357" s="1" t="s">
        <v>748</v>
      </c>
      <c r="J357">
        <v>13</v>
      </c>
      <c r="K357">
        <v>0</v>
      </c>
      <c r="L357" s="1"/>
      <c r="M357" s="1"/>
      <c r="N357" s="1"/>
      <c r="O357" s="1"/>
      <c r="P357" s="1" t="s">
        <v>1533</v>
      </c>
    </row>
    <row r="358" spans="1:16" ht="15" customHeight="1" x14ac:dyDescent="0.25">
      <c r="A358" s="1" t="s">
        <v>1284</v>
      </c>
      <c r="B358" s="2" t="s">
        <v>2007</v>
      </c>
      <c r="C358" t="b">
        <v>1</v>
      </c>
      <c r="D358" s="1" t="s">
        <v>2015</v>
      </c>
      <c r="E358" s="1" t="s">
        <v>2034</v>
      </c>
      <c r="F358" s="1" t="s">
        <v>2055</v>
      </c>
      <c r="G358" s="1" t="s">
        <v>2015</v>
      </c>
      <c r="H358" s="1" t="s">
        <v>748</v>
      </c>
      <c r="J358">
        <v>13</v>
      </c>
      <c r="K358">
        <v>0</v>
      </c>
      <c r="L358" s="1"/>
      <c r="M358" s="1"/>
      <c r="N358" s="1"/>
      <c r="O358" s="1"/>
      <c r="P358" s="1" t="s">
        <v>1533</v>
      </c>
    </row>
    <row r="359" spans="1:16" ht="15" customHeight="1" x14ac:dyDescent="0.25">
      <c r="A359" s="1" t="s">
        <v>1284</v>
      </c>
      <c r="B359" s="2" t="s">
        <v>2007</v>
      </c>
      <c r="C359" t="b">
        <v>1</v>
      </c>
      <c r="D359" s="1" t="s">
        <v>2016</v>
      </c>
      <c r="E359" s="1" t="s">
        <v>2035</v>
      </c>
      <c r="F359" s="1" t="s">
        <v>2056</v>
      </c>
      <c r="G359" s="1" t="s">
        <v>2016</v>
      </c>
      <c r="H359" s="1" t="s">
        <v>748</v>
      </c>
      <c r="J359">
        <v>13</v>
      </c>
      <c r="K359">
        <v>0</v>
      </c>
      <c r="L359" s="1"/>
      <c r="M359" s="1"/>
      <c r="N359" s="1"/>
      <c r="O359" s="1"/>
      <c r="P359" s="1" t="s">
        <v>1533</v>
      </c>
    </row>
    <row r="360" spans="1:16" ht="15" customHeight="1" x14ac:dyDescent="0.25">
      <c r="A360" s="1" t="s">
        <v>1284</v>
      </c>
      <c r="B360" s="2" t="s">
        <v>2007</v>
      </c>
      <c r="C360" t="b">
        <v>1</v>
      </c>
      <c r="D360" s="1" t="s">
        <v>2017</v>
      </c>
      <c r="E360" s="1" t="s">
        <v>2036</v>
      </c>
      <c r="F360" s="1" t="s">
        <v>2057</v>
      </c>
      <c r="G360" s="1" t="s">
        <v>2017</v>
      </c>
      <c r="H360" s="1" t="s">
        <v>748</v>
      </c>
      <c r="J360">
        <v>11</v>
      </c>
      <c r="K360">
        <v>0</v>
      </c>
      <c r="L360" s="1"/>
      <c r="M360" s="1"/>
      <c r="N360" s="1"/>
      <c r="O360" s="1"/>
      <c r="P360" s="1" t="s">
        <v>1533</v>
      </c>
    </row>
    <row r="361" spans="1:16" ht="15" customHeight="1" x14ac:dyDescent="0.25">
      <c r="A361" s="1" t="s">
        <v>1284</v>
      </c>
      <c r="B361" s="2" t="s">
        <v>2007</v>
      </c>
      <c r="C361" t="b">
        <v>1</v>
      </c>
      <c r="D361" s="1" t="s">
        <v>1283</v>
      </c>
      <c r="E361" s="1" t="s">
        <v>2037</v>
      </c>
      <c r="F361" s="1" t="s">
        <v>2058</v>
      </c>
      <c r="G361" s="1" t="s">
        <v>2069</v>
      </c>
      <c r="H361" s="1" t="s">
        <v>5</v>
      </c>
      <c r="I361">
        <v>1</v>
      </c>
      <c r="L361" s="1"/>
      <c r="M361" s="1"/>
      <c r="N361" s="1"/>
      <c r="O361" s="1"/>
      <c r="P361" s="1" t="s">
        <v>1533</v>
      </c>
    </row>
    <row r="362" spans="1:16" ht="15" customHeight="1" x14ac:dyDescent="0.25">
      <c r="A362" s="1" t="s">
        <v>1284</v>
      </c>
      <c r="B362" s="2" t="s">
        <v>2007</v>
      </c>
      <c r="C362" t="b">
        <v>1</v>
      </c>
      <c r="D362" s="1" t="s">
        <v>2018</v>
      </c>
      <c r="E362" s="1" t="s">
        <v>2038</v>
      </c>
      <c r="F362" s="1" t="s">
        <v>2059</v>
      </c>
      <c r="G362" s="1" t="s">
        <v>2070</v>
      </c>
      <c r="H362" s="1" t="s">
        <v>748</v>
      </c>
      <c r="J362">
        <v>5</v>
      </c>
      <c r="K362">
        <v>0</v>
      </c>
      <c r="L362" s="1"/>
      <c r="M362" s="1"/>
      <c r="N362" s="1"/>
      <c r="O362" s="1"/>
      <c r="P362" s="1" t="s">
        <v>1533</v>
      </c>
    </row>
    <row r="363" spans="1:16" ht="15" customHeight="1" x14ac:dyDescent="0.25">
      <c r="A363" s="1" t="s">
        <v>1284</v>
      </c>
      <c r="B363" s="2" t="s">
        <v>2007</v>
      </c>
      <c r="C363" t="b">
        <v>1</v>
      </c>
      <c r="D363" s="1" t="s">
        <v>2019</v>
      </c>
      <c r="E363" s="1" t="s">
        <v>2039</v>
      </c>
      <c r="F363" s="1" t="s">
        <v>2060</v>
      </c>
      <c r="G363" s="1" t="s">
        <v>2019</v>
      </c>
      <c r="H363" s="1" t="s">
        <v>748</v>
      </c>
      <c r="J363">
        <v>3</v>
      </c>
      <c r="K363">
        <v>0</v>
      </c>
      <c r="L363" s="1"/>
      <c r="M363" s="1"/>
      <c r="N363" s="1"/>
      <c r="O363" s="1"/>
      <c r="P363" s="1" t="s">
        <v>1533</v>
      </c>
    </row>
    <row r="364" spans="1:16" ht="15" customHeight="1" x14ac:dyDescent="0.25">
      <c r="A364" s="1" t="s">
        <v>1284</v>
      </c>
      <c r="B364" s="2" t="s">
        <v>2007</v>
      </c>
      <c r="C364" t="b">
        <v>1</v>
      </c>
      <c r="D364" s="1" t="s">
        <v>2020</v>
      </c>
      <c r="E364" s="1" t="s">
        <v>2040</v>
      </c>
      <c r="F364" s="1" t="s">
        <v>2061</v>
      </c>
      <c r="G364" s="1" t="s">
        <v>2020</v>
      </c>
      <c r="H364" s="1" t="s">
        <v>5</v>
      </c>
      <c r="I364">
        <v>4</v>
      </c>
      <c r="L364" s="1"/>
      <c r="M364" s="1"/>
      <c r="N364" s="1"/>
      <c r="O364" s="1"/>
      <c r="P364" s="1" t="s">
        <v>1533</v>
      </c>
    </row>
    <row r="365" spans="1:16" ht="15" customHeight="1" x14ac:dyDescent="0.25">
      <c r="A365" s="1" t="s">
        <v>1284</v>
      </c>
      <c r="B365" s="2" t="s">
        <v>2007</v>
      </c>
      <c r="C365" t="b">
        <v>1</v>
      </c>
      <c r="D365" s="1" t="s">
        <v>2021</v>
      </c>
      <c r="E365" s="1" t="s">
        <v>2041</v>
      </c>
      <c r="F365" s="1" t="s">
        <v>2062</v>
      </c>
      <c r="G365" s="1" t="s">
        <v>2071</v>
      </c>
      <c r="H365" s="1" t="s">
        <v>748</v>
      </c>
      <c r="J365">
        <v>13</v>
      </c>
      <c r="K365">
        <v>0</v>
      </c>
      <c r="L365" s="1"/>
      <c r="M365" s="1"/>
      <c r="N365" s="1"/>
      <c r="O365" s="1"/>
      <c r="P365" s="1" t="s">
        <v>1533</v>
      </c>
    </row>
    <row r="366" spans="1:16" ht="15" customHeight="1" x14ac:dyDescent="0.25">
      <c r="A366" s="1" t="s">
        <v>1284</v>
      </c>
      <c r="B366" s="2" t="s">
        <v>2007</v>
      </c>
      <c r="C366" t="b">
        <v>1</v>
      </c>
      <c r="D366" s="1" t="s">
        <v>1329</v>
      </c>
      <c r="E366" s="1" t="s">
        <v>2042</v>
      </c>
      <c r="F366" s="1" t="s">
        <v>2063</v>
      </c>
      <c r="G366" s="1" t="s">
        <v>2072</v>
      </c>
      <c r="H366" s="1" t="s">
        <v>5</v>
      </c>
      <c r="I366">
        <v>4</v>
      </c>
      <c r="L366" s="1"/>
      <c r="M366" s="1"/>
      <c r="N366" s="1"/>
      <c r="O366" s="1"/>
      <c r="P366" s="1" t="s">
        <v>1533</v>
      </c>
    </row>
    <row r="367" spans="1:16" ht="15" customHeight="1" x14ac:dyDescent="0.25">
      <c r="A367" s="1" t="s">
        <v>1284</v>
      </c>
      <c r="B367" s="2" t="s">
        <v>2007</v>
      </c>
      <c r="C367" t="b">
        <v>1</v>
      </c>
      <c r="D367" s="1" t="s">
        <v>2022</v>
      </c>
      <c r="E367" s="1" t="s">
        <v>2043</v>
      </c>
      <c r="F367" s="1" t="s">
        <v>2064</v>
      </c>
      <c r="G367" s="1" t="s">
        <v>2073</v>
      </c>
      <c r="H367" s="1" t="s">
        <v>5</v>
      </c>
      <c r="I367">
        <v>1</v>
      </c>
      <c r="L367" s="1"/>
      <c r="M367" s="1"/>
      <c r="N367" s="1"/>
      <c r="O367" s="1"/>
      <c r="P367" s="1" t="s">
        <v>1533</v>
      </c>
    </row>
    <row r="368" spans="1:16" ht="15" customHeight="1" x14ac:dyDescent="0.25">
      <c r="A368" s="1" t="s">
        <v>1284</v>
      </c>
      <c r="B368" s="2" t="s">
        <v>2007</v>
      </c>
      <c r="D368" s="1"/>
      <c r="E368" s="1"/>
      <c r="F368" s="1"/>
      <c r="G368" s="1"/>
      <c r="H368" s="1"/>
      <c r="L368" s="1" t="s">
        <v>1524</v>
      </c>
      <c r="M368" s="1" t="s">
        <v>1525</v>
      </c>
      <c r="N368" s="1"/>
      <c r="O368" s="1"/>
      <c r="P368" s="1" t="s">
        <v>1533</v>
      </c>
    </row>
    <row r="369" spans="1:16" ht="15" customHeight="1" x14ac:dyDescent="0.25">
      <c r="A369" s="1" t="s">
        <v>1284</v>
      </c>
      <c r="B369" s="2" t="s">
        <v>2007</v>
      </c>
      <c r="D369" s="1"/>
      <c r="E369" s="1"/>
      <c r="F369" s="1"/>
      <c r="G369" s="1"/>
      <c r="H369" s="1"/>
      <c r="L369" s="1" t="s">
        <v>1524</v>
      </c>
      <c r="M369" s="1" t="s">
        <v>1526</v>
      </c>
      <c r="N369" s="1"/>
      <c r="O369" s="1"/>
      <c r="P369" s="1" t="s">
        <v>1533</v>
      </c>
    </row>
    <row r="370" spans="1:16" ht="15" customHeight="1" x14ac:dyDescent="0.25">
      <c r="A370" s="1" t="s">
        <v>1284</v>
      </c>
      <c r="B370" s="2" t="s">
        <v>2007</v>
      </c>
      <c r="D370" s="1"/>
      <c r="E370" s="1"/>
      <c r="F370" s="1"/>
      <c r="G370" s="1"/>
      <c r="H370" s="1"/>
      <c r="L370" s="1" t="s">
        <v>1524</v>
      </c>
      <c r="M370" s="1" t="s">
        <v>1527</v>
      </c>
      <c r="N370" s="1"/>
      <c r="O370" s="1"/>
      <c r="P370" s="1" t="s">
        <v>1533</v>
      </c>
    </row>
    <row r="371" spans="1:16" ht="15" customHeight="1" x14ac:dyDescent="0.25">
      <c r="A371" s="1" t="s">
        <v>1284</v>
      </c>
      <c r="B371" s="2" t="s">
        <v>2007</v>
      </c>
      <c r="D371" s="1"/>
      <c r="E371" s="1"/>
      <c r="F371" s="1"/>
      <c r="G371" s="1"/>
      <c r="H371" s="1"/>
      <c r="L371" s="1"/>
      <c r="M371" s="1"/>
      <c r="N371" s="1" t="s">
        <v>1529</v>
      </c>
      <c r="O371" s="1" t="s">
        <v>1577</v>
      </c>
      <c r="P371" s="1" t="s">
        <v>1533</v>
      </c>
    </row>
    <row r="372" spans="1:16" ht="15" customHeight="1" x14ac:dyDescent="0.25">
      <c r="A372" s="1" t="s">
        <v>1284</v>
      </c>
      <c r="B372" s="2" t="s">
        <v>2007</v>
      </c>
      <c r="D372" s="1"/>
      <c r="E372" s="1"/>
      <c r="F372" s="1"/>
      <c r="G372" s="1"/>
      <c r="H372" s="1"/>
      <c r="L372" s="1"/>
      <c r="M372" s="1"/>
      <c r="N372" s="1" t="s">
        <v>1529</v>
      </c>
      <c r="O372" s="1" t="s">
        <v>1577</v>
      </c>
      <c r="P372" s="1" t="s">
        <v>1533</v>
      </c>
    </row>
    <row r="373" spans="1:16" ht="15" customHeight="1" x14ac:dyDescent="0.25">
      <c r="A373" s="1" t="s">
        <v>1284</v>
      </c>
      <c r="B373" s="2" t="s">
        <v>2007</v>
      </c>
      <c r="D373" s="1"/>
      <c r="E373" s="1"/>
      <c r="F373" s="1"/>
      <c r="G373" s="1"/>
      <c r="H373" s="1"/>
      <c r="L373" s="1"/>
      <c r="M373" s="1"/>
      <c r="N373" s="1" t="s">
        <v>1529</v>
      </c>
      <c r="O373" s="1" t="s">
        <v>1578</v>
      </c>
      <c r="P373" s="1" t="s">
        <v>1533</v>
      </c>
    </row>
    <row r="374" spans="1:16" ht="15" customHeight="1" x14ac:dyDescent="0.25">
      <c r="A374" s="1" t="s">
        <v>1284</v>
      </c>
      <c r="B374" s="2" t="s">
        <v>2007</v>
      </c>
      <c r="D374" s="1"/>
      <c r="E374" s="1"/>
      <c r="F374" s="1"/>
      <c r="G374" s="1"/>
      <c r="H374" s="1"/>
      <c r="L374" s="1"/>
      <c r="M374" s="1"/>
      <c r="N374" s="1" t="s">
        <v>1529</v>
      </c>
      <c r="O374" s="1" t="s">
        <v>1578</v>
      </c>
      <c r="P374" s="1" t="s">
        <v>1533</v>
      </c>
    </row>
    <row r="375" spans="1:16" ht="15" customHeight="1" x14ac:dyDescent="0.25">
      <c r="A375" s="1" t="s">
        <v>1284</v>
      </c>
      <c r="B375" s="2" t="s">
        <v>2007</v>
      </c>
      <c r="D375" s="1"/>
      <c r="E375" s="1"/>
      <c r="F375" s="1"/>
      <c r="G375" s="1"/>
      <c r="H375" s="1"/>
      <c r="L375" s="1"/>
      <c r="M375" s="1"/>
      <c r="N375" s="1" t="s">
        <v>1529</v>
      </c>
      <c r="O375" s="1" t="s">
        <v>1578</v>
      </c>
      <c r="P375" s="1" t="s">
        <v>1533</v>
      </c>
    </row>
    <row r="376" spans="1:16" ht="15" customHeight="1" x14ac:dyDescent="0.25">
      <c r="A376" s="1" t="s">
        <v>1290</v>
      </c>
      <c r="B376" s="2" t="s">
        <v>2074</v>
      </c>
      <c r="C376" t="b">
        <v>0</v>
      </c>
      <c r="D376" s="1" t="s">
        <v>3</v>
      </c>
      <c r="E376" s="1" t="s">
        <v>1471</v>
      </c>
      <c r="F376" s="1" t="s">
        <v>1492</v>
      </c>
      <c r="G376" s="1" t="s">
        <v>1636</v>
      </c>
      <c r="H376" s="1" t="s">
        <v>5</v>
      </c>
      <c r="I376">
        <v>18</v>
      </c>
      <c r="L376" s="1"/>
      <c r="M376" s="1"/>
      <c r="N376" s="1"/>
      <c r="O376" s="1"/>
      <c r="P376" s="1" t="s">
        <v>1533</v>
      </c>
    </row>
    <row r="377" spans="1:16" ht="15" customHeight="1" x14ac:dyDescent="0.25">
      <c r="A377" s="1" t="s">
        <v>1290</v>
      </c>
      <c r="B377" s="2" t="s">
        <v>2074</v>
      </c>
      <c r="C377" t="b">
        <v>1</v>
      </c>
      <c r="D377" s="1" t="s">
        <v>1370</v>
      </c>
      <c r="E377" s="1" t="s">
        <v>1472</v>
      </c>
      <c r="F377" s="1" t="s">
        <v>1493</v>
      </c>
      <c r="G377" s="1" t="s">
        <v>1637</v>
      </c>
      <c r="H377" s="1" t="s">
        <v>5</v>
      </c>
      <c r="I377">
        <v>40</v>
      </c>
      <c r="L377" s="1"/>
      <c r="M377" s="1"/>
      <c r="N377" s="1"/>
      <c r="O377" s="1"/>
      <c r="P377" s="1" t="s">
        <v>1533</v>
      </c>
    </row>
    <row r="378" spans="1:16" ht="15" customHeight="1" x14ac:dyDescent="0.25">
      <c r="A378" s="1" t="s">
        <v>1290</v>
      </c>
      <c r="B378" s="2" t="s">
        <v>2074</v>
      </c>
      <c r="C378" t="b">
        <v>1</v>
      </c>
      <c r="D378" s="1" t="s">
        <v>1279</v>
      </c>
      <c r="E378" s="1" t="s">
        <v>1473</v>
      </c>
      <c r="F378" s="1" t="s">
        <v>1494</v>
      </c>
      <c r="G378" s="1" t="s">
        <v>1279</v>
      </c>
      <c r="H378" s="1" t="s">
        <v>5</v>
      </c>
      <c r="I378">
        <v>4</v>
      </c>
      <c r="L378" s="1"/>
      <c r="M378" s="1"/>
      <c r="N378" s="1"/>
      <c r="O378" s="1"/>
      <c r="P378" s="1" t="s">
        <v>1533</v>
      </c>
    </row>
    <row r="379" spans="1:16" ht="15" customHeight="1" x14ac:dyDescent="0.25">
      <c r="A379" s="1" t="s">
        <v>1290</v>
      </c>
      <c r="B379" s="2" t="s">
        <v>2074</v>
      </c>
      <c r="C379" t="b">
        <v>0</v>
      </c>
      <c r="D379" s="1" t="s">
        <v>1265</v>
      </c>
      <c r="E379" s="1" t="s">
        <v>1474</v>
      </c>
      <c r="F379" s="1" t="s">
        <v>1495</v>
      </c>
      <c r="G379" s="1" t="s">
        <v>1265</v>
      </c>
      <c r="H379" s="1" t="s">
        <v>5</v>
      </c>
      <c r="I379">
        <v>4</v>
      </c>
      <c r="L379" s="1"/>
      <c r="M379" s="1"/>
      <c r="N379" s="1"/>
      <c r="O379" s="1"/>
      <c r="P379" s="1" t="s">
        <v>1533</v>
      </c>
    </row>
    <row r="380" spans="1:16" ht="15" customHeight="1" x14ac:dyDescent="0.25">
      <c r="A380" s="1" t="s">
        <v>1290</v>
      </c>
      <c r="B380" s="2" t="s">
        <v>2074</v>
      </c>
      <c r="C380" t="b">
        <v>1</v>
      </c>
      <c r="D380" s="1" t="s">
        <v>1287</v>
      </c>
      <c r="E380" s="1" t="s">
        <v>2092</v>
      </c>
      <c r="F380" s="1" t="s">
        <v>2113</v>
      </c>
      <c r="G380" s="1" t="s">
        <v>2134</v>
      </c>
      <c r="H380" s="1" t="s">
        <v>5</v>
      </c>
      <c r="I380">
        <v>1</v>
      </c>
      <c r="L380" s="1"/>
      <c r="M380" s="1"/>
      <c r="N380" s="1"/>
      <c r="O380" s="1"/>
      <c r="P380" s="1" t="s">
        <v>1533</v>
      </c>
    </row>
    <row r="381" spans="1:16" ht="15" customHeight="1" x14ac:dyDescent="0.25">
      <c r="A381" s="1" t="s">
        <v>1290</v>
      </c>
      <c r="B381" s="2" t="s">
        <v>2074</v>
      </c>
      <c r="C381" t="b">
        <v>1</v>
      </c>
      <c r="D381" s="1" t="s">
        <v>1285</v>
      </c>
      <c r="E381" s="1" t="s">
        <v>2093</v>
      </c>
      <c r="F381" s="1" t="s">
        <v>2114</v>
      </c>
      <c r="G381" s="1" t="s">
        <v>2135</v>
      </c>
      <c r="H381" s="1" t="s">
        <v>5</v>
      </c>
      <c r="I381">
        <v>1</v>
      </c>
      <c r="L381" s="1"/>
      <c r="M381" s="1"/>
      <c r="N381" s="1"/>
      <c r="O381" s="1"/>
      <c r="P381" s="1" t="s">
        <v>1533</v>
      </c>
    </row>
    <row r="382" spans="1:16" ht="15" customHeight="1" x14ac:dyDescent="0.25">
      <c r="A382" s="1" t="s">
        <v>1290</v>
      </c>
      <c r="B382" s="2" t="s">
        <v>2074</v>
      </c>
      <c r="C382" t="b">
        <v>1</v>
      </c>
      <c r="D382" s="1" t="s">
        <v>2075</v>
      </c>
      <c r="E382" s="1" t="s">
        <v>2094</v>
      </c>
      <c r="F382" s="1" t="s">
        <v>2115</v>
      </c>
      <c r="G382" s="1" t="s">
        <v>2136</v>
      </c>
      <c r="H382" s="1" t="s">
        <v>5</v>
      </c>
      <c r="I382">
        <v>2</v>
      </c>
      <c r="L382" s="1"/>
      <c r="M382" s="1"/>
      <c r="N382" s="1"/>
      <c r="O382" s="1"/>
      <c r="P382" s="1" t="s">
        <v>1533</v>
      </c>
    </row>
    <row r="383" spans="1:16" ht="15" customHeight="1" x14ac:dyDescent="0.25">
      <c r="A383" s="1" t="s">
        <v>1290</v>
      </c>
      <c r="B383" s="2" t="s">
        <v>2074</v>
      </c>
      <c r="C383" t="b">
        <v>1</v>
      </c>
      <c r="D383" s="1" t="s">
        <v>2076</v>
      </c>
      <c r="E383" s="1" t="s">
        <v>1857</v>
      </c>
      <c r="F383" s="1" t="s">
        <v>1866</v>
      </c>
      <c r="G383" s="1" t="s">
        <v>2137</v>
      </c>
      <c r="H383" s="1" t="s">
        <v>5</v>
      </c>
      <c r="I383">
        <v>4</v>
      </c>
      <c r="L383" s="1"/>
      <c r="M383" s="1"/>
      <c r="N383" s="1"/>
      <c r="O383" s="1"/>
      <c r="P383" s="1" t="s">
        <v>1533</v>
      </c>
    </row>
    <row r="384" spans="1:16" ht="15" customHeight="1" x14ac:dyDescent="0.25">
      <c r="A384" s="1" t="s">
        <v>1290</v>
      </c>
      <c r="B384" s="2" t="s">
        <v>2074</v>
      </c>
      <c r="C384" t="b">
        <v>1</v>
      </c>
      <c r="D384" s="1" t="s">
        <v>1315</v>
      </c>
      <c r="E384" s="1" t="s">
        <v>2095</v>
      </c>
      <c r="F384" s="1" t="s">
        <v>2116</v>
      </c>
      <c r="G384" s="1" t="s">
        <v>2138</v>
      </c>
      <c r="H384" s="1" t="s">
        <v>5</v>
      </c>
      <c r="I384">
        <v>1</v>
      </c>
      <c r="L384" s="1"/>
      <c r="M384" s="1"/>
      <c r="N384" s="1"/>
      <c r="O384" s="1"/>
      <c r="P384" s="1" t="s">
        <v>1533</v>
      </c>
    </row>
    <row r="385" spans="1:16" ht="15" customHeight="1" x14ac:dyDescent="0.25">
      <c r="A385" s="1" t="s">
        <v>1290</v>
      </c>
      <c r="B385" s="2" t="s">
        <v>2074</v>
      </c>
      <c r="C385" t="b">
        <v>1</v>
      </c>
      <c r="D385" s="1" t="s">
        <v>2077</v>
      </c>
      <c r="E385" s="1" t="s">
        <v>2096</v>
      </c>
      <c r="F385" s="1" t="s">
        <v>2117</v>
      </c>
      <c r="G385" s="1" t="s">
        <v>2139</v>
      </c>
      <c r="H385" s="1" t="s">
        <v>5</v>
      </c>
      <c r="I385">
        <v>10</v>
      </c>
      <c r="L385" s="1"/>
      <c r="M385" s="1"/>
      <c r="N385" s="1"/>
      <c r="O385" s="1"/>
      <c r="P385" s="1" t="s">
        <v>1533</v>
      </c>
    </row>
    <row r="386" spans="1:16" ht="15" customHeight="1" x14ac:dyDescent="0.25">
      <c r="A386" s="1" t="s">
        <v>1290</v>
      </c>
      <c r="B386" s="2" t="s">
        <v>2074</v>
      </c>
      <c r="C386" t="b">
        <v>1</v>
      </c>
      <c r="D386" s="1" t="s">
        <v>2078</v>
      </c>
      <c r="E386" s="1" t="s">
        <v>2097</v>
      </c>
      <c r="F386" s="1" t="s">
        <v>2118</v>
      </c>
      <c r="G386" s="1" t="s">
        <v>2140</v>
      </c>
      <c r="H386" s="1" t="s">
        <v>5</v>
      </c>
      <c r="I386">
        <v>1</v>
      </c>
      <c r="L386" s="1"/>
      <c r="M386" s="1"/>
      <c r="N386" s="1"/>
      <c r="O386" s="1"/>
      <c r="P386" s="1" t="s">
        <v>1533</v>
      </c>
    </row>
    <row r="387" spans="1:16" ht="15" customHeight="1" x14ac:dyDescent="0.25">
      <c r="A387" s="1" t="s">
        <v>1290</v>
      </c>
      <c r="B387" s="2" t="s">
        <v>2074</v>
      </c>
      <c r="C387" t="b">
        <v>1</v>
      </c>
      <c r="D387" s="1" t="s">
        <v>2079</v>
      </c>
      <c r="E387" s="1" t="s">
        <v>2098</v>
      </c>
      <c r="F387" s="1" t="s">
        <v>2119</v>
      </c>
      <c r="G387" s="1" t="s">
        <v>2141</v>
      </c>
      <c r="H387" s="1" t="s">
        <v>5</v>
      </c>
      <c r="I387">
        <v>4</v>
      </c>
      <c r="L387" s="1"/>
      <c r="M387" s="1"/>
      <c r="N387" s="1"/>
      <c r="O387" s="1"/>
      <c r="P387" s="1" t="s">
        <v>1533</v>
      </c>
    </row>
    <row r="388" spans="1:16" ht="15" customHeight="1" x14ac:dyDescent="0.25">
      <c r="A388" s="1" t="s">
        <v>1290</v>
      </c>
      <c r="B388" s="2" t="s">
        <v>2074</v>
      </c>
      <c r="C388" t="b">
        <v>1</v>
      </c>
      <c r="D388" s="1" t="s">
        <v>2080</v>
      </c>
      <c r="E388" s="1" t="s">
        <v>2099</v>
      </c>
      <c r="F388" s="1" t="s">
        <v>2120</v>
      </c>
      <c r="G388" s="1" t="s">
        <v>2142</v>
      </c>
      <c r="H388" s="1" t="s">
        <v>5</v>
      </c>
      <c r="I388">
        <v>1</v>
      </c>
      <c r="L388" s="1"/>
      <c r="M388" s="1"/>
      <c r="N388" s="1"/>
      <c r="O388" s="1"/>
      <c r="P388" s="1" t="s">
        <v>1533</v>
      </c>
    </row>
    <row r="389" spans="1:16" ht="15" customHeight="1" x14ac:dyDescent="0.25">
      <c r="A389" s="1" t="s">
        <v>1290</v>
      </c>
      <c r="B389" s="2" t="s">
        <v>2074</v>
      </c>
      <c r="C389" t="b">
        <v>1</v>
      </c>
      <c r="D389" s="1" t="s">
        <v>2081</v>
      </c>
      <c r="E389" s="1" t="s">
        <v>2000</v>
      </c>
      <c r="F389" s="1" t="s">
        <v>2006</v>
      </c>
      <c r="G389" s="1" t="s">
        <v>2143</v>
      </c>
      <c r="H389" s="1" t="s">
        <v>5</v>
      </c>
      <c r="I389">
        <v>4</v>
      </c>
      <c r="L389" s="1"/>
      <c r="M389" s="1"/>
      <c r="N389" s="1"/>
      <c r="O389" s="1"/>
      <c r="P389" s="1" t="s">
        <v>1533</v>
      </c>
    </row>
    <row r="390" spans="1:16" ht="15" customHeight="1" x14ac:dyDescent="0.25">
      <c r="A390" s="1" t="s">
        <v>1290</v>
      </c>
      <c r="B390" s="2" t="s">
        <v>2074</v>
      </c>
      <c r="C390" t="b">
        <v>1</v>
      </c>
      <c r="D390" s="1" t="s">
        <v>1738</v>
      </c>
      <c r="E390" s="1" t="s">
        <v>1758</v>
      </c>
      <c r="F390" s="1" t="s">
        <v>1778</v>
      </c>
      <c r="G390" s="1" t="s">
        <v>2144</v>
      </c>
      <c r="H390" s="1" t="s">
        <v>5</v>
      </c>
      <c r="I390">
        <v>1</v>
      </c>
      <c r="L390" s="1"/>
      <c r="M390" s="1"/>
      <c r="N390" s="1"/>
      <c r="O390" s="1"/>
      <c r="P390" s="1" t="s">
        <v>1533</v>
      </c>
    </row>
    <row r="391" spans="1:16" ht="15" customHeight="1" x14ac:dyDescent="0.25">
      <c r="A391" s="1" t="s">
        <v>1290</v>
      </c>
      <c r="B391" s="2" t="s">
        <v>2074</v>
      </c>
      <c r="C391" t="b">
        <v>1</v>
      </c>
      <c r="D391" s="1" t="s">
        <v>2082</v>
      </c>
      <c r="E391" s="1" t="s">
        <v>2100</v>
      </c>
      <c r="F391" s="1" t="s">
        <v>2121</v>
      </c>
      <c r="G391" s="1" t="s">
        <v>2145</v>
      </c>
      <c r="H391" s="1" t="s">
        <v>5</v>
      </c>
      <c r="I391">
        <v>1</v>
      </c>
      <c r="L391" s="1"/>
      <c r="M391" s="1"/>
      <c r="N391" s="1"/>
      <c r="O391" s="1"/>
      <c r="P391" s="1" t="s">
        <v>1533</v>
      </c>
    </row>
    <row r="392" spans="1:16" ht="15" customHeight="1" x14ac:dyDescent="0.25">
      <c r="A392" s="1" t="s">
        <v>1290</v>
      </c>
      <c r="B392" s="2" t="s">
        <v>2074</v>
      </c>
      <c r="C392" t="b">
        <v>1</v>
      </c>
      <c r="D392" s="1" t="s">
        <v>2083</v>
      </c>
      <c r="E392" s="1" t="s">
        <v>2101</v>
      </c>
      <c r="F392" s="1" t="s">
        <v>2122</v>
      </c>
      <c r="G392" s="1" t="s">
        <v>2146</v>
      </c>
      <c r="H392" s="1" t="s">
        <v>748</v>
      </c>
      <c r="J392">
        <v>3</v>
      </c>
      <c r="K392">
        <v>0</v>
      </c>
      <c r="L392" s="1"/>
      <c r="M392" s="1"/>
      <c r="N392" s="1"/>
      <c r="O392" s="1"/>
      <c r="P392" s="1" t="s">
        <v>1533</v>
      </c>
    </row>
    <row r="393" spans="1:16" ht="15" customHeight="1" x14ac:dyDescent="0.25">
      <c r="A393" s="1" t="s">
        <v>1290</v>
      </c>
      <c r="B393" s="2" t="s">
        <v>2074</v>
      </c>
      <c r="C393" t="b">
        <v>1</v>
      </c>
      <c r="D393" s="1" t="s">
        <v>2084</v>
      </c>
      <c r="E393" s="1" t="s">
        <v>2102</v>
      </c>
      <c r="F393" s="1" t="s">
        <v>2123</v>
      </c>
      <c r="G393" s="1" t="s">
        <v>2147</v>
      </c>
      <c r="H393" s="1" t="s">
        <v>748</v>
      </c>
      <c r="J393">
        <v>3</v>
      </c>
      <c r="K393">
        <v>0</v>
      </c>
      <c r="L393" s="1"/>
      <c r="M393" s="1"/>
      <c r="N393" s="1"/>
      <c r="O393" s="1"/>
      <c r="P393" s="1" t="s">
        <v>1533</v>
      </c>
    </row>
    <row r="394" spans="1:16" ht="15" customHeight="1" x14ac:dyDescent="0.25">
      <c r="A394" s="1" t="s">
        <v>1290</v>
      </c>
      <c r="B394" s="2" t="s">
        <v>2074</v>
      </c>
      <c r="C394" t="b">
        <v>1</v>
      </c>
      <c r="D394" s="1" t="s">
        <v>2085</v>
      </c>
      <c r="E394" s="1" t="s">
        <v>2103</v>
      </c>
      <c r="F394" s="1" t="s">
        <v>2124</v>
      </c>
      <c r="G394" s="1" t="s">
        <v>2148</v>
      </c>
      <c r="H394" s="1" t="s">
        <v>748</v>
      </c>
      <c r="J394">
        <v>3</v>
      </c>
      <c r="K394">
        <v>0</v>
      </c>
      <c r="L394" s="1"/>
      <c r="M394" s="1"/>
      <c r="N394" s="1"/>
      <c r="O394" s="1"/>
      <c r="P394" s="1" t="s">
        <v>1533</v>
      </c>
    </row>
    <row r="395" spans="1:16" ht="15" customHeight="1" x14ac:dyDescent="0.25">
      <c r="A395" s="1" t="s">
        <v>1290</v>
      </c>
      <c r="B395" s="2" t="s">
        <v>2074</v>
      </c>
      <c r="C395" t="b">
        <v>1</v>
      </c>
      <c r="D395" s="1" t="s">
        <v>2086</v>
      </c>
      <c r="E395" s="1" t="s">
        <v>2104</v>
      </c>
      <c r="F395" s="1" t="s">
        <v>2125</v>
      </c>
      <c r="G395" s="1" t="s">
        <v>2149</v>
      </c>
      <c r="H395" s="1" t="s">
        <v>5</v>
      </c>
      <c r="I395">
        <v>3</v>
      </c>
      <c r="L395" s="1"/>
      <c r="M395" s="1"/>
      <c r="N395" s="1"/>
      <c r="O395" s="1"/>
      <c r="P395" s="1" t="s">
        <v>1533</v>
      </c>
    </row>
    <row r="396" spans="1:16" ht="15" customHeight="1" x14ac:dyDescent="0.25">
      <c r="A396" s="1" t="s">
        <v>1290</v>
      </c>
      <c r="B396" s="2" t="s">
        <v>2074</v>
      </c>
      <c r="C396" t="b">
        <v>1</v>
      </c>
      <c r="D396" s="1" t="s">
        <v>1289</v>
      </c>
      <c r="E396" s="1" t="s">
        <v>2105</v>
      </c>
      <c r="F396" s="1" t="s">
        <v>2126</v>
      </c>
      <c r="G396" s="1" t="s">
        <v>2150</v>
      </c>
      <c r="H396" s="1" t="s">
        <v>5</v>
      </c>
      <c r="I396">
        <v>3</v>
      </c>
      <c r="L396" s="1"/>
      <c r="M396" s="1"/>
      <c r="N396" s="1"/>
      <c r="O396" s="1"/>
      <c r="P396" s="1" t="s">
        <v>1533</v>
      </c>
    </row>
    <row r="397" spans="1:16" ht="15" customHeight="1" x14ac:dyDescent="0.25">
      <c r="A397" s="1" t="s">
        <v>1290</v>
      </c>
      <c r="B397" s="2" t="s">
        <v>2074</v>
      </c>
      <c r="C397" t="b">
        <v>1</v>
      </c>
      <c r="D397" s="1" t="s">
        <v>2087</v>
      </c>
      <c r="E397" s="1" t="s">
        <v>2106</v>
      </c>
      <c r="F397" s="1" t="s">
        <v>2127</v>
      </c>
      <c r="G397" s="1" t="s">
        <v>2087</v>
      </c>
      <c r="H397" s="1" t="s">
        <v>748</v>
      </c>
      <c r="J397">
        <v>13</v>
      </c>
      <c r="K397">
        <v>0</v>
      </c>
      <c r="L397" s="1"/>
      <c r="M397" s="1"/>
      <c r="N397" s="1"/>
      <c r="O397" s="1"/>
      <c r="P397" s="1" t="s">
        <v>1533</v>
      </c>
    </row>
    <row r="398" spans="1:16" ht="15" customHeight="1" x14ac:dyDescent="0.25">
      <c r="A398" s="1" t="s">
        <v>1290</v>
      </c>
      <c r="B398" s="2" t="s">
        <v>2074</v>
      </c>
      <c r="C398" t="b">
        <v>1</v>
      </c>
      <c r="D398" s="1" t="s">
        <v>2088</v>
      </c>
      <c r="E398" s="1" t="s">
        <v>2107</v>
      </c>
      <c r="F398" s="1" t="s">
        <v>2128</v>
      </c>
      <c r="G398" s="1" t="s">
        <v>2151</v>
      </c>
      <c r="H398" s="1" t="s">
        <v>748</v>
      </c>
      <c r="J398">
        <v>3</v>
      </c>
      <c r="K398">
        <v>0</v>
      </c>
      <c r="L398" s="1"/>
      <c r="M398" s="1"/>
      <c r="N398" s="1"/>
      <c r="O398" s="1"/>
      <c r="P398" s="1" t="s">
        <v>1533</v>
      </c>
    </row>
    <row r="399" spans="1:16" ht="15" customHeight="1" x14ac:dyDescent="0.25">
      <c r="A399" s="1" t="s">
        <v>1290</v>
      </c>
      <c r="B399" s="2" t="s">
        <v>2074</v>
      </c>
      <c r="C399" t="b">
        <v>1</v>
      </c>
      <c r="D399" s="1" t="s">
        <v>2089</v>
      </c>
      <c r="E399" s="1" t="s">
        <v>2108</v>
      </c>
      <c r="F399" s="1" t="s">
        <v>2129</v>
      </c>
      <c r="G399" s="1" t="s">
        <v>2152</v>
      </c>
      <c r="H399" s="1" t="s">
        <v>748</v>
      </c>
      <c r="J399">
        <v>13</v>
      </c>
      <c r="K399">
        <v>0</v>
      </c>
      <c r="L399" s="1"/>
      <c r="M399" s="1"/>
      <c r="N399" s="1"/>
      <c r="O399" s="1"/>
      <c r="P399" s="1" t="s">
        <v>1533</v>
      </c>
    </row>
    <row r="400" spans="1:16" ht="15" customHeight="1" x14ac:dyDescent="0.25">
      <c r="A400" s="1" t="s">
        <v>1290</v>
      </c>
      <c r="B400" s="2" t="s">
        <v>2074</v>
      </c>
      <c r="C400" t="b">
        <v>1</v>
      </c>
      <c r="D400" s="1" t="s">
        <v>1286</v>
      </c>
      <c r="E400" s="1" t="s">
        <v>2109</v>
      </c>
      <c r="F400" s="1" t="s">
        <v>2130</v>
      </c>
      <c r="G400" s="1" t="s">
        <v>2153</v>
      </c>
      <c r="H400" s="1" t="s">
        <v>5</v>
      </c>
      <c r="I400">
        <v>3</v>
      </c>
      <c r="L400" s="1"/>
      <c r="M400" s="1"/>
      <c r="N400" s="1"/>
      <c r="O400" s="1"/>
      <c r="P400" s="1" t="s">
        <v>1533</v>
      </c>
    </row>
    <row r="401" spans="1:16" ht="15" customHeight="1" x14ac:dyDescent="0.25">
      <c r="A401" s="1" t="s">
        <v>1290</v>
      </c>
      <c r="B401" s="2" t="s">
        <v>2074</v>
      </c>
      <c r="C401" t="b">
        <v>1</v>
      </c>
      <c r="D401" s="1" t="s">
        <v>1288</v>
      </c>
      <c r="E401" s="1" t="s">
        <v>2110</v>
      </c>
      <c r="F401" s="1" t="s">
        <v>2131</v>
      </c>
      <c r="G401" s="1" t="s">
        <v>2154</v>
      </c>
      <c r="H401" s="1" t="s">
        <v>5</v>
      </c>
      <c r="I401">
        <v>1</v>
      </c>
      <c r="L401" s="1"/>
      <c r="M401" s="1"/>
      <c r="N401" s="1"/>
      <c r="O401" s="1"/>
      <c r="P401" s="1" t="s">
        <v>1533</v>
      </c>
    </row>
    <row r="402" spans="1:16" ht="15" customHeight="1" x14ac:dyDescent="0.25">
      <c r="A402" s="1" t="s">
        <v>1290</v>
      </c>
      <c r="B402" s="2" t="s">
        <v>2074</v>
      </c>
      <c r="C402" t="b">
        <v>1</v>
      </c>
      <c r="D402" s="1" t="s">
        <v>2090</v>
      </c>
      <c r="E402" s="1" t="s">
        <v>2111</v>
      </c>
      <c r="F402" s="1" t="s">
        <v>2132</v>
      </c>
      <c r="G402" s="1" t="s">
        <v>2155</v>
      </c>
      <c r="H402" s="1" t="s">
        <v>1576</v>
      </c>
      <c r="J402">
        <v>2</v>
      </c>
      <c r="K402">
        <v>0</v>
      </c>
      <c r="L402" s="1"/>
      <c r="M402" s="1"/>
      <c r="N402" s="1"/>
      <c r="O402" s="1"/>
      <c r="P402" s="1" t="s">
        <v>1533</v>
      </c>
    </row>
    <row r="403" spans="1:16" ht="15" customHeight="1" x14ac:dyDescent="0.25">
      <c r="A403" s="1" t="s">
        <v>1290</v>
      </c>
      <c r="B403" s="2" t="s">
        <v>2074</v>
      </c>
      <c r="C403" t="b">
        <v>1</v>
      </c>
      <c r="D403" s="1" t="s">
        <v>2091</v>
      </c>
      <c r="E403" s="1" t="s">
        <v>2112</v>
      </c>
      <c r="F403" s="1" t="s">
        <v>2133</v>
      </c>
      <c r="G403" s="1" t="s">
        <v>2156</v>
      </c>
      <c r="H403" s="1" t="s">
        <v>5</v>
      </c>
      <c r="I403">
        <v>3</v>
      </c>
      <c r="L403" s="1"/>
      <c r="M403" s="1"/>
      <c r="N403" s="1"/>
      <c r="O403" s="1"/>
      <c r="P403" s="1" t="s">
        <v>1533</v>
      </c>
    </row>
    <row r="404" spans="1:16" ht="15" customHeight="1" x14ac:dyDescent="0.25">
      <c r="A404" s="1" t="s">
        <v>1290</v>
      </c>
      <c r="B404" s="2" t="s">
        <v>2074</v>
      </c>
      <c r="D404" s="1"/>
      <c r="E404" s="1"/>
      <c r="F404" s="1"/>
      <c r="G404" s="1"/>
      <c r="H404" s="1"/>
      <c r="L404" s="1" t="s">
        <v>1524</v>
      </c>
      <c r="M404" s="1" t="s">
        <v>1525</v>
      </c>
      <c r="N404" s="1"/>
      <c r="O404" s="1"/>
      <c r="P404" s="1" t="s">
        <v>1533</v>
      </c>
    </row>
    <row r="405" spans="1:16" ht="15" customHeight="1" x14ac:dyDescent="0.25">
      <c r="A405" s="1" t="s">
        <v>1290</v>
      </c>
      <c r="B405" s="2" t="s">
        <v>2074</v>
      </c>
      <c r="D405" s="1"/>
      <c r="E405" s="1"/>
      <c r="F405" s="1"/>
      <c r="G405" s="1"/>
      <c r="H405" s="1"/>
      <c r="L405" s="1" t="s">
        <v>1524</v>
      </c>
      <c r="M405" s="1" t="s">
        <v>1526</v>
      </c>
      <c r="N405" s="1"/>
      <c r="O405" s="1"/>
      <c r="P405" s="1" t="s">
        <v>1533</v>
      </c>
    </row>
    <row r="406" spans="1:16" ht="15" customHeight="1" x14ac:dyDescent="0.25">
      <c r="A406" s="1" t="s">
        <v>1290</v>
      </c>
      <c r="B406" s="2" t="s">
        <v>2074</v>
      </c>
      <c r="D406" s="1"/>
      <c r="E406" s="1"/>
      <c r="F406" s="1"/>
      <c r="G406" s="1"/>
      <c r="H406" s="1"/>
      <c r="L406" s="1" t="s">
        <v>1524</v>
      </c>
      <c r="M406" s="1" t="s">
        <v>1527</v>
      </c>
      <c r="N406" s="1"/>
      <c r="O406" s="1"/>
      <c r="P406" s="1" t="s">
        <v>1533</v>
      </c>
    </row>
    <row r="407" spans="1:16" ht="15" customHeight="1" x14ac:dyDescent="0.25">
      <c r="A407" s="1" t="s">
        <v>1290</v>
      </c>
      <c r="B407" s="2" t="s">
        <v>2074</v>
      </c>
      <c r="D407" s="1"/>
      <c r="E407" s="1"/>
      <c r="F407" s="1"/>
      <c r="G407" s="1"/>
      <c r="H407" s="1"/>
      <c r="L407" s="1"/>
      <c r="M407" s="1"/>
      <c r="N407" s="1" t="s">
        <v>1529</v>
      </c>
      <c r="O407" s="1" t="s">
        <v>1577</v>
      </c>
      <c r="P407" s="1" t="s">
        <v>1533</v>
      </c>
    </row>
    <row r="408" spans="1:16" ht="15" customHeight="1" x14ac:dyDescent="0.25">
      <c r="A408" s="1" t="s">
        <v>1290</v>
      </c>
      <c r="B408" s="2" t="s">
        <v>2074</v>
      </c>
      <c r="D408" s="1"/>
      <c r="E408" s="1"/>
      <c r="F408" s="1"/>
      <c r="G408" s="1"/>
      <c r="H408" s="1"/>
      <c r="L408" s="1"/>
      <c r="M408" s="1"/>
      <c r="N408" s="1" t="s">
        <v>1529</v>
      </c>
      <c r="O408" s="1" t="s">
        <v>1577</v>
      </c>
      <c r="P408" s="1" t="s">
        <v>1533</v>
      </c>
    </row>
    <row r="409" spans="1:16" ht="15" customHeight="1" x14ac:dyDescent="0.25">
      <c r="A409" s="1" t="s">
        <v>1290</v>
      </c>
      <c r="B409" s="2" t="s">
        <v>2074</v>
      </c>
      <c r="D409" s="1"/>
      <c r="E409" s="1"/>
      <c r="F409" s="1"/>
      <c r="G409" s="1"/>
      <c r="H409" s="1"/>
      <c r="L409" s="1"/>
      <c r="M409" s="1"/>
      <c r="N409" s="1" t="s">
        <v>1529</v>
      </c>
      <c r="O409" s="1" t="s">
        <v>1578</v>
      </c>
      <c r="P409" s="1" t="s">
        <v>1533</v>
      </c>
    </row>
    <row r="410" spans="1:16" ht="15" customHeight="1" x14ac:dyDescent="0.25">
      <c r="A410" s="1" t="s">
        <v>1290</v>
      </c>
      <c r="B410" s="2" t="s">
        <v>2074</v>
      </c>
      <c r="D410" s="1"/>
      <c r="E410" s="1"/>
      <c r="F410" s="1"/>
      <c r="G410" s="1"/>
      <c r="H410" s="1"/>
      <c r="L410" s="1"/>
      <c r="M410" s="1"/>
      <c r="N410" s="1" t="s">
        <v>1529</v>
      </c>
      <c r="O410" s="1" t="s">
        <v>1578</v>
      </c>
      <c r="P410" s="1" t="s">
        <v>1533</v>
      </c>
    </row>
    <row r="411" spans="1:16" ht="15" customHeight="1" x14ac:dyDescent="0.25">
      <c r="A411" s="1" t="s">
        <v>1290</v>
      </c>
      <c r="B411" s="2" t="s">
        <v>2074</v>
      </c>
      <c r="D411" s="1"/>
      <c r="E411" s="1"/>
      <c r="F411" s="1"/>
      <c r="G411" s="1"/>
      <c r="H411" s="1"/>
      <c r="L411" s="1"/>
      <c r="M411" s="1"/>
      <c r="N411" s="1" t="s">
        <v>1529</v>
      </c>
      <c r="O411" s="1" t="s">
        <v>1578</v>
      </c>
      <c r="P411" s="1" t="s">
        <v>1533</v>
      </c>
    </row>
    <row r="412" spans="1:16" ht="15" customHeight="1" x14ac:dyDescent="0.25">
      <c r="A412" s="1" t="s">
        <v>1297</v>
      </c>
      <c r="B412" s="2" t="s">
        <v>2157</v>
      </c>
      <c r="C412" t="b">
        <v>0</v>
      </c>
      <c r="D412" s="1" t="s">
        <v>3</v>
      </c>
      <c r="E412" s="1" t="s">
        <v>1471</v>
      </c>
      <c r="F412" s="1" t="s">
        <v>1492</v>
      </c>
      <c r="G412" s="1" t="s">
        <v>1636</v>
      </c>
      <c r="H412" s="1" t="s">
        <v>5</v>
      </c>
      <c r="I412">
        <v>18</v>
      </c>
      <c r="L412" s="1"/>
      <c r="M412" s="1"/>
      <c r="N412" s="1"/>
      <c r="O412" s="1"/>
      <c r="P412" s="1" t="s">
        <v>1533</v>
      </c>
    </row>
    <row r="413" spans="1:16" ht="15" customHeight="1" x14ac:dyDescent="0.25">
      <c r="A413" s="1" t="s">
        <v>1297</v>
      </c>
      <c r="B413" s="2" t="s">
        <v>2157</v>
      </c>
      <c r="C413" t="b">
        <v>1</v>
      </c>
      <c r="D413" s="1" t="s">
        <v>1370</v>
      </c>
      <c r="E413" s="1" t="s">
        <v>1472</v>
      </c>
      <c r="F413" s="1" t="s">
        <v>1493</v>
      </c>
      <c r="G413" s="1" t="s">
        <v>1637</v>
      </c>
      <c r="H413" s="1" t="s">
        <v>5</v>
      </c>
      <c r="I413">
        <v>40</v>
      </c>
      <c r="L413" s="1"/>
      <c r="M413" s="1"/>
      <c r="N413" s="1"/>
      <c r="O413" s="1"/>
      <c r="P413" s="1" t="s">
        <v>1533</v>
      </c>
    </row>
    <row r="414" spans="1:16" ht="15" customHeight="1" x14ac:dyDescent="0.25">
      <c r="A414" s="1" t="s">
        <v>1297</v>
      </c>
      <c r="B414" s="2" t="s">
        <v>2157</v>
      </c>
      <c r="C414" t="b">
        <v>1</v>
      </c>
      <c r="D414" s="1" t="s">
        <v>1279</v>
      </c>
      <c r="E414" s="1" t="s">
        <v>1473</v>
      </c>
      <c r="F414" s="1" t="s">
        <v>1494</v>
      </c>
      <c r="G414" s="1" t="s">
        <v>1279</v>
      </c>
      <c r="H414" s="1" t="s">
        <v>5</v>
      </c>
      <c r="I414">
        <v>4</v>
      </c>
      <c r="L414" s="1"/>
      <c r="M414" s="1"/>
      <c r="N414" s="1"/>
      <c r="O414" s="1"/>
      <c r="P414" s="1" t="s">
        <v>1533</v>
      </c>
    </row>
    <row r="415" spans="1:16" ht="15" customHeight="1" x14ac:dyDescent="0.25">
      <c r="A415" s="1" t="s">
        <v>1297</v>
      </c>
      <c r="B415" s="2" t="s">
        <v>2157</v>
      </c>
      <c r="C415" t="b">
        <v>0</v>
      </c>
      <c r="D415" s="1" t="s">
        <v>1265</v>
      </c>
      <c r="E415" s="1" t="s">
        <v>1474</v>
      </c>
      <c r="F415" s="1" t="s">
        <v>1495</v>
      </c>
      <c r="G415" s="1" t="s">
        <v>1265</v>
      </c>
      <c r="H415" s="1" t="s">
        <v>5</v>
      </c>
      <c r="I415">
        <v>4</v>
      </c>
      <c r="L415" s="1"/>
      <c r="M415" s="1"/>
      <c r="N415" s="1"/>
      <c r="O415" s="1"/>
      <c r="P415" s="1" t="s">
        <v>1533</v>
      </c>
    </row>
    <row r="416" spans="1:16" ht="15" customHeight="1" x14ac:dyDescent="0.25">
      <c r="A416" s="1" t="s">
        <v>1297</v>
      </c>
      <c r="B416" s="2" t="s">
        <v>2157</v>
      </c>
      <c r="C416" t="b">
        <v>1</v>
      </c>
      <c r="D416" s="1" t="s">
        <v>1266</v>
      </c>
      <c r="E416" s="1" t="s">
        <v>1857</v>
      </c>
      <c r="F416" s="1" t="s">
        <v>1866</v>
      </c>
      <c r="G416" s="1"/>
      <c r="H416" s="1" t="s">
        <v>5</v>
      </c>
      <c r="I416">
        <v>4</v>
      </c>
      <c r="L416" s="1"/>
      <c r="M416" s="1"/>
      <c r="N416" s="1"/>
      <c r="O416" s="1"/>
      <c r="P416" s="1" t="s">
        <v>1533</v>
      </c>
    </row>
    <row r="417" spans="1:16" ht="15" customHeight="1" x14ac:dyDescent="0.25">
      <c r="A417" s="1" t="s">
        <v>1297</v>
      </c>
      <c r="B417" s="2" t="s">
        <v>2157</v>
      </c>
      <c r="C417" t="b">
        <v>1</v>
      </c>
      <c r="D417" s="1" t="s">
        <v>1295</v>
      </c>
      <c r="E417" s="1" t="s">
        <v>1858</v>
      </c>
      <c r="F417" s="1" t="s">
        <v>1867</v>
      </c>
      <c r="G417" s="1" t="s">
        <v>1295</v>
      </c>
      <c r="H417" s="1" t="s">
        <v>5</v>
      </c>
      <c r="I417">
        <v>1</v>
      </c>
      <c r="L417" s="1"/>
      <c r="M417" s="1"/>
      <c r="N417" s="1"/>
      <c r="O417" s="1"/>
      <c r="P417" s="1" t="s">
        <v>1533</v>
      </c>
    </row>
    <row r="418" spans="1:16" ht="15" customHeight="1" x14ac:dyDescent="0.25">
      <c r="A418" s="1" t="s">
        <v>1297</v>
      </c>
      <c r="B418" s="2" t="s">
        <v>2157</v>
      </c>
      <c r="C418" t="b">
        <v>1</v>
      </c>
      <c r="D418" s="1" t="s">
        <v>1447</v>
      </c>
      <c r="E418" s="1" t="s">
        <v>1859</v>
      </c>
      <c r="F418" s="1" t="s">
        <v>1868</v>
      </c>
      <c r="G418" s="1" t="s">
        <v>1447</v>
      </c>
      <c r="H418" s="1" t="s">
        <v>5</v>
      </c>
      <c r="I418">
        <v>2</v>
      </c>
      <c r="L418" s="1"/>
      <c r="M418" s="1"/>
      <c r="N418" s="1"/>
      <c r="O418" s="1"/>
      <c r="P418" s="1" t="s">
        <v>1533</v>
      </c>
    </row>
    <row r="419" spans="1:16" ht="15" customHeight="1" x14ac:dyDescent="0.25">
      <c r="A419" s="1" t="s">
        <v>1297</v>
      </c>
      <c r="B419" s="2" t="s">
        <v>2157</v>
      </c>
      <c r="C419" t="b">
        <v>1</v>
      </c>
      <c r="D419" s="1" t="s">
        <v>2158</v>
      </c>
      <c r="E419" s="1" t="s">
        <v>2163</v>
      </c>
      <c r="F419" s="1" t="s">
        <v>2173</v>
      </c>
      <c r="G419" s="1" t="s">
        <v>2158</v>
      </c>
      <c r="H419" s="1" t="s">
        <v>5</v>
      </c>
      <c r="I419">
        <v>1</v>
      </c>
      <c r="L419" s="1"/>
      <c r="M419" s="1"/>
      <c r="N419" s="1"/>
      <c r="O419" s="1"/>
      <c r="P419" s="1" t="s">
        <v>1533</v>
      </c>
    </row>
    <row r="420" spans="1:16" ht="15" customHeight="1" x14ac:dyDescent="0.25">
      <c r="A420" s="1" t="s">
        <v>1297</v>
      </c>
      <c r="B420" s="2" t="s">
        <v>2157</v>
      </c>
      <c r="C420" t="b">
        <v>1</v>
      </c>
      <c r="D420" s="1" t="s">
        <v>1296</v>
      </c>
      <c r="E420" s="1" t="s">
        <v>2164</v>
      </c>
      <c r="F420" s="1" t="s">
        <v>2174</v>
      </c>
      <c r="G420" s="1" t="s">
        <v>2183</v>
      </c>
      <c r="H420" s="1" t="s">
        <v>5</v>
      </c>
      <c r="I420">
        <v>2</v>
      </c>
      <c r="L420" s="1"/>
      <c r="M420" s="1"/>
      <c r="N420" s="1"/>
      <c r="O420" s="1"/>
      <c r="P420" s="1" t="s">
        <v>1533</v>
      </c>
    </row>
    <row r="421" spans="1:16" ht="15" customHeight="1" x14ac:dyDescent="0.25">
      <c r="A421" s="1" t="s">
        <v>1297</v>
      </c>
      <c r="B421" s="2" t="s">
        <v>2157</v>
      </c>
      <c r="C421" t="b">
        <v>1</v>
      </c>
      <c r="D421" s="1" t="s">
        <v>1292</v>
      </c>
      <c r="E421" s="1" t="s">
        <v>2165</v>
      </c>
      <c r="F421" s="1" t="s">
        <v>2175</v>
      </c>
      <c r="G421" s="1" t="s">
        <v>1292</v>
      </c>
      <c r="H421" s="1" t="s">
        <v>5</v>
      </c>
      <c r="I421">
        <v>1</v>
      </c>
      <c r="L421" s="1"/>
      <c r="M421" s="1"/>
      <c r="N421" s="1"/>
      <c r="O421" s="1"/>
      <c r="P421" s="1" t="s">
        <v>1533</v>
      </c>
    </row>
    <row r="422" spans="1:16" ht="15" customHeight="1" x14ac:dyDescent="0.25">
      <c r="A422" s="1" t="s">
        <v>1297</v>
      </c>
      <c r="B422" s="2" t="s">
        <v>2157</v>
      </c>
      <c r="C422" t="b">
        <v>1</v>
      </c>
      <c r="D422" s="1" t="s">
        <v>2159</v>
      </c>
      <c r="E422" s="1" t="s">
        <v>2166</v>
      </c>
      <c r="F422" s="1" t="s">
        <v>2176</v>
      </c>
      <c r="G422" s="1" t="s">
        <v>2184</v>
      </c>
      <c r="H422" s="1" t="s">
        <v>1576</v>
      </c>
      <c r="J422">
        <v>3</v>
      </c>
      <c r="K422">
        <v>0</v>
      </c>
      <c r="L422" s="1"/>
      <c r="M422" s="1"/>
      <c r="N422" s="1"/>
      <c r="O422" s="1"/>
      <c r="P422" s="1" t="s">
        <v>1533</v>
      </c>
    </row>
    <row r="423" spans="1:16" ht="15" customHeight="1" x14ac:dyDescent="0.25">
      <c r="A423" s="1" t="s">
        <v>1297</v>
      </c>
      <c r="B423" s="2" t="s">
        <v>2157</v>
      </c>
      <c r="C423" t="b">
        <v>1</v>
      </c>
      <c r="D423" s="1" t="s">
        <v>2160</v>
      </c>
      <c r="E423" s="1" t="s">
        <v>2167</v>
      </c>
      <c r="F423" s="1" t="s">
        <v>2177</v>
      </c>
      <c r="G423" s="1" t="s">
        <v>2185</v>
      </c>
      <c r="H423" s="1" t="s">
        <v>1576</v>
      </c>
      <c r="J423">
        <v>3</v>
      </c>
      <c r="K423">
        <v>0</v>
      </c>
      <c r="L423" s="1"/>
      <c r="M423" s="1"/>
      <c r="N423" s="1"/>
      <c r="O423" s="1"/>
      <c r="P423" s="1" t="s">
        <v>1533</v>
      </c>
    </row>
    <row r="424" spans="1:16" ht="15" customHeight="1" x14ac:dyDescent="0.25">
      <c r="A424" s="1" t="s">
        <v>1297</v>
      </c>
      <c r="B424" s="2" t="s">
        <v>2157</v>
      </c>
      <c r="C424" t="b">
        <v>1</v>
      </c>
      <c r="D424" s="1" t="s">
        <v>1294</v>
      </c>
      <c r="E424" s="1" t="s">
        <v>2168</v>
      </c>
      <c r="F424" s="1" t="s">
        <v>2178</v>
      </c>
      <c r="G424" s="1" t="s">
        <v>2186</v>
      </c>
      <c r="H424" s="1" t="s">
        <v>5</v>
      </c>
      <c r="I424">
        <v>1</v>
      </c>
      <c r="L424" s="1"/>
      <c r="M424" s="1"/>
      <c r="N424" s="1"/>
      <c r="O424" s="1"/>
      <c r="P424" s="1" t="s">
        <v>1533</v>
      </c>
    </row>
    <row r="425" spans="1:16" ht="15" customHeight="1" x14ac:dyDescent="0.25">
      <c r="A425" s="1" t="s">
        <v>1297</v>
      </c>
      <c r="B425" s="2" t="s">
        <v>2157</v>
      </c>
      <c r="C425" t="b">
        <v>1</v>
      </c>
      <c r="D425" s="1" t="s">
        <v>2161</v>
      </c>
      <c r="E425" s="1" t="s">
        <v>2169</v>
      </c>
      <c r="F425" s="1" t="s">
        <v>2179</v>
      </c>
      <c r="G425" s="1" t="s">
        <v>2187</v>
      </c>
      <c r="H425" s="1" t="s">
        <v>5</v>
      </c>
      <c r="I425">
        <v>2</v>
      </c>
      <c r="L425" s="1"/>
      <c r="M425" s="1"/>
      <c r="N425" s="1"/>
      <c r="O425" s="1"/>
      <c r="P425" s="1" t="s">
        <v>1533</v>
      </c>
    </row>
    <row r="426" spans="1:16" ht="15" customHeight="1" x14ac:dyDescent="0.25">
      <c r="A426" s="1" t="s">
        <v>1297</v>
      </c>
      <c r="B426" s="2" t="s">
        <v>2157</v>
      </c>
      <c r="C426" t="b">
        <v>1</v>
      </c>
      <c r="D426" s="1" t="s">
        <v>2162</v>
      </c>
      <c r="E426" s="1" t="s">
        <v>2170</v>
      </c>
      <c r="F426" s="1" t="s">
        <v>2180</v>
      </c>
      <c r="G426" s="1" t="s">
        <v>2188</v>
      </c>
      <c r="H426" s="1" t="s">
        <v>748</v>
      </c>
      <c r="J426">
        <v>3</v>
      </c>
      <c r="K426">
        <v>0</v>
      </c>
      <c r="L426" s="1"/>
      <c r="M426" s="1"/>
      <c r="N426" s="1"/>
      <c r="O426" s="1"/>
      <c r="P426" s="1" t="s">
        <v>1533</v>
      </c>
    </row>
    <row r="427" spans="1:16" ht="15" customHeight="1" x14ac:dyDescent="0.25">
      <c r="A427" s="1" t="s">
        <v>1297</v>
      </c>
      <c r="B427" s="2" t="s">
        <v>2157</v>
      </c>
      <c r="C427" t="b">
        <v>1</v>
      </c>
      <c r="D427" s="1" t="s">
        <v>1293</v>
      </c>
      <c r="E427" s="1" t="s">
        <v>2171</v>
      </c>
      <c r="F427" s="1" t="s">
        <v>2181</v>
      </c>
      <c r="G427" s="1" t="s">
        <v>2189</v>
      </c>
      <c r="H427" s="1" t="s">
        <v>5</v>
      </c>
      <c r="I427">
        <v>1</v>
      </c>
      <c r="L427" s="1"/>
      <c r="M427" s="1"/>
      <c r="N427" s="1"/>
      <c r="O427" s="1"/>
      <c r="P427" s="1" t="s">
        <v>1533</v>
      </c>
    </row>
    <row r="428" spans="1:16" ht="15" customHeight="1" x14ac:dyDescent="0.25">
      <c r="A428" s="1" t="s">
        <v>1297</v>
      </c>
      <c r="B428" s="2" t="s">
        <v>2157</v>
      </c>
      <c r="C428" t="b">
        <v>1</v>
      </c>
      <c r="D428" s="1" t="s">
        <v>1291</v>
      </c>
      <c r="E428" s="1" t="s">
        <v>2172</v>
      </c>
      <c r="F428" s="1" t="s">
        <v>2182</v>
      </c>
      <c r="G428" s="1" t="s">
        <v>2190</v>
      </c>
      <c r="H428" s="1" t="s">
        <v>5</v>
      </c>
      <c r="I428">
        <v>18</v>
      </c>
      <c r="L428" s="1"/>
      <c r="M428" s="1"/>
      <c r="N428" s="1"/>
      <c r="O428" s="1"/>
      <c r="P428" s="1" t="s">
        <v>1533</v>
      </c>
    </row>
    <row r="429" spans="1:16" ht="15" customHeight="1" x14ac:dyDescent="0.25">
      <c r="A429" s="1" t="s">
        <v>1297</v>
      </c>
      <c r="B429" s="2" t="s">
        <v>2157</v>
      </c>
      <c r="D429" s="1"/>
      <c r="E429" s="1"/>
      <c r="F429" s="1"/>
      <c r="G429" s="1"/>
      <c r="H429" s="1"/>
      <c r="L429" s="1" t="s">
        <v>1524</v>
      </c>
      <c r="M429" s="1" t="s">
        <v>1525</v>
      </c>
      <c r="N429" s="1"/>
      <c r="O429" s="1"/>
      <c r="P429" s="1" t="s">
        <v>1533</v>
      </c>
    </row>
    <row r="430" spans="1:16" ht="15" customHeight="1" x14ac:dyDescent="0.25">
      <c r="A430" s="1" t="s">
        <v>1297</v>
      </c>
      <c r="B430" s="2" t="s">
        <v>2157</v>
      </c>
      <c r="D430" s="1"/>
      <c r="E430" s="1"/>
      <c r="F430" s="1"/>
      <c r="G430" s="1"/>
      <c r="H430" s="1"/>
      <c r="L430" s="1" t="s">
        <v>1524</v>
      </c>
      <c r="M430" s="1" t="s">
        <v>1526</v>
      </c>
      <c r="N430" s="1"/>
      <c r="O430" s="1"/>
      <c r="P430" s="1" t="s">
        <v>1533</v>
      </c>
    </row>
    <row r="431" spans="1:16" ht="15" customHeight="1" x14ac:dyDescent="0.25">
      <c r="A431" s="1" t="s">
        <v>1297</v>
      </c>
      <c r="B431" s="2" t="s">
        <v>2157</v>
      </c>
      <c r="D431" s="1"/>
      <c r="E431" s="1"/>
      <c r="F431" s="1"/>
      <c r="G431" s="1"/>
      <c r="H431" s="1"/>
      <c r="L431" s="1" t="s">
        <v>1524</v>
      </c>
      <c r="M431" s="1" t="s">
        <v>1527</v>
      </c>
      <c r="N431" s="1"/>
      <c r="O431" s="1"/>
      <c r="P431" s="1" t="s">
        <v>1533</v>
      </c>
    </row>
    <row r="432" spans="1:16" ht="15" customHeight="1" x14ac:dyDescent="0.25">
      <c r="A432" s="1" t="s">
        <v>1297</v>
      </c>
      <c r="B432" s="2" t="s">
        <v>2157</v>
      </c>
      <c r="D432" s="1"/>
      <c r="E432" s="1"/>
      <c r="F432" s="1"/>
      <c r="G432" s="1"/>
      <c r="H432" s="1"/>
      <c r="L432" s="1"/>
      <c r="M432" s="1"/>
      <c r="N432" s="1" t="s">
        <v>1529</v>
      </c>
      <c r="O432" s="1" t="s">
        <v>1577</v>
      </c>
      <c r="P432" s="1" t="s">
        <v>1533</v>
      </c>
    </row>
    <row r="433" spans="1:16" ht="15" customHeight="1" x14ac:dyDescent="0.25">
      <c r="A433" s="1" t="s">
        <v>1297</v>
      </c>
      <c r="B433" s="2" t="s">
        <v>2157</v>
      </c>
      <c r="D433" s="1"/>
      <c r="E433" s="1"/>
      <c r="F433" s="1"/>
      <c r="G433" s="1"/>
      <c r="H433" s="1"/>
      <c r="L433" s="1"/>
      <c r="M433" s="1"/>
      <c r="N433" s="1" t="s">
        <v>1529</v>
      </c>
      <c r="O433" s="1" t="s">
        <v>1577</v>
      </c>
      <c r="P433" s="1" t="s">
        <v>1533</v>
      </c>
    </row>
    <row r="434" spans="1:16" ht="15" customHeight="1" x14ac:dyDescent="0.25">
      <c r="A434" s="1" t="s">
        <v>1297</v>
      </c>
      <c r="B434" s="2" t="s">
        <v>2157</v>
      </c>
      <c r="D434" s="1"/>
      <c r="E434" s="1"/>
      <c r="F434" s="1"/>
      <c r="G434" s="1"/>
      <c r="H434" s="1"/>
      <c r="L434" s="1"/>
      <c r="M434" s="1"/>
      <c r="N434" s="1" t="s">
        <v>1529</v>
      </c>
      <c r="O434" s="1" t="s">
        <v>1578</v>
      </c>
      <c r="P434" s="1" t="s">
        <v>1533</v>
      </c>
    </row>
    <row r="435" spans="1:16" ht="15" customHeight="1" x14ac:dyDescent="0.25">
      <c r="A435" s="1" t="s">
        <v>1297</v>
      </c>
      <c r="B435" s="2" t="s">
        <v>2157</v>
      </c>
      <c r="D435" s="1"/>
      <c r="E435" s="1"/>
      <c r="F435" s="1"/>
      <c r="G435" s="1"/>
      <c r="H435" s="1"/>
      <c r="L435" s="1"/>
      <c r="M435" s="1"/>
      <c r="N435" s="1" t="s">
        <v>1529</v>
      </c>
      <c r="O435" s="1" t="s">
        <v>1578</v>
      </c>
      <c r="P435" s="1" t="s">
        <v>1533</v>
      </c>
    </row>
    <row r="436" spans="1:16" ht="15" customHeight="1" x14ac:dyDescent="0.25">
      <c r="A436" s="1" t="s">
        <v>1297</v>
      </c>
      <c r="B436" s="2" t="s">
        <v>2157</v>
      </c>
      <c r="D436" s="1"/>
      <c r="E436" s="1"/>
      <c r="F436" s="1"/>
      <c r="G436" s="1"/>
      <c r="H436" s="1"/>
      <c r="L436" s="1"/>
      <c r="M436" s="1"/>
      <c r="N436" s="1" t="s">
        <v>1529</v>
      </c>
      <c r="O436" s="1" t="s">
        <v>1578</v>
      </c>
      <c r="P436" s="1" t="s">
        <v>1533</v>
      </c>
    </row>
    <row r="437" spans="1:16" ht="15" customHeight="1" x14ac:dyDescent="0.25">
      <c r="A437" s="1" t="s">
        <v>1306</v>
      </c>
      <c r="B437" s="2" t="s">
        <v>2191</v>
      </c>
      <c r="C437" t="b">
        <v>0</v>
      </c>
      <c r="D437" s="1" t="s">
        <v>3</v>
      </c>
      <c r="E437" s="1" t="s">
        <v>1471</v>
      </c>
      <c r="F437" s="1" t="s">
        <v>1492</v>
      </c>
      <c r="G437" s="1" t="s">
        <v>1636</v>
      </c>
      <c r="H437" s="1" t="s">
        <v>5</v>
      </c>
      <c r="I437">
        <v>18</v>
      </c>
      <c r="L437" s="1"/>
      <c r="M437" s="1"/>
      <c r="N437" s="1"/>
      <c r="O437" s="1"/>
      <c r="P437" s="1" t="s">
        <v>1533</v>
      </c>
    </row>
    <row r="438" spans="1:16" ht="15" customHeight="1" x14ac:dyDescent="0.25">
      <c r="A438" s="1" t="s">
        <v>1306</v>
      </c>
      <c r="B438" s="2" t="s">
        <v>2191</v>
      </c>
      <c r="C438" t="b">
        <v>1</v>
      </c>
      <c r="D438" s="1" t="s">
        <v>1370</v>
      </c>
      <c r="E438" s="1" t="s">
        <v>1472</v>
      </c>
      <c r="F438" s="1" t="s">
        <v>1493</v>
      </c>
      <c r="G438" s="1" t="s">
        <v>1637</v>
      </c>
      <c r="H438" s="1" t="s">
        <v>5</v>
      </c>
      <c r="I438">
        <v>40</v>
      </c>
      <c r="L438" s="1"/>
      <c r="M438" s="1"/>
      <c r="N438" s="1"/>
      <c r="O438" s="1"/>
      <c r="P438" s="1" t="s">
        <v>1533</v>
      </c>
    </row>
    <row r="439" spans="1:16" ht="15" customHeight="1" x14ac:dyDescent="0.25">
      <c r="A439" s="1" t="s">
        <v>1306</v>
      </c>
      <c r="B439" s="2" t="s">
        <v>2191</v>
      </c>
      <c r="C439" t="b">
        <v>1</v>
      </c>
      <c r="D439" s="1" t="s">
        <v>1279</v>
      </c>
      <c r="E439" s="1" t="s">
        <v>1473</v>
      </c>
      <c r="F439" s="1" t="s">
        <v>1494</v>
      </c>
      <c r="G439" s="1" t="s">
        <v>1279</v>
      </c>
      <c r="H439" s="1" t="s">
        <v>5</v>
      </c>
      <c r="I439">
        <v>4</v>
      </c>
      <c r="L439" s="1"/>
      <c r="M439" s="1"/>
      <c r="N439" s="1"/>
      <c r="O439" s="1"/>
      <c r="P439" s="1" t="s">
        <v>1533</v>
      </c>
    </row>
    <row r="440" spans="1:16" ht="15" customHeight="1" x14ac:dyDescent="0.25">
      <c r="A440" s="1" t="s">
        <v>1306</v>
      </c>
      <c r="B440" s="2" t="s">
        <v>2191</v>
      </c>
      <c r="C440" t="b">
        <v>0</v>
      </c>
      <c r="D440" s="1" t="s">
        <v>1265</v>
      </c>
      <c r="E440" s="1" t="s">
        <v>1474</v>
      </c>
      <c r="F440" s="1" t="s">
        <v>1495</v>
      </c>
      <c r="G440" s="1" t="s">
        <v>1265</v>
      </c>
      <c r="H440" s="1" t="s">
        <v>5</v>
      </c>
      <c r="I440">
        <v>4</v>
      </c>
      <c r="L440" s="1"/>
      <c r="M440" s="1"/>
      <c r="N440" s="1"/>
      <c r="O440" s="1"/>
      <c r="P440" s="1" t="s">
        <v>1533</v>
      </c>
    </row>
    <row r="441" spans="1:16" ht="15" customHeight="1" x14ac:dyDescent="0.25">
      <c r="A441" s="1" t="s">
        <v>1306</v>
      </c>
      <c r="B441" s="2" t="s">
        <v>2191</v>
      </c>
      <c r="C441" t="b">
        <v>1</v>
      </c>
      <c r="D441" s="1" t="s">
        <v>1266</v>
      </c>
      <c r="E441" s="1" t="s">
        <v>1857</v>
      </c>
      <c r="F441" s="1" t="s">
        <v>1866</v>
      </c>
      <c r="G441" s="1" t="s">
        <v>2137</v>
      </c>
      <c r="H441" s="1" t="s">
        <v>5</v>
      </c>
      <c r="I441">
        <v>4</v>
      </c>
      <c r="L441" s="1"/>
      <c r="M441" s="1"/>
      <c r="N441" s="1"/>
      <c r="O441" s="1"/>
      <c r="P441" s="1" t="s">
        <v>1533</v>
      </c>
    </row>
    <row r="442" spans="1:16" ht="15" customHeight="1" x14ac:dyDescent="0.25">
      <c r="A442" s="1" t="s">
        <v>1306</v>
      </c>
      <c r="B442" s="2" t="s">
        <v>2191</v>
      </c>
      <c r="C442" t="b">
        <v>1</v>
      </c>
      <c r="D442" s="1" t="s">
        <v>1304</v>
      </c>
      <c r="E442" s="1" t="s">
        <v>2202</v>
      </c>
      <c r="F442" s="1" t="s">
        <v>2220</v>
      </c>
      <c r="G442" s="1" t="s">
        <v>2238</v>
      </c>
      <c r="H442" s="1" t="s">
        <v>5</v>
      </c>
      <c r="I442">
        <v>1</v>
      </c>
      <c r="L442" s="1"/>
      <c r="M442" s="1"/>
      <c r="N442" s="1"/>
      <c r="O442" s="1"/>
      <c r="P442" s="1" t="s">
        <v>1533</v>
      </c>
    </row>
    <row r="443" spans="1:16" ht="15" customHeight="1" x14ac:dyDescent="0.25">
      <c r="A443" s="1" t="s">
        <v>1306</v>
      </c>
      <c r="B443" s="2" t="s">
        <v>2191</v>
      </c>
      <c r="C443" t="b">
        <v>1</v>
      </c>
      <c r="D443" s="1" t="s">
        <v>2192</v>
      </c>
      <c r="E443" s="1" t="s">
        <v>2203</v>
      </c>
      <c r="F443" s="1" t="s">
        <v>2221</v>
      </c>
      <c r="G443" s="1" t="s">
        <v>2239</v>
      </c>
      <c r="H443" s="1" t="s">
        <v>748</v>
      </c>
      <c r="J443">
        <v>5</v>
      </c>
      <c r="K443">
        <v>0</v>
      </c>
      <c r="L443" s="1"/>
      <c r="M443" s="1"/>
      <c r="N443" s="1"/>
      <c r="O443" s="1"/>
      <c r="P443" s="1" t="s">
        <v>1533</v>
      </c>
    </row>
    <row r="444" spans="1:16" ht="15" customHeight="1" x14ac:dyDescent="0.25">
      <c r="A444" s="1" t="s">
        <v>1306</v>
      </c>
      <c r="B444" s="2" t="s">
        <v>2191</v>
      </c>
      <c r="C444" t="b">
        <v>1</v>
      </c>
      <c r="D444" s="1" t="s">
        <v>2193</v>
      </c>
      <c r="E444" s="1" t="s">
        <v>2204</v>
      </c>
      <c r="F444" s="1" t="s">
        <v>2222</v>
      </c>
      <c r="G444" s="1" t="s">
        <v>2240</v>
      </c>
      <c r="H444" s="1" t="s">
        <v>5</v>
      </c>
      <c r="I444">
        <v>1</v>
      </c>
      <c r="L444" s="1"/>
      <c r="M444" s="1"/>
      <c r="N444" s="1"/>
      <c r="O444" s="1"/>
      <c r="P444" s="1" t="s">
        <v>1533</v>
      </c>
    </row>
    <row r="445" spans="1:16" ht="15" customHeight="1" x14ac:dyDescent="0.25">
      <c r="A445" s="1" t="s">
        <v>1306</v>
      </c>
      <c r="B445" s="2" t="s">
        <v>2191</v>
      </c>
      <c r="C445" t="b">
        <v>1</v>
      </c>
      <c r="D445" s="1" t="s">
        <v>1303</v>
      </c>
      <c r="E445" s="1" t="s">
        <v>2205</v>
      </c>
      <c r="F445" s="1" t="s">
        <v>2223</v>
      </c>
      <c r="G445" s="1" t="s">
        <v>2241</v>
      </c>
      <c r="H445" s="1" t="s">
        <v>5</v>
      </c>
      <c r="I445">
        <v>1</v>
      </c>
      <c r="L445" s="1"/>
      <c r="M445" s="1"/>
      <c r="N445" s="1"/>
      <c r="O445" s="1"/>
      <c r="P445" s="1" t="s">
        <v>1533</v>
      </c>
    </row>
    <row r="446" spans="1:16" ht="15" customHeight="1" x14ac:dyDescent="0.25">
      <c r="A446" s="1" t="s">
        <v>1306</v>
      </c>
      <c r="B446" s="2" t="s">
        <v>2191</v>
      </c>
      <c r="C446" t="b">
        <v>1</v>
      </c>
      <c r="D446" s="1" t="s">
        <v>1740</v>
      </c>
      <c r="E446" s="1" t="s">
        <v>1760</v>
      </c>
      <c r="F446" s="1" t="s">
        <v>1780</v>
      </c>
      <c r="G446" s="1" t="s">
        <v>1740</v>
      </c>
      <c r="H446" s="1" t="s">
        <v>5</v>
      </c>
      <c r="I446">
        <v>1</v>
      </c>
      <c r="L446" s="1"/>
      <c r="M446" s="1"/>
      <c r="N446" s="1"/>
      <c r="O446" s="1"/>
      <c r="P446" s="1" t="s">
        <v>1533</v>
      </c>
    </row>
    <row r="447" spans="1:16" ht="15" customHeight="1" x14ac:dyDescent="0.25">
      <c r="A447" s="1" t="s">
        <v>1306</v>
      </c>
      <c r="B447" s="2" t="s">
        <v>2191</v>
      </c>
      <c r="C447" t="b">
        <v>1</v>
      </c>
      <c r="D447" s="1" t="s">
        <v>1300</v>
      </c>
      <c r="E447" s="1" t="s">
        <v>2206</v>
      </c>
      <c r="F447" s="1" t="s">
        <v>2224</v>
      </c>
      <c r="G447" s="1" t="s">
        <v>2242</v>
      </c>
      <c r="H447" s="1" t="s">
        <v>5</v>
      </c>
      <c r="I447">
        <v>1</v>
      </c>
      <c r="L447" s="1"/>
      <c r="M447" s="1"/>
      <c r="N447" s="1"/>
      <c r="O447" s="1"/>
      <c r="P447" s="1" t="s">
        <v>1533</v>
      </c>
    </row>
    <row r="448" spans="1:16" ht="15" customHeight="1" x14ac:dyDescent="0.25">
      <c r="A448" s="1" t="s">
        <v>1306</v>
      </c>
      <c r="B448" s="2" t="s">
        <v>2191</v>
      </c>
      <c r="C448" t="b">
        <v>1</v>
      </c>
      <c r="D448" s="1" t="s">
        <v>1299</v>
      </c>
      <c r="E448" s="1" t="s">
        <v>2207</v>
      </c>
      <c r="F448" s="1" t="s">
        <v>2225</v>
      </c>
      <c r="G448" s="1" t="s">
        <v>2243</v>
      </c>
      <c r="H448" s="1" t="s">
        <v>5</v>
      </c>
      <c r="I448">
        <v>1</v>
      </c>
      <c r="L448" s="1"/>
      <c r="M448" s="1"/>
      <c r="N448" s="1"/>
      <c r="O448" s="1"/>
      <c r="P448" s="1" t="s">
        <v>1533</v>
      </c>
    </row>
    <row r="449" spans="1:16" ht="15" customHeight="1" x14ac:dyDescent="0.25">
      <c r="A449" s="1" t="s">
        <v>1306</v>
      </c>
      <c r="B449" s="2" t="s">
        <v>2191</v>
      </c>
      <c r="C449" t="b">
        <v>1</v>
      </c>
      <c r="D449" s="1" t="s">
        <v>2194</v>
      </c>
      <c r="E449" s="1" t="s">
        <v>2208</v>
      </c>
      <c r="F449" s="1" t="s">
        <v>2226</v>
      </c>
      <c r="G449" s="1" t="s">
        <v>2244</v>
      </c>
      <c r="H449" s="1" t="s">
        <v>28</v>
      </c>
      <c r="L449" s="1"/>
      <c r="M449" s="1"/>
      <c r="N449" s="1"/>
      <c r="O449" s="1"/>
      <c r="P449" s="1" t="s">
        <v>1533</v>
      </c>
    </row>
    <row r="450" spans="1:16" ht="15" customHeight="1" x14ac:dyDescent="0.25">
      <c r="A450" s="1" t="s">
        <v>1306</v>
      </c>
      <c r="B450" s="2" t="s">
        <v>2191</v>
      </c>
      <c r="C450" t="b">
        <v>1</v>
      </c>
      <c r="D450" s="1" t="s">
        <v>2195</v>
      </c>
      <c r="E450" s="1" t="s">
        <v>2209</v>
      </c>
      <c r="F450" s="1" t="s">
        <v>2227</v>
      </c>
      <c r="G450" s="1" t="s">
        <v>2245</v>
      </c>
      <c r="H450" s="1" t="s">
        <v>5</v>
      </c>
      <c r="I450">
        <v>18</v>
      </c>
      <c r="L450" s="1"/>
      <c r="M450" s="1"/>
      <c r="N450" s="1"/>
      <c r="O450" s="1"/>
      <c r="P450" s="1" t="s">
        <v>1533</v>
      </c>
    </row>
    <row r="451" spans="1:16" ht="15" customHeight="1" x14ac:dyDescent="0.25">
      <c r="A451" s="1" t="s">
        <v>1306</v>
      </c>
      <c r="B451" s="2" t="s">
        <v>2191</v>
      </c>
      <c r="C451" t="b">
        <v>1</v>
      </c>
      <c r="D451" s="1" t="s">
        <v>2196</v>
      </c>
      <c r="E451" s="1" t="s">
        <v>2210</v>
      </c>
      <c r="F451" s="1" t="s">
        <v>2228</v>
      </c>
      <c r="G451" s="1" t="s">
        <v>2246</v>
      </c>
      <c r="H451" s="1" t="s">
        <v>5</v>
      </c>
      <c r="I451">
        <v>1</v>
      </c>
      <c r="L451" s="1"/>
      <c r="M451" s="1"/>
      <c r="N451" s="1"/>
      <c r="O451" s="1"/>
      <c r="P451" s="1" t="s">
        <v>1533</v>
      </c>
    </row>
    <row r="452" spans="1:16" ht="15" customHeight="1" x14ac:dyDescent="0.25">
      <c r="A452" s="1" t="s">
        <v>1306</v>
      </c>
      <c r="B452" s="2" t="s">
        <v>2191</v>
      </c>
      <c r="C452" t="b">
        <v>1</v>
      </c>
      <c r="D452" s="1" t="s">
        <v>1302</v>
      </c>
      <c r="E452" s="1" t="s">
        <v>2211</v>
      </c>
      <c r="F452" s="1" t="s">
        <v>2229</v>
      </c>
      <c r="G452" s="1" t="s">
        <v>2247</v>
      </c>
      <c r="H452" s="1" t="s">
        <v>5</v>
      </c>
      <c r="I452">
        <v>4</v>
      </c>
      <c r="L452" s="1"/>
      <c r="M452" s="1"/>
      <c r="N452" s="1"/>
      <c r="O452" s="1"/>
      <c r="P452" s="1" t="s">
        <v>1533</v>
      </c>
    </row>
    <row r="453" spans="1:16" ht="15" customHeight="1" x14ac:dyDescent="0.25">
      <c r="A453" s="1" t="s">
        <v>1306</v>
      </c>
      <c r="B453" s="2" t="s">
        <v>2191</v>
      </c>
      <c r="C453" t="b">
        <v>1</v>
      </c>
      <c r="D453" s="1" t="s">
        <v>1298</v>
      </c>
      <c r="E453" s="1" t="s">
        <v>2212</v>
      </c>
      <c r="F453" s="1" t="s">
        <v>2230</v>
      </c>
      <c r="G453" s="1" t="s">
        <v>2248</v>
      </c>
      <c r="H453" s="1" t="s">
        <v>5</v>
      </c>
      <c r="I453">
        <v>2</v>
      </c>
      <c r="L453" s="1"/>
      <c r="M453" s="1"/>
      <c r="N453" s="1"/>
      <c r="O453" s="1"/>
      <c r="P453" s="1" t="s">
        <v>1533</v>
      </c>
    </row>
    <row r="454" spans="1:16" ht="15" customHeight="1" x14ac:dyDescent="0.25">
      <c r="A454" s="1" t="s">
        <v>1306</v>
      </c>
      <c r="B454" s="2" t="s">
        <v>2191</v>
      </c>
      <c r="C454" t="b">
        <v>1</v>
      </c>
      <c r="D454" s="1" t="s">
        <v>2197</v>
      </c>
      <c r="E454" s="1" t="s">
        <v>2213</v>
      </c>
      <c r="F454" s="1" t="s">
        <v>2231</v>
      </c>
      <c r="G454" s="1" t="s">
        <v>2197</v>
      </c>
      <c r="H454" s="1" t="s">
        <v>5</v>
      </c>
      <c r="I454">
        <v>2</v>
      </c>
      <c r="L454" s="1"/>
      <c r="M454" s="1"/>
      <c r="N454" s="1"/>
      <c r="O454" s="1"/>
      <c r="P454" s="1" t="s">
        <v>1533</v>
      </c>
    </row>
    <row r="455" spans="1:16" ht="15" customHeight="1" x14ac:dyDescent="0.25">
      <c r="A455" s="1" t="s">
        <v>1306</v>
      </c>
      <c r="B455" s="2" t="s">
        <v>2191</v>
      </c>
      <c r="C455" t="b">
        <v>1</v>
      </c>
      <c r="D455" s="1" t="s">
        <v>1301</v>
      </c>
      <c r="E455" s="1" t="s">
        <v>2214</v>
      </c>
      <c r="F455" s="1" t="s">
        <v>2232</v>
      </c>
      <c r="G455" s="1" t="s">
        <v>2249</v>
      </c>
      <c r="H455" s="1" t="s">
        <v>5</v>
      </c>
      <c r="I455">
        <v>1</v>
      </c>
      <c r="L455" s="1"/>
      <c r="M455" s="1"/>
      <c r="N455" s="1"/>
      <c r="O455" s="1"/>
      <c r="P455" s="1" t="s">
        <v>1533</v>
      </c>
    </row>
    <row r="456" spans="1:16" ht="15" customHeight="1" x14ac:dyDescent="0.25">
      <c r="A456" s="1" t="s">
        <v>1306</v>
      </c>
      <c r="B456" s="2" t="s">
        <v>2191</v>
      </c>
      <c r="C456" t="b">
        <v>1</v>
      </c>
      <c r="D456" s="1" t="s">
        <v>2198</v>
      </c>
      <c r="E456" s="1" t="s">
        <v>2215</v>
      </c>
      <c r="F456" s="1" t="s">
        <v>2233</v>
      </c>
      <c r="G456" s="1" t="s">
        <v>2250</v>
      </c>
      <c r="H456" s="1" t="s">
        <v>748</v>
      </c>
      <c r="J456">
        <v>3</v>
      </c>
      <c r="K456">
        <v>0</v>
      </c>
      <c r="L456" s="1"/>
      <c r="M456" s="1"/>
      <c r="N456" s="1"/>
      <c r="O456" s="1"/>
      <c r="P456" s="1" t="s">
        <v>1533</v>
      </c>
    </row>
    <row r="457" spans="1:16" ht="15" customHeight="1" x14ac:dyDescent="0.25">
      <c r="A457" s="1" t="s">
        <v>1306</v>
      </c>
      <c r="B457" s="2" t="s">
        <v>2191</v>
      </c>
      <c r="C457" t="b">
        <v>1</v>
      </c>
      <c r="D457" s="1" t="s">
        <v>1305</v>
      </c>
      <c r="E457" s="1" t="s">
        <v>2216</v>
      </c>
      <c r="F457" s="1" t="s">
        <v>2234</v>
      </c>
      <c r="G457" s="1" t="s">
        <v>2251</v>
      </c>
      <c r="H457" s="1" t="s">
        <v>5</v>
      </c>
      <c r="I457">
        <v>1</v>
      </c>
      <c r="L457" s="1"/>
      <c r="M457" s="1"/>
      <c r="N457" s="1"/>
      <c r="O457" s="1"/>
      <c r="P457" s="1" t="s">
        <v>1533</v>
      </c>
    </row>
    <row r="458" spans="1:16" ht="15" customHeight="1" x14ac:dyDescent="0.25">
      <c r="A458" s="1" t="s">
        <v>1306</v>
      </c>
      <c r="B458" s="2" t="s">
        <v>2191</v>
      </c>
      <c r="C458" t="b">
        <v>1</v>
      </c>
      <c r="D458" s="1" t="s">
        <v>2199</v>
      </c>
      <c r="E458" s="1" t="s">
        <v>2217</v>
      </c>
      <c r="F458" s="1" t="s">
        <v>2235</v>
      </c>
      <c r="G458" s="1" t="s">
        <v>2252</v>
      </c>
      <c r="H458" s="1" t="s">
        <v>5</v>
      </c>
      <c r="I458">
        <v>2</v>
      </c>
      <c r="L458" s="1"/>
      <c r="M458" s="1"/>
      <c r="N458" s="1"/>
      <c r="O458" s="1"/>
      <c r="P458" s="1" t="s">
        <v>1533</v>
      </c>
    </row>
    <row r="459" spans="1:16" ht="15" customHeight="1" x14ac:dyDescent="0.25">
      <c r="A459" s="1" t="s">
        <v>1306</v>
      </c>
      <c r="B459" s="2" t="s">
        <v>2191</v>
      </c>
      <c r="C459" t="b">
        <v>1</v>
      </c>
      <c r="D459" s="1" t="s">
        <v>2200</v>
      </c>
      <c r="E459" s="1" t="s">
        <v>2218</v>
      </c>
      <c r="F459" s="1" t="s">
        <v>2236</v>
      </c>
      <c r="G459" s="1" t="s">
        <v>2253</v>
      </c>
      <c r="H459" s="1" t="s">
        <v>748</v>
      </c>
      <c r="J459">
        <v>13</v>
      </c>
      <c r="K459">
        <v>0</v>
      </c>
      <c r="L459" s="1"/>
      <c r="M459" s="1"/>
      <c r="N459" s="1"/>
      <c r="O459" s="1"/>
      <c r="P459" s="1" t="s">
        <v>1533</v>
      </c>
    </row>
    <row r="460" spans="1:16" ht="15" customHeight="1" x14ac:dyDescent="0.25">
      <c r="A460" s="1" t="s">
        <v>1306</v>
      </c>
      <c r="B460" s="2" t="s">
        <v>2191</v>
      </c>
      <c r="C460" t="b">
        <v>1</v>
      </c>
      <c r="D460" s="1" t="s">
        <v>2201</v>
      </c>
      <c r="E460" s="1" t="s">
        <v>2219</v>
      </c>
      <c r="F460" s="1" t="s">
        <v>2237</v>
      </c>
      <c r="G460" s="1" t="s">
        <v>2254</v>
      </c>
      <c r="H460" s="1" t="s">
        <v>748</v>
      </c>
      <c r="J460">
        <v>13</v>
      </c>
      <c r="K460">
        <v>0</v>
      </c>
      <c r="L460" s="1"/>
      <c r="M460" s="1"/>
      <c r="N460" s="1"/>
      <c r="O460" s="1"/>
      <c r="P460" s="1" t="s">
        <v>1533</v>
      </c>
    </row>
    <row r="461" spans="1:16" ht="15" customHeight="1" x14ac:dyDescent="0.25">
      <c r="A461" s="1" t="s">
        <v>1306</v>
      </c>
      <c r="B461" s="2" t="s">
        <v>2191</v>
      </c>
      <c r="D461" s="1"/>
      <c r="E461" s="1"/>
      <c r="F461" s="1"/>
      <c r="G461" s="1"/>
      <c r="H461" s="1"/>
      <c r="L461" s="1" t="s">
        <v>1524</v>
      </c>
      <c r="M461" s="1" t="s">
        <v>1525</v>
      </c>
      <c r="N461" s="1"/>
      <c r="O461" s="1"/>
      <c r="P461" s="1" t="s">
        <v>1533</v>
      </c>
    </row>
    <row r="462" spans="1:16" ht="15" customHeight="1" x14ac:dyDescent="0.25">
      <c r="A462" s="1" t="s">
        <v>1306</v>
      </c>
      <c r="B462" s="2" t="s">
        <v>2191</v>
      </c>
      <c r="D462" s="1"/>
      <c r="E462" s="1"/>
      <c r="F462" s="1"/>
      <c r="G462" s="1"/>
      <c r="H462" s="1"/>
      <c r="L462" s="1" t="s">
        <v>1524</v>
      </c>
      <c r="M462" s="1" t="s">
        <v>1526</v>
      </c>
      <c r="N462" s="1"/>
      <c r="O462" s="1"/>
      <c r="P462" s="1" t="s">
        <v>1533</v>
      </c>
    </row>
    <row r="463" spans="1:16" ht="15" customHeight="1" x14ac:dyDescent="0.25">
      <c r="A463" s="1" t="s">
        <v>1306</v>
      </c>
      <c r="B463" s="2" t="s">
        <v>2191</v>
      </c>
      <c r="D463" s="1"/>
      <c r="E463" s="1"/>
      <c r="F463" s="1"/>
      <c r="G463" s="1"/>
      <c r="H463" s="1"/>
      <c r="L463" s="1" t="s">
        <v>1524</v>
      </c>
      <c r="M463" s="1" t="s">
        <v>1527</v>
      </c>
      <c r="N463" s="1"/>
      <c r="O463" s="1"/>
      <c r="P463" s="1" t="s">
        <v>1533</v>
      </c>
    </row>
    <row r="464" spans="1:16" ht="15" customHeight="1" x14ac:dyDescent="0.25">
      <c r="A464" s="1" t="s">
        <v>1306</v>
      </c>
      <c r="B464" s="2" t="s">
        <v>2191</v>
      </c>
      <c r="D464" s="1"/>
      <c r="E464" s="1"/>
      <c r="F464" s="1"/>
      <c r="G464" s="1"/>
      <c r="H464" s="1"/>
      <c r="L464" s="1" t="s">
        <v>1524</v>
      </c>
      <c r="M464" s="1" t="s">
        <v>1989</v>
      </c>
      <c r="N464" s="1"/>
      <c r="O464" s="1"/>
      <c r="P464" s="1" t="s">
        <v>1533</v>
      </c>
    </row>
    <row r="465" spans="1:16" ht="15" customHeight="1" x14ac:dyDescent="0.25">
      <c r="A465" s="1" t="s">
        <v>1306</v>
      </c>
      <c r="B465" s="2" t="s">
        <v>2191</v>
      </c>
      <c r="D465" s="1"/>
      <c r="E465" s="1"/>
      <c r="F465" s="1"/>
      <c r="G465" s="1"/>
      <c r="H465" s="1"/>
      <c r="L465" s="1"/>
      <c r="M465" s="1"/>
      <c r="N465" s="1" t="s">
        <v>1529</v>
      </c>
      <c r="O465" s="1" t="s">
        <v>1577</v>
      </c>
      <c r="P465" s="1" t="s">
        <v>1533</v>
      </c>
    </row>
    <row r="466" spans="1:16" ht="15" customHeight="1" x14ac:dyDescent="0.25">
      <c r="A466" s="1" t="s">
        <v>1306</v>
      </c>
      <c r="B466" s="2" t="s">
        <v>2191</v>
      </c>
      <c r="D466" s="1"/>
      <c r="E466" s="1"/>
      <c r="F466" s="1"/>
      <c r="G466" s="1"/>
      <c r="H466" s="1"/>
      <c r="L466" s="1"/>
      <c r="M466" s="1"/>
      <c r="N466" s="1" t="s">
        <v>1529</v>
      </c>
      <c r="O466" s="1" t="s">
        <v>1577</v>
      </c>
      <c r="P466" s="1" t="s">
        <v>1533</v>
      </c>
    </row>
    <row r="467" spans="1:16" ht="15" customHeight="1" x14ac:dyDescent="0.25">
      <c r="A467" s="1" t="s">
        <v>1306</v>
      </c>
      <c r="B467" s="2" t="s">
        <v>2191</v>
      </c>
      <c r="D467" s="1"/>
      <c r="E467" s="1"/>
      <c r="F467" s="1"/>
      <c r="G467" s="1"/>
      <c r="H467" s="1"/>
      <c r="L467" s="1"/>
      <c r="M467" s="1"/>
      <c r="N467" s="1" t="s">
        <v>1529</v>
      </c>
      <c r="O467" s="1" t="s">
        <v>1578</v>
      </c>
      <c r="P467" s="1" t="s">
        <v>1533</v>
      </c>
    </row>
    <row r="468" spans="1:16" ht="15" customHeight="1" x14ac:dyDescent="0.25">
      <c r="A468" s="1" t="s">
        <v>1306</v>
      </c>
      <c r="B468" s="2" t="s">
        <v>2191</v>
      </c>
      <c r="D468" s="1"/>
      <c r="E468" s="1"/>
      <c r="F468" s="1"/>
      <c r="G468" s="1"/>
      <c r="H468" s="1"/>
      <c r="L468" s="1"/>
      <c r="M468" s="1"/>
      <c r="N468" s="1" t="s">
        <v>1529</v>
      </c>
      <c r="O468" s="1" t="s">
        <v>1578</v>
      </c>
      <c r="P468" s="1" t="s">
        <v>1533</v>
      </c>
    </row>
    <row r="469" spans="1:16" ht="15" customHeight="1" x14ac:dyDescent="0.25">
      <c r="A469" s="1" t="s">
        <v>1306</v>
      </c>
      <c r="B469" s="2" t="s">
        <v>2191</v>
      </c>
      <c r="D469" s="1"/>
      <c r="E469" s="1"/>
      <c r="F469" s="1"/>
      <c r="G469" s="1"/>
      <c r="H469" s="1"/>
      <c r="L469" s="1"/>
      <c r="M469" s="1"/>
      <c r="N469" s="1" t="s">
        <v>1529</v>
      </c>
      <c r="O469" s="1" t="s">
        <v>1578</v>
      </c>
      <c r="P469" s="1" t="s">
        <v>1533</v>
      </c>
    </row>
    <row r="470" spans="1:16" ht="15" customHeight="1" x14ac:dyDescent="0.25">
      <c r="A470" s="1" t="s">
        <v>1306</v>
      </c>
      <c r="B470" s="2" t="s">
        <v>2191</v>
      </c>
      <c r="D470" s="1"/>
      <c r="E470" s="1"/>
      <c r="F470" s="1"/>
      <c r="G470" s="1"/>
      <c r="H470" s="1"/>
      <c r="L470" s="1"/>
      <c r="M470" s="1"/>
      <c r="N470" s="1" t="s">
        <v>1529</v>
      </c>
      <c r="O470" s="1" t="s">
        <v>1990</v>
      </c>
      <c r="P470" s="1" t="s">
        <v>1533</v>
      </c>
    </row>
    <row r="471" spans="1:16" ht="15" customHeight="1" x14ac:dyDescent="0.25">
      <c r="A471" s="1" t="s">
        <v>1306</v>
      </c>
      <c r="B471" s="2" t="s">
        <v>2191</v>
      </c>
      <c r="D471" s="1"/>
      <c r="E471" s="1"/>
      <c r="F471" s="1"/>
      <c r="G471" s="1"/>
      <c r="H471" s="1"/>
      <c r="L471" s="1"/>
      <c r="M471" s="1"/>
      <c r="N471" s="1" t="s">
        <v>1529</v>
      </c>
      <c r="O471" s="1" t="s">
        <v>1990</v>
      </c>
      <c r="P471" s="1" t="s">
        <v>1533</v>
      </c>
    </row>
    <row r="472" spans="1:16" ht="15" customHeight="1" x14ac:dyDescent="0.25">
      <c r="A472" s="1" t="s">
        <v>1306</v>
      </c>
      <c r="B472" s="2" t="s">
        <v>2191</v>
      </c>
      <c r="D472" s="1"/>
      <c r="E472" s="1"/>
      <c r="F472" s="1"/>
      <c r="G472" s="1"/>
      <c r="H472" s="1"/>
      <c r="L472" s="1"/>
      <c r="M472" s="1"/>
      <c r="N472" s="1" t="s">
        <v>1529</v>
      </c>
      <c r="O472" s="1" t="s">
        <v>1990</v>
      </c>
      <c r="P472" s="1" t="s">
        <v>1533</v>
      </c>
    </row>
    <row r="473" spans="1:16" ht="15" customHeight="1" x14ac:dyDescent="0.25">
      <c r="A473" s="1" t="s">
        <v>1306</v>
      </c>
      <c r="B473" s="2" t="s">
        <v>2191</v>
      </c>
      <c r="D473" s="1"/>
      <c r="E473" s="1"/>
      <c r="F473" s="1"/>
      <c r="G473" s="1"/>
      <c r="H473" s="1"/>
      <c r="L473" s="1"/>
      <c r="M473" s="1"/>
      <c r="N473" s="1" t="s">
        <v>1529</v>
      </c>
      <c r="O473" s="1" t="s">
        <v>1990</v>
      </c>
      <c r="P473" s="1" t="s">
        <v>1533</v>
      </c>
    </row>
    <row r="474" spans="1:16" ht="15" customHeight="1" x14ac:dyDescent="0.25">
      <c r="A474" s="1" t="s">
        <v>1306</v>
      </c>
      <c r="B474" s="2" t="s">
        <v>2191</v>
      </c>
      <c r="D474" s="1"/>
      <c r="E474" s="1"/>
      <c r="F474" s="1"/>
      <c r="G474" s="1"/>
      <c r="H474" s="1"/>
      <c r="L474" s="1"/>
      <c r="M474" s="1"/>
      <c r="N474" s="1" t="s">
        <v>1529</v>
      </c>
      <c r="O474" s="1" t="s">
        <v>1990</v>
      </c>
      <c r="P474" s="1" t="s">
        <v>1533</v>
      </c>
    </row>
    <row r="475" spans="1:16" ht="15" customHeight="1" x14ac:dyDescent="0.25">
      <c r="A475" s="1" t="s">
        <v>1306</v>
      </c>
      <c r="B475" s="2" t="s">
        <v>2191</v>
      </c>
      <c r="D475" s="1"/>
      <c r="E475" s="1"/>
      <c r="F475" s="1"/>
      <c r="G475" s="1"/>
      <c r="H475" s="1"/>
      <c r="L475" s="1"/>
      <c r="M475" s="1"/>
      <c r="N475" s="1" t="s">
        <v>1529</v>
      </c>
      <c r="O475" s="1" t="s">
        <v>1990</v>
      </c>
      <c r="P475" s="1" t="s">
        <v>1533</v>
      </c>
    </row>
    <row r="476" spans="1:16" ht="15" customHeight="1" x14ac:dyDescent="0.25">
      <c r="A476" s="1" t="s">
        <v>1316</v>
      </c>
      <c r="B476" s="2" t="s">
        <v>2255</v>
      </c>
      <c r="C476" t="b">
        <v>0</v>
      </c>
      <c r="D476" s="1" t="s">
        <v>3</v>
      </c>
      <c r="E476" s="1" t="s">
        <v>1471</v>
      </c>
      <c r="F476" s="1" t="s">
        <v>1492</v>
      </c>
      <c r="G476" s="1" t="s">
        <v>1636</v>
      </c>
      <c r="H476" s="1" t="s">
        <v>5</v>
      </c>
      <c r="I476">
        <v>18</v>
      </c>
      <c r="L476" s="1"/>
      <c r="M476" s="1"/>
      <c r="N476" s="1"/>
      <c r="O476" s="1"/>
      <c r="P476" s="1" t="s">
        <v>1533</v>
      </c>
    </row>
    <row r="477" spans="1:16" ht="15" customHeight="1" x14ac:dyDescent="0.25">
      <c r="A477" s="1" t="s">
        <v>1316</v>
      </c>
      <c r="B477" s="2" t="s">
        <v>2255</v>
      </c>
      <c r="C477" t="b">
        <v>1</v>
      </c>
      <c r="D477" s="1" t="s">
        <v>1370</v>
      </c>
      <c r="E477" s="1" t="s">
        <v>1472</v>
      </c>
      <c r="F477" s="1" t="s">
        <v>1493</v>
      </c>
      <c r="G477" s="1" t="s">
        <v>1637</v>
      </c>
      <c r="H477" s="1" t="s">
        <v>5</v>
      </c>
      <c r="I477">
        <v>40</v>
      </c>
      <c r="L477" s="1"/>
      <c r="M477" s="1"/>
      <c r="N477" s="1"/>
      <c r="O477" s="1"/>
      <c r="P477" s="1" t="s">
        <v>1533</v>
      </c>
    </row>
    <row r="478" spans="1:16" ht="15" customHeight="1" x14ac:dyDescent="0.25">
      <c r="A478" s="1" t="s">
        <v>1316</v>
      </c>
      <c r="B478" s="2" t="s">
        <v>2255</v>
      </c>
      <c r="C478" t="b">
        <v>1</v>
      </c>
      <c r="D478" s="1" t="s">
        <v>1279</v>
      </c>
      <c r="E478" s="1" t="s">
        <v>1473</v>
      </c>
      <c r="F478" s="1" t="s">
        <v>1494</v>
      </c>
      <c r="G478" s="1" t="s">
        <v>1279</v>
      </c>
      <c r="H478" s="1" t="s">
        <v>5</v>
      </c>
      <c r="I478">
        <v>4</v>
      </c>
      <c r="L478" s="1"/>
      <c r="M478" s="1"/>
      <c r="N478" s="1"/>
      <c r="O478" s="1"/>
      <c r="P478" s="1" t="s">
        <v>1533</v>
      </c>
    </row>
    <row r="479" spans="1:16" ht="15" customHeight="1" x14ac:dyDescent="0.25">
      <c r="A479" s="1" t="s">
        <v>1316</v>
      </c>
      <c r="B479" s="2" t="s">
        <v>2255</v>
      </c>
      <c r="C479" t="b">
        <v>0</v>
      </c>
      <c r="D479" s="1" t="s">
        <v>1265</v>
      </c>
      <c r="E479" s="1" t="s">
        <v>1474</v>
      </c>
      <c r="F479" s="1" t="s">
        <v>1495</v>
      </c>
      <c r="G479" s="1" t="s">
        <v>1265</v>
      </c>
      <c r="H479" s="1" t="s">
        <v>5</v>
      </c>
      <c r="I479">
        <v>4</v>
      </c>
      <c r="L479" s="1"/>
      <c r="M479" s="1"/>
      <c r="N479" s="1"/>
      <c r="O479" s="1"/>
      <c r="P479" s="1" t="s">
        <v>1533</v>
      </c>
    </row>
    <row r="480" spans="1:16" ht="15" customHeight="1" x14ac:dyDescent="0.25">
      <c r="A480" s="1" t="s">
        <v>1316</v>
      </c>
      <c r="B480" s="2" t="s">
        <v>2255</v>
      </c>
      <c r="C480" t="b">
        <v>1</v>
      </c>
      <c r="D480" s="1" t="s">
        <v>1369</v>
      </c>
      <c r="E480" s="1" t="s">
        <v>1475</v>
      </c>
      <c r="F480" s="1" t="s">
        <v>1496</v>
      </c>
      <c r="G480" s="1" t="s">
        <v>1369</v>
      </c>
      <c r="H480" s="1" t="s">
        <v>5</v>
      </c>
      <c r="I480">
        <v>3</v>
      </c>
      <c r="L480" s="1"/>
      <c r="M480" s="1"/>
      <c r="N480" s="1"/>
      <c r="O480" s="1"/>
      <c r="P480" s="1" t="s">
        <v>1533</v>
      </c>
    </row>
    <row r="481" spans="1:16" ht="15" customHeight="1" x14ac:dyDescent="0.25">
      <c r="A481" s="1" t="s">
        <v>1316</v>
      </c>
      <c r="B481" s="2" t="s">
        <v>2255</v>
      </c>
      <c r="C481" t="b">
        <v>1</v>
      </c>
      <c r="D481" s="1" t="s">
        <v>2256</v>
      </c>
      <c r="E481" s="1" t="s">
        <v>2275</v>
      </c>
      <c r="F481" s="1" t="s">
        <v>2297</v>
      </c>
      <c r="G481" s="1" t="s">
        <v>2319</v>
      </c>
      <c r="H481" s="1" t="s">
        <v>5</v>
      </c>
      <c r="I481">
        <v>3</v>
      </c>
      <c r="L481" s="1"/>
      <c r="M481" s="1"/>
      <c r="N481" s="1"/>
      <c r="O481" s="1"/>
      <c r="P481" s="1" t="s">
        <v>1533</v>
      </c>
    </row>
    <row r="482" spans="1:16" ht="15" customHeight="1" x14ac:dyDescent="0.25">
      <c r="A482" s="1" t="s">
        <v>1316</v>
      </c>
      <c r="B482" s="2" t="s">
        <v>2255</v>
      </c>
      <c r="C482" t="b">
        <v>1</v>
      </c>
      <c r="D482" s="1" t="s">
        <v>2257</v>
      </c>
      <c r="E482" s="1" t="s">
        <v>2276</v>
      </c>
      <c r="F482" s="1" t="s">
        <v>2298</v>
      </c>
      <c r="G482" s="1" t="s">
        <v>2320</v>
      </c>
      <c r="H482" s="1" t="s">
        <v>5</v>
      </c>
      <c r="I482">
        <v>1</v>
      </c>
      <c r="L482" s="1"/>
      <c r="M482" s="1"/>
      <c r="N482" s="1"/>
      <c r="O482" s="1"/>
      <c r="P482" s="1" t="s">
        <v>1533</v>
      </c>
    </row>
    <row r="483" spans="1:16" ht="15" customHeight="1" x14ac:dyDescent="0.25">
      <c r="A483" s="1" t="s">
        <v>1316</v>
      </c>
      <c r="B483" s="2" t="s">
        <v>2255</v>
      </c>
      <c r="C483" t="b">
        <v>1</v>
      </c>
      <c r="D483" s="1" t="s">
        <v>1307</v>
      </c>
      <c r="E483" s="1" t="s">
        <v>2024</v>
      </c>
      <c r="F483" s="1" t="s">
        <v>2045</v>
      </c>
      <c r="G483" s="1" t="s">
        <v>1307</v>
      </c>
      <c r="H483" s="1" t="s">
        <v>5</v>
      </c>
      <c r="I483">
        <v>3</v>
      </c>
      <c r="L483" s="1"/>
      <c r="M483" s="1"/>
      <c r="N483" s="1"/>
      <c r="O483" s="1"/>
      <c r="P483" s="1" t="s">
        <v>1533</v>
      </c>
    </row>
    <row r="484" spans="1:16" ht="15" customHeight="1" x14ac:dyDescent="0.25">
      <c r="A484" s="1" t="s">
        <v>1316</v>
      </c>
      <c r="B484" s="2" t="s">
        <v>2255</v>
      </c>
      <c r="C484" t="b">
        <v>1</v>
      </c>
      <c r="D484" s="1" t="s">
        <v>1372</v>
      </c>
      <c r="E484" s="1" t="s">
        <v>1599</v>
      </c>
      <c r="F484" s="1" t="s">
        <v>1620</v>
      </c>
      <c r="G484" s="1" t="s">
        <v>1372</v>
      </c>
      <c r="H484" s="1" t="s">
        <v>5</v>
      </c>
      <c r="I484">
        <v>9</v>
      </c>
      <c r="L484" s="1"/>
      <c r="M484" s="1"/>
      <c r="N484" s="1"/>
      <c r="O484" s="1"/>
      <c r="P484" s="1" t="s">
        <v>1533</v>
      </c>
    </row>
    <row r="485" spans="1:16" ht="15" customHeight="1" x14ac:dyDescent="0.25">
      <c r="A485" s="1" t="s">
        <v>1316</v>
      </c>
      <c r="B485" s="2" t="s">
        <v>2255</v>
      </c>
      <c r="C485" t="b">
        <v>1</v>
      </c>
      <c r="D485" s="1" t="s">
        <v>1312</v>
      </c>
      <c r="E485" s="1" t="s">
        <v>1748</v>
      </c>
      <c r="F485" s="1" t="s">
        <v>1768</v>
      </c>
      <c r="G485" s="1" t="s">
        <v>2065</v>
      </c>
      <c r="H485" s="1" t="s">
        <v>5</v>
      </c>
      <c r="I485">
        <v>2</v>
      </c>
      <c r="L485" s="1"/>
      <c r="M485" s="1"/>
      <c r="N485" s="1"/>
      <c r="O485" s="1"/>
      <c r="P485" s="1" t="s">
        <v>1533</v>
      </c>
    </row>
    <row r="486" spans="1:16" ht="15" customHeight="1" x14ac:dyDescent="0.25">
      <c r="A486" s="1" t="s">
        <v>1316</v>
      </c>
      <c r="B486" s="2" t="s">
        <v>2255</v>
      </c>
      <c r="C486" t="b">
        <v>1</v>
      </c>
      <c r="D486" s="1" t="s">
        <v>1586</v>
      </c>
      <c r="E486" s="1" t="s">
        <v>1749</v>
      </c>
      <c r="F486" s="1" t="s">
        <v>1769</v>
      </c>
      <c r="G486" s="1" t="s">
        <v>2066</v>
      </c>
      <c r="H486" s="1" t="s">
        <v>28</v>
      </c>
      <c r="L486" s="1"/>
      <c r="M486" s="1"/>
      <c r="N486" s="1"/>
      <c r="O486" s="1"/>
      <c r="P486" s="1" t="s">
        <v>1533</v>
      </c>
    </row>
    <row r="487" spans="1:16" ht="15" customHeight="1" x14ac:dyDescent="0.25">
      <c r="A487" s="1" t="s">
        <v>1316</v>
      </c>
      <c r="B487" s="2" t="s">
        <v>2255</v>
      </c>
      <c r="C487" t="b">
        <v>1</v>
      </c>
      <c r="D487" s="1" t="s">
        <v>1314</v>
      </c>
      <c r="E487" s="1" t="s">
        <v>2277</v>
      </c>
      <c r="F487" s="1" t="s">
        <v>2299</v>
      </c>
      <c r="G487" s="1" t="s">
        <v>2321</v>
      </c>
      <c r="H487" s="1" t="s">
        <v>5</v>
      </c>
      <c r="I487">
        <v>1</v>
      </c>
      <c r="L487" s="1"/>
      <c r="M487" s="1"/>
      <c r="N487" s="1"/>
      <c r="O487" s="1"/>
      <c r="P487" s="1" t="s">
        <v>1533</v>
      </c>
    </row>
    <row r="488" spans="1:16" ht="15" customHeight="1" x14ac:dyDescent="0.25">
      <c r="A488" s="1" t="s">
        <v>1316</v>
      </c>
      <c r="B488" s="2" t="s">
        <v>2255</v>
      </c>
      <c r="C488" t="b">
        <v>1</v>
      </c>
      <c r="D488" s="1" t="s">
        <v>1310</v>
      </c>
      <c r="E488" s="1" t="s">
        <v>2278</v>
      </c>
      <c r="F488" s="1" t="s">
        <v>2300</v>
      </c>
      <c r="G488" s="1" t="s">
        <v>2322</v>
      </c>
      <c r="H488" s="1" t="s">
        <v>5</v>
      </c>
      <c r="I488">
        <v>8</v>
      </c>
      <c r="L488" s="1"/>
      <c r="M488" s="1"/>
      <c r="N488" s="1"/>
      <c r="O488" s="1"/>
      <c r="P488" s="1" t="s">
        <v>1533</v>
      </c>
    </row>
    <row r="489" spans="1:16" ht="15" customHeight="1" x14ac:dyDescent="0.25">
      <c r="A489" s="1" t="s">
        <v>1316</v>
      </c>
      <c r="B489" s="2" t="s">
        <v>2255</v>
      </c>
      <c r="C489" t="b">
        <v>1</v>
      </c>
      <c r="D489" s="1" t="s">
        <v>2258</v>
      </c>
      <c r="E489" s="1" t="s">
        <v>2279</v>
      </c>
      <c r="F489" s="1" t="s">
        <v>2301</v>
      </c>
      <c r="G489" s="1" t="s">
        <v>2323</v>
      </c>
      <c r="H489" s="1" t="s">
        <v>5</v>
      </c>
      <c r="I489">
        <v>1</v>
      </c>
      <c r="L489" s="1"/>
      <c r="M489" s="1"/>
      <c r="N489" s="1"/>
      <c r="O489" s="1"/>
      <c r="P489" s="1" t="s">
        <v>1533</v>
      </c>
    </row>
    <row r="490" spans="1:16" ht="15" customHeight="1" x14ac:dyDescent="0.25">
      <c r="A490" s="1" t="s">
        <v>1316</v>
      </c>
      <c r="B490" s="2" t="s">
        <v>2255</v>
      </c>
      <c r="C490" t="b">
        <v>1</v>
      </c>
      <c r="D490" s="1" t="s">
        <v>1311</v>
      </c>
      <c r="E490" s="1" t="s">
        <v>1956</v>
      </c>
      <c r="F490" s="1" t="s">
        <v>1979</v>
      </c>
      <c r="G490" s="1" t="s">
        <v>2324</v>
      </c>
      <c r="H490" s="1" t="s">
        <v>5</v>
      </c>
      <c r="I490">
        <v>1</v>
      </c>
      <c r="L490" s="1"/>
      <c r="M490" s="1"/>
      <c r="N490" s="1"/>
      <c r="O490" s="1"/>
      <c r="P490" s="1" t="s">
        <v>1533</v>
      </c>
    </row>
    <row r="491" spans="1:16" ht="15" customHeight="1" x14ac:dyDescent="0.25">
      <c r="A491" s="1" t="s">
        <v>1316</v>
      </c>
      <c r="B491" s="2" t="s">
        <v>2255</v>
      </c>
      <c r="C491" t="b">
        <v>1</v>
      </c>
      <c r="D491" s="1" t="s">
        <v>1937</v>
      </c>
      <c r="E491" s="1" t="s">
        <v>1958</v>
      </c>
      <c r="F491" s="1" t="s">
        <v>1981</v>
      </c>
      <c r="G491" s="1" t="s">
        <v>2325</v>
      </c>
      <c r="H491" s="1" t="s">
        <v>5</v>
      </c>
      <c r="I491">
        <v>1</v>
      </c>
      <c r="L491" s="1"/>
      <c r="M491" s="1"/>
      <c r="N491" s="1"/>
      <c r="O491" s="1"/>
      <c r="P491" s="1" t="s">
        <v>1533</v>
      </c>
    </row>
    <row r="492" spans="1:16" ht="15" customHeight="1" x14ac:dyDescent="0.25">
      <c r="A492" s="1" t="s">
        <v>1316</v>
      </c>
      <c r="B492" s="2" t="s">
        <v>2255</v>
      </c>
      <c r="C492" t="b">
        <v>1</v>
      </c>
      <c r="D492" s="1" t="s">
        <v>2259</v>
      </c>
      <c r="E492" s="1" t="s">
        <v>1957</v>
      </c>
      <c r="F492" s="1" t="s">
        <v>1980</v>
      </c>
      <c r="G492" s="1" t="s">
        <v>2326</v>
      </c>
      <c r="H492" s="1" t="s">
        <v>5</v>
      </c>
      <c r="I492">
        <v>18</v>
      </c>
      <c r="L492" s="1"/>
      <c r="M492" s="1"/>
      <c r="N492" s="1"/>
      <c r="O492" s="1"/>
      <c r="P492" s="1" t="s">
        <v>1533</v>
      </c>
    </row>
    <row r="493" spans="1:16" ht="15" customHeight="1" x14ac:dyDescent="0.25">
      <c r="A493" s="1" t="s">
        <v>1316</v>
      </c>
      <c r="B493" s="2" t="s">
        <v>2255</v>
      </c>
      <c r="C493" t="b">
        <v>1</v>
      </c>
      <c r="D493" s="1" t="s">
        <v>1313</v>
      </c>
      <c r="E493" s="1" t="s">
        <v>2280</v>
      </c>
      <c r="F493" s="1" t="s">
        <v>2302</v>
      </c>
      <c r="G493" s="1" t="s">
        <v>2327</v>
      </c>
      <c r="H493" s="1" t="s">
        <v>5</v>
      </c>
      <c r="I493">
        <v>4</v>
      </c>
      <c r="L493" s="1"/>
      <c r="M493" s="1"/>
      <c r="N493" s="1"/>
      <c r="O493" s="1"/>
      <c r="P493" s="1" t="s">
        <v>1533</v>
      </c>
    </row>
    <row r="494" spans="1:16" ht="15" customHeight="1" x14ac:dyDescent="0.25">
      <c r="A494" s="1" t="s">
        <v>1316</v>
      </c>
      <c r="B494" s="2" t="s">
        <v>2255</v>
      </c>
      <c r="C494" t="b">
        <v>0</v>
      </c>
      <c r="D494" s="1" t="s">
        <v>2260</v>
      </c>
      <c r="E494" s="1" t="s">
        <v>2281</v>
      </c>
      <c r="F494" s="1" t="s">
        <v>2303</v>
      </c>
      <c r="G494" s="1" t="s">
        <v>2328</v>
      </c>
      <c r="H494" s="1" t="s">
        <v>5</v>
      </c>
      <c r="I494">
        <v>2</v>
      </c>
      <c r="L494" s="1"/>
      <c r="M494" s="1"/>
      <c r="N494" s="1"/>
      <c r="O494" s="1"/>
      <c r="P494" s="1" t="s">
        <v>1533</v>
      </c>
    </row>
    <row r="495" spans="1:16" ht="15" customHeight="1" x14ac:dyDescent="0.25">
      <c r="A495" s="1" t="s">
        <v>1316</v>
      </c>
      <c r="B495" s="2" t="s">
        <v>2255</v>
      </c>
      <c r="C495" t="b">
        <v>0</v>
      </c>
      <c r="D495" s="1" t="s">
        <v>2261</v>
      </c>
      <c r="E495" s="1" t="s">
        <v>2282</v>
      </c>
      <c r="F495" s="1" t="s">
        <v>2304</v>
      </c>
      <c r="G495" s="1" t="s">
        <v>2329</v>
      </c>
      <c r="H495" s="1" t="s">
        <v>748</v>
      </c>
      <c r="J495">
        <v>3</v>
      </c>
      <c r="K495">
        <v>0</v>
      </c>
      <c r="L495" s="1"/>
      <c r="M495" s="1"/>
      <c r="N495" s="1"/>
      <c r="O495" s="1"/>
      <c r="P495" s="1" t="s">
        <v>1533</v>
      </c>
    </row>
    <row r="496" spans="1:16" ht="15" customHeight="1" x14ac:dyDescent="0.25">
      <c r="A496" s="1" t="s">
        <v>1316</v>
      </c>
      <c r="B496" s="2" t="s">
        <v>2255</v>
      </c>
      <c r="C496" t="b">
        <v>0</v>
      </c>
      <c r="D496" s="1" t="s">
        <v>2262</v>
      </c>
      <c r="E496" s="1" t="s">
        <v>2283</v>
      </c>
      <c r="F496" s="1" t="s">
        <v>2305</v>
      </c>
      <c r="G496" s="1" t="s">
        <v>2330</v>
      </c>
      <c r="H496" s="1" t="s">
        <v>748</v>
      </c>
      <c r="J496">
        <v>3</v>
      </c>
      <c r="K496">
        <v>0</v>
      </c>
      <c r="L496" s="1"/>
      <c r="M496" s="1"/>
      <c r="N496" s="1"/>
      <c r="O496" s="1"/>
      <c r="P496" s="1" t="s">
        <v>1533</v>
      </c>
    </row>
    <row r="497" spans="1:16" ht="15" customHeight="1" x14ac:dyDescent="0.25">
      <c r="A497" s="1" t="s">
        <v>1316</v>
      </c>
      <c r="B497" s="2" t="s">
        <v>2255</v>
      </c>
      <c r="C497" t="b">
        <v>0</v>
      </c>
      <c r="D497" s="1" t="s">
        <v>2263</v>
      </c>
      <c r="E497" s="1" t="s">
        <v>2284</v>
      </c>
      <c r="F497" s="1" t="s">
        <v>2306</v>
      </c>
      <c r="G497" s="1" t="s">
        <v>2331</v>
      </c>
      <c r="H497" s="1" t="s">
        <v>748</v>
      </c>
      <c r="J497">
        <v>3</v>
      </c>
      <c r="K497">
        <v>0</v>
      </c>
      <c r="L497" s="1"/>
      <c r="M497" s="1"/>
      <c r="N497" s="1"/>
      <c r="O497" s="1"/>
      <c r="P497" s="1" t="s">
        <v>1533</v>
      </c>
    </row>
    <row r="498" spans="1:16" ht="15" customHeight="1" x14ac:dyDescent="0.25">
      <c r="A498" s="1" t="s">
        <v>1316</v>
      </c>
      <c r="B498" s="2" t="s">
        <v>2255</v>
      </c>
      <c r="C498" t="b">
        <v>0</v>
      </c>
      <c r="D498" s="1" t="s">
        <v>2264</v>
      </c>
      <c r="E498" s="1" t="s">
        <v>2285</v>
      </c>
      <c r="F498" s="1" t="s">
        <v>2307</v>
      </c>
      <c r="G498" s="1" t="s">
        <v>2332</v>
      </c>
      <c r="H498" s="1" t="s">
        <v>748</v>
      </c>
      <c r="J498">
        <v>3</v>
      </c>
      <c r="K498">
        <v>0</v>
      </c>
      <c r="L498" s="1"/>
      <c r="M498" s="1"/>
      <c r="N498" s="1"/>
      <c r="O498" s="1"/>
      <c r="P498" s="1" t="s">
        <v>1533</v>
      </c>
    </row>
    <row r="499" spans="1:16" ht="15" customHeight="1" x14ac:dyDescent="0.25">
      <c r="A499" s="1" t="s">
        <v>1316</v>
      </c>
      <c r="B499" s="2" t="s">
        <v>2255</v>
      </c>
      <c r="C499" t="b">
        <v>0</v>
      </c>
      <c r="D499" s="1" t="s">
        <v>2265</v>
      </c>
      <c r="E499" s="1" t="s">
        <v>2286</v>
      </c>
      <c r="F499" s="1" t="s">
        <v>2308</v>
      </c>
      <c r="G499" s="1" t="s">
        <v>2333</v>
      </c>
      <c r="H499" s="1" t="s">
        <v>748</v>
      </c>
      <c r="J499">
        <v>3</v>
      </c>
      <c r="K499">
        <v>0</v>
      </c>
      <c r="L499" s="1"/>
      <c r="M499" s="1"/>
      <c r="N499" s="1"/>
      <c r="O499" s="1"/>
      <c r="P499" s="1" t="s">
        <v>1533</v>
      </c>
    </row>
    <row r="500" spans="1:16" ht="15" customHeight="1" x14ac:dyDescent="0.25">
      <c r="A500" s="1" t="s">
        <v>1316</v>
      </c>
      <c r="B500" s="2" t="s">
        <v>2255</v>
      </c>
      <c r="C500" t="b">
        <v>0</v>
      </c>
      <c r="D500" s="1" t="s">
        <v>2266</v>
      </c>
      <c r="E500" s="1" t="s">
        <v>2287</v>
      </c>
      <c r="F500" s="1" t="s">
        <v>2309</v>
      </c>
      <c r="G500" s="1" t="s">
        <v>2334</v>
      </c>
      <c r="H500" s="1" t="s">
        <v>748</v>
      </c>
      <c r="J500">
        <v>3</v>
      </c>
      <c r="K500">
        <v>0</v>
      </c>
      <c r="L500" s="1"/>
      <c r="M500" s="1"/>
      <c r="N500" s="1"/>
      <c r="O500" s="1"/>
      <c r="P500" s="1" t="s">
        <v>1533</v>
      </c>
    </row>
    <row r="501" spans="1:16" ht="15" customHeight="1" x14ac:dyDescent="0.25">
      <c r="A501" s="1" t="s">
        <v>1316</v>
      </c>
      <c r="B501" s="2" t="s">
        <v>2255</v>
      </c>
      <c r="C501" t="b">
        <v>0</v>
      </c>
      <c r="D501" s="1" t="s">
        <v>2267</v>
      </c>
      <c r="E501" s="1" t="s">
        <v>2288</v>
      </c>
      <c r="F501" s="1" t="s">
        <v>2310</v>
      </c>
      <c r="G501" s="1" t="s">
        <v>2335</v>
      </c>
      <c r="H501" s="1" t="s">
        <v>1576</v>
      </c>
      <c r="J501">
        <v>3</v>
      </c>
      <c r="K501">
        <v>0</v>
      </c>
      <c r="L501" s="1"/>
      <c r="M501" s="1"/>
      <c r="N501" s="1"/>
      <c r="O501" s="1"/>
      <c r="P501" s="1" t="s">
        <v>1533</v>
      </c>
    </row>
    <row r="502" spans="1:16" ht="15" customHeight="1" x14ac:dyDescent="0.25">
      <c r="A502" s="1" t="s">
        <v>1316</v>
      </c>
      <c r="B502" s="2" t="s">
        <v>2255</v>
      </c>
      <c r="C502" t="b">
        <v>0</v>
      </c>
      <c r="D502" s="1" t="s">
        <v>2268</v>
      </c>
      <c r="E502" s="1" t="s">
        <v>2289</v>
      </c>
      <c r="F502" s="1" t="s">
        <v>2311</v>
      </c>
      <c r="G502" s="1" t="s">
        <v>2336</v>
      </c>
      <c r="H502" s="1" t="s">
        <v>5</v>
      </c>
      <c r="I502">
        <v>1</v>
      </c>
      <c r="L502" s="1"/>
      <c r="M502" s="1"/>
      <c r="N502" s="1"/>
      <c r="O502" s="1"/>
      <c r="P502" s="1" t="s">
        <v>1533</v>
      </c>
    </row>
    <row r="503" spans="1:16" ht="15" customHeight="1" x14ac:dyDescent="0.25">
      <c r="A503" s="1" t="s">
        <v>1316</v>
      </c>
      <c r="B503" s="2" t="s">
        <v>2255</v>
      </c>
      <c r="C503" t="b">
        <v>0</v>
      </c>
      <c r="D503" s="1" t="s">
        <v>2269</v>
      </c>
      <c r="E503" s="1" t="s">
        <v>2290</v>
      </c>
      <c r="F503" s="1" t="s">
        <v>2312</v>
      </c>
      <c r="G503" s="1" t="s">
        <v>2337</v>
      </c>
      <c r="H503" s="1" t="s">
        <v>5</v>
      </c>
      <c r="I503">
        <v>1</v>
      </c>
      <c r="L503" s="1"/>
      <c r="M503" s="1"/>
      <c r="N503" s="1"/>
      <c r="O503" s="1"/>
      <c r="P503" s="1" t="s">
        <v>1533</v>
      </c>
    </row>
    <row r="504" spans="1:16" ht="15" customHeight="1" x14ac:dyDescent="0.25">
      <c r="A504" s="1" t="s">
        <v>1316</v>
      </c>
      <c r="B504" s="2" t="s">
        <v>2255</v>
      </c>
      <c r="C504" t="b">
        <v>1</v>
      </c>
      <c r="D504" s="1" t="s">
        <v>2085</v>
      </c>
      <c r="E504" s="1" t="s">
        <v>2103</v>
      </c>
      <c r="F504" s="1" t="s">
        <v>2124</v>
      </c>
      <c r="G504" s="1" t="s">
        <v>2148</v>
      </c>
      <c r="H504" s="1" t="s">
        <v>748</v>
      </c>
      <c r="J504">
        <v>3</v>
      </c>
      <c r="K504">
        <v>0</v>
      </c>
      <c r="L504" s="1"/>
      <c r="M504" s="1"/>
      <c r="N504" s="1"/>
      <c r="O504" s="1"/>
      <c r="P504" s="1" t="s">
        <v>1533</v>
      </c>
    </row>
    <row r="505" spans="1:16" ht="15" customHeight="1" x14ac:dyDescent="0.25">
      <c r="A505" s="1" t="s">
        <v>1316</v>
      </c>
      <c r="B505" s="2" t="s">
        <v>2255</v>
      </c>
      <c r="C505" t="b">
        <v>1</v>
      </c>
      <c r="D505" s="1" t="s">
        <v>2270</v>
      </c>
      <c r="E505" s="1" t="s">
        <v>2291</v>
      </c>
      <c r="F505" s="1" t="s">
        <v>2313</v>
      </c>
      <c r="G505" s="1" t="s">
        <v>2338</v>
      </c>
      <c r="H505" s="1" t="s">
        <v>5</v>
      </c>
      <c r="I505">
        <v>1</v>
      </c>
      <c r="L505" s="1"/>
      <c r="M505" s="1"/>
      <c r="N505" s="1"/>
      <c r="O505" s="1"/>
      <c r="P505" s="1" t="s">
        <v>1533</v>
      </c>
    </row>
    <row r="506" spans="1:16" ht="15" customHeight="1" x14ac:dyDescent="0.25">
      <c r="A506" s="1" t="s">
        <v>1316</v>
      </c>
      <c r="B506" s="2" t="s">
        <v>2255</v>
      </c>
      <c r="C506" t="b">
        <v>1</v>
      </c>
      <c r="D506" s="1" t="s">
        <v>2271</v>
      </c>
      <c r="E506" s="1" t="s">
        <v>2292</v>
      </c>
      <c r="F506" s="1" t="s">
        <v>2314</v>
      </c>
      <c r="G506" s="1" t="s">
        <v>2339</v>
      </c>
      <c r="H506" s="1" t="s">
        <v>5</v>
      </c>
      <c r="I506">
        <v>1</v>
      </c>
      <c r="L506" s="1"/>
      <c r="M506" s="1"/>
      <c r="N506" s="1"/>
      <c r="O506" s="1"/>
      <c r="P506" s="1" t="s">
        <v>1533</v>
      </c>
    </row>
    <row r="507" spans="1:16" ht="15" customHeight="1" x14ac:dyDescent="0.25">
      <c r="A507" s="1" t="s">
        <v>1316</v>
      </c>
      <c r="B507" s="2" t="s">
        <v>2255</v>
      </c>
      <c r="C507" t="b">
        <v>1</v>
      </c>
      <c r="D507" s="1" t="s">
        <v>1315</v>
      </c>
      <c r="E507" s="1" t="s">
        <v>2095</v>
      </c>
      <c r="F507" s="1" t="s">
        <v>2116</v>
      </c>
      <c r="G507" s="1" t="s">
        <v>2138</v>
      </c>
      <c r="H507" s="1" t="s">
        <v>5</v>
      </c>
      <c r="I507">
        <v>1</v>
      </c>
      <c r="L507" s="1"/>
      <c r="M507" s="1"/>
      <c r="N507" s="1"/>
      <c r="O507" s="1"/>
      <c r="P507" s="1" t="s">
        <v>1533</v>
      </c>
    </row>
    <row r="508" spans="1:16" ht="15" customHeight="1" x14ac:dyDescent="0.25">
      <c r="A508" s="1" t="s">
        <v>1316</v>
      </c>
      <c r="B508" s="2" t="s">
        <v>2255</v>
      </c>
      <c r="C508" t="b">
        <v>1</v>
      </c>
      <c r="D508" s="1" t="s">
        <v>2272</v>
      </c>
      <c r="E508" s="1" t="s">
        <v>2293</v>
      </c>
      <c r="F508" s="1" t="s">
        <v>2315</v>
      </c>
      <c r="G508" s="1" t="s">
        <v>2340</v>
      </c>
      <c r="H508" s="1" t="s">
        <v>5</v>
      </c>
      <c r="I508">
        <v>1</v>
      </c>
      <c r="L508" s="1"/>
      <c r="M508" s="1"/>
      <c r="N508" s="1"/>
      <c r="O508" s="1"/>
      <c r="P508" s="1" t="s">
        <v>1533</v>
      </c>
    </row>
    <row r="509" spans="1:16" ht="15" customHeight="1" x14ac:dyDescent="0.25">
      <c r="A509" s="1" t="s">
        <v>1316</v>
      </c>
      <c r="B509" s="2" t="s">
        <v>2255</v>
      </c>
      <c r="C509" t="b">
        <v>1</v>
      </c>
      <c r="D509" s="1" t="s">
        <v>1308</v>
      </c>
      <c r="E509" s="1" t="s">
        <v>2099</v>
      </c>
      <c r="F509" s="1" t="s">
        <v>2120</v>
      </c>
      <c r="G509" s="1" t="s">
        <v>2142</v>
      </c>
      <c r="H509" s="1" t="s">
        <v>5</v>
      </c>
      <c r="I509">
        <v>1</v>
      </c>
      <c r="L509" s="1"/>
      <c r="M509" s="1"/>
      <c r="N509" s="1"/>
      <c r="O509" s="1"/>
      <c r="P509" s="1" t="s">
        <v>1533</v>
      </c>
    </row>
    <row r="510" spans="1:16" ht="15" customHeight="1" x14ac:dyDescent="0.25">
      <c r="A510" s="1" t="s">
        <v>1316</v>
      </c>
      <c r="B510" s="2" t="s">
        <v>2255</v>
      </c>
      <c r="C510" t="b">
        <v>1</v>
      </c>
      <c r="D510" s="1" t="s">
        <v>2273</v>
      </c>
      <c r="E510" s="1" t="s">
        <v>2294</v>
      </c>
      <c r="F510" s="1" t="s">
        <v>2316</v>
      </c>
      <c r="G510" s="1" t="s">
        <v>2341</v>
      </c>
      <c r="H510" s="1" t="s">
        <v>5</v>
      </c>
      <c r="I510">
        <v>4</v>
      </c>
      <c r="L510" s="1"/>
      <c r="M510" s="1"/>
      <c r="N510" s="1"/>
      <c r="O510" s="1"/>
      <c r="P510" s="1" t="s">
        <v>1533</v>
      </c>
    </row>
    <row r="511" spans="1:16" ht="15" customHeight="1" x14ac:dyDescent="0.25">
      <c r="A511" s="1" t="s">
        <v>1316</v>
      </c>
      <c r="B511" s="2" t="s">
        <v>2255</v>
      </c>
      <c r="C511" t="b">
        <v>1</v>
      </c>
      <c r="D511" s="1" t="s">
        <v>2274</v>
      </c>
      <c r="E511" s="1" t="s">
        <v>2295</v>
      </c>
      <c r="F511" s="1" t="s">
        <v>2317</v>
      </c>
      <c r="G511" s="1" t="s">
        <v>2342</v>
      </c>
      <c r="H511" s="1" t="s">
        <v>5</v>
      </c>
      <c r="I511">
        <v>40</v>
      </c>
      <c r="L511" s="1"/>
      <c r="M511" s="1"/>
      <c r="N511" s="1"/>
      <c r="O511" s="1"/>
      <c r="P511" s="1" t="s">
        <v>1533</v>
      </c>
    </row>
    <row r="512" spans="1:16" ht="15" customHeight="1" x14ac:dyDescent="0.25">
      <c r="A512" s="1" t="s">
        <v>1316</v>
      </c>
      <c r="B512" s="2" t="s">
        <v>2255</v>
      </c>
      <c r="C512" t="b">
        <v>1</v>
      </c>
      <c r="D512" s="1" t="s">
        <v>1309</v>
      </c>
      <c r="E512" s="1" t="s">
        <v>2296</v>
      </c>
      <c r="F512" s="1" t="s">
        <v>2318</v>
      </c>
      <c r="G512" s="1" t="s">
        <v>2343</v>
      </c>
      <c r="H512" s="1" t="s">
        <v>5</v>
      </c>
      <c r="I512">
        <v>10</v>
      </c>
      <c r="L512" s="1"/>
      <c r="M512" s="1"/>
      <c r="N512" s="1"/>
      <c r="O512" s="1"/>
      <c r="P512" s="1" t="s">
        <v>1533</v>
      </c>
    </row>
    <row r="513" spans="1:16" ht="15" customHeight="1" x14ac:dyDescent="0.25">
      <c r="A513" s="1" t="s">
        <v>1316</v>
      </c>
      <c r="B513" s="2" t="s">
        <v>2255</v>
      </c>
      <c r="D513" s="1"/>
      <c r="E513" s="1"/>
      <c r="F513" s="1"/>
      <c r="G513" s="1"/>
      <c r="H513" s="1"/>
      <c r="L513" s="1" t="s">
        <v>1524</v>
      </c>
      <c r="M513" s="1" t="s">
        <v>1525</v>
      </c>
      <c r="N513" s="1"/>
      <c r="O513" s="1"/>
      <c r="P513" s="1" t="s">
        <v>1533</v>
      </c>
    </row>
    <row r="514" spans="1:16" ht="15" customHeight="1" x14ac:dyDescent="0.25">
      <c r="A514" s="1" t="s">
        <v>1316</v>
      </c>
      <c r="B514" s="2" t="s">
        <v>2255</v>
      </c>
      <c r="D514" s="1"/>
      <c r="E514" s="1"/>
      <c r="F514" s="1"/>
      <c r="G514" s="1"/>
      <c r="H514" s="1"/>
      <c r="L514" s="1" t="s">
        <v>1524</v>
      </c>
      <c r="M514" s="1" t="s">
        <v>1526</v>
      </c>
      <c r="N514" s="1"/>
      <c r="O514" s="1"/>
      <c r="P514" s="1" t="s">
        <v>1533</v>
      </c>
    </row>
    <row r="515" spans="1:16" ht="15" customHeight="1" x14ac:dyDescent="0.25">
      <c r="A515" s="1" t="s">
        <v>1316</v>
      </c>
      <c r="B515" s="2" t="s">
        <v>2255</v>
      </c>
      <c r="D515" s="1"/>
      <c r="E515" s="1"/>
      <c r="F515" s="1"/>
      <c r="G515" s="1"/>
      <c r="H515" s="1"/>
      <c r="L515" s="1" t="s">
        <v>1524</v>
      </c>
      <c r="M515" s="1" t="s">
        <v>1527</v>
      </c>
      <c r="N515" s="1"/>
      <c r="O515" s="1"/>
      <c r="P515" s="1" t="s">
        <v>1533</v>
      </c>
    </row>
    <row r="516" spans="1:16" ht="15" customHeight="1" x14ac:dyDescent="0.25">
      <c r="A516" s="1" t="s">
        <v>1316</v>
      </c>
      <c r="B516" s="2" t="s">
        <v>2255</v>
      </c>
      <c r="D516" s="1"/>
      <c r="E516" s="1"/>
      <c r="F516" s="1"/>
      <c r="G516" s="1"/>
      <c r="H516" s="1"/>
      <c r="L516" s="1" t="s">
        <v>1524</v>
      </c>
      <c r="M516" s="1" t="s">
        <v>2344</v>
      </c>
      <c r="N516" s="1"/>
      <c r="O516" s="1"/>
      <c r="P516" s="1" t="s">
        <v>1533</v>
      </c>
    </row>
    <row r="517" spans="1:16" ht="15" customHeight="1" x14ac:dyDescent="0.25">
      <c r="A517" s="1" t="s">
        <v>1316</v>
      </c>
      <c r="B517" s="2" t="s">
        <v>2255</v>
      </c>
      <c r="D517" s="1"/>
      <c r="E517" s="1"/>
      <c r="F517" s="1"/>
      <c r="G517" s="1"/>
      <c r="H517" s="1"/>
      <c r="L517" s="1"/>
      <c r="M517" s="1"/>
      <c r="N517" s="1" t="s">
        <v>1529</v>
      </c>
      <c r="O517" s="1" t="s">
        <v>1726</v>
      </c>
      <c r="P517" s="1" t="s">
        <v>1533</v>
      </c>
    </row>
    <row r="518" spans="1:16" ht="15" customHeight="1" x14ac:dyDescent="0.25">
      <c r="A518" s="1" t="s">
        <v>1316</v>
      </c>
      <c r="B518" s="2" t="s">
        <v>2255</v>
      </c>
      <c r="D518" s="1"/>
      <c r="E518" s="1"/>
      <c r="F518" s="1"/>
      <c r="G518" s="1"/>
      <c r="H518" s="1"/>
      <c r="L518" s="1"/>
      <c r="M518" s="1"/>
      <c r="N518" s="1" t="s">
        <v>1529</v>
      </c>
      <c r="O518" s="1" t="s">
        <v>1726</v>
      </c>
      <c r="P518" s="1" t="s">
        <v>1533</v>
      </c>
    </row>
    <row r="519" spans="1:16" ht="15" customHeight="1" x14ac:dyDescent="0.25">
      <c r="A519" s="1" t="s">
        <v>1316</v>
      </c>
      <c r="B519" s="2" t="s">
        <v>2255</v>
      </c>
      <c r="D519" s="1"/>
      <c r="E519" s="1"/>
      <c r="F519" s="1"/>
      <c r="G519" s="1"/>
      <c r="H519" s="1"/>
      <c r="L519" s="1"/>
      <c r="M519" s="1"/>
      <c r="N519" s="1" t="s">
        <v>1529</v>
      </c>
      <c r="O519" s="1" t="s">
        <v>2345</v>
      </c>
      <c r="P519" s="1" t="s">
        <v>1533</v>
      </c>
    </row>
    <row r="520" spans="1:16" ht="15" customHeight="1" x14ac:dyDescent="0.25">
      <c r="A520" s="1" t="s">
        <v>1316</v>
      </c>
      <c r="B520" s="2" t="s">
        <v>2255</v>
      </c>
      <c r="D520" s="1"/>
      <c r="E520" s="1"/>
      <c r="F520" s="1"/>
      <c r="G520" s="1"/>
      <c r="H520" s="1"/>
      <c r="L520" s="1"/>
      <c r="M520" s="1"/>
      <c r="N520" s="1" t="s">
        <v>1529</v>
      </c>
      <c r="O520" s="1" t="s">
        <v>2345</v>
      </c>
      <c r="P520" s="1" t="s">
        <v>1533</v>
      </c>
    </row>
    <row r="521" spans="1:16" ht="15" customHeight="1" x14ac:dyDescent="0.25">
      <c r="A521" s="1" t="s">
        <v>1316</v>
      </c>
      <c r="B521" s="2" t="s">
        <v>2255</v>
      </c>
      <c r="D521" s="1"/>
      <c r="E521" s="1"/>
      <c r="F521" s="1"/>
      <c r="G521" s="1"/>
      <c r="H521" s="1"/>
      <c r="L521" s="1"/>
      <c r="M521" s="1"/>
      <c r="N521" s="1" t="s">
        <v>1529</v>
      </c>
      <c r="O521" s="1" t="s">
        <v>2346</v>
      </c>
      <c r="P521" s="1" t="s">
        <v>1533</v>
      </c>
    </row>
    <row r="522" spans="1:16" ht="15" customHeight="1" x14ac:dyDescent="0.25">
      <c r="A522" s="1" t="s">
        <v>1316</v>
      </c>
      <c r="B522" s="2" t="s">
        <v>2255</v>
      </c>
      <c r="D522" s="1"/>
      <c r="E522" s="1"/>
      <c r="F522" s="1"/>
      <c r="G522" s="1"/>
      <c r="H522" s="1"/>
      <c r="L522" s="1"/>
      <c r="M522" s="1"/>
      <c r="N522" s="1" t="s">
        <v>1529</v>
      </c>
      <c r="O522" s="1" t="s">
        <v>2346</v>
      </c>
      <c r="P522" s="1" t="s">
        <v>1533</v>
      </c>
    </row>
    <row r="523" spans="1:16" ht="15" customHeight="1" x14ac:dyDescent="0.25">
      <c r="A523" s="1" t="s">
        <v>1322</v>
      </c>
      <c r="B523" s="2" t="s">
        <v>2347</v>
      </c>
      <c r="C523" t="b">
        <v>0</v>
      </c>
      <c r="D523" s="1" t="s">
        <v>3</v>
      </c>
      <c r="E523" s="1" t="s">
        <v>1471</v>
      </c>
      <c r="F523" s="1" t="s">
        <v>1492</v>
      </c>
      <c r="G523" s="1"/>
      <c r="H523" s="1" t="s">
        <v>5</v>
      </c>
      <c r="I523">
        <v>18</v>
      </c>
      <c r="L523" s="1"/>
      <c r="M523" s="1"/>
      <c r="N523" s="1"/>
      <c r="O523" s="1"/>
      <c r="P523" s="1" t="s">
        <v>1533</v>
      </c>
    </row>
    <row r="524" spans="1:16" ht="15" customHeight="1" x14ac:dyDescent="0.25">
      <c r="A524" s="1" t="s">
        <v>1322</v>
      </c>
      <c r="B524" s="2" t="s">
        <v>2347</v>
      </c>
      <c r="C524" t="b">
        <v>1</v>
      </c>
      <c r="D524" s="1" t="s">
        <v>1370</v>
      </c>
      <c r="E524" s="1" t="s">
        <v>1472</v>
      </c>
      <c r="F524" s="1" t="s">
        <v>1493</v>
      </c>
      <c r="G524" s="1"/>
      <c r="H524" s="1" t="s">
        <v>5</v>
      </c>
      <c r="I524">
        <v>40</v>
      </c>
      <c r="L524" s="1"/>
      <c r="M524" s="1"/>
      <c r="N524" s="1"/>
      <c r="O524" s="1"/>
      <c r="P524" s="1" t="s">
        <v>1533</v>
      </c>
    </row>
    <row r="525" spans="1:16" ht="15" customHeight="1" x14ac:dyDescent="0.25">
      <c r="A525" s="1" t="s">
        <v>1322</v>
      </c>
      <c r="B525" s="2" t="s">
        <v>2347</v>
      </c>
      <c r="C525" t="b">
        <v>1</v>
      </c>
      <c r="D525" s="1" t="s">
        <v>1279</v>
      </c>
      <c r="E525" s="1" t="s">
        <v>1473</v>
      </c>
      <c r="F525" s="1" t="s">
        <v>1494</v>
      </c>
      <c r="G525" s="1" t="s">
        <v>1279</v>
      </c>
      <c r="H525" s="1" t="s">
        <v>5</v>
      </c>
      <c r="I525">
        <v>4</v>
      </c>
      <c r="L525" s="1"/>
      <c r="M525" s="1"/>
      <c r="N525" s="1"/>
      <c r="O525" s="1"/>
      <c r="P525" s="1" t="s">
        <v>1533</v>
      </c>
    </row>
    <row r="526" spans="1:16" ht="15" customHeight="1" x14ac:dyDescent="0.25">
      <c r="A526" s="1" t="s">
        <v>1322</v>
      </c>
      <c r="B526" s="2" t="s">
        <v>2347</v>
      </c>
      <c r="C526" t="b">
        <v>0</v>
      </c>
      <c r="D526" s="1" t="s">
        <v>1265</v>
      </c>
      <c r="E526" s="1" t="s">
        <v>1474</v>
      </c>
      <c r="F526" s="1" t="s">
        <v>1495</v>
      </c>
      <c r="G526" s="1"/>
      <c r="H526" s="1" t="s">
        <v>5</v>
      </c>
      <c r="I526">
        <v>4</v>
      </c>
      <c r="L526" s="1"/>
      <c r="M526" s="1"/>
      <c r="N526" s="1"/>
      <c r="O526" s="1"/>
      <c r="P526" s="1" t="s">
        <v>1533</v>
      </c>
    </row>
    <row r="527" spans="1:16" ht="15" customHeight="1" x14ac:dyDescent="0.25">
      <c r="A527" s="1" t="s">
        <v>1322</v>
      </c>
      <c r="B527" s="2" t="s">
        <v>2347</v>
      </c>
      <c r="C527" t="b">
        <v>1</v>
      </c>
      <c r="D527" s="1" t="s">
        <v>1369</v>
      </c>
      <c r="E527" s="1" t="s">
        <v>1475</v>
      </c>
      <c r="F527" s="1" t="s">
        <v>1496</v>
      </c>
      <c r="G527" s="1"/>
      <c r="H527" s="1" t="s">
        <v>5</v>
      </c>
      <c r="I527">
        <v>3</v>
      </c>
      <c r="L527" s="1"/>
      <c r="M527" s="1"/>
      <c r="N527" s="1"/>
      <c r="O527" s="1"/>
      <c r="P527" s="1" t="s">
        <v>1533</v>
      </c>
    </row>
    <row r="528" spans="1:16" ht="15" customHeight="1" x14ac:dyDescent="0.25">
      <c r="A528" s="1" t="s">
        <v>1322</v>
      </c>
      <c r="B528" s="2" t="s">
        <v>2347</v>
      </c>
      <c r="C528" t="b">
        <v>1</v>
      </c>
      <c r="D528" s="1" t="s">
        <v>2348</v>
      </c>
      <c r="E528" s="1" t="s">
        <v>2354</v>
      </c>
      <c r="F528" s="1" t="s">
        <v>2363</v>
      </c>
      <c r="G528" s="1"/>
      <c r="H528" s="1" t="s">
        <v>5</v>
      </c>
      <c r="I528">
        <v>1</v>
      </c>
      <c r="L528" s="1"/>
      <c r="M528" s="1"/>
      <c r="N528" s="1"/>
      <c r="O528" s="1"/>
      <c r="P528" s="1" t="s">
        <v>1533</v>
      </c>
    </row>
    <row r="529" spans="1:16" ht="15" customHeight="1" x14ac:dyDescent="0.25">
      <c r="A529" s="1" t="s">
        <v>1322</v>
      </c>
      <c r="B529" s="2" t="s">
        <v>2347</v>
      </c>
      <c r="C529" t="b">
        <v>1</v>
      </c>
      <c r="D529" s="1" t="s">
        <v>2349</v>
      </c>
      <c r="E529" s="1" t="s">
        <v>1943</v>
      </c>
      <c r="F529" s="1" t="s">
        <v>1966</v>
      </c>
      <c r="G529" s="1"/>
      <c r="H529" s="1" t="s">
        <v>5</v>
      </c>
      <c r="I529">
        <v>3</v>
      </c>
      <c r="L529" s="1"/>
      <c r="M529" s="1"/>
      <c r="N529" s="1"/>
      <c r="O529" s="1"/>
      <c r="P529" s="1" t="s">
        <v>1533</v>
      </c>
    </row>
    <row r="530" spans="1:16" ht="15" customHeight="1" x14ac:dyDescent="0.25">
      <c r="A530" s="1" t="s">
        <v>1322</v>
      </c>
      <c r="B530" s="2" t="s">
        <v>2347</v>
      </c>
      <c r="C530" t="b">
        <v>1</v>
      </c>
      <c r="D530" s="1" t="s">
        <v>2270</v>
      </c>
      <c r="E530" s="1" t="s">
        <v>2291</v>
      </c>
      <c r="F530" s="1" t="s">
        <v>2313</v>
      </c>
      <c r="G530" s="1"/>
      <c r="H530" s="1" t="s">
        <v>5</v>
      </c>
      <c r="I530">
        <v>1</v>
      </c>
      <c r="L530" s="1"/>
      <c r="M530" s="1"/>
      <c r="N530" s="1"/>
      <c r="O530" s="1"/>
      <c r="P530" s="1" t="s">
        <v>1533</v>
      </c>
    </row>
    <row r="531" spans="1:16" ht="15" customHeight="1" x14ac:dyDescent="0.25">
      <c r="A531" s="1" t="s">
        <v>1322</v>
      </c>
      <c r="B531" s="2" t="s">
        <v>2347</v>
      </c>
      <c r="C531" t="b">
        <v>1</v>
      </c>
      <c r="D531" s="1" t="s">
        <v>1320</v>
      </c>
      <c r="E531" s="1" t="s">
        <v>2355</v>
      </c>
      <c r="F531" s="1" t="s">
        <v>2364</v>
      </c>
      <c r="G531" s="1"/>
      <c r="H531" s="1" t="s">
        <v>5</v>
      </c>
      <c r="I531">
        <v>6</v>
      </c>
      <c r="L531" s="1"/>
      <c r="M531" s="1"/>
      <c r="N531" s="1"/>
      <c r="O531" s="1"/>
      <c r="P531" s="1" t="s">
        <v>1533</v>
      </c>
    </row>
    <row r="532" spans="1:16" ht="15" customHeight="1" x14ac:dyDescent="0.25">
      <c r="A532" s="1" t="s">
        <v>1322</v>
      </c>
      <c r="B532" s="2" t="s">
        <v>2347</v>
      </c>
      <c r="C532" t="b">
        <v>1</v>
      </c>
      <c r="D532" s="1" t="s">
        <v>2350</v>
      </c>
      <c r="E532" s="1" t="s">
        <v>2356</v>
      </c>
      <c r="F532" s="1" t="s">
        <v>2365</v>
      </c>
      <c r="G532" s="1"/>
      <c r="H532" s="1" t="s">
        <v>5</v>
      </c>
      <c r="I532">
        <v>1</v>
      </c>
      <c r="L532" s="1"/>
      <c r="M532" s="1"/>
      <c r="N532" s="1"/>
      <c r="O532" s="1"/>
      <c r="P532" s="1" t="s">
        <v>1533</v>
      </c>
    </row>
    <row r="533" spans="1:16" ht="15" customHeight="1" x14ac:dyDescent="0.25">
      <c r="A533" s="1" t="s">
        <v>1322</v>
      </c>
      <c r="B533" s="2" t="s">
        <v>2347</v>
      </c>
      <c r="C533" t="b">
        <v>1</v>
      </c>
      <c r="D533" s="1" t="s">
        <v>2351</v>
      </c>
      <c r="E533" s="1" t="s">
        <v>2103</v>
      </c>
      <c r="F533" s="1" t="s">
        <v>2124</v>
      </c>
      <c r="G533" s="1"/>
      <c r="H533" s="1" t="s">
        <v>748</v>
      </c>
      <c r="J533">
        <v>3</v>
      </c>
      <c r="K533">
        <v>0</v>
      </c>
      <c r="L533" s="1"/>
      <c r="M533" s="1"/>
      <c r="N533" s="1"/>
      <c r="O533" s="1"/>
      <c r="P533" s="1" t="s">
        <v>1533</v>
      </c>
    </row>
    <row r="534" spans="1:16" ht="15" customHeight="1" x14ac:dyDescent="0.25">
      <c r="A534" s="1" t="s">
        <v>1322</v>
      </c>
      <c r="B534" s="2" t="s">
        <v>2347</v>
      </c>
      <c r="C534" t="b">
        <v>1</v>
      </c>
      <c r="D534" s="1" t="s">
        <v>2352</v>
      </c>
      <c r="E534" s="1" t="s">
        <v>2357</v>
      </c>
      <c r="F534" s="1" t="s">
        <v>2366</v>
      </c>
      <c r="G534" s="1"/>
      <c r="H534" s="1" t="s">
        <v>748</v>
      </c>
      <c r="J534">
        <v>5</v>
      </c>
      <c r="K534">
        <v>0</v>
      </c>
      <c r="L534" s="1"/>
      <c r="M534" s="1"/>
      <c r="N534" s="1"/>
      <c r="O534" s="1"/>
      <c r="P534" s="1" t="s">
        <v>1533</v>
      </c>
    </row>
    <row r="535" spans="1:16" ht="15" customHeight="1" x14ac:dyDescent="0.25">
      <c r="A535" s="1" t="s">
        <v>1322</v>
      </c>
      <c r="B535" s="2" t="s">
        <v>2347</v>
      </c>
      <c r="C535" t="b">
        <v>1</v>
      </c>
      <c r="D535" s="1" t="s">
        <v>1317</v>
      </c>
      <c r="E535" s="1" t="s">
        <v>2358</v>
      </c>
      <c r="F535" s="1" t="s">
        <v>2367</v>
      </c>
      <c r="G535" s="1"/>
      <c r="H535" s="1" t="s">
        <v>5</v>
      </c>
      <c r="I535">
        <v>9</v>
      </c>
      <c r="L535" s="1"/>
      <c r="M535" s="1"/>
      <c r="N535" s="1"/>
      <c r="O535" s="1"/>
      <c r="P535" s="1" t="s">
        <v>1533</v>
      </c>
    </row>
    <row r="536" spans="1:16" ht="15" customHeight="1" x14ac:dyDescent="0.25">
      <c r="A536" s="1" t="s">
        <v>1322</v>
      </c>
      <c r="B536" s="2" t="s">
        <v>2347</v>
      </c>
      <c r="C536" t="b">
        <v>1</v>
      </c>
      <c r="D536" s="1" t="s">
        <v>1312</v>
      </c>
      <c r="E536" s="1" t="s">
        <v>1748</v>
      </c>
      <c r="F536" s="1" t="s">
        <v>1768</v>
      </c>
      <c r="G536" s="1"/>
      <c r="H536" s="1" t="s">
        <v>5</v>
      </c>
      <c r="I536">
        <v>2</v>
      </c>
      <c r="L536" s="1"/>
      <c r="M536" s="1"/>
      <c r="N536" s="1"/>
      <c r="O536" s="1"/>
      <c r="P536" s="1" t="s">
        <v>1533</v>
      </c>
    </row>
    <row r="537" spans="1:16" ht="15" customHeight="1" x14ac:dyDescent="0.25">
      <c r="A537" s="1" t="s">
        <v>1322</v>
      </c>
      <c r="B537" s="2" t="s">
        <v>2347</v>
      </c>
      <c r="C537" t="b">
        <v>1</v>
      </c>
      <c r="D537" s="1" t="s">
        <v>1470</v>
      </c>
      <c r="E537" s="1" t="s">
        <v>1749</v>
      </c>
      <c r="F537" s="1" t="s">
        <v>1769</v>
      </c>
      <c r="G537" s="1"/>
      <c r="H537" s="1" t="s">
        <v>28</v>
      </c>
      <c r="L537" s="1"/>
      <c r="M537" s="1"/>
      <c r="N537" s="1"/>
      <c r="O537" s="1"/>
      <c r="P537" s="1" t="s">
        <v>1533</v>
      </c>
    </row>
    <row r="538" spans="1:16" ht="15" customHeight="1" x14ac:dyDescent="0.25">
      <c r="A538" s="1" t="s">
        <v>1322</v>
      </c>
      <c r="B538" s="2" t="s">
        <v>2347</v>
      </c>
      <c r="C538" t="b">
        <v>1</v>
      </c>
      <c r="D538" s="1" t="s">
        <v>2353</v>
      </c>
      <c r="E538" s="1" t="s">
        <v>2359</v>
      </c>
      <c r="F538" s="1" t="s">
        <v>2368</v>
      </c>
      <c r="G538" s="1"/>
      <c r="H538" s="1" t="s">
        <v>5</v>
      </c>
      <c r="I538">
        <v>1</v>
      </c>
      <c r="L538" s="1"/>
      <c r="M538" s="1"/>
      <c r="N538" s="1"/>
      <c r="O538" s="1"/>
      <c r="P538" s="1" t="s">
        <v>1533</v>
      </c>
    </row>
    <row r="539" spans="1:16" ht="15" customHeight="1" x14ac:dyDescent="0.25">
      <c r="A539" s="1" t="s">
        <v>1322</v>
      </c>
      <c r="B539" s="2" t="s">
        <v>2347</v>
      </c>
      <c r="C539" t="b">
        <v>1</v>
      </c>
      <c r="D539" s="1" t="s">
        <v>1319</v>
      </c>
      <c r="E539" s="1" t="s">
        <v>2360</v>
      </c>
      <c r="F539" s="1" t="s">
        <v>2369</v>
      </c>
      <c r="G539" s="1"/>
      <c r="H539" s="1" t="s">
        <v>5</v>
      </c>
      <c r="I539">
        <v>8</v>
      </c>
      <c r="L539" s="1"/>
      <c r="M539" s="1"/>
      <c r="N539" s="1"/>
      <c r="O539" s="1"/>
      <c r="P539" s="1" t="s">
        <v>1533</v>
      </c>
    </row>
    <row r="540" spans="1:16" ht="15" customHeight="1" x14ac:dyDescent="0.25">
      <c r="A540" s="1" t="s">
        <v>1322</v>
      </c>
      <c r="B540" s="2" t="s">
        <v>2347</v>
      </c>
      <c r="C540" t="b">
        <v>1</v>
      </c>
      <c r="D540" s="1" t="s">
        <v>1318</v>
      </c>
      <c r="E540" s="1" t="s">
        <v>2361</v>
      </c>
      <c r="F540" s="1" t="s">
        <v>2370</v>
      </c>
      <c r="G540" s="1"/>
      <c r="H540" s="1" t="s">
        <v>5</v>
      </c>
      <c r="I540">
        <v>4</v>
      </c>
      <c r="L540" s="1"/>
      <c r="M540" s="1"/>
      <c r="N540" s="1"/>
      <c r="O540" s="1"/>
      <c r="P540" s="1" t="s">
        <v>1533</v>
      </c>
    </row>
    <row r="541" spans="1:16" ht="15" customHeight="1" x14ac:dyDescent="0.25">
      <c r="A541" s="1" t="s">
        <v>1322</v>
      </c>
      <c r="B541" s="2" t="s">
        <v>2347</v>
      </c>
      <c r="C541" t="b">
        <v>1</v>
      </c>
      <c r="D541" s="1" t="s">
        <v>1321</v>
      </c>
      <c r="E541" s="1" t="s">
        <v>2362</v>
      </c>
      <c r="F541" s="1" t="s">
        <v>2371</v>
      </c>
      <c r="G541" s="1"/>
      <c r="H541" s="1" t="s">
        <v>5</v>
      </c>
      <c r="I541">
        <v>4</v>
      </c>
      <c r="L541" s="1"/>
      <c r="M541" s="1"/>
      <c r="N541" s="1"/>
      <c r="O541" s="1"/>
      <c r="P541" s="1" t="s">
        <v>1533</v>
      </c>
    </row>
    <row r="542" spans="1:16" ht="15" customHeight="1" x14ac:dyDescent="0.25">
      <c r="A542" s="1" t="s">
        <v>1322</v>
      </c>
      <c r="B542" s="2" t="s">
        <v>2347</v>
      </c>
      <c r="D542" s="1"/>
      <c r="E542" s="1"/>
      <c r="F542" s="1"/>
      <c r="G542" s="1"/>
      <c r="H542" s="1"/>
      <c r="L542" s="1" t="s">
        <v>1524</v>
      </c>
      <c r="M542" s="1" t="s">
        <v>1525</v>
      </c>
      <c r="N542" s="1"/>
      <c r="O542" s="1"/>
      <c r="P542" s="1" t="s">
        <v>1533</v>
      </c>
    </row>
    <row r="543" spans="1:16" ht="15" customHeight="1" x14ac:dyDescent="0.25">
      <c r="A543" s="1" t="s">
        <v>1322</v>
      </c>
      <c r="B543" s="2" t="s">
        <v>2347</v>
      </c>
      <c r="D543" s="1"/>
      <c r="E543" s="1"/>
      <c r="F543" s="1"/>
      <c r="G543" s="1"/>
      <c r="H543" s="1"/>
      <c r="L543" s="1" t="s">
        <v>1524</v>
      </c>
      <c r="M543" s="1" t="s">
        <v>1526</v>
      </c>
      <c r="N543" s="1"/>
      <c r="O543" s="1"/>
      <c r="P543" s="1" t="s">
        <v>1533</v>
      </c>
    </row>
    <row r="544" spans="1:16" ht="15" customHeight="1" x14ac:dyDescent="0.25">
      <c r="A544" s="1" t="s">
        <v>1322</v>
      </c>
      <c r="B544" s="2" t="s">
        <v>2347</v>
      </c>
      <c r="D544" s="1"/>
      <c r="E544" s="1"/>
      <c r="F544" s="1"/>
      <c r="G544" s="1"/>
      <c r="H544" s="1"/>
      <c r="L544" s="1" t="s">
        <v>1524</v>
      </c>
      <c r="M544" s="1" t="s">
        <v>1527</v>
      </c>
      <c r="N544" s="1"/>
      <c r="O544" s="1"/>
      <c r="P544" s="1" t="s">
        <v>1533</v>
      </c>
    </row>
    <row r="545" spans="1:16" ht="15" customHeight="1" x14ac:dyDescent="0.25">
      <c r="A545" s="1" t="s">
        <v>1322</v>
      </c>
      <c r="B545" s="2" t="s">
        <v>2347</v>
      </c>
      <c r="D545" s="1"/>
      <c r="E545" s="1"/>
      <c r="F545" s="1"/>
      <c r="G545" s="1"/>
      <c r="H545" s="1"/>
      <c r="L545" s="1"/>
      <c r="M545" s="1"/>
      <c r="N545" s="1" t="s">
        <v>1529</v>
      </c>
      <c r="O545" s="1" t="s">
        <v>1577</v>
      </c>
      <c r="P545" s="1" t="s">
        <v>1533</v>
      </c>
    </row>
    <row r="546" spans="1:16" ht="15" customHeight="1" x14ac:dyDescent="0.25">
      <c r="A546" s="1" t="s">
        <v>1322</v>
      </c>
      <c r="B546" s="2" t="s">
        <v>2347</v>
      </c>
      <c r="D546" s="1"/>
      <c r="E546" s="1"/>
      <c r="F546" s="1"/>
      <c r="G546" s="1"/>
      <c r="H546" s="1"/>
      <c r="L546" s="1"/>
      <c r="M546" s="1"/>
      <c r="N546" s="1" t="s">
        <v>1529</v>
      </c>
      <c r="O546" s="1" t="s">
        <v>1577</v>
      </c>
      <c r="P546" s="1" t="s">
        <v>1533</v>
      </c>
    </row>
    <row r="547" spans="1:16" ht="15" customHeight="1" x14ac:dyDescent="0.25">
      <c r="A547" s="1" t="s">
        <v>1322</v>
      </c>
      <c r="B547" s="2" t="s">
        <v>2347</v>
      </c>
      <c r="D547" s="1"/>
      <c r="E547" s="1"/>
      <c r="F547" s="1"/>
      <c r="G547" s="1"/>
      <c r="H547" s="1"/>
      <c r="L547" s="1"/>
      <c r="M547" s="1"/>
      <c r="N547" s="1" t="s">
        <v>1529</v>
      </c>
      <c r="O547" s="1" t="s">
        <v>1578</v>
      </c>
      <c r="P547" s="1" t="s">
        <v>1533</v>
      </c>
    </row>
    <row r="548" spans="1:16" ht="15" customHeight="1" x14ac:dyDescent="0.25">
      <c r="A548" s="1" t="s">
        <v>1322</v>
      </c>
      <c r="B548" s="2" t="s">
        <v>2347</v>
      </c>
      <c r="D548" s="1"/>
      <c r="E548" s="1"/>
      <c r="F548" s="1"/>
      <c r="G548" s="1"/>
      <c r="H548" s="1"/>
      <c r="L548" s="1"/>
      <c r="M548" s="1"/>
      <c r="N548" s="1" t="s">
        <v>1529</v>
      </c>
      <c r="O548" s="1" t="s">
        <v>1578</v>
      </c>
      <c r="P548" s="1" t="s">
        <v>1533</v>
      </c>
    </row>
    <row r="549" spans="1:16" ht="15" customHeight="1" x14ac:dyDescent="0.25">
      <c r="A549" s="1" t="s">
        <v>1322</v>
      </c>
      <c r="B549" s="2" t="s">
        <v>2347</v>
      </c>
      <c r="D549" s="1"/>
      <c r="E549" s="1"/>
      <c r="F549" s="1"/>
      <c r="G549" s="1"/>
      <c r="H549" s="1"/>
      <c r="L549" s="1"/>
      <c r="M549" s="1"/>
      <c r="N549" s="1" t="s">
        <v>1529</v>
      </c>
      <c r="O549" s="1" t="s">
        <v>1578</v>
      </c>
      <c r="P549" s="1" t="s">
        <v>1533</v>
      </c>
    </row>
    <row r="550" spans="1:16" ht="15" customHeight="1" x14ac:dyDescent="0.25">
      <c r="A550" s="1" t="s">
        <v>1326</v>
      </c>
      <c r="B550" s="2" t="s">
        <v>2372</v>
      </c>
      <c r="C550" t="b">
        <v>0</v>
      </c>
      <c r="D550" s="1" t="s">
        <v>3</v>
      </c>
      <c r="E550" s="1" t="s">
        <v>1471</v>
      </c>
      <c r="F550" s="1" t="s">
        <v>1492</v>
      </c>
      <c r="G550" s="1" t="s">
        <v>1636</v>
      </c>
      <c r="H550" s="1" t="s">
        <v>5</v>
      </c>
      <c r="I550">
        <v>18</v>
      </c>
      <c r="L550" s="1"/>
      <c r="M550" s="1"/>
      <c r="N550" s="1"/>
      <c r="O550" s="1"/>
      <c r="P550" s="1" t="s">
        <v>1533</v>
      </c>
    </row>
    <row r="551" spans="1:16" ht="15" customHeight="1" x14ac:dyDescent="0.25">
      <c r="A551" s="1" t="s">
        <v>1326</v>
      </c>
      <c r="B551" s="2" t="s">
        <v>2372</v>
      </c>
      <c r="C551" t="b">
        <v>1</v>
      </c>
      <c r="D551" s="1" t="s">
        <v>1370</v>
      </c>
      <c r="E551" s="1" t="s">
        <v>1472</v>
      </c>
      <c r="F551" s="1" t="s">
        <v>1493</v>
      </c>
      <c r="G551" s="1" t="s">
        <v>1637</v>
      </c>
      <c r="H551" s="1" t="s">
        <v>5</v>
      </c>
      <c r="I551">
        <v>40</v>
      </c>
      <c r="L551" s="1"/>
      <c r="M551" s="1"/>
      <c r="N551" s="1"/>
      <c r="O551" s="1"/>
      <c r="P551" s="1" t="s">
        <v>1533</v>
      </c>
    </row>
    <row r="552" spans="1:16" ht="15" customHeight="1" x14ac:dyDescent="0.25">
      <c r="A552" s="1" t="s">
        <v>1326</v>
      </c>
      <c r="B552" s="2" t="s">
        <v>2372</v>
      </c>
      <c r="C552" t="b">
        <v>1</v>
      </c>
      <c r="D552" s="1" t="s">
        <v>1279</v>
      </c>
      <c r="E552" s="1" t="s">
        <v>1473</v>
      </c>
      <c r="F552" s="1" t="s">
        <v>1494</v>
      </c>
      <c r="G552" s="1" t="s">
        <v>1279</v>
      </c>
      <c r="H552" s="1" t="s">
        <v>5</v>
      </c>
      <c r="I552">
        <v>4</v>
      </c>
      <c r="L552" s="1"/>
      <c r="M552" s="1"/>
      <c r="N552" s="1"/>
      <c r="O552" s="1"/>
      <c r="P552" s="1" t="s">
        <v>1533</v>
      </c>
    </row>
    <row r="553" spans="1:16" ht="15" customHeight="1" x14ac:dyDescent="0.25">
      <c r="A553" s="1" t="s">
        <v>1326</v>
      </c>
      <c r="B553" s="2" t="s">
        <v>2372</v>
      </c>
      <c r="C553" t="b">
        <v>0</v>
      </c>
      <c r="D553" s="1" t="s">
        <v>1265</v>
      </c>
      <c r="E553" s="1" t="s">
        <v>1474</v>
      </c>
      <c r="F553" s="1" t="s">
        <v>1495</v>
      </c>
      <c r="G553" s="1" t="s">
        <v>1265</v>
      </c>
      <c r="H553" s="1" t="s">
        <v>5</v>
      </c>
      <c r="I553">
        <v>4</v>
      </c>
      <c r="L553" s="1"/>
      <c r="M553" s="1"/>
      <c r="N553" s="1"/>
      <c r="O553" s="1"/>
      <c r="P553" s="1" t="s">
        <v>1533</v>
      </c>
    </row>
    <row r="554" spans="1:16" ht="15" customHeight="1" x14ac:dyDescent="0.25">
      <c r="A554" s="1" t="s">
        <v>1326</v>
      </c>
      <c r="B554" s="2" t="s">
        <v>2372</v>
      </c>
      <c r="C554" t="b">
        <v>1</v>
      </c>
      <c r="D554" s="1" t="s">
        <v>1369</v>
      </c>
      <c r="E554" s="1" t="s">
        <v>1475</v>
      </c>
      <c r="F554" s="1" t="s">
        <v>1496</v>
      </c>
      <c r="G554" s="1" t="s">
        <v>1369</v>
      </c>
      <c r="H554" s="1" t="s">
        <v>5</v>
      </c>
      <c r="I554">
        <v>3</v>
      </c>
      <c r="L554" s="1"/>
      <c r="M554" s="1"/>
      <c r="N554" s="1"/>
      <c r="O554" s="1"/>
      <c r="P554" s="1" t="s">
        <v>1533</v>
      </c>
    </row>
    <row r="555" spans="1:16" ht="15" customHeight="1" x14ac:dyDescent="0.25">
      <c r="A555" s="1" t="s">
        <v>1326</v>
      </c>
      <c r="B555" s="2" t="s">
        <v>2372</v>
      </c>
      <c r="C555" t="b">
        <v>1</v>
      </c>
      <c r="D555" s="1" t="s">
        <v>2373</v>
      </c>
      <c r="E555" s="1" t="s">
        <v>2386</v>
      </c>
      <c r="F555" s="1" t="s">
        <v>2392</v>
      </c>
      <c r="G555" s="1" t="s">
        <v>2373</v>
      </c>
      <c r="H555" s="1" t="s">
        <v>5</v>
      </c>
      <c r="I555">
        <v>1</v>
      </c>
      <c r="L555" s="1"/>
      <c r="M555" s="1"/>
      <c r="N555" s="1"/>
      <c r="O555" s="1"/>
      <c r="P555" s="1" t="s">
        <v>1533</v>
      </c>
    </row>
    <row r="556" spans="1:16" ht="15" customHeight="1" x14ac:dyDescent="0.25">
      <c r="A556" s="1" t="s">
        <v>1326</v>
      </c>
      <c r="B556" s="2" t="s">
        <v>2372</v>
      </c>
      <c r="C556" t="b">
        <v>1</v>
      </c>
      <c r="D556" s="1" t="s">
        <v>2374</v>
      </c>
      <c r="E556" s="1" t="s">
        <v>1605</v>
      </c>
      <c r="F556" s="1" t="s">
        <v>1626</v>
      </c>
      <c r="G556" s="1" t="s">
        <v>1587</v>
      </c>
      <c r="H556" s="1" t="s">
        <v>748</v>
      </c>
      <c r="J556">
        <v>13</v>
      </c>
      <c r="K556">
        <v>3</v>
      </c>
      <c r="L556" s="1"/>
      <c r="M556" s="1"/>
      <c r="N556" s="1"/>
      <c r="O556" s="1"/>
      <c r="P556" s="1" t="s">
        <v>1533</v>
      </c>
    </row>
    <row r="557" spans="1:16" ht="15" customHeight="1" x14ac:dyDescent="0.25">
      <c r="A557" s="1" t="s">
        <v>1326</v>
      </c>
      <c r="B557" s="2" t="s">
        <v>2372</v>
      </c>
      <c r="C557" t="b">
        <v>1</v>
      </c>
      <c r="D557" s="1" t="s">
        <v>2375</v>
      </c>
      <c r="E557" s="1" t="s">
        <v>1607</v>
      </c>
      <c r="F557" s="1" t="s">
        <v>1628</v>
      </c>
      <c r="G557" s="1" t="s">
        <v>1589</v>
      </c>
      <c r="H557" s="1" t="s">
        <v>5</v>
      </c>
      <c r="I557">
        <v>3</v>
      </c>
      <c r="L557" s="1"/>
      <c r="M557" s="1"/>
      <c r="N557" s="1"/>
      <c r="O557" s="1"/>
      <c r="P557" s="1" t="s">
        <v>1533</v>
      </c>
    </row>
    <row r="558" spans="1:16" ht="15" customHeight="1" x14ac:dyDescent="0.25">
      <c r="A558" s="1" t="s">
        <v>1326</v>
      </c>
      <c r="B558" s="2" t="s">
        <v>2372</v>
      </c>
      <c r="C558" t="b">
        <v>1</v>
      </c>
      <c r="D558" s="1" t="s">
        <v>2376</v>
      </c>
      <c r="E558" s="1" t="s">
        <v>2277</v>
      </c>
      <c r="F558" s="1" t="s">
        <v>2299</v>
      </c>
      <c r="G558" s="1" t="s">
        <v>2321</v>
      </c>
      <c r="H558" s="1" t="s">
        <v>5</v>
      </c>
      <c r="I558">
        <v>1</v>
      </c>
      <c r="L558" s="1"/>
      <c r="M558" s="1"/>
      <c r="N558" s="1"/>
      <c r="O558" s="1"/>
      <c r="P558" s="1" t="s">
        <v>1533</v>
      </c>
    </row>
    <row r="559" spans="1:16" ht="15" customHeight="1" x14ac:dyDescent="0.25">
      <c r="A559" s="1" t="s">
        <v>1326</v>
      </c>
      <c r="B559" s="2" t="s">
        <v>2372</v>
      </c>
      <c r="C559" t="b">
        <v>1</v>
      </c>
      <c r="D559" s="1" t="s">
        <v>1588</v>
      </c>
      <c r="E559" s="1" t="s">
        <v>1606</v>
      </c>
      <c r="F559" s="1" t="s">
        <v>1627</v>
      </c>
      <c r="G559" s="1" t="s">
        <v>1588</v>
      </c>
      <c r="H559" s="1" t="s">
        <v>748</v>
      </c>
      <c r="J559">
        <v>13</v>
      </c>
      <c r="K559">
        <v>3</v>
      </c>
      <c r="L559" s="1"/>
      <c r="M559" s="1"/>
      <c r="N559" s="1"/>
      <c r="O559" s="1"/>
      <c r="P559" s="1" t="s">
        <v>1533</v>
      </c>
    </row>
    <row r="560" spans="1:16" ht="15" customHeight="1" x14ac:dyDescent="0.25">
      <c r="A560" s="1" t="s">
        <v>1326</v>
      </c>
      <c r="B560" s="2" t="s">
        <v>2372</v>
      </c>
      <c r="C560" t="b">
        <v>1</v>
      </c>
      <c r="D560" s="1" t="s">
        <v>1310</v>
      </c>
      <c r="E560" s="1" t="s">
        <v>2278</v>
      </c>
      <c r="F560" s="1" t="s">
        <v>2300</v>
      </c>
      <c r="G560" s="1" t="s">
        <v>2322</v>
      </c>
      <c r="H560" s="1" t="s">
        <v>5</v>
      </c>
      <c r="I560">
        <v>8</v>
      </c>
      <c r="L560" s="1"/>
      <c r="M560" s="1"/>
      <c r="N560" s="1"/>
      <c r="O560" s="1"/>
      <c r="P560" s="1" t="s">
        <v>1533</v>
      </c>
    </row>
    <row r="561" spans="1:16" ht="15" customHeight="1" x14ac:dyDescent="0.25">
      <c r="A561" s="1" t="s">
        <v>1326</v>
      </c>
      <c r="B561" s="2" t="s">
        <v>2372</v>
      </c>
      <c r="C561" t="b">
        <v>1</v>
      </c>
      <c r="D561" s="1" t="s">
        <v>1323</v>
      </c>
      <c r="E561" s="1" t="s">
        <v>2169</v>
      </c>
      <c r="F561" s="1" t="s">
        <v>2179</v>
      </c>
      <c r="G561" s="1" t="s">
        <v>2187</v>
      </c>
      <c r="H561" s="1" t="s">
        <v>5</v>
      </c>
      <c r="I561">
        <v>2</v>
      </c>
      <c r="L561" s="1"/>
      <c r="M561" s="1"/>
      <c r="N561" s="1"/>
      <c r="O561" s="1"/>
      <c r="P561" s="1" t="s">
        <v>1533</v>
      </c>
    </row>
    <row r="562" spans="1:16" ht="15" customHeight="1" x14ac:dyDescent="0.25">
      <c r="A562" s="1" t="s">
        <v>1326</v>
      </c>
      <c r="B562" s="2" t="s">
        <v>2372</v>
      </c>
      <c r="C562" t="b">
        <v>1</v>
      </c>
      <c r="D562" s="1" t="s">
        <v>2377</v>
      </c>
      <c r="E562" s="1" t="s">
        <v>1955</v>
      </c>
      <c r="F562" s="1" t="s">
        <v>1978</v>
      </c>
      <c r="G562" s="1" t="s">
        <v>2398</v>
      </c>
      <c r="H562" s="1" t="s">
        <v>5</v>
      </c>
      <c r="I562">
        <v>1</v>
      </c>
      <c r="L562" s="1"/>
      <c r="M562" s="1"/>
      <c r="N562" s="1"/>
      <c r="O562" s="1"/>
      <c r="P562" s="1" t="s">
        <v>1533</v>
      </c>
    </row>
    <row r="563" spans="1:16" ht="15" customHeight="1" x14ac:dyDescent="0.25">
      <c r="A563" s="1" t="s">
        <v>1326</v>
      </c>
      <c r="B563" s="2" t="s">
        <v>2372</v>
      </c>
      <c r="C563" t="b">
        <v>1</v>
      </c>
      <c r="D563" s="1" t="s">
        <v>2378</v>
      </c>
      <c r="E563" s="1" t="s">
        <v>1958</v>
      </c>
      <c r="F563" s="1" t="s">
        <v>1981</v>
      </c>
      <c r="G563" s="1" t="s">
        <v>2325</v>
      </c>
      <c r="H563" s="1" t="s">
        <v>5</v>
      </c>
      <c r="I563">
        <v>1</v>
      </c>
      <c r="L563" s="1"/>
      <c r="M563" s="1"/>
      <c r="N563" s="1"/>
      <c r="O563" s="1"/>
      <c r="P563" s="1" t="s">
        <v>1533</v>
      </c>
    </row>
    <row r="564" spans="1:16" ht="15" customHeight="1" x14ac:dyDescent="0.25">
      <c r="A564" s="1" t="s">
        <v>1326</v>
      </c>
      <c r="B564" s="2" t="s">
        <v>2372</v>
      </c>
      <c r="C564" t="b">
        <v>1</v>
      </c>
      <c r="D564" s="1" t="s">
        <v>1325</v>
      </c>
      <c r="E564" s="1" t="s">
        <v>2387</v>
      </c>
      <c r="F564" s="1" t="s">
        <v>2393</v>
      </c>
      <c r="G564" s="1" t="s">
        <v>2399</v>
      </c>
      <c r="H564" s="1" t="s">
        <v>5</v>
      </c>
      <c r="I564">
        <v>4</v>
      </c>
      <c r="L564" s="1"/>
      <c r="M564" s="1"/>
      <c r="N564" s="1"/>
      <c r="O564" s="1"/>
      <c r="P564" s="1" t="s">
        <v>1533</v>
      </c>
    </row>
    <row r="565" spans="1:16" ht="15" customHeight="1" x14ac:dyDescent="0.25">
      <c r="A565" s="1" t="s">
        <v>1326</v>
      </c>
      <c r="B565" s="2" t="s">
        <v>2372</v>
      </c>
      <c r="C565" t="b">
        <v>1</v>
      </c>
      <c r="D565" s="1" t="s">
        <v>1324</v>
      </c>
      <c r="E565" s="1" t="s">
        <v>2388</v>
      </c>
      <c r="F565" s="1" t="s">
        <v>2394</v>
      </c>
      <c r="G565" s="1" t="s">
        <v>2400</v>
      </c>
      <c r="H565" s="1" t="s">
        <v>5</v>
      </c>
      <c r="I565">
        <v>4</v>
      </c>
      <c r="L565" s="1"/>
      <c r="M565" s="1"/>
      <c r="N565" s="1"/>
      <c r="O565" s="1"/>
      <c r="P565" s="1" t="s">
        <v>1533</v>
      </c>
    </row>
    <row r="566" spans="1:16" ht="15" customHeight="1" x14ac:dyDescent="0.25">
      <c r="A566" s="1" t="s">
        <v>1326</v>
      </c>
      <c r="B566" s="2" t="s">
        <v>2372</v>
      </c>
      <c r="C566" t="b">
        <v>1</v>
      </c>
      <c r="D566" s="1" t="s">
        <v>2379</v>
      </c>
      <c r="E566" s="1" t="s">
        <v>2389</v>
      </c>
      <c r="F566" s="1" t="s">
        <v>2395</v>
      </c>
      <c r="G566" s="1" t="s">
        <v>2401</v>
      </c>
      <c r="H566" s="1" t="s">
        <v>748</v>
      </c>
      <c r="J566">
        <v>5</v>
      </c>
      <c r="K566">
        <v>0</v>
      </c>
      <c r="L566" s="1"/>
      <c r="M566" s="1"/>
      <c r="N566" s="1"/>
      <c r="O566" s="1"/>
      <c r="P566" s="1" t="s">
        <v>1533</v>
      </c>
    </row>
    <row r="567" spans="1:16" ht="15" customHeight="1" x14ac:dyDescent="0.25">
      <c r="A567" s="1" t="s">
        <v>1326</v>
      </c>
      <c r="B567" s="2" t="s">
        <v>2372</v>
      </c>
      <c r="C567" t="b">
        <v>1</v>
      </c>
      <c r="D567" s="1" t="s">
        <v>2380</v>
      </c>
      <c r="E567" s="1" t="s">
        <v>2390</v>
      </c>
      <c r="F567" s="1" t="s">
        <v>2396</v>
      </c>
      <c r="G567" s="1" t="s">
        <v>2402</v>
      </c>
      <c r="H567" s="1" t="s">
        <v>748</v>
      </c>
      <c r="J567">
        <v>5</v>
      </c>
      <c r="K567">
        <v>0</v>
      </c>
      <c r="L567" s="1"/>
      <c r="M567" s="1"/>
      <c r="N567" s="1"/>
      <c r="O567" s="1"/>
      <c r="P567" s="1" t="s">
        <v>1533</v>
      </c>
    </row>
    <row r="568" spans="1:16" ht="15" customHeight="1" x14ac:dyDescent="0.25">
      <c r="A568" s="1" t="s">
        <v>1326</v>
      </c>
      <c r="B568" s="2" t="s">
        <v>2372</v>
      </c>
      <c r="C568" t="b">
        <v>1</v>
      </c>
      <c r="D568" s="1" t="s">
        <v>2381</v>
      </c>
      <c r="E568" s="1" t="s">
        <v>2391</v>
      </c>
      <c r="F568" s="1" t="s">
        <v>2397</v>
      </c>
      <c r="G568" s="1" t="s">
        <v>2403</v>
      </c>
      <c r="H568" s="1" t="s">
        <v>748</v>
      </c>
      <c r="J568">
        <v>13</v>
      </c>
      <c r="K568">
        <v>0</v>
      </c>
      <c r="L568" s="1"/>
      <c r="M568" s="1"/>
      <c r="N568" s="1"/>
      <c r="O568" s="1"/>
      <c r="P568" s="1" t="s">
        <v>1533</v>
      </c>
    </row>
    <row r="569" spans="1:16" ht="15" customHeight="1" x14ac:dyDescent="0.25">
      <c r="A569" s="1" t="s">
        <v>1326</v>
      </c>
      <c r="B569" s="2" t="s">
        <v>2372</v>
      </c>
      <c r="C569" t="b">
        <v>1</v>
      </c>
      <c r="D569" s="1" t="s">
        <v>1376</v>
      </c>
      <c r="E569" s="1" t="s">
        <v>1613</v>
      </c>
      <c r="F569" s="1" t="s">
        <v>1634</v>
      </c>
      <c r="G569" s="1" t="s">
        <v>1652</v>
      </c>
      <c r="H569" s="1" t="s">
        <v>5</v>
      </c>
      <c r="I569">
        <v>4</v>
      </c>
      <c r="L569" s="1"/>
      <c r="M569" s="1"/>
      <c r="N569" s="1"/>
      <c r="O569" s="1"/>
      <c r="P569" s="1" t="s">
        <v>1533</v>
      </c>
    </row>
    <row r="570" spans="1:16" ht="15" customHeight="1" x14ac:dyDescent="0.25">
      <c r="A570" s="1" t="s">
        <v>1326</v>
      </c>
      <c r="B570" s="2" t="s">
        <v>2372</v>
      </c>
      <c r="C570" t="b">
        <v>1</v>
      </c>
      <c r="D570" s="1" t="s">
        <v>1378</v>
      </c>
      <c r="E570" s="1" t="s">
        <v>1614</v>
      </c>
      <c r="F570" s="1" t="s">
        <v>1635</v>
      </c>
      <c r="G570" s="1" t="s">
        <v>1653</v>
      </c>
      <c r="H570" s="1" t="s">
        <v>5</v>
      </c>
      <c r="I570">
        <v>18</v>
      </c>
      <c r="L570" s="1"/>
      <c r="M570" s="1"/>
      <c r="N570" s="1"/>
      <c r="O570" s="1"/>
      <c r="P570" s="1" t="s">
        <v>1533</v>
      </c>
    </row>
    <row r="571" spans="1:16" ht="15" customHeight="1" x14ac:dyDescent="0.25">
      <c r="A571" s="1" t="s">
        <v>1326</v>
      </c>
      <c r="B571" s="2" t="s">
        <v>2372</v>
      </c>
      <c r="C571" t="b">
        <v>1</v>
      </c>
      <c r="D571" s="1" t="s">
        <v>2382</v>
      </c>
      <c r="E571" s="1" t="s">
        <v>1995</v>
      </c>
      <c r="F571" s="1" t="s">
        <v>2001</v>
      </c>
      <c r="G571" s="1" t="s">
        <v>2404</v>
      </c>
      <c r="H571" s="1" t="s">
        <v>5</v>
      </c>
      <c r="I571">
        <v>1</v>
      </c>
      <c r="L571" s="1"/>
      <c r="M571" s="1"/>
      <c r="N571" s="1"/>
      <c r="O571" s="1"/>
      <c r="P571" s="1" t="s">
        <v>1533</v>
      </c>
    </row>
    <row r="572" spans="1:16" ht="15" customHeight="1" x14ac:dyDescent="0.25">
      <c r="A572" s="1" t="s">
        <v>1326</v>
      </c>
      <c r="B572" s="2" t="s">
        <v>2372</v>
      </c>
      <c r="C572" t="b">
        <v>1</v>
      </c>
      <c r="D572" s="1" t="s">
        <v>1732</v>
      </c>
      <c r="E572" s="1" t="s">
        <v>1750</v>
      </c>
      <c r="F572" s="1" t="s">
        <v>1770</v>
      </c>
      <c r="G572" s="1" t="s">
        <v>1732</v>
      </c>
      <c r="H572" s="1" t="s">
        <v>5</v>
      </c>
      <c r="I572">
        <v>10</v>
      </c>
      <c r="L572" s="1"/>
      <c r="M572" s="1"/>
      <c r="N572" s="1"/>
      <c r="O572" s="1"/>
      <c r="P572" s="1" t="s">
        <v>1533</v>
      </c>
    </row>
    <row r="573" spans="1:16" ht="15" customHeight="1" x14ac:dyDescent="0.25">
      <c r="A573" s="1" t="s">
        <v>1326</v>
      </c>
      <c r="B573" s="2" t="s">
        <v>2372</v>
      </c>
      <c r="C573" t="b">
        <v>1</v>
      </c>
      <c r="D573" s="1" t="s">
        <v>2383</v>
      </c>
      <c r="E573" s="1" t="s">
        <v>1997</v>
      </c>
      <c r="F573" s="1" t="s">
        <v>2003</v>
      </c>
      <c r="G573" s="1" t="s">
        <v>2405</v>
      </c>
      <c r="H573" s="1" t="s">
        <v>5</v>
      </c>
      <c r="I573">
        <v>4</v>
      </c>
      <c r="L573" s="1"/>
      <c r="M573" s="1"/>
      <c r="N573" s="1"/>
      <c r="O573" s="1"/>
      <c r="P573" s="1" t="s">
        <v>1533</v>
      </c>
    </row>
    <row r="574" spans="1:16" ht="15" customHeight="1" x14ac:dyDescent="0.25">
      <c r="A574" s="1" t="s">
        <v>1326</v>
      </c>
      <c r="B574" s="2" t="s">
        <v>2372</v>
      </c>
      <c r="C574" t="b">
        <v>1</v>
      </c>
      <c r="D574" s="1" t="s">
        <v>2384</v>
      </c>
      <c r="E574" s="1" t="s">
        <v>1999</v>
      </c>
      <c r="F574" s="1" t="s">
        <v>2005</v>
      </c>
      <c r="G574" s="1" t="s">
        <v>2406</v>
      </c>
      <c r="H574" s="1" t="s">
        <v>5</v>
      </c>
      <c r="I574">
        <v>3</v>
      </c>
      <c r="L574" s="1"/>
      <c r="M574" s="1"/>
      <c r="N574" s="1"/>
      <c r="O574" s="1"/>
      <c r="P574" s="1" t="s">
        <v>1533</v>
      </c>
    </row>
    <row r="575" spans="1:16" ht="15" customHeight="1" x14ac:dyDescent="0.25">
      <c r="A575" s="1" t="s">
        <v>1326</v>
      </c>
      <c r="B575" s="2" t="s">
        <v>2372</v>
      </c>
      <c r="C575" t="b">
        <v>1</v>
      </c>
      <c r="D575" s="1" t="s">
        <v>2385</v>
      </c>
      <c r="E575" s="1" t="s">
        <v>1998</v>
      </c>
      <c r="F575" s="1" t="s">
        <v>2004</v>
      </c>
      <c r="G575" s="1" t="s">
        <v>2407</v>
      </c>
      <c r="H575" s="1" t="s">
        <v>5</v>
      </c>
      <c r="I575">
        <v>1</v>
      </c>
      <c r="L575" s="1"/>
      <c r="M575" s="1"/>
      <c r="N575" s="1"/>
      <c r="O575" s="1"/>
      <c r="P575" s="1" t="s">
        <v>1533</v>
      </c>
    </row>
    <row r="576" spans="1:16" ht="15" customHeight="1" x14ac:dyDescent="0.25">
      <c r="A576" s="1" t="s">
        <v>1326</v>
      </c>
      <c r="B576" s="2" t="s">
        <v>2372</v>
      </c>
      <c r="D576" s="1"/>
      <c r="E576" s="1"/>
      <c r="F576" s="1"/>
      <c r="G576" s="1"/>
      <c r="H576" s="1"/>
      <c r="L576" s="1" t="s">
        <v>1524</v>
      </c>
      <c r="M576" s="1" t="s">
        <v>1525</v>
      </c>
      <c r="N576" s="1"/>
      <c r="O576" s="1"/>
      <c r="P576" s="1" t="s">
        <v>1533</v>
      </c>
    </row>
    <row r="577" spans="1:16" ht="15" customHeight="1" x14ac:dyDescent="0.25">
      <c r="A577" s="1" t="s">
        <v>1326</v>
      </c>
      <c r="B577" s="2" t="s">
        <v>2372</v>
      </c>
      <c r="D577" s="1"/>
      <c r="E577" s="1"/>
      <c r="F577" s="1"/>
      <c r="G577" s="1"/>
      <c r="H577" s="1"/>
      <c r="L577" s="1" t="s">
        <v>1524</v>
      </c>
      <c r="M577" s="1" t="s">
        <v>1526</v>
      </c>
      <c r="N577" s="1"/>
      <c r="O577" s="1"/>
      <c r="P577" s="1" t="s">
        <v>1533</v>
      </c>
    </row>
    <row r="578" spans="1:16" ht="15" customHeight="1" x14ac:dyDescent="0.25">
      <c r="A578" s="1" t="s">
        <v>1326</v>
      </c>
      <c r="B578" s="2" t="s">
        <v>2372</v>
      </c>
      <c r="D578" s="1"/>
      <c r="E578" s="1"/>
      <c r="F578" s="1"/>
      <c r="G578" s="1"/>
      <c r="H578" s="1"/>
      <c r="L578" s="1" t="s">
        <v>1524</v>
      </c>
      <c r="M578" s="1" t="s">
        <v>1527</v>
      </c>
      <c r="N578" s="1"/>
      <c r="O578" s="1"/>
      <c r="P578" s="1" t="s">
        <v>1533</v>
      </c>
    </row>
    <row r="579" spans="1:16" ht="15" customHeight="1" x14ac:dyDescent="0.25">
      <c r="A579" s="1" t="s">
        <v>1326</v>
      </c>
      <c r="B579" s="2" t="s">
        <v>2372</v>
      </c>
      <c r="D579" s="1"/>
      <c r="E579" s="1"/>
      <c r="F579" s="1"/>
      <c r="G579" s="1"/>
      <c r="H579" s="1"/>
      <c r="L579" s="1"/>
      <c r="M579" s="1"/>
      <c r="N579" s="1" t="s">
        <v>1529</v>
      </c>
      <c r="O579" s="1" t="s">
        <v>1577</v>
      </c>
      <c r="P579" s="1" t="s">
        <v>1533</v>
      </c>
    </row>
    <row r="580" spans="1:16" ht="15" customHeight="1" x14ac:dyDescent="0.25">
      <c r="A580" s="1" t="s">
        <v>1326</v>
      </c>
      <c r="B580" s="2" t="s">
        <v>2372</v>
      </c>
      <c r="D580" s="1"/>
      <c r="E580" s="1"/>
      <c r="F580" s="1"/>
      <c r="G580" s="1"/>
      <c r="H580" s="1"/>
      <c r="L580" s="1"/>
      <c r="M580" s="1"/>
      <c r="N580" s="1" t="s">
        <v>1529</v>
      </c>
      <c r="O580" s="1" t="s">
        <v>1577</v>
      </c>
      <c r="P580" s="1" t="s">
        <v>1533</v>
      </c>
    </row>
    <row r="581" spans="1:16" ht="15" customHeight="1" x14ac:dyDescent="0.25">
      <c r="A581" s="1" t="s">
        <v>1326</v>
      </c>
      <c r="B581" s="2" t="s">
        <v>2372</v>
      </c>
      <c r="D581" s="1"/>
      <c r="E581" s="1"/>
      <c r="F581" s="1"/>
      <c r="G581" s="1"/>
      <c r="H581" s="1"/>
      <c r="L581" s="1"/>
      <c r="M581" s="1"/>
      <c r="N581" s="1" t="s">
        <v>1529</v>
      </c>
      <c r="O581" s="1" t="s">
        <v>1578</v>
      </c>
      <c r="P581" s="1" t="s">
        <v>1533</v>
      </c>
    </row>
    <row r="582" spans="1:16" ht="15" customHeight="1" x14ac:dyDescent="0.25">
      <c r="A582" s="1" t="s">
        <v>1326</v>
      </c>
      <c r="B582" s="2" t="s">
        <v>2372</v>
      </c>
      <c r="D582" s="1"/>
      <c r="E582" s="1"/>
      <c r="F582" s="1"/>
      <c r="G582" s="1"/>
      <c r="H582" s="1"/>
      <c r="L582" s="1"/>
      <c r="M582" s="1"/>
      <c r="N582" s="1" t="s">
        <v>1529</v>
      </c>
      <c r="O582" s="1" t="s">
        <v>1578</v>
      </c>
      <c r="P582" s="1" t="s">
        <v>1533</v>
      </c>
    </row>
    <row r="583" spans="1:16" ht="15" customHeight="1" x14ac:dyDescent="0.25">
      <c r="A583" s="1" t="s">
        <v>1326</v>
      </c>
      <c r="B583" s="2" t="s">
        <v>2372</v>
      </c>
      <c r="D583" s="1"/>
      <c r="E583" s="1"/>
      <c r="F583" s="1"/>
      <c r="G583" s="1"/>
      <c r="H583" s="1"/>
      <c r="L583" s="1"/>
      <c r="M583" s="1"/>
      <c r="N583" s="1" t="s">
        <v>1529</v>
      </c>
      <c r="O583" s="1" t="s">
        <v>1578</v>
      </c>
      <c r="P583" s="1" t="s">
        <v>1533</v>
      </c>
    </row>
    <row r="584" spans="1:16" ht="15" customHeight="1" x14ac:dyDescent="0.25">
      <c r="A584" s="1" t="s">
        <v>1331</v>
      </c>
      <c r="B584" s="2" t="s">
        <v>2408</v>
      </c>
      <c r="C584" t="b">
        <v>0</v>
      </c>
      <c r="D584" s="1" t="s">
        <v>3</v>
      </c>
      <c r="E584" s="1" t="s">
        <v>1471</v>
      </c>
      <c r="F584" s="1" t="s">
        <v>1492</v>
      </c>
      <c r="G584" s="1" t="s">
        <v>1636</v>
      </c>
      <c r="H584" s="1" t="s">
        <v>5</v>
      </c>
      <c r="I584">
        <v>18</v>
      </c>
      <c r="L584" s="1"/>
      <c r="M584" s="1"/>
      <c r="N584" s="1"/>
      <c r="O584" s="1"/>
      <c r="P584" s="1" t="s">
        <v>1533</v>
      </c>
    </row>
    <row r="585" spans="1:16" ht="15" customHeight="1" x14ac:dyDescent="0.25">
      <c r="A585" s="1" t="s">
        <v>1331</v>
      </c>
      <c r="B585" s="2" t="s">
        <v>2408</v>
      </c>
      <c r="C585" t="b">
        <v>1</v>
      </c>
      <c r="D585" s="1" t="s">
        <v>1370</v>
      </c>
      <c r="E585" s="1" t="s">
        <v>1472</v>
      </c>
      <c r="F585" s="1" t="s">
        <v>1493</v>
      </c>
      <c r="G585" s="1" t="s">
        <v>1637</v>
      </c>
      <c r="H585" s="1" t="s">
        <v>5</v>
      </c>
      <c r="I585">
        <v>40</v>
      </c>
      <c r="L585" s="1"/>
      <c r="M585" s="1"/>
      <c r="N585" s="1"/>
      <c r="O585" s="1"/>
      <c r="P585" s="1" t="s">
        <v>1533</v>
      </c>
    </row>
    <row r="586" spans="1:16" ht="15" customHeight="1" x14ac:dyDescent="0.25">
      <c r="A586" s="1" t="s">
        <v>1331</v>
      </c>
      <c r="B586" s="2" t="s">
        <v>2408</v>
      </c>
      <c r="C586" t="b">
        <v>1</v>
      </c>
      <c r="D586" s="1" t="s">
        <v>1279</v>
      </c>
      <c r="E586" s="1" t="s">
        <v>1473</v>
      </c>
      <c r="F586" s="1" t="s">
        <v>1494</v>
      </c>
      <c r="G586" s="1" t="s">
        <v>1279</v>
      </c>
      <c r="H586" s="1" t="s">
        <v>5</v>
      </c>
      <c r="I586">
        <v>4</v>
      </c>
      <c r="L586" s="1"/>
      <c r="M586" s="1"/>
      <c r="N586" s="1"/>
      <c r="O586" s="1"/>
      <c r="P586" s="1" t="s">
        <v>1533</v>
      </c>
    </row>
    <row r="587" spans="1:16" ht="15" customHeight="1" x14ac:dyDescent="0.25">
      <c r="A587" s="1" t="s">
        <v>1331</v>
      </c>
      <c r="B587" s="2" t="s">
        <v>2408</v>
      </c>
      <c r="C587" t="b">
        <v>0</v>
      </c>
      <c r="D587" s="1" t="s">
        <v>1236</v>
      </c>
      <c r="E587" s="1" t="s">
        <v>2418</v>
      </c>
      <c r="F587" s="1" t="s">
        <v>2434</v>
      </c>
      <c r="G587" s="1" t="s">
        <v>2448</v>
      </c>
      <c r="H587" s="1" t="s">
        <v>5</v>
      </c>
      <c r="I587">
        <v>4</v>
      </c>
      <c r="L587" s="1"/>
      <c r="M587" s="1"/>
      <c r="N587" s="1"/>
      <c r="O587" s="1"/>
      <c r="P587" s="1" t="s">
        <v>1533</v>
      </c>
    </row>
    <row r="588" spans="1:16" ht="15" customHeight="1" x14ac:dyDescent="0.25">
      <c r="A588" s="1" t="s">
        <v>1331</v>
      </c>
      <c r="B588" s="2" t="s">
        <v>2408</v>
      </c>
      <c r="C588" t="b">
        <v>0</v>
      </c>
      <c r="D588" s="1" t="s">
        <v>1327</v>
      </c>
      <c r="E588" s="1" t="s">
        <v>2419</v>
      </c>
      <c r="F588" s="1" t="s">
        <v>2435</v>
      </c>
      <c r="G588" s="1" t="s">
        <v>2449</v>
      </c>
      <c r="H588" s="1" t="s">
        <v>5</v>
      </c>
      <c r="I588">
        <v>2</v>
      </c>
      <c r="L588" s="1"/>
      <c r="M588" s="1"/>
      <c r="N588" s="1"/>
      <c r="O588" s="1"/>
      <c r="P588" s="1" t="s">
        <v>1533</v>
      </c>
    </row>
    <row r="589" spans="1:16" ht="15" customHeight="1" x14ac:dyDescent="0.25">
      <c r="A589" s="1" t="s">
        <v>1331</v>
      </c>
      <c r="B589" s="2" t="s">
        <v>2408</v>
      </c>
      <c r="C589" t="b">
        <v>1</v>
      </c>
      <c r="D589" s="1" t="s">
        <v>1369</v>
      </c>
      <c r="E589" s="1" t="s">
        <v>1475</v>
      </c>
      <c r="F589" s="1" t="s">
        <v>1496</v>
      </c>
      <c r="G589" s="1" t="s">
        <v>1369</v>
      </c>
      <c r="H589" s="1" t="s">
        <v>5</v>
      </c>
      <c r="I589">
        <v>3</v>
      </c>
      <c r="L589" s="1"/>
      <c r="M589" s="1"/>
      <c r="N589" s="1"/>
      <c r="O589" s="1"/>
      <c r="P589" s="1" t="s">
        <v>1533</v>
      </c>
    </row>
    <row r="590" spans="1:16" ht="15" customHeight="1" x14ac:dyDescent="0.25">
      <c r="A590" s="1" t="s">
        <v>1331</v>
      </c>
      <c r="B590" s="2" t="s">
        <v>2408</v>
      </c>
      <c r="C590" t="b">
        <v>1</v>
      </c>
      <c r="D590" s="1" t="s">
        <v>1234</v>
      </c>
      <c r="E590" s="1" t="s">
        <v>1477</v>
      </c>
      <c r="F590" s="1" t="s">
        <v>1498</v>
      </c>
      <c r="G590" s="1" t="s">
        <v>1234</v>
      </c>
      <c r="H590" s="1" t="s">
        <v>5</v>
      </c>
      <c r="I590">
        <v>2</v>
      </c>
      <c r="L590" s="1"/>
      <c r="M590" s="1"/>
      <c r="N590" s="1"/>
      <c r="O590" s="1"/>
      <c r="P590" s="1" t="s">
        <v>1533</v>
      </c>
    </row>
    <row r="591" spans="1:16" ht="15" customHeight="1" x14ac:dyDescent="0.25">
      <c r="A591" s="1" t="s">
        <v>1331</v>
      </c>
      <c r="B591" s="2" t="s">
        <v>2408</v>
      </c>
      <c r="C591" t="b">
        <v>1</v>
      </c>
      <c r="D591" s="1" t="s">
        <v>2409</v>
      </c>
      <c r="E591" s="1" t="s">
        <v>2420</v>
      </c>
      <c r="F591" s="1" t="s">
        <v>2436</v>
      </c>
      <c r="G591" s="1" t="s">
        <v>2409</v>
      </c>
      <c r="H591" s="1" t="s">
        <v>5</v>
      </c>
      <c r="I591">
        <v>3</v>
      </c>
      <c r="L591" s="1"/>
      <c r="M591" s="1"/>
      <c r="N591" s="1"/>
      <c r="O591" s="1"/>
      <c r="P591" s="1" t="s">
        <v>1533</v>
      </c>
    </row>
    <row r="592" spans="1:16" ht="15" customHeight="1" x14ac:dyDescent="0.25">
      <c r="A592" s="1" t="s">
        <v>1331</v>
      </c>
      <c r="B592" s="2" t="s">
        <v>2408</v>
      </c>
      <c r="C592" t="b">
        <v>1</v>
      </c>
      <c r="D592" s="1" t="s">
        <v>2410</v>
      </c>
      <c r="E592" s="1" t="s">
        <v>2421</v>
      </c>
      <c r="F592" s="1" t="s">
        <v>2437</v>
      </c>
      <c r="G592" s="1" t="s">
        <v>2450</v>
      </c>
      <c r="H592" s="1" t="s">
        <v>5</v>
      </c>
      <c r="I592">
        <v>1</v>
      </c>
      <c r="L592" s="1"/>
      <c r="M592" s="1"/>
      <c r="N592" s="1"/>
      <c r="O592" s="1"/>
      <c r="P592" s="1" t="s">
        <v>1533</v>
      </c>
    </row>
    <row r="593" spans="1:16" ht="15" customHeight="1" x14ac:dyDescent="0.25">
      <c r="A593" s="1" t="s">
        <v>1331</v>
      </c>
      <c r="B593" s="2" t="s">
        <v>2408</v>
      </c>
      <c r="C593" t="b">
        <v>1</v>
      </c>
      <c r="D593" s="1" t="s">
        <v>1329</v>
      </c>
      <c r="E593" s="1" t="s">
        <v>2422</v>
      </c>
      <c r="F593" s="1" t="s">
        <v>2063</v>
      </c>
      <c r="G593" s="1" t="s">
        <v>2072</v>
      </c>
      <c r="H593" s="1" t="s">
        <v>5</v>
      </c>
      <c r="I593">
        <v>4</v>
      </c>
      <c r="L593" s="1"/>
      <c r="M593" s="1"/>
      <c r="N593" s="1"/>
      <c r="O593" s="1"/>
      <c r="P593" s="1" t="s">
        <v>1533</v>
      </c>
    </row>
    <row r="594" spans="1:16" ht="15" customHeight="1" x14ac:dyDescent="0.25">
      <c r="A594" s="1" t="s">
        <v>1331</v>
      </c>
      <c r="B594" s="2" t="s">
        <v>2408</v>
      </c>
      <c r="C594" t="b">
        <v>1</v>
      </c>
      <c r="D594" s="1" t="s">
        <v>2411</v>
      </c>
      <c r="E594" s="1" t="s">
        <v>2423</v>
      </c>
      <c r="F594" s="1" t="s">
        <v>2438</v>
      </c>
      <c r="G594" s="1" t="s">
        <v>2451</v>
      </c>
      <c r="H594" s="1" t="s">
        <v>5</v>
      </c>
      <c r="I594">
        <v>2</v>
      </c>
      <c r="L594" s="1"/>
      <c r="M594" s="1"/>
      <c r="N594" s="1"/>
      <c r="O594" s="1"/>
      <c r="P594" s="1" t="s">
        <v>1533</v>
      </c>
    </row>
    <row r="595" spans="1:16" ht="15" customHeight="1" x14ac:dyDescent="0.25">
      <c r="A595" s="1" t="s">
        <v>1331</v>
      </c>
      <c r="B595" s="2" t="s">
        <v>2408</v>
      </c>
      <c r="C595" t="b">
        <v>1</v>
      </c>
      <c r="D595" s="1" t="s">
        <v>1470</v>
      </c>
      <c r="E595" s="1" t="s">
        <v>2424</v>
      </c>
      <c r="F595" s="1" t="s">
        <v>2439</v>
      </c>
      <c r="G595" s="1" t="s">
        <v>2452</v>
      </c>
      <c r="H595" s="1" t="s">
        <v>28</v>
      </c>
      <c r="L595" s="1"/>
      <c r="M595" s="1"/>
      <c r="N595" s="1"/>
      <c r="O595" s="1"/>
      <c r="P595" s="1" t="s">
        <v>1533</v>
      </c>
    </row>
    <row r="596" spans="1:16" ht="15" customHeight="1" x14ac:dyDescent="0.25">
      <c r="A596" s="1" t="s">
        <v>1331</v>
      </c>
      <c r="B596" s="2" t="s">
        <v>2408</v>
      </c>
      <c r="C596" t="b">
        <v>1</v>
      </c>
      <c r="D596" s="1" t="s">
        <v>1328</v>
      </c>
      <c r="E596" s="1" t="s">
        <v>2425</v>
      </c>
      <c r="F596" s="1" t="s">
        <v>2440</v>
      </c>
      <c r="G596" s="1" t="s">
        <v>2453</v>
      </c>
      <c r="H596" s="1" t="s">
        <v>5</v>
      </c>
      <c r="I596">
        <v>2</v>
      </c>
      <c r="L596" s="1"/>
      <c r="M596" s="1"/>
      <c r="N596" s="1"/>
      <c r="O596" s="1"/>
      <c r="P596" s="1" t="s">
        <v>1533</v>
      </c>
    </row>
    <row r="597" spans="1:16" ht="15" customHeight="1" x14ac:dyDescent="0.25">
      <c r="A597" s="1" t="s">
        <v>1331</v>
      </c>
      <c r="B597" s="2" t="s">
        <v>2408</v>
      </c>
      <c r="C597" t="b">
        <v>1</v>
      </c>
      <c r="D597" s="1" t="s">
        <v>2412</v>
      </c>
      <c r="E597" s="1" t="s">
        <v>2426</v>
      </c>
      <c r="F597" s="1" t="s">
        <v>2441</v>
      </c>
      <c r="G597" s="1" t="s">
        <v>2454</v>
      </c>
      <c r="H597" s="1" t="s">
        <v>28</v>
      </c>
      <c r="L597" s="1"/>
      <c r="M597" s="1"/>
      <c r="N597" s="1"/>
      <c r="O597" s="1"/>
      <c r="P597" s="1" t="s">
        <v>1533</v>
      </c>
    </row>
    <row r="598" spans="1:16" ht="15" customHeight="1" x14ac:dyDescent="0.25">
      <c r="A598" s="1" t="s">
        <v>1331</v>
      </c>
      <c r="B598" s="2" t="s">
        <v>2408</v>
      </c>
      <c r="C598" t="b">
        <v>1</v>
      </c>
      <c r="D598" s="1" t="s">
        <v>1330</v>
      </c>
      <c r="E598" s="1" t="s">
        <v>2427</v>
      </c>
      <c r="F598" s="1" t="s">
        <v>2442</v>
      </c>
      <c r="G598" s="1" t="s">
        <v>2455</v>
      </c>
      <c r="H598" s="1" t="s">
        <v>5</v>
      </c>
      <c r="I598">
        <v>4</v>
      </c>
      <c r="L598" s="1"/>
      <c r="M598" s="1"/>
      <c r="N598" s="1"/>
      <c r="O598" s="1"/>
      <c r="P598" s="1" t="s">
        <v>1533</v>
      </c>
    </row>
    <row r="599" spans="1:16" ht="15" customHeight="1" x14ac:dyDescent="0.25">
      <c r="A599" s="1" t="s">
        <v>1331</v>
      </c>
      <c r="B599" s="2" t="s">
        <v>2408</v>
      </c>
      <c r="C599" t="b">
        <v>1</v>
      </c>
      <c r="D599" s="1" t="s">
        <v>1372</v>
      </c>
      <c r="E599" s="1" t="s">
        <v>1599</v>
      </c>
      <c r="F599" s="1" t="s">
        <v>1620</v>
      </c>
      <c r="G599" s="1" t="s">
        <v>1372</v>
      </c>
      <c r="H599" s="1" t="s">
        <v>5</v>
      </c>
      <c r="I599">
        <v>9</v>
      </c>
      <c r="L599" s="1"/>
      <c r="M599" s="1"/>
      <c r="N599" s="1"/>
      <c r="O599" s="1"/>
      <c r="P599" s="1" t="s">
        <v>1533</v>
      </c>
    </row>
    <row r="600" spans="1:16" ht="15" customHeight="1" x14ac:dyDescent="0.25">
      <c r="A600" s="1" t="s">
        <v>1331</v>
      </c>
      <c r="B600" s="2" t="s">
        <v>2408</v>
      </c>
      <c r="C600" t="b">
        <v>1</v>
      </c>
      <c r="D600" s="1" t="s">
        <v>2413</v>
      </c>
      <c r="E600" s="1" t="s">
        <v>2428</v>
      </c>
      <c r="F600" s="1" t="s">
        <v>2443</v>
      </c>
      <c r="G600" s="1" t="s">
        <v>2456</v>
      </c>
      <c r="H600" s="1" t="s">
        <v>5</v>
      </c>
      <c r="I600">
        <v>1</v>
      </c>
      <c r="L600" s="1"/>
      <c r="M600" s="1"/>
      <c r="N600" s="1"/>
      <c r="O600" s="1"/>
      <c r="P600" s="1" t="s">
        <v>1533</v>
      </c>
    </row>
    <row r="601" spans="1:16" ht="15" customHeight="1" x14ac:dyDescent="0.25">
      <c r="A601" s="1" t="s">
        <v>1331</v>
      </c>
      <c r="B601" s="2" t="s">
        <v>2408</v>
      </c>
      <c r="C601" t="b">
        <v>1</v>
      </c>
      <c r="D601" s="1" t="s">
        <v>2414</v>
      </c>
      <c r="E601" s="1" t="s">
        <v>2429</v>
      </c>
      <c r="F601" s="1" t="s">
        <v>2444</v>
      </c>
      <c r="G601" s="1" t="s">
        <v>2457</v>
      </c>
      <c r="H601" s="1" t="s">
        <v>748</v>
      </c>
      <c r="J601">
        <v>13</v>
      </c>
      <c r="K601">
        <v>0</v>
      </c>
      <c r="L601" s="1"/>
      <c r="M601" s="1"/>
      <c r="N601" s="1"/>
      <c r="O601" s="1"/>
      <c r="P601" s="1" t="s">
        <v>1533</v>
      </c>
    </row>
    <row r="602" spans="1:16" ht="15" customHeight="1" x14ac:dyDescent="0.25">
      <c r="A602" s="1" t="s">
        <v>1331</v>
      </c>
      <c r="B602" s="2" t="s">
        <v>2408</v>
      </c>
      <c r="C602" t="b">
        <v>1</v>
      </c>
      <c r="D602" s="1" t="s">
        <v>2415</v>
      </c>
      <c r="E602" s="1" t="s">
        <v>2430</v>
      </c>
      <c r="F602" s="1" t="s">
        <v>2445</v>
      </c>
      <c r="G602" s="1" t="s">
        <v>2458</v>
      </c>
      <c r="H602" s="1" t="s">
        <v>748</v>
      </c>
      <c r="J602">
        <v>13</v>
      </c>
      <c r="K602">
        <v>0</v>
      </c>
      <c r="L602" s="1"/>
      <c r="M602" s="1"/>
      <c r="N602" s="1"/>
      <c r="O602" s="1"/>
      <c r="P602" s="1" t="s">
        <v>1533</v>
      </c>
    </row>
    <row r="603" spans="1:16" ht="15" customHeight="1" x14ac:dyDescent="0.25">
      <c r="A603" s="1" t="s">
        <v>1331</v>
      </c>
      <c r="B603" s="2" t="s">
        <v>2408</v>
      </c>
      <c r="C603" t="b">
        <v>1</v>
      </c>
      <c r="D603" s="1" t="s">
        <v>2416</v>
      </c>
      <c r="E603" s="1" t="s">
        <v>2431</v>
      </c>
      <c r="F603" s="1" t="s">
        <v>2446</v>
      </c>
      <c r="G603" s="1" t="s">
        <v>2416</v>
      </c>
      <c r="H603" s="1" t="s">
        <v>748</v>
      </c>
      <c r="J603">
        <v>13</v>
      </c>
      <c r="K603">
        <v>0</v>
      </c>
      <c r="L603" s="1"/>
      <c r="M603" s="1"/>
      <c r="N603" s="1"/>
      <c r="O603" s="1"/>
      <c r="P603" s="1" t="s">
        <v>1533</v>
      </c>
    </row>
    <row r="604" spans="1:16" ht="15" customHeight="1" x14ac:dyDescent="0.25">
      <c r="A604" s="1" t="s">
        <v>1331</v>
      </c>
      <c r="B604" s="2" t="s">
        <v>2408</v>
      </c>
      <c r="C604" t="b">
        <v>1</v>
      </c>
      <c r="D604" s="1" t="s">
        <v>2417</v>
      </c>
      <c r="E604" s="1" t="s">
        <v>2432</v>
      </c>
      <c r="F604" s="1" t="s">
        <v>2447</v>
      </c>
      <c r="G604" s="1" t="s">
        <v>2459</v>
      </c>
      <c r="H604" s="1" t="s">
        <v>5</v>
      </c>
      <c r="I604">
        <v>3</v>
      </c>
      <c r="L604" s="1"/>
      <c r="M604" s="1"/>
      <c r="N604" s="1"/>
      <c r="O604" s="1"/>
      <c r="P604" s="1" t="s">
        <v>1533</v>
      </c>
    </row>
    <row r="605" spans="1:16" ht="15" customHeight="1" x14ac:dyDescent="0.25">
      <c r="A605" s="1" t="s">
        <v>1331</v>
      </c>
      <c r="B605" s="2" t="s">
        <v>2408</v>
      </c>
      <c r="C605" t="b">
        <v>1</v>
      </c>
      <c r="D605" s="1" t="s">
        <v>2020</v>
      </c>
      <c r="E605" s="1" t="s">
        <v>2433</v>
      </c>
      <c r="F605" s="1" t="s">
        <v>2061</v>
      </c>
      <c r="G605" s="1" t="s">
        <v>2020</v>
      </c>
      <c r="H605" s="1" t="s">
        <v>5</v>
      </c>
      <c r="I605">
        <v>4</v>
      </c>
      <c r="L605" s="1"/>
      <c r="M605" s="1"/>
      <c r="N605" s="1"/>
      <c r="O605" s="1"/>
      <c r="P605" s="1" t="s">
        <v>1533</v>
      </c>
    </row>
    <row r="606" spans="1:16" ht="15" customHeight="1" x14ac:dyDescent="0.25">
      <c r="A606" s="1" t="s">
        <v>1331</v>
      </c>
      <c r="B606" s="2" t="s">
        <v>2408</v>
      </c>
      <c r="D606" s="1"/>
      <c r="E606" s="1"/>
      <c r="F606" s="1"/>
      <c r="G606" s="1"/>
      <c r="H606" s="1"/>
      <c r="L606" s="1" t="s">
        <v>1524</v>
      </c>
      <c r="M606" s="1" t="s">
        <v>2460</v>
      </c>
      <c r="N606" s="1"/>
      <c r="O606" s="1"/>
      <c r="P606" s="1" t="s">
        <v>1533</v>
      </c>
    </row>
    <row r="607" spans="1:16" ht="15" customHeight="1" x14ac:dyDescent="0.25">
      <c r="A607" s="1" t="s">
        <v>1331</v>
      </c>
      <c r="B607" s="2" t="s">
        <v>2408</v>
      </c>
      <c r="D607" s="1"/>
      <c r="E607" s="1"/>
      <c r="F607" s="1"/>
      <c r="G607" s="1"/>
      <c r="H607" s="1"/>
      <c r="L607" s="1" t="s">
        <v>1524</v>
      </c>
      <c r="M607" s="1" t="s">
        <v>1525</v>
      </c>
      <c r="N607" s="1"/>
      <c r="O607" s="1"/>
      <c r="P607" s="1" t="s">
        <v>1533</v>
      </c>
    </row>
    <row r="608" spans="1:16" ht="15" customHeight="1" x14ac:dyDescent="0.25">
      <c r="A608" s="1" t="s">
        <v>1331</v>
      </c>
      <c r="B608" s="2" t="s">
        <v>2408</v>
      </c>
      <c r="D608" s="1"/>
      <c r="E608" s="1"/>
      <c r="F608" s="1"/>
      <c r="G608" s="1"/>
      <c r="H608" s="1"/>
      <c r="L608" s="1" t="s">
        <v>1524</v>
      </c>
      <c r="M608" s="1" t="s">
        <v>1526</v>
      </c>
      <c r="N608" s="1"/>
      <c r="O608" s="1"/>
      <c r="P608" s="1" t="s">
        <v>1533</v>
      </c>
    </row>
    <row r="609" spans="1:16" ht="15" customHeight="1" x14ac:dyDescent="0.25">
      <c r="A609" s="1" t="s">
        <v>1331</v>
      </c>
      <c r="B609" s="2" t="s">
        <v>2408</v>
      </c>
      <c r="D609" s="1"/>
      <c r="E609" s="1"/>
      <c r="F609" s="1"/>
      <c r="G609" s="1"/>
      <c r="H609" s="1"/>
      <c r="L609" s="1"/>
      <c r="M609" s="1"/>
      <c r="N609" s="1" t="s">
        <v>1529</v>
      </c>
      <c r="O609" s="1" t="s">
        <v>1726</v>
      </c>
      <c r="P609" s="1" t="s">
        <v>1533</v>
      </c>
    </row>
    <row r="610" spans="1:16" ht="15" customHeight="1" x14ac:dyDescent="0.25">
      <c r="A610" s="1" t="s">
        <v>1331</v>
      </c>
      <c r="B610" s="2" t="s">
        <v>2408</v>
      </c>
      <c r="D610" s="1"/>
      <c r="E610" s="1"/>
      <c r="F610" s="1"/>
      <c r="G610" s="1"/>
      <c r="H610" s="1"/>
      <c r="L610" s="1"/>
      <c r="M610" s="1"/>
      <c r="N610" s="1" t="s">
        <v>1529</v>
      </c>
      <c r="O610" s="1" t="s">
        <v>1726</v>
      </c>
      <c r="P610" s="1" t="s">
        <v>1533</v>
      </c>
    </row>
    <row r="611" spans="1:16" ht="15" customHeight="1" x14ac:dyDescent="0.25">
      <c r="A611" s="1" t="s">
        <v>1331</v>
      </c>
      <c r="B611" s="2" t="s">
        <v>2408</v>
      </c>
      <c r="D611" s="1"/>
      <c r="E611" s="1"/>
      <c r="F611" s="1"/>
      <c r="G611" s="1"/>
      <c r="H611" s="1"/>
      <c r="L611" s="1"/>
      <c r="M611" s="1"/>
      <c r="N611" s="1" t="s">
        <v>1529</v>
      </c>
      <c r="O611" s="1" t="s">
        <v>2461</v>
      </c>
      <c r="P611" s="1" t="s">
        <v>1533</v>
      </c>
    </row>
    <row r="612" spans="1:16" ht="15" customHeight="1" x14ac:dyDescent="0.25">
      <c r="A612" s="1" t="s">
        <v>1331</v>
      </c>
      <c r="B612" s="2" t="s">
        <v>2408</v>
      </c>
      <c r="D612" s="1"/>
      <c r="E612" s="1"/>
      <c r="F612" s="1"/>
      <c r="G612" s="1"/>
      <c r="H612" s="1"/>
      <c r="L612" s="1"/>
      <c r="M612" s="1"/>
      <c r="N612" s="1" t="s">
        <v>1529</v>
      </c>
      <c r="O612" s="1" t="s">
        <v>2461</v>
      </c>
      <c r="P612" s="1" t="s">
        <v>1533</v>
      </c>
    </row>
    <row r="613" spans="1:16" ht="15" customHeight="1" x14ac:dyDescent="0.25">
      <c r="A613" s="1" t="s">
        <v>1342</v>
      </c>
      <c r="B613" s="2" t="s">
        <v>2462</v>
      </c>
      <c r="C613" t="b">
        <v>0</v>
      </c>
      <c r="D613" s="1" t="s">
        <v>3</v>
      </c>
      <c r="E613" s="1" t="s">
        <v>1471</v>
      </c>
      <c r="F613" s="1" t="s">
        <v>1492</v>
      </c>
      <c r="G613" s="1" t="s">
        <v>1636</v>
      </c>
      <c r="H613" s="1" t="s">
        <v>5</v>
      </c>
      <c r="I613">
        <v>18</v>
      </c>
      <c r="L613" s="1"/>
      <c r="M613" s="1"/>
      <c r="N613" s="1"/>
      <c r="O613" s="1"/>
      <c r="P613" s="1" t="s">
        <v>1533</v>
      </c>
    </row>
    <row r="614" spans="1:16" ht="15" customHeight="1" x14ac:dyDescent="0.25">
      <c r="A614" s="1" t="s">
        <v>1342</v>
      </c>
      <c r="B614" s="2" t="s">
        <v>2462</v>
      </c>
      <c r="C614" t="b">
        <v>1</v>
      </c>
      <c r="D614" s="1" t="s">
        <v>1370</v>
      </c>
      <c r="E614" s="1" t="s">
        <v>1472</v>
      </c>
      <c r="F614" s="1" t="s">
        <v>1493</v>
      </c>
      <c r="G614" s="1" t="s">
        <v>1637</v>
      </c>
      <c r="H614" s="1" t="s">
        <v>5</v>
      </c>
      <c r="I614">
        <v>40</v>
      </c>
      <c r="L614" s="1"/>
      <c r="M614" s="1"/>
      <c r="N614" s="1"/>
      <c r="O614" s="1"/>
      <c r="P614" s="1" t="s">
        <v>1533</v>
      </c>
    </row>
    <row r="615" spans="1:16" ht="15" customHeight="1" x14ac:dyDescent="0.25">
      <c r="A615" s="1" t="s">
        <v>1342</v>
      </c>
      <c r="B615" s="2" t="s">
        <v>2462</v>
      </c>
      <c r="C615" t="b">
        <v>1</v>
      </c>
      <c r="D615" s="1" t="s">
        <v>1279</v>
      </c>
      <c r="E615" s="1" t="s">
        <v>1473</v>
      </c>
      <c r="F615" s="1" t="s">
        <v>1494</v>
      </c>
      <c r="G615" s="1" t="s">
        <v>1279</v>
      </c>
      <c r="H615" s="1" t="s">
        <v>5</v>
      </c>
      <c r="I615">
        <v>4</v>
      </c>
      <c r="L615" s="1"/>
      <c r="M615" s="1"/>
      <c r="N615" s="1"/>
      <c r="O615" s="1"/>
      <c r="P615" s="1" t="s">
        <v>1533</v>
      </c>
    </row>
    <row r="616" spans="1:16" ht="15" customHeight="1" x14ac:dyDescent="0.25">
      <c r="A616" s="1" t="s">
        <v>1342</v>
      </c>
      <c r="B616" s="2" t="s">
        <v>2462</v>
      </c>
      <c r="C616" t="b">
        <v>0</v>
      </c>
      <c r="D616" s="1" t="s">
        <v>1236</v>
      </c>
      <c r="E616" s="1" t="s">
        <v>2418</v>
      </c>
      <c r="F616" s="1" t="s">
        <v>2434</v>
      </c>
      <c r="G616" s="1" t="s">
        <v>2448</v>
      </c>
      <c r="H616" s="1" t="s">
        <v>5</v>
      </c>
      <c r="I616">
        <v>4</v>
      </c>
      <c r="L616" s="1"/>
      <c r="M616" s="1"/>
      <c r="N616" s="1"/>
      <c r="O616" s="1"/>
      <c r="P616" s="1" t="s">
        <v>1533</v>
      </c>
    </row>
    <row r="617" spans="1:16" ht="15" customHeight="1" x14ac:dyDescent="0.25">
      <c r="A617" s="1" t="s">
        <v>1342</v>
      </c>
      <c r="B617" s="2" t="s">
        <v>2462</v>
      </c>
      <c r="C617" t="b">
        <v>0</v>
      </c>
      <c r="D617" s="1" t="s">
        <v>1327</v>
      </c>
      <c r="E617" s="1" t="s">
        <v>2419</v>
      </c>
      <c r="F617" s="1" t="s">
        <v>2435</v>
      </c>
      <c r="G617" s="1" t="s">
        <v>2449</v>
      </c>
      <c r="H617" s="1" t="s">
        <v>5</v>
      </c>
      <c r="I617">
        <v>2</v>
      </c>
      <c r="L617" s="1"/>
      <c r="M617" s="1"/>
      <c r="N617" s="1"/>
      <c r="O617" s="1"/>
      <c r="P617" s="1" t="s">
        <v>1533</v>
      </c>
    </row>
    <row r="618" spans="1:16" ht="15" customHeight="1" x14ac:dyDescent="0.25">
      <c r="A618" s="1" t="s">
        <v>1342</v>
      </c>
      <c r="B618" s="2" t="s">
        <v>2462</v>
      </c>
      <c r="C618" t="b">
        <v>1</v>
      </c>
      <c r="D618" s="1" t="s">
        <v>1340</v>
      </c>
      <c r="E618" s="1" t="s">
        <v>2476</v>
      </c>
      <c r="F618" s="1" t="s">
        <v>2499</v>
      </c>
      <c r="G618" s="1" t="s">
        <v>2522</v>
      </c>
      <c r="H618" s="1" t="s">
        <v>5</v>
      </c>
      <c r="I618">
        <v>1</v>
      </c>
      <c r="L618" s="1"/>
      <c r="M618" s="1"/>
      <c r="N618" s="1"/>
      <c r="O618" s="1"/>
      <c r="P618" s="1" t="s">
        <v>1533</v>
      </c>
    </row>
    <row r="619" spans="1:16" ht="15" customHeight="1" x14ac:dyDescent="0.25">
      <c r="A619" s="1" t="s">
        <v>1342</v>
      </c>
      <c r="B619" s="2" t="s">
        <v>2462</v>
      </c>
      <c r="C619" t="b">
        <v>1</v>
      </c>
      <c r="D619" s="1" t="s">
        <v>1339</v>
      </c>
      <c r="E619" s="1" t="s">
        <v>2477</v>
      </c>
      <c r="F619" s="1" t="s">
        <v>2500</v>
      </c>
      <c r="G619" s="1" t="s">
        <v>2523</v>
      </c>
      <c r="H619" s="1" t="s">
        <v>5</v>
      </c>
      <c r="I619">
        <v>2</v>
      </c>
      <c r="L619" s="1"/>
      <c r="M619" s="1"/>
      <c r="N619" s="1"/>
      <c r="O619" s="1"/>
      <c r="P619" s="1" t="s">
        <v>1533</v>
      </c>
    </row>
    <row r="620" spans="1:16" ht="15" customHeight="1" x14ac:dyDescent="0.25">
      <c r="A620" s="1" t="s">
        <v>1342</v>
      </c>
      <c r="B620" s="2" t="s">
        <v>2462</v>
      </c>
      <c r="C620" t="b">
        <v>1</v>
      </c>
      <c r="D620" s="1" t="s">
        <v>1341</v>
      </c>
      <c r="E620" s="1" t="s">
        <v>2478</v>
      </c>
      <c r="F620" s="1" t="s">
        <v>2501</v>
      </c>
      <c r="G620" s="1" t="s">
        <v>1341</v>
      </c>
      <c r="H620" s="1" t="s">
        <v>5</v>
      </c>
      <c r="I620">
        <v>2</v>
      </c>
      <c r="L620" s="1"/>
      <c r="M620" s="1"/>
      <c r="N620" s="1"/>
      <c r="O620" s="1"/>
      <c r="P620" s="1" t="s">
        <v>1533</v>
      </c>
    </row>
    <row r="621" spans="1:16" ht="15" customHeight="1" x14ac:dyDescent="0.25">
      <c r="A621" s="1" t="s">
        <v>1342</v>
      </c>
      <c r="B621" s="2" t="s">
        <v>2462</v>
      </c>
      <c r="C621" t="b">
        <v>1</v>
      </c>
      <c r="D621" s="1" t="s">
        <v>1332</v>
      </c>
      <c r="E621" s="1" t="s">
        <v>2479</v>
      </c>
      <c r="F621" s="1" t="s">
        <v>2502</v>
      </c>
      <c r="G621" s="1" t="s">
        <v>2524</v>
      </c>
      <c r="H621" s="1" t="s">
        <v>5</v>
      </c>
      <c r="I621">
        <v>2</v>
      </c>
      <c r="L621" s="1"/>
      <c r="M621" s="1"/>
      <c r="N621" s="1"/>
      <c r="O621" s="1"/>
      <c r="P621" s="1" t="s">
        <v>1533</v>
      </c>
    </row>
    <row r="622" spans="1:16" ht="15" customHeight="1" x14ac:dyDescent="0.25">
      <c r="A622" s="1" t="s">
        <v>1342</v>
      </c>
      <c r="B622" s="2" t="s">
        <v>2462</v>
      </c>
      <c r="C622" t="b">
        <v>1</v>
      </c>
      <c r="D622" s="1" t="s">
        <v>2463</v>
      </c>
      <c r="E622" s="1" t="s">
        <v>1604</v>
      </c>
      <c r="F622" s="1" t="s">
        <v>1625</v>
      </c>
      <c r="G622" s="1" t="s">
        <v>1647</v>
      </c>
      <c r="H622" s="1" t="s">
        <v>5</v>
      </c>
      <c r="I622">
        <v>4</v>
      </c>
      <c r="L622" s="1"/>
      <c r="M622" s="1"/>
      <c r="N622" s="1"/>
      <c r="O622" s="1"/>
      <c r="P622" s="1" t="s">
        <v>1533</v>
      </c>
    </row>
    <row r="623" spans="1:16" ht="15" customHeight="1" x14ac:dyDescent="0.25">
      <c r="A623" s="1" t="s">
        <v>1342</v>
      </c>
      <c r="B623" s="2" t="s">
        <v>2462</v>
      </c>
      <c r="C623" t="b">
        <v>1</v>
      </c>
      <c r="D623" s="1" t="s">
        <v>2464</v>
      </c>
      <c r="E623" s="1" t="s">
        <v>2480</v>
      </c>
      <c r="F623" s="1" t="s">
        <v>2503</v>
      </c>
      <c r="G623" s="1" t="s">
        <v>2525</v>
      </c>
      <c r="H623" s="1" t="s">
        <v>5</v>
      </c>
      <c r="I623">
        <v>4</v>
      </c>
      <c r="L623" s="1"/>
      <c r="M623" s="1"/>
      <c r="N623" s="1"/>
      <c r="O623" s="1"/>
      <c r="P623" s="1" t="s">
        <v>1533</v>
      </c>
    </row>
    <row r="624" spans="1:16" ht="15" customHeight="1" x14ac:dyDescent="0.25">
      <c r="A624" s="1" t="s">
        <v>1342</v>
      </c>
      <c r="B624" s="2" t="s">
        <v>2462</v>
      </c>
      <c r="C624" t="b">
        <v>1</v>
      </c>
      <c r="D624" s="1" t="s">
        <v>2465</v>
      </c>
      <c r="E624" s="1" t="s">
        <v>2481</v>
      </c>
      <c r="F624" s="1" t="s">
        <v>2504</v>
      </c>
      <c r="G624" s="1" t="s">
        <v>2526</v>
      </c>
      <c r="H624" s="1" t="s">
        <v>5</v>
      </c>
      <c r="I624">
        <v>18</v>
      </c>
      <c r="L624" s="1"/>
      <c r="M624" s="1"/>
      <c r="N624" s="1"/>
      <c r="O624" s="1"/>
      <c r="P624" s="1" t="s">
        <v>1533</v>
      </c>
    </row>
    <row r="625" spans="1:16" ht="15" customHeight="1" x14ac:dyDescent="0.25">
      <c r="A625" s="1" t="s">
        <v>1342</v>
      </c>
      <c r="B625" s="2" t="s">
        <v>2462</v>
      </c>
      <c r="C625" t="b">
        <v>1</v>
      </c>
      <c r="D625" s="1" t="s">
        <v>1645</v>
      </c>
      <c r="E625" s="1" t="s">
        <v>2482</v>
      </c>
      <c r="F625" s="1" t="s">
        <v>2505</v>
      </c>
      <c r="G625" s="1" t="s">
        <v>1645</v>
      </c>
      <c r="H625" s="1" t="s">
        <v>5</v>
      </c>
      <c r="I625">
        <v>18</v>
      </c>
      <c r="L625" s="1"/>
      <c r="M625" s="1"/>
      <c r="N625" s="1"/>
      <c r="O625" s="1"/>
      <c r="P625" s="1" t="s">
        <v>1533</v>
      </c>
    </row>
    <row r="626" spans="1:16" ht="15" customHeight="1" x14ac:dyDescent="0.25">
      <c r="A626" s="1" t="s">
        <v>1342</v>
      </c>
      <c r="B626" s="2" t="s">
        <v>2462</v>
      </c>
      <c r="C626" t="b">
        <v>1</v>
      </c>
      <c r="D626" s="1" t="s">
        <v>1333</v>
      </c>
      <c r="E626" s="1" t="s">
        <v>2483</v>
      </c>
      <c r="F626" s="1" t="s">
        <v>2506</v>
      </c>
      <c r="G626" s="1" t="s">
        <v>1333</v>
      </c>
      <c r="H626" s="1" t="s">
        <v>5</v>
      </c>
      <c r="I626">
        <v>2</v>
      </c>
      <c r="L626" s="1"/>
      <c r="M626" s="1"/>
      <c r="N626" s="1"/>
      <c r="O626" s="1"/>
      <c r="P626" s="1" t="s">
        <v>1533</v>
      </c>
    </row>
    <row r="627" spans="1:16" ht="15" customHeight="1" x14ac:dyDescent="0.25">
      <c r="A627" s="1" t="s">
        <v>1342</v>
      </c>
      <c r="B627" s="2" t="s">
        <v>2462</v>
      </c>
      <c r="C627" t="b">
        <v>1</v>
      </c>
      <c r="D627" s="1" t="s">
        <v>1334</v>
      </c>
      <c r="E627" s="1" t="s">
        <v>2484</v>
      </c>
      <c r="F627" s="1" t="s">
        <v>2507</v>
      </c>
      <c r="G627" s="1" t="s">
        <v>2527</v>
      </c>
      <c r="H627" s="1" t="s">
        <v>5</v>
      </c>
      <c r="I627">
        <v>3</v>
      </c>
      <c r="L627" s="1"/>
      <c r="M627" s="1"/>
      <c r="N627" s="1"/>
      <c r="O627" s="1"/>
      <c r="P627" s="1" t="s">
        <v>1533</v>
      </c>
    </row>
    <row r="628" spans="1:16" ht="15" customHeight="1" x14ac:dyDescent="0.25">
      <c r="A628" s="1" t="s">
        <v>1342</v>
      </c>
      <c r="B628" s="2" t="s">
        <v>2462</v>
      </c>
      <c r="C628" t="b">
        <v>1</v>
      </c>
      <c r="D628" s="1" t="s">
        <v>1335</v>
      </c>
      <c r="E628" s="1" t="s">
        <v>2485</v>
      </c>
      <c r="F628" s="1" t="s">
        <v>2508</v>
      </c>
      <c r="G628" s="1" t="s">
        <v>2528</v>
      </c>
      <c r="H628" s="1" t="s">
        <v>5</v>
      </c>
      <c r="I628">
        <v>3</v>
      </c>
      <c r="L628" s="1"/>
      <c r="M628" s="1"/>
      <c r="N628" s="1"/>
      <c r="O628" s="1"/>
      <c r="P628" s="1" t="s">
        <v>1533</v>
      </c>
    </row>
    <row r="629" spans="1:16" ht="15" customHeight="1" x14ac:dyDescent="0.25">
      <c r="A629" s="1" t="s">
        <v>1342</v>
      </c>
      <c r="B629" s="2" t="s">
        <v>2462</v>
      </c>
      <c r="C629" t="b">
        <v>1</v>
      </c>
      <c r="D629" s="1" t="s">
        <v>1336</v>
      </c>
      <c r="E629" s="1" t="s">
        <v>2486</v>
      </c>
      <c r="F629" s="1" t="s">
        <v>2509</v>
      </c>
      <c r="G629" s="1" t="s">
        <v>2529</v>
      </c>
      <c r="H629" s="1" t="s">
        <v>5</v>
      </c>
      <c r="I629">
        <v>3</v>
      </c>
      <c r="L629" s="1"/>
      <c r="M629" s="1"/>
      <c r="N629" s="1"/>
      <c r="O629" s="1"/>
      <c r="P629" s="1" t="s">
        <v>1533</v>
      </c>
    </row>
    <row r="630" spans="1:16" ht="15" customHeight="1" x14ac:dyDescent="0.25">
      <c r="A630" s="1" t="s">
        <v>1342</v>
      </c>
      <c r="B630" s="2" t="s">
        <v>2462</v>
      </c>
      <c r="C630" t="b">
        <v>1</v>
      </c>
      <c r="D630" s="1" t="s">
        <v>1337</v>
      </c>
      <c r="E630" s="1" t="s">
        <v>2487</v>
      </c>
      <c r="F630" s="1" t="s">
        <v>2510</v>
      </c>
      <c r="G630" s="1" t="s">
        <v>2530</v>
      </c>
      <c r="H630" s="1" t="s">
        <v>5</v>
      </c>
      <c r="I630">
        <v>3</v>
      </c>
      <c r="L630" s="1"/>
      <c r="M630" s="1"/>
      <c r="N630" s="1"/>
      <c r="O630" s="1"/>
      <c r="P630" s="1" t="s">
        <v>1533</v>
      </c>
    </row>
    <row r="631" spans="1:16" ht="15" customHeight="1" x14ac:dyDescent="0.25">
      <c r="A631" s="1" t="s">
        <v>1342</v>
      </c>
      <c r="B631" s="2" t="s">
        <v>2462</v>
      </c>
      <c r="C631" t="b">
        <v>1</v>
      </c>
      <c r="D631" s="1" t="s">
        <v>1338</v>
      </c>
      <c r="E631" s="1" t="s">
        <v>2488</v>
      </c>
      <c r="F631" s="1" t="s">
        <v>2511</v>
      </c>
      <c r="G631" s="1" t="s">
        <v>2531</v>
      </c>
      <c r="H631" s="1" t="s">
        <v>5</v>
      </c>
      <c r="I631">
        <v>3</v>
      </c>
      <c r="L631" s="1"/>
      <c r="M631" s="1"/>
      <c r="N631" s="1"/>
      <c r="O631" s="1"/>
      <c r="P631" s="1" t="s">
        <v>1533</v>
      </c>
    </row>
    <row r="632" spans="1:16" ht="15" customHeight="1" x14ac:dyDescent="0.25">
      <c r="A632" s="1" t="s">
        <v>1342</v>
      </c>
      <c r="B632" s="2" t="s">
        <v>2462</v>
      </c>
      <c r="C632" t="b">
        <v>1</v>
      </c>
      <c r="D632" s="1" t="s">
        <v>2466</v>
      </c>
      <c r="E632" s="1" t="s">
        <v>2489</v>
      </c>
      <c r="F632" s="1" t="s">
        <v>2512</v>
      </c>
      <c r="G632" s="1" t="s">
        <v>2532</v>
      </c>
      <c r="H632" s="1" t="s">
        <v>5</v>
      </c>
      <c r="I632">
        <v>1</v>
      </c>
      <c r="L632" s="1"/>
      <c r="M632" s="1"/>
      <c r="N632" s="1"/>
      <c r="O632" s="1"/>
      <c r="P632" s="1" t="s">
        <v>1533</v>
      </c>
    </row>
    <row r="633" spans="1:16" ht="15" customHeight="1" x14ac:dyDescent="0.25">
      <c r="A633" s="1" t="s">
        <v>1342</v>
      </c>
      <c r="B633" s="2" t="s">
        <v>2462</v>
      </c>
      <c r="C633" t="b">
        <v>1</v>
      </c>
      <c r="D633" s="1" t="s">
        <v>2467</v>
      </c>
      <c r="E633" s="1" t="s">
        <v>2490</v>
      </c>
      <c r="F633" s="1" t="s">
        <v>2513</v>
      </c>
      <c r="G633" s="1" t="s">
        <v>2533</v>
      </c>
      <c r="H633" s="1" t="s">
        <v>5</v>
      </c>
      <c r="I633">
        <v>1</v>
      </c>
      <c r="L633" s="1"/>
      <c r="M633" s="1"/>
      <c r="N633" s="1"/>
      <c r="O633" s="1"/>
      <c r="P633" s="1" t="s">
        <v>1533</v>
      </c>
    </row>
    <row r="634" spans="1:16" ht="15" customHeight="1" x14ac:dyDescent="0.25">
      <c r="A634" s="1" t="s">
        <v>1342</v>
      </c>
      <c r="B634" s="2" t="s">
        <v>2462</v>
      </c>
      <c r="C634" t="b">
        <v>1</v>
      </c>
      <c r="D634" s="1" t="s">
        <v>2468</v>
      </c>
      <c r="E634" s="1" t="s">
        <v>2491</v>
      </c>
      <c r="F634" s="1" t="s">
        <v>2514</v>
      </c>
      <c r="G634" s="1" t="s">
        <v>2534</v>
      </c>
      <c r="H634" s="1" t="s">
        <v>5</v>
      </c>
      <c r="I634">
        <v>1</v>
      </c>
      <c r="L634" s="1"/>
      <c r="M634" s="1"/>
      <c r="N634" s="1"/>
      <c r="O634" s="1"/>
      <c r="P634" s="1" t="s">
        <v>1533</v>
      </c>
    </row>
    <row r="635" spans="1:16" ht="15" customHeight="1" x14ac:dyDescent="0.25">
      <c r="A635" s="1" t="s">
        <v>1342</v>
      </c>
      <c r="B635" s="2" t="s">
        <v>2462</v>
      </c>
      <c r="C635" t="b">
        <v>1</v>
      </c>
      <c r="D635" s="1" t="s">
        <v>2469</v>
      </c>
      <c r="E635" s="1" t="s">
        <v>2492</v>
      </c>
      <c r="F635" s="1" t="s">
        <v>2515</v>
      </c>
      <c r="G635" s="1" t="s">
        <v>2535</v>
      </c>
      <c r="H635" s="1" t="s">
        <v>5</v>
      </c>
      <c r="I635">
        <v>1</v>
      </c>
      <c r="L635" s="1"/>
      <c r="M635" s="1"/>
      <c r="N635" s="1"/>
      <c r="O635" s="1"/>
      <c r="P635" s="1" t="s">
        <v>1533</v>
      </c>
    </row>
    <row r="636" spans="1:16" ht="15" customHeight="1" x14ac:dyDescent="0.25">
      <c r="A636" s="1" t="s">
        <v>1342</v>
      </c>
      <c r="B636" s="2" t="s">
        <v>2462</v>
      </c>
      <c r="C636" t="b">
        <v>1</v>
      </c>
      <c r="D636" s="1" t="s">
        <v>2470</v>
      </c>
      <c r="E636" s="1" t="s">
        <v>2493</v>
      </c>
      <c r="F636" s="1" t="s">
        <v>2516</v>
      </c>
      <c r="G636" s="1" t="s">
        <v>2536</v>
      </c>
      <c r="H636" s="1" t="s">
        <v>5</v>
      </c>
      <c r="I636">
        <v>1</v>
      </c>
      <c r="L636" s="1"/>
      <c r="M636" s="1"/>
      <c r="N636" s="1"/>
      <c r="O636" s="1"/>
      <c r="P636" s="1" t="s">
        <v>1533</v>
      </c>
    </row>
    <row r="637" spans="1:16" ht="15" customHeight="1" x14ac:dyDescent="0.25">
      <c r="A637" s="1" t="s">
        <v>1342</v>
      </c>
      <c r="B637" s="2" t="s">
        <v>2462</v>
      </c>
      <c r="C637" t="b">
        <v>1</v>
      </c>
      <c r="D637" s="1" t="s">
        <v>2471</v>
      </c>
      <c r="E637" s="1" t="s">
        <v>2494</v>
      </c>
      <c r="F637" s="1" t="s">
        <v>2517</v>
      </c>
      <c r="G637" s="1" t="s">
        <v>2537</v>
      </c>
      <c r="H637" s="1" t="s">
        <v>5</v>
      </c>
      <c r="I637">
        <v>1</v>
      </c>
      <c r="L637" s="1"/>
      <c r="M637" s="1"/>
      <c r="N637" s="1"/>
      <c r="O637" s="1"/>
      <c r="P637" s="1" t="s">
        <v>1533</v>
      </c>
    </row>
    <row r="638" spans="1:16" ht="15" customHeight="1" x14ac:dyDescent="0.25">
      <c r="A638" s="1" t="s">
        <v>1342</v>
      </c>
      <c r="B638" s="2" t="s">
        <v>2462</v>
      </c>
      <c r="C638" t="b">
        <v>1</v>
      </c>
      <c r="D638" s="1" t="s">
        <v>2472</v>
      </c>
      <c r="E638" s="1" t="s">
        <v>2495</v>
      </c>
      <c r="F638" s="1" t="s">
        <v>2518</v>
      </c>
      <c r="G638" s="1" t="s">
        <v>2538</v>
      </c>
      <c r="H638" s="1" t="s">
        <v>5</v>
      </c>
      <c r="I638">
        <v>1</v>
      </c>
      <c r="L638" s="1"/>
      <c r="M638" s="1"/>
      <c r="N638" s="1"/>
      <c r="O638" s="1"/>
      <c r="P638" s="1" t="s">
        <v>1533</v>
      </c>
    </row>
    <row r="639" spans="1:16" ht="15" customHeight="1" x14ac:dyDescent="0.25">
      <c r="A639" s="1" t="s">
        <v>1342</v>
      </c>
      <c r="B639" s="2" t="s">
        <v>2462</v>
      </c>
      <c r="C639" t="b">
        <v>1</v>
      </c>
      <c r="D639" s="1" t="s">
        <v>2473</v>
      </c>
      <c r="E639" s="1" t="s">
        <v>2496</v>
      </c>
      <c r="F639" s="1" t="s">
        <v>2519</v>
      </c>
      <c r="G639" s="1" t="s">
        <v>2539</v>
      </c>
      <c r="H639" s="1" t="s">
        <v>5</v>
      </c>
      <c r="I639">
        <v>1</v>
      </c>
      <c r="L639" s="1"/>
      <c r="M639" s="1"/>
      <c r="N639" s="1"/>
      <c r="O639" s="1"/>
      <c r="P639" s="1" t="s">
        <v>1533</v>
      </c>
    </row>
    <row r="640" spans="1:16" ht="15" customHeight="1" x14ac:dyDescent="0.25">
      <c r="A640" s="1" t="s">
        <v>1342</v>
      </c>
      <c r="B640" s="2" t="s">
        <v>2462</v>
      </c>
      <c r="C640" t="b">
        <v>1</v>
      </c>
      <c r="D640" s="1" t="s">
        <v>2474</v>
      </c>
      <c r="E640" s="1" t="s">
        <v>2497</v>
      </c>
      <c r="F640" s="1" t="s">
        <v>2520</v>
      </c>
      <c r="G640" s="1" t="s">
        <v>2540</v>
      </c>
      <c r="H640" s="1" t="s">
        <v>5</v>
      </c>
      <c r="I640">
        <v>1</v>
      </c>
      <c r="L640" s="1"/>
      <c r="M640" s="1"/>
      <c r="N640" s="1"/>
      <c r="O640" s="1"/>
      <c r="P640" s="1" t="s">
        <v>1533</v>
      </c>
    </row>
    <row r="641" spans="1:16" ht="15" customHeight="1" x14ac:dyDescent="0.25">
      <c r="A641" s="1" t="s">
        <v>1342</v>
      </c>
      <c r="B641" s="2" t="s">
        <v>2462</v>
      </c>
      <c r="C641" t="b">
        <v>1</v>
      </c>
      <c r="D641" s="1" t="s">
        <v>2475</v>
      </c>
      <c r="E641" s="1" t="s">
        <v>2498</v>
      </c>
      <c r="F641" s="1" t="s">
        <v>2521</v>
      </c>
      <c r="G641" s="1" t="s">
        <v>2541</v>
      </c>
      <c r="H641" s="1" t="s">
        <v>5</v>
      </c>
      <c r="I641">
        <v>1</v>
      </c>
      <c r="L641" s="1"/>
      <c r="M641" s="1"/>
      <c r="N641" s="1"/>
      <c r="O641" s="1"/>
      <c r="P641" s="1" t="s">
        <v>1533</v>
      </c>
    </row>
    <row r="642" spans="1:16" ht="15" customHeight="1" x14ac:dyDescent="0.25">
      <c r="A642" s="1" t="s">
        <v>1342</v>
      </c>
      <c r="B642" s="2" t="s">
        <v>2462</v>
      </c>
      <c r="D642" s="1"/>
      <c r="E642" s="1"/>
      <c r="F642" s="1"/>
      <c r="G642" s="1"/>
      <c r="H642" s="1"/>
      <c r="L642" s="1" t="s">
        <v>1524</v>
      </c>
      <c r="M642" s="1" t="s">
        <v>2460</v>
      </c>
      <c r="N642" s="1"/>
      <c r="O642" s="1"/>
      <c r="P642" s="1" t="s">
        <v>1533</v>
      </c>
    </row>
    <row r="643" spans="1:16" ht="15" customHeight="1" x14ac:dyDescent="0.25">
      <c r="A643" s="1" t="s">
        <v>1342</v>
      </c>
      <c r="B643" s="2" t="s">
        <v>2462</v>
      </c>
      <c r="D643" s="1"/>
      <c r="E643" s="1"/>
      <c r="F643" s="1"/>
      <c r="G643" s="1"/>
      <c r="H643" s="1"/>
      <c r="L643" s="1" t="s">
        <v>1524</v>
      </c>
      <c r="M643" s="1" t="s">
        <v>1525</v>
      </c>
      <c r="N643" s="1"/>
      <c r="O643" s="1"/>
      <c r="P643" s="1" t="s">
        <v>1533</v>
      </c>
    </row>
    <row r="644" spans="1:16" ht="15" customHeight="1" x14ac:dyDescent="0.25">
      <c r="A644" s="1" t="s">
        <v>1342</v>
      </c>
      <c r="B644" s="2" t="s">
        <v>2462</v>
      </c>
      <c r="D644" s="1"/>
      <c r="E644" s="1"/>
      <c r="F644" s="1"/>
      <c r="G644" s="1"/>
      <c r="H644" s="1"/>
      <c r="L644" s="1" t="s">
        <v>1524</v>
      </c>
      <c r="M644" s="1" t="s">
        <v>1526</v>
      </c>
      <c r="N644" s="1"/>
      <c r="O644" s="1"/>
      <c r="P644" s="1" t="s">
        <v>1533</v>
      </c>
    </row>
    <row r="645" spans="1:16" ht="15" customHeight="1" x14ac:dyDescent="0.25">
      <c r="A645" s="1" t="s">
        <v>1342</v>
      </c>
      <c r="B645" s="2" t="s">
        <v>2462</v>
      </c>
      <c r="D645" s="1"/>
      <c r="E645" s="1"/>
      <c r="F645" s="1"/>
      <c r="G645" s="1"/>
      <c r="H645" s="1"/>
      <c r="L645" s="1"/>
      <c r="M645" s="1"/>
      <c r="N645" s="1" t="s">
        <v>1529</v>
      </c>
      <c r="O645" s="1" t="s">
        <v>1577</v>
      </c>
      <c r="P645" s="1" t="s">
        <v>1533</v>
      </c>
    </row>
    <row r="646" spans="1:16" ht="15" customHeight="1" x14ac:dyDescent="0.25">
      <c r="A646" s="1" t="s">
        <v>1342</v>
      </c>
      <c r="B646" s="2" t="s">
        <v>2462</v>
      </c>
      <c r="D646" s="1"/>
      <c r="E646" s="1"/>
      <c r="F646" s="1"/>
      <c r="G646" s="1"/>
      <c r="H646" s="1"/>
      <c r="L646" s="1"/>
      <c r="M646" s="1"/>
      <c r="N646" s="1" t="s">
        <v>1529</v>
      </c>
      <c r="O646" s="1" t="s">
        <v>1577</v>
      </c>
      <c r="P646" s="1" t="s">
        <v>1533</v>
      </c>
    </row>
    <row r="647" spans="1:16" ht="15" customHeight="1" x14ac:dyDescent="0.25">
      <c r="A647" s="1" t="s">
        <v>1342</v>
      </c>
      <c r="B647" s="2" t="s">
        <v>2462</v>
      </c>
      <c r="D647" s="1"/>
      <c r="E647" s="1"/>
      <c r="F647" s="1"/>
      <c r="G647" s="1"/>
      <c r="H647" s="1"/>
      <c r="L647" s="1"/>
      <c r="M647" s="1"/>
      <c r="N647" s="1" t="s">
        <v>1529</v>
      </c>
      <c r="O647" s="1" t="s">
        <v>2542</v>
      </c>
      <c r="P647" s="1" t="s">
        <v>1533</v>
      </c>
    </row>
    <row r="648" spans="1:16" ht="15" customHeight="1" x14ac:dyDescent="0.25">
      <c r="A648" s="1" t="s">
        <v>1342</v>
      </c>
      <c r="B648" s="2" t="s">
        <v>2462</v>
      </c>
      <c r="D648" s="1"/>
      <c r="E648" s="1"/>
      <c r="F648" s="1"/>
      <c r="G648" s="1"/>
      <c r="H648" s="1"/>
      <c r="L648" s="1"/>
      <c r="M648" s="1"/>
      <c r="N648" s="1" t="s">
        <v>1529</v>
      </c>
      <c r="O648" s="1" t="s">
        <v>2542</v>
      </c>
      <c r="P648" s="1" t="s">
        <v>1533</v>
      </c>
    </row>
    <row r="649" spans="1:16" ht="15" customHeight="1" x14ac:dyDescent="0.25">
      <c r="A649" s="1" t="s">
        <v>1342</v>
      </c>
      <c r="B649" s="2" t="s">
        <v>2462</v>
      </c>
      <c r="D649" s="1"/>
      <c r="E649" s="1"/>
      <c r="F649" s="1"/>
      <c r="G649" s="1"/>
      <c r="H649" s="1"/>
      <c r="L649" s="1"/>
      <c r="M649" s="1"/>
      <c r="N649" s="1" t="s">
        <v>1529</v>
      </c>
      <c r="O649" s="1" t="s">
        <v>2542</v>
      </c>
      <c r="P649" s="1" t="s">
        <v>1533</v>
      </c>
    </row>
    <row r="650" spans="1:16" ht="15" customHeight="1" x14ac:dyDescent="0.25">
      <c r="A650" s="1" t="s">
        <v>1351</v>
      </c>
      <c r="B650" s="2" t="s">
        <v>2543</v>
      </c>
      <c r="C650" t="b">
        <v>0</v>
      </c>
      <c r="D650" s="1" t="s">
        <v>3</v>
      </c>
      <c r="E650" s="1" t="s">
        <v>1471</v>
      </c>
      <c r="F650" s="1" t="s">
        <v>1492</v>
      </c>
      <c r="G650" s="1"/>
      <c r="H650" s="1" t="s">
        <v>5</v>
      </c>
      <c r="I650">
        <v>18</v>
      </c>
      <c r="L650" s="1"/>
      <c r="M650" s="1"/>
      <c r="N650" s="1"/>
      <c r="O650" s="1"/>
      <c r="P650" s="1" t="s">
        <v>1533</v>
      </c>
    </row>
    <row r="651" spans="1:16" ht="15" customHeight="1" x14ac:dyDescent="0.25">
      <c r="A651" s="1" t="s">
        <v>1351</v>
      </c>
      <c r="B651" s="2" t="s">
        <v>2543</v>
      </c>
      <c r="C651" t="b">
        <v>1</v>
      </c>
      <c r="D651" s="1" t="s">
        <v>1370</v>
      </c>
      <c r="E651" s="1" t="s">
        <v>1472</v>
      </c>
      <c r="F651" s="1" t="s">
        <v>1493</v>
      </c>
      <c r="G651" s="1"/>
      <c r="H651" s="1" t="s">
        <v>5</v>
      </c>
      <c r="I651">
        <v>40</v>
      </c>
      <c r="L651" s="1"/>
      <c r="M651" s="1"/>
      <c r="N651" s="1"/>
      <c r="O651" s="1"/>
      <c r="P651" s="1" t="s">
        <v>1533</v>
      </c>
    </row>
    <row r="652" spans="1:16" ht="15" customHeight="1" x14ac:dyDescent="0.25">
      <c r="A652" s="1" t="s">
        <v>1351</v>
      </c>
      <c r="B652" s="2" t="s">
        <v>2543</v>
      </c>
      <c r="C652" t="b">
        <v>1</v>
      </c>
      <c r="D652" s="1" t="s">
        <v>1279</v>
      </c>
      <c r="E652" s="1" t="s">
        <v>1473</v>
      </c>
      <c r="F652" s="1" t="s">
        <v>1494</v>
      </c>
      <c r="G652" s="1" t="s">
        <v>1279</v>
      </c>
      <c r="H652" s="1" t="s">
        <v>5</v>
      </c>
      <c r="I652">
        <v>4</v>
      </c>
      <c r="L652" s="1"/>
      <c r="M652" s="1"/>
      <c r="N652" s="1"/>
      <c r="O652" s="1"/>
      <c r="P652" s="1" t="s">
        <v>1533</v>
      </c>
    </row>
    <row r="653" spans="1:16" ht="15" customHeight="1" x14ac:dyDescent="0.25">
      <c r="A653" s="1" t="s">
        <v>1351</v>
      </c>
      <c r="B653" s="2" t="s">
        <v>2543</v>
      </c>
      <c r="C653" t="b">
        <v>0</v>
      </c>
      <c r="D653" s="1" t="s">
        <v>1265</v>
      </c>
      <c r="E653" s="1" t="s">
        <v>1474</v>
      </c>
      <c r="F653" s="1" t="s">
        <v>1495</v>
      </c>
      <c r="G653" s="1"/>
      <c r="H653" s="1" t="s">
        <v>5</v>
      </c>
      <c r="I653">
        <v>4</v>
      </c>
      <c r="L653" s="1"/>
      <c r="M653" s="1"/>
      <c r="N653" s="1"/>
      <c r="O653" s="1"/>
      <c r="P653" s="1" t="s">
        <v>1533</v>
      </c>
    </row>
    <row r="654" spans="1:16" ht="15" customHeight="1" x14ac:dyDescent="0.25">
      <c r="A654" s="1" t="s">
        <v>1351</v>
      </c>
      <c r="B654" s="2" t="s">
        <v>2543</v>
      </c>
      <c r="C654" t="b">
        <v>0</v>
      </c>
      <c r="D654" s="1" t="s">
        <v>1343</v>
      </c>
      <c r="E654" s="1" t="s">
        <v>2551</v>
      </c>
      <c r="F654" s="1" t="s">
        <v>2566</v>
      </c>
      <c r="G654" s="1" t="s">
        <v>2580</v>
      </c>
      <c r="H654" s="1" t="s">
        <v>5</v>
      </c>
      <c r="I654">
        <v>3</v>
      </c>
      <c r="L654" s="1"/>
      <c r="M654" s="1"/>
      <c r="N654" s="1"/>
      <c r="O654" s="1"/>
      <c r="P654" s="1" t="s">
        <v>1533</v>
      </c>
    </row>
    <row r="655" spans="1:16" ht="15" customHeight="1" x14ac:dyDescent="0.25">
      <c r="A655" s="1" t="s">
        <v>1351</v>
      </c>
      <c r="B655" s="2" t="s">
        <v>2543</v>
      </c>
      <c r="C655" t="b">
        <v>1</v>
      </c>
      <c r="D655" s="1" t="s">
        <v>1369</v>
      </c>
      <c r="E655" s="1" t="s">
        <v>1475</v>
      </c>
      <c r="F655" s="1" t="s">
        <v>1496</v>
      </c>
      <c r="G655" s="1"/>
      <c r="H655" s="1" t="s">
        <v>5</v>
      </c>
      <c r="I655">
        <v>3</v>
      </c>
      <c r="L655" s="1"/>
      <c r="M655" s="1"/>
      <c r="N655" s="1"/>
      <c r="O655" s="1"/>
      <c r="P655" s="1" t="s">
        <v>1533</v>
      </c>
    </row>
    <row r="656" spans="1:16" ht="15" customHeight="1" x14ac:dyDescent="0.25">
      <c r="A656" s="1" t="s">
        <v>1351</v>
      </c>
      <c r="B656" s="2" t="s">
        <v>2543</v>
      </c>
      <c r="C656" t="b">
        <v>1</v>
      </c>
      <c r="D656" s="1" t="s">
        <v>2544</v>
      </c>
      <c r="E656" s="1" t="s">
        <v>1949</v>
      </c>
      <c r="F656" s="1" t="s">
        <v>1972</v>
      </c>
      <c r="G656" s="1"/>
      <c r="H656" s="1" t="s">
        <v>5</v>
      </c>
      <c r="I656">
        <v>18</v>
      </c>
      <c r="L656" s="1"/>
      <c r="M656" s="1"/>
      <c r="N656" s="1"/>
      <c r="O656" s="1"/>
      <c r="P656" s="1" t="s">
        <v>1533</v>
      </c>
    </row>
    <row r="657" spans="1:16" ht="15" customHeight="1" x14ac:dyDescent="0.25">
      <c r="A657" s="1" t="s">
        <v>1351</v>
      </c>
      <c r="B657" s="2" t="s">
        <v>2543</v>
      </c>
      <c r="C657" t="b">
        <v>1</v>
      </c>
      <c r="D657" s="1" t="s">
        <v>2545</v>
      </c>
      <c r="E657" s="1" t="s">
        <v>2552</v>
      </c>
      <c r="F657" s="1" t="s">
        <v>2567</v>
      </c>
      <c r="G657" s="1" t="s">
        <v>2581</v>
      </c>
      <c r="H657" s="1" t="s">
        <v>5</v>
      </c>
      <c r="I657">
        <v>3</v>
      </c>
      <c r="L657" s="1"/>
      <c r="M657" s="1"/>
      <c r="N657" s="1"/>
      <c r="O657" s="1"/>
      <c r="P657" s="1" t="s">
        <v>1533</v>
      </c>
    </row>
    <row r="658" spans="1:16" ht="15" customHeight="1" x14ac:dyDescent="0.25">
      <c r="A658" s="1" t="s">
        <v>1351</v>
      </c>
      <c r="B658" s="2" t="s">
        <v>2543</v>
      </c>
      <c r="C658" t="b">
        <v>1</v>
      </c>
      <c r="D658" s="1" t="s">
        <v>2374</v>
      </c>
      <c r="E658" s="1" t="s">
        <v>1605</v>
      </c>
      <c r="F658" s="1" t="s">
        <v>1626</v>
      </c>
      <c r="G658" s="1"/>
      <c r="H658" s="1" t="s">
        <v>748</v>
      </c>
      <c r="J658">
        <v>13</v>
      </c>
      <c r="K658">
        <v>3</v>
      </c>
      <c r="L658" s="1"/>
      <c r="M658" s="1"/>
      <c r="N658" s="1"/>
      <c r="O658" s="1"/>
      <c r="P658" s="1" t="s">
        <v>1533</v>
      </c>
    </row>
    <row r="659" spans="1:16" ht="15" customHeight="1" x14ac:dyDescent="0.25">
      <c r="A659" s="1" t="s">
        <v>1351</v>
      </c>
      <c r="B659" s="2" t="s">
        <v>2543</v>
      </c>
      <c r="C659" t="b">
        <v>1</v>
      </c>
      <c r="D659" s="1" t="s">
        <v>2375</v>
      </c>
      <c r="E659" s="1" t="s">
        <v>1607</v>
      </c>
      <c r="F659" s="1" t="s">
        <v>1628</v>
      </c>
      <c r="G659" s="1"/>
      <c r="H659" s="1" t="s">
        <v>5</v>
      </c>
      <c r="I659">
        <v>3</v>
      </c>
      <c r="L659" s="1"/>
      <c r="M659" s="1"/>
      <c r="N659" s="1"/>
      <c r="O659" s="1"/>
      <c r="P659" s="1" t="s">
        <v>1533</v>
      </c>
    </row>
    <row r="660" spans="1:16" ht="15" customHeight="1" x14ac:dyDescent="0.25">
      <c r="A660" s="1" t="s">
        <v>1351</v>
      </c>
      <c r="B660" s="2" t="s">
        <v>2543</v>
      </c>
      <c r="C660" t="b">
        <v>1</v>
      </c>
      <c r="D660" s="1" t="s">
        <v>2349</v>
      </c>
      <c r="E660" s="1" t="s">
        <v>1943</v>
      </c>
      <c r="F660" s="1" t="s">
        <v>1966</v>
      </c>
      <c r="G660" s="1"/>
      <c r="H660" s="1" t="s">
        <v>5</v>
      </c>
      <c r="I660">
        <v>3</v>
      </c>
      <c r="L660" s="1"/>
      <c r="M660" s="1"/>
      <c r="N660" s="1"/>
      <c r="O660" s="1"/>
      <c r="P660" s="1" t="s">
        <v>1533</v>
      </c>
    </row>
    <row r="661" spans="1:16" ht="15" customHeight="1" x14ac:dyDescent="0.25">
      <c r="A661" s="1" t="s">
        <v>1351</v>
      </c>
      <c r="B661" s="2" t="s">
        <v>2543</v>
      </c>
      <c r="C661" t="b">
        <v>1</v>
      </c>
      <c r="D661" s="1" t="s">
        <v>1590</v>
      </c>
      <c r="E661" s="1" t="s">
        <v>1608</v>
      </c>
      <c r="F661" s="1" t="s">
        <v>1629</v>
      </c>
      <c r="G661" s="1"/>
      <c r="H661" s="1" t="s">
        <v>748</v>
      </c>
      <c r="J661">
        <v>13</v>
      </c>
      <c r="K661">
        <v>3</v>
      </c>
      <c r="L661" s="1"/>
      <c r="M661" s="1"/>
      <c r="N661" s="1"/>
      <c r="O661" s="1"/>
      <c r="P661" s="1" t="s">
        <v>1533</v>
      </c>
    </row>
    <row r="662" spans="1:16" ht="15" customHeight="1" x14ac:dyDescent="0.25">
      <c r="A662" s="1" t="s">
        <v>1351</v>
      </c>
      <c r="B662" s="2" t="s">
        <v>2543</v>
      </c>
      <c r="C662" t="b">
        <v>1</v>
      </c>
      <c r="D662" s="1" t="s">
        <v>1648</v>
      </c>
      <c r="E662" s="1" t="s">
        <v>1609</v>
      </c>
      <c r="F662" s="1" t="s">
        <v>1630</v>
      </c>
      <c r="G662" s="1"/>
      <c r="H662" s="1" t="s">
        <v>5</v>
      </c>
      <c r="I662">
        <v>3</v>
      </c>
      <c r="L662" s="1"/>
      <c r="M662" s="1"/>
      <c r="N662" s="1"/>
      <c r="O662" s="1"/>
      <c r="P662" s="1" t="s">
        <v>1533</v>
      </c>
    </row>
    <row r="663" spans="1:16" ht="15" customHeight="1" x14ac:dyDescent="0.25">
      <c r="A663" s="1" t="s">
        <v>1351</v>
      </c>
      <c r="B663" s="2" t="s">
        <v>2543</v>
      </c>
      <c r="C663" t="b">
        <v>1</v>
      </c>
      <c r="D663" s="1" t="s">
        <v>1346</v>
      </c>
      <c r="E663" s="1" t="s">
        <v>2553</v>
      </c>
      <c r="F663" s="1" t="s">
        <v>2568</v>
      </c>
      <c r="G663" s="1" t="s">
        <v>2582</v>
      </c>
      <c r="H663" s="1" t="s">
        <v>5</v>
      </c>
      <c r="I663">
        <v>1</v>
      </c>
      <c r="L663" s="1"/>
      <c r="M663" s="1"/>
      <c r="N663" s="1"/>
      <c r="O663" s="1"/>
      <c r="P663" s="1" t="s">
        <v>1533</v>
      </c>
    </row>
    <row r="664" spans="1:16" ht="15" customHeight="1" x14ac:dyDescent="0.25">
      <c r="A664" s="1" t="s">
        <v>1351</v>
      </c>
      <c r="B664" s="2" t="s">
        <v>2543</v>
      </c>
      <c r="C664" t="b">
        <v>1</v>
      </c>
      <c r="D664" s="1" t="s">
        <v>2546</v>
      </c>
      <c r="E664" s="1" t="s">
        <v>2554</v>
      </c>
      <c r="F664" s="1" t="s">
        <v>2569</v>
      </c>
      <c r="G664" s="1" t="s">
        <v>2583</v>
      </c>
      <c r="H664" s="1" t="s">
        <v>748</v>
      </c>
      <c r="J664">
        <v>11</v>
      </c>
      <c r="K664">
        <v>3</v>
      </c>
      <c r="L664" s="1"/>
      <c r="M664" s="1"/>
      <c r="N664" s="1"/>
      <c r="O664" s="1"/>
      <c r="P664" s="1" t="s">
        <v>1533</v>
      </c>
    </row>
    <row r="665" spans="1:16" ht="15" customHeight="1" x14ac:dyDescent="0.25">
      <c r="A665" s="1" t="s">
        <v>1351</v>
      </c>
      <c r="B665" s="2" t="s">
        <v>2543</v>
      </c>
      <c r="C665" t="b">
        <v>1</v>
      </c>
      <c r="D665" s="1" t="s">
        <v>2547</v>
      </c>
      <c r="E665" s="1" t="s">
        <v>2555</v>
      </c>
      <c r="F665" s="1" t="s">
        <v>2570</v>
      </c>
      <c r="G665" s="1" t="s">
        <v>2584</v>
      </c>
      <c r="H665" s="1" t="s">
        <v>5</v>
      </c>
      <c r="I665">
        <v>3</v>
      </c>
      <c r="L665" s="1"/>
      <c r="M665" s="1"/>
      <c r="N665" s="1"/>
      <c r="O665" s="1"/>
      <c r="P665" s="1" t="s">
        <v>1533</v>
      </c>
    </row>
    <row r="666" spans="1:16" ht="15" customHeight="1" x14ac:dyDescent="0.25">
      <c r="A666" s="1" t="s">
        <v>1351</v>
      </c>
      <c r="B666" s="2" t="s">
        <v>2543</v>
      </c>
      <c r="C666" t="b">
        <v>1</v>
      </c>
      <c r="D666" s="1" t="s">
        <v>1345</v>
      </c>
      <c r="E666" s="1" t="s">
        <v>2556</v>
      </c>
      <c r="F666" s="1" t="s">
        <v>2571</v>
      </c>
      <c r="G666" s="1" t="s">
        <v>2585</v>
      </c>
      <c r="H666" s="1" t="s">
        <v>5</v>
      </c>
      <c r="I666">
        <v>3</v>
      </c>
      <c r="L666" s="1"/>
      <c r="M666" s="1"/>
      <c r="N666" s="1"/>
      <c r="O666" s="1"/>
      <c r="P666" s="1" t="s">
        <v>1533</v>
      </c>
    </row>
    <row r="667" spans="1:16" ht="15" customHeight="1" x14ac:dyDescent="0.25">
      <c r="A667" s="1" t="s">
        <v>1351</v>
      </c>
      <c r="B667" s="2" t="s">
        <v>2543</v>
      </c>
      <c r="C667" t="b">
        <v>1</v>
      </c>
      <c r="D667" s="1" t="s">
        <v>2377</v>
      </c>
      <c r="E667" s="1" t="s">
        <v>1955</v>
      </c>
      <c r="F667" s="1" t="s">
        <v>1978</v>
      </c>
      <c r="G667" s="1"/>
      <c r="H667" s="1" t="s">
        <v>5</v>
      </c>
      <c r="I667">
        <v>1</v>
      </c>
      <c r="L667" s="1"/>
      <c r="M667" s="1"/>
      <c r="N667" s="1"/>
      <c r="O667" s="1"/>
      <c r="P667" s="1" t="s">
        <v>1533</v>
      </c>
    </row>
    <row r="668" spans="1:16" ht="15" customHeight="1" x14ac:dyDescent="0.25">
      <c r="A668" s="1" t="s">
        <v>1351</v>
      </c>
      <c r="B668" s="2" t="s">
        <v>2543</v>
      </c>
      <c r="C668" t="b">
        <v>1</v>
      </c>
      <c r="D668" s="1" t="s">
        <v>2378</v>
      </c>
      <c r="E668" s="1" t="s">
        <v>2557</v>
      </c>
      <c r="F668" s="1" t="s">
        <v>1981</v>
      </c>
      <c r="G668" s="1"/>
      <c r="H668" s="1" t="s">
        <v>5</v>
      </c>
      <c r="I668">
        <v>1</v>
      </c>
      <c r="L668" s="1"/>
      <c r="M668" s="1"/>
      <c r="N668" s="1"/>
      <c r="O668" s="1"/>
      <c r="P668" s="1" t="s">
        <v>1533</v>
      </c>
    </row>
    <row r="669" spans="1:16" ht="15" customHeight="1" x14ac:dyDescent="0.25">
      <c r="A669" s="1" t="s">
        <v>1351</v>
      </c>
      <c r="B669" s="2" t="s">
        <v>2543</v>
      </c>
      <c r="C669" t="b">
        <v>1</v>
      </c>
      <c r="D669" s="1" t="s">
        <v>1347</v>
      </c>
      <c r="E669" s="1" t="s">
        <v>2558</v>
      </c>
      <c r="F669" s="1" t="s">
        <v>2572</v>
      </c>
      <c r="G669" s="1" t="s">
        <v>2586</v>
      </c>
      <c r="H669" s="1" t="s">
        <v>5</v>
      </c>
      <c r="I669">
        <v>3</v>
      </c>
      <c r="L669" s="1"/>
      <c r="M669" s="1"/>
      <c r="N669" s="1"/>
      <c r="O669" s="1"/>
      <c r="P669" s="1" t="s">
        <v>1533</v>
      </c>
    </row>
    <row r="670" spans="1:16" ht="15" customHeight="1" x14ac:dyDescent="0.25">
      <c r="A670" s="1" t="s">
        <v>1351</v>
      </c>
      <c r="B670" s="2" t="s">
        <v>2543</v>
      </c>
      <c r="C670" t="b">
        <v>1</v>
      </c>
      <c r="D670" s="1" t="s">
        <v>1348</v>
      </c>
      <c r="E670" s="1" t="s">
        <v>2559</v>
      </c>
      <c r="F670" s="1" t="s">
        <v>2573</v>
      </c>
      <c r="G670" s="1" t="s">
        <v>2587</v>
      </c>
      <c r="H670" s="1" t="s">
        <v>5</v>
      </c>
      <c r="I670">
        <v>3</v>
      </c>
      <c r="L670" s="1"/>
      <c r="M670" s="1"/>
      <c r="N670" s="1"/>
      <c r="O670" s="1"/>
      <c r="P670" s="1" t="s">
        <v>1533</v>
      </c>
    </row>
    <row r="671" spans="1:16" ht="15" customHeight="1" x14ac:dyDescent="0.25">
      <c r="A671" s="1" t="s">
        <v>1351</v>
      </c>
      <c r="B671" s="2" t="s">
        <v>2543</v>
      </c>
      <c r="C671" t="b">
        <v>1</v>
      </c>
      <c r="D671" s="1" t="s">
        <v>1349</v>
      </c>
      <c r="E671" s="1" t="s">
        <v>2560</v>
      </c>
      <c r="F671" s="1" t="s">
        <v>2574</v>
      </c>
      <c r="G671" s="1" t="s">
        <v>2588</v>
      </c>
      <c r="H671" s="1" t="s">
        <v>5</v>
      </c>
      <c r="I671">
        <v>3</v>
      </c>
      <c r="L671" s="1"/>
      <c r="M671" s="1"/>
      <c r="N671" s="1"/>
      <c r="O671" s="1"/>
      <c r="P671" s="1" t="s">
        <v>1533</v>
      </c>
    </row>
    <row r="672" spans="1:16" ht="15" customHeight="1" x14ac:dyDescent="0.25">
      <c r="A672" s="1" t="s">
        <v>1351</v>
      </c>
      <c r="B672" s="2" t="s">
        <v>2543</v>
      </c>
      <c r="C672" t="b">
        <v>1</v>
      </c>
      <c r="D672" s="1" t="s">
        <v>1344</v>
      </c>
      <c r="E672" s="1" t="s">
        <v>2561</v>
      </c>
      <c r="F672" s="1" t="s">
        <v>2575</v>
      </c>
      <c r="G672" s="1" t="s">
        <v>2589</v>
      </c>
      <c r="H672" s="1" t="s">
        <v>5</v>
      </c>
      <c r="I672">
        <v>2</v>
      </c>
      <c r="L672" s="1"/>
      <c r="M672" s="1"/>
      <c r="N672" s="1"/>
      <c r="O672" s="1"/>
      <c r="P672" s="1" t="s">
        <v>1533</v>
      </c>
    </row>
    <row r="673" spans="1:16" ht="15" customHeight="1" x14ac:dyDescent="0.25">
      <c r="A673" s="1" t="s">
        <v>1351</v>
      </c>
      <c r="B673" s="2" t="s">
        <v>2543</v>
      </c>
      <c r="C673" t="b">
        <v>1</v>
      </c>
      <c r="D673" s="1" t="s">
        <v>1350</v>
      </c>
      <c r="E673" s="1" t="s">
        <v>2562</v>
      </c>
      <c r="F673" s="1" t="s">
        <v>2576</v>
      </c>
      <c r="G673" s="1" t="s">
        <v>2590</v>
      </c>
      <c r="H673" s="1" t="s">
        <v>5</v>
      </c>
      <c r="I673">
        <v>1</v>
      </c>
      <c r="L673" s="1"/>
      <c r="M673" s="1"/>
      <c r="N673" s="1"/>
      <c r="O673" s="1"/>
      <c r="P673" s="1" t="s">
        <v>1533</v>
      </c>
    </row>
    <row r="674" spans="1:16" ht="15" customHeight="1" x14ac:dyDescent="0.25">
      <c r="A674" s="1" t="s">
        <v>1351</v>
      </c>
      <c r="B674" s="2" t="s">
        <v>2543</v>
      </c>
      <c r="C674" t="b">
        <v>1</v>
      </c>
      <c r="D674" s="1" t="s">
        <v>2548</v>
      </c>
      <c r="E674" s="1" t="s">
        <v>2563</v>
      </c>
      <c r="F674" s="1" t="s">
        <v>2577</v>
      </c>
      <c r="G674" s="1" t="s">
        <v>2591</v>
      </c>
      <c r="H674" s="1" t="s">
        <v>5</v>
      </c>
      <c r="I674">
        <v>1</v>
      </c>
      <c r="L674" s="1"/>
      <c r="M674" s="1"/>
      <c r="N674" s="1"/>
      <c r="O674" s="1"/>
      <c r="P674" s="1" t="s">
        <v>1533</v>
      </c>
    </row>
    <row r="675" spans="1:16" ht="15" customHeight="1" x14ac:dyDescent="0.25">
      <c r="A675" s="1" t="s">
        <v>1351</v>
      </c>
      <c r="B675" s="2" t="s">
        <v>2543</v>
      </c>
      <c r="C675" t="b">
        <v>1</v>
      </c>
      <c r="D675" s="1" t="s">
        <v>2549</v>
      </c>
      <c r="E675" s="1" t="s">
        <v>2564</v>
      </c>
      <c r="F675" s="1" t="s">
        <v>2578</v>
      </c>
      <c r="G675" s="1" t="s">
        <v>2592</v>
      </c>
      <c r="H675" s="1" t="s">
        <v>5</v>
      </c>
      <c r="I675">
        <v>1</v>
      </c>
      <c r="L675" s="1"/>
      <c r="M675" s="1"/>
      <c r="N675" s="1"/>
      <c r="O675" s="1"/>
      <c r="P675" s="1" t="s">
        <v>1533</v>
      </c>
    </row>
    <row r="676" spans="1:16" ht="15" customHeight="1" x14ac:dyDescent="0.25">
      <c r="A676" s="1" t="s">
        <v>1351</v>
      </c>
      <c r="B676" s="2" t="s">
        <v>2543</v>
      </c>
      <c r="C676" t="b">
        <v>1</v>
      </c>
      <c r="D676" s="1" t="s">
        <v>2550</v>
      </c>
      <c r="E676" s="1" t="s">
        <v>2565</v>
      </c>
      <c r="F676" s="1" t="s">
        <v>2579</v>
      </c>
      <c r="G676" s="1" t="s">
        <v>2593</v>
      </c>
      <c r="H676" s="1" t="s">
        <v>5</v>
      </c>
      <c r="I676">
        <v>1</v>
      </c>
      <c r="L676" s="1"/>
      <c r="M676" s="1"/>
      <c r="N676" s="1"/>
      <c r="O676" s="1"/>
      <c r="P676" s="1" t="s">
        <v>1533</v>
      </c>
    </row>
    <row r="677" spans="1:16" ht="15" customHeight="1" x14ac:dyDescent="0.25">
      <c r="A677" s="1" t="s">
        <v>1351</v>
      </c>
      <c r="B677" s="2" t="s">
        <v>2543</v>
      </c>
      <c r="D677" s="1"/>
      <c r="E677" s="1"/>
      <c r="F677" s="1"/>
      <c r="G677" s="1"/>
      <c r="H677" s="1"/>
      <c r="L677" s="1" t="s">
        <v>1524</v>
      </c>
      <c r="M677" s="1" t="s">
        <v>1525</v>
      </c>
      <c r="N677" s="1"/>
      <c r="O677" s="1"/>
      <c r="P677" s="1" t="s">
        <v>1533</v>
      </c>
    </row>
    <row r="678" spans="1:16" ht="15" customHeight="1" x14ac:dyDescent="0.25">
      <c r="A678" s="1" t="s">
        <v>1351</v>
      </c>
      <c r="B678" s="2" t="s">
        <v>2543</v>
      </c>
      <c r="D678" s="1"/>
      <c r="E678" s="1"/>
      <c r="F678" s="1"/>
      <c r="G678" s="1"/>
      <c r="H678" s="1"/>
      <c r="L678" s="1" t="s">
        <v>1524</v>
      </c>
      <c r="M678" s="1" t="s">
        <v>1526</v>
      </c>
      <c r="N678" s="1"/>
      <c r="O678" s="1"/>
      <c r="P678" s="1" t="s">
        <v>1533</v>
      </c>
    </row>
    <row r="679" spans="1:16" ht="15" customHeight="1" x14ac:dyDescent="0.25">
      <c r="A679" s="1" t="s">
        <v>1351</v>
      </c>
      <c r="B679" s="2" t="s">
        <v>2543</v>
      </c>
      <c r="D679" s="1"/>
      <c r="E679" s="1"/>
      <c r="F679" s="1"/>
      <c r="G679" s="1"/>
      <c r="H679" s="1"/>
      <c r="L679" s="1" t="s">
        <v>1524</v>
      </c>
      <c r="M679" s="1" t="s">
        <v>2594</v>
      </c>
      <c r="N679" s="1"/>
      <c r="O679" s="1"/>
      <c r="P679" s="1" t="s">
        <v>1533</v>
      </c>
    </row>
    <row r="680" spans="1:16" ht="15" customHeight="1" x14ac:dyDescent="0.25">
      <c r="A680" s="1" t="s">
        <v>1351</v>
      </c>
      <c r="B680" s="2" t="s">
        <v>2543</v>
      </c>
      <c r="D680" s="1"/>
      <c r="E680" s="1"/>
      <c r="F680" s="1"/>
      <c r="G680" s="1"/>
      <c r="H680" s="1"/>
      <c r="L680" s="1" t="s">
        <v>1524</v>
      </c>
      <c r="M680" s="1" t="s">
        <v>1527</v>
      </c>
      <c r="N680" s="1"/>
      <c r="O680" s="1"/>
      <c r="P680" s="1" t="s">
        <v>1533</v>
      </c>
    </row>
    <row r="681" spans="1:16" ht="15" customHeight="1" x14ac:dyDescent="0.25">
      <c r="A681" s="1" t="s">
        <v>1351</v>
      </c>
      <c r="B681" s="2" t="s">
        <v>2543</v>
      </c>
      <c r="D681" s="1"/>
      <c r="E681" s="1"/>
      <c r="F681" s="1"/>
      <c r="G681" s="1"/>
      <c r="H681" s="1"/>
      <c r="L681" s="1"/>
      <c r="M681" s="1"/>
      <c r="N681" s="1" t="s">
        <v>1529</v>
      </c>
      <c r="O681" s="1" t="s">
        <v>1577</v>
      </c>
      <c r="P681" s="1" t="s">
        <v>1533</v>
      </c>
    </row>
    <row r="682" spans="1:16" ht="15" customHeight="1" x14ac:dyDescent="0.25">
      <c r="A682" s="1" t="s">
        <v>1351</v>
      </c>
      <c r="B682" s="2" t="s">
        <v>2543</v>
      </c>
      <c r="D682" s="1"/>
      <c r="E682" s="1"/>
      <c r="F682" s="1"/>
      <c r="G682" s="1"/>
      <c r="H682" s="1"/>
      <c r="L682" s="1"/>
      <c r="M682" s="1"/>
      <c r="N682" s="1" t="s">
        <v>1529</v>
      </c>
      <c r="O682" s="1" t="s">
        <v>1577</v>
      </c>
      <c r="P682" s="1" t="s">
        <v>1533</v>
      </c>
    </row>
    <row r="683" spans="1:16" ht="15" customHeight="1" x14ac:dyDescent="0.25">
      <c r="A683" s="1" t="s">
        <v>1351</v>
      </c>
      <c r="B683" s="2" t="s">
        <v>2543</v>
      </c>
      <c r="D683" s="1"/>
      <c r="E683" s="1"/>
      <c r="F683" s="1"/>
      <c r="G683" s="1"/>
      <c r="H683" s="1"/>
      <c r="L683" s="1"/>
      <c r="M683" s="1"/>
      <c r="N683" s="1" t="s">
        <v>1529</v>
      </c>
      <c r="O683" s="1" t="s">
        <v>1578</v>
      </c>
      <c r="P683" s="1" t="s">
        <v>1533</v>
      </c>
    </row>
    <row r="684" spans="1:16" ht="15" customHeight="1" x14ac:dyDescent="0.25">
      <c r="A684" s="1" t="s">
        <v>1351</v>
      </c>
      <c r="B684" s="2" t="s">
        <v>2543</v>
      </c>
      <c r="D684" s="1"/>
      <c r="E684" s="1"/>
      <c r="F684" s="1"/>
      <c r="G684" s="1"/>
      <c r="H684" s="1"/>
      <c r="L684" s="1"/>
      <c r="M684" s="1"/>
      <c r="N684" s="1" t="s">
        <v>1529</v>
      </c>
      <c r="O684" s="1" t="s">
        <v>1578</v>
      </c>
      <c r="P684" s="1" t="s">
        <v>1533</v>
      </c>
    </row>
    <row r="685" spans="1:16" ht="15" customHeight="1" x14ac:dyDescent="0.25">
      <c r="A685" s="1" t="s">
        <v>1351</v>
      </c>
      <c r="B685" s="2" t="s">
        <v>2543</v>
      </c>
      <c r="D685" s="1"/>
      <c r="E685" s="1"/>
      <c r="F685" s="1"/>
      <c r="G685" s="1"/>
      <c r="H685" s="1"/>
      <c r="L685" s="1"/>
      <c r="M685" s="1"/>
      <c r="N685" s="1" t="s">
        <v>1529</v>
      </c>
      <c r="O685" s="1" t="s">
        <v>1578</v>
      </c>
      <c r="P685" s="1" t="s">
        <v>1533</v>
      </c>
    </row>
    <row r="686" spans="1:16" ht="15" customHeight="1" x14ac:dyDescent="0.25">
      <c r="A686" s="1" t="s">
        <v>1351</v>
      </c>
      <c r="B686" s="2" t="s">
        <v>2543</v>
      </c>
      <c r="D686" s="1"/>
      <c r="E686" s="1"/>
      <c r="F686" s="1"/>
      <c r="G686" s="1"/>
      <c r="H686" s="1"/>
      <c r="L686" s="1"/>
      <c r="M686" s="1"/>
      <c r="N686" s="1" t="s">
        <v>1529</v>
      </c>
      <c r="O686" s="1" t="s">
        <v>2595</v>
      </c>
      <c r="P686" s="1" t="s">
        <v>1533</v>
      </c>
    </row>
    <row r="687" spans="1:16" ht="15" customHeight="1" x14ac:dyDescent="0.25">
      <c r="A687" s="1" t="s">
        <v>1351</v>
      </c>
      <c r="B687" s="2" t="s">
        <v>2543</v>
      </c>
      <c r="D687" s="1"/>
      <c r="E687" s="1"/>
      <c r="F687" s="1"/>
      <c r="G687" s="1"/>
      <c r="H687" s="1"/>
      <c r="L687" s="1"/>
      <c r="M687" s="1"/>
      <c r="N687" s="1" t="s">
        <v>1529</v>
      </c>
      <c r="O687" s="1" t="s">
        <v>2595</v>
      </c>
      <c r="P687" s="1" t="s">
        <v>1533</v>
      </c>
    </row>
    <row r="688" spans="1:16" ht="15" customHeight="1" x14ac:dyDescent="0.25">
      <c r="A688" s="1" t="s">
        <v>1351</v>
      </c>
      <c r="B688" s="2" t="s">
        <v>2543</v>
      </c>
      <c r="D688" s="1"/>
      <c r="E688" s="1"/>
      <c r="F688" s="1"/>
      <c r="G688" s="1"/>
      <c r="H688" s="1"/>
      <c r="L688" s="1"/>
      <c r="M688" s="1"/>
      <c r="N688" s="1" t="s">
        <v>1529</v>
      </c>
      <c r="O688" s="1" t="s">
        <v>2595</v>
      </c>
      <c r="P688" s="1" t="s">
        <v>1533</v>
      </c>
    </row>
    <row r="689" spans="1:16" ht="15" customHeight="1" x14ac:dyDescent="0.25">
      <c r="A689" s="1" t="s">
        <v>1351</v>
      </c>
      <c r="B689" s="2" t="s">
        <v>2543</v>
      </c>
      <c r="D689" s="1"/>
      <c r="E689" s="1"/>
      <c r="F689" s="1"/>
      <c r="G689" s="1"/>
      <c r="H689" s="1"/>
      <c r="L689" s="1"/>
      <c r="M689" s="1"/>
      <c r="N689" s="1" t="s">
        <v>1529</v>
      </c>
      <c r="O689" s="1" t="s">
        <v>2595</v>
      </c>
      <c r="P689" s="1" t="s">
        <v>1533</v>
      </c>
    </row>
    <row r="690" spans="1:16" ht="15" customHeight="1" x14ac:dyDescent="0.25">
      <c r="A690" s="1" t="s">
        <v>1355</v>
      </c>
      <c r="B690" s="2" t="s">
        <v>2596</v>
      </c>
      <c r="C690" t="b">
        <v>0</v>
      </c>
      <c r="D690" s="1" t="s">
        <v>3</v>
      </c>
      <c r="E690" s="1" t="s">
        <v>1471</v>
      </c>
      <c r="F690" s="1" t="s">
        <v>1492</v>
      </c>
      <c r="G690" s="1"/>
      <c r="H690" s="1" t="s">
        <v>5</v>
      </c>
      <c r="I690">
        <v>18</v>
      </c>
      <c r="L690" s="1"/>
      <c r="M690" s="1"/>
      <c r="N690" s="1"/>
      <c r="O690" s="1"/>
      <c r="P690" s="1" t="s">
        <v>1533</v>
      </c>
    </row>
    <row r="691" spans="1:16" ht="15" customHeight="1" x14ac:dyDescent="0.25">
      <c r="A691" s="1" t="s">
        <v>1355</v>
      </c>
      <c r="B691" s="2" t="s">
        <v>2596</v>
      </c>
      <c r="C691" t="b">
        <v>1</v>
      </c>
      <c r="D691" s="1" t="s">
        <v>1370</v>
      </c>
      <c r="E691" s="1" t="s">
        <v>1472</v>
      </c>
      <c r="F691" s="1" t="s">
        <v>1493</v>
      </c>
      <c r="G691" s="1"/>
      <c r="H691" s="1" t="s">
        <v>5</v>
      </c>
      <c r="I691">
        <v>40</v>
      </c>
      <c r="L691" s="1"/>
      <c r="M691" s="1"/>
      <c r="N691" s="1"/>
      <c r="O691" s="1"/>
      <c r="P691" s="1" t="s">
        <v>1533</v>
      </c>
    </row>
    <row r="692" spans="1:16" ht="15" customHeight="1" x14ac:dyDescent="0.25">
      <c r="A692" s="1" t="s">
        <v>1355</v>
      </c>
      <c r="B692" s="2" t="s">
        <v>2596</v>
      </c>
      <c r="C692" t="b">
        <v>1</v>
      </c>
      <c r="D692" s="1" t="s">
        <v>1279</v>
      </c>
      <c r="E692" s="1" t="s">
        <v>1473</v>
      </c>
      <c r="F692" s="1" t="s">
        <v>1494</v>
      </c>
      <c r="G692" s="1" t="s">
        <v>1279</v>
      </c>
      <c r="H692" s="1" t="s">
        <v>5</v>
      </c>
      <c r="I692">
        <v>4</v>
      </c>
      <c r="L692" s="1"/>
      <c r="M692" s="1"/>
      <c r="N692" s="1"/>
      <c r="O692" s="1"/>
      <c r="P692" s="1" t="s">
        <v>1533</v>
      </c>
    </row>
    <row r="693" spans="1:16" ht="15" customHeight="1" x14ac:dyDescent="0.25">
      <c r="A693" s="1" t="s">
        <v>1355</v>
      </c>
      <c r="B693" s="2" t="s">
        <v>2596</v>
      </c>
      <c r="C693" t="b">
        <v>0</v>
      </c>
      <c r="D693" s="1" t="s">
        <v>1265</v>
      </c>
      <c r="E693" s="1" t="s">
        <v>1474</v>
      </c>
      <c r="F693" s="1" t="s">
        <v>1495</v>
      </c>
      <c r="G693" s="1"/>
      <c r="H693" s="1" t="s">
        <v>5</v>
      </c>
      <c r="I693">
        <v>4</v>
      </c>
      <c r="L693" s="1"/>
      <c r="M693" s="1"/>
      <c r="N693" s="1"/>
      <c r="O693" s="1"/>
      <c r="P693" s="1" t="s">
        <v>1533</v>
      </c>
    </row>
    <row r="694" spans="1:16" ht="15" customHeight="1" x14ac:dyDescent="0.25">
      <c r="A694" s="1" t="s">
        <v>1355</v>
      </c>
      <c r="B694" s="2" t="s">
        <v>2596</v>
      </c>
      <c r="C694" t="b">
        <v>0</v>
      </c>
      <c r="D694" s="1" t="s">
        <v>1343</v>
      </c>
      <c r="E694" s="1" t="s">
        <v>2551</v>
      </c>
      <c r="F694" s="1" t="s">
        <v>2566</v>
      </c>
      <c r="G694" s="1" t="s">
        <v>2580</v>
      </c>
      <c r="H694" s="1" t="s">
        <v>5</v>
      </c>
      <c r="I694">
        <v>3</v>
      </c>
      <c r="L694" s="1"/>
      <c r="M694" s="1"/>
      <c r="N694" s="1"/>
      <c r="O694" s="1"/>
      <c r="P694" s="1" t="s">
        <v>1533</v>
      </c>
    </row>
    <row r="695" spans="1:16" ht="15" customHeight="1" x14ac:dyDescent="0.25">
      <c r="A695" s="1" t="s">
        <v>1355</v>
      </c>
      <c r="B695" s="2" t="s">
        <v>2596</v>
      </c>
      <c r="C695" t="b">
        <v>1</v>
      </c>
      <c r="D695" s="1" t="s">
        <v>2597</v>
      </c>
      <c r="E695" s="1" t="s">
        <v>2603</v>
      </c>
      <c r="F695" s="1" t="s">
        <v>2612</v>
      </c>
      <c r="G695" s="1" t="s">
        <v>2621</v>
      </c>
      <c r="H695" s="1" t="s">
        <v>748</v>
      </c>
      <c r="J695">
        <v>13</v>
      </c>
      <c r="K695">
        <v>3</v>
      </c>
      <c r="L695" s="1"/>
      <c r="M695" s="1"/>
      <c r="N695" s="1"/>
      <c r="O695" s="1"/>
      <c r="P695" s="1" t="s">
        <v>1533</v>
      </c>
    </row>
    <row r="696" spans="1:16" ht="15" customHeight="1" x14ac:dyDescent="0.25">
      <c r="A696" s="1" t="s">
        <v>1355</v>
      </c>
      <c r="B696" s="2" t="s">
        <v>2596</v>
      </c>
      <c r="C696" t="b">
        <v>1</v>
      </c>
      <c r="D696" s="1" t="s">
        <v>2598</v>
      </c>
      <c r="E696" s="1" t="s">
        <v>2604</v>
      </c>
      <c r="F696" s="1" t="s">
        <v>2613</v>
      </c>
      <c r="G696" s="1" t="s">
        <v>2622</v>
      </c>
      <c r="H696" s="1" t="s">
        <v>5</v>
      </c>
      <c r="I696">
        <v>3</v>
      </c>
      <c r="L696" s="1"/>
      <c r="M696" s="1"/>
      <c r="N696" s="1"/>
      <c r="O696" s="1"/>
      <c r="P696" s="1" t="s">
        <v>1533</v>
      </c>
    </row>
    <row r="697" spans="1:16" ht="15" customHeight="1" x14ac:dyDescent="0.25">
      <c r="A697" s="1" t="s">
        <v>1355</v>
      </c>
      <c r="B697" s="2" t="s">
        <v>2596</v>
      </c>
      <c r="C697" t="b">
        <v>1</v>
      </c>
      <c r="D697" s="1" t="s">
        <v>1352</v>
      </c>
      <c r="E697" s="1" t="s">
        <v>2605</v>
      </c>
      <c r="F697" s="1" t="s">
        <v>2614</v>
      </c>
      <c r="G697" s="1" t="s">
        <v>2623</v>
      </c>
      <c r="H697" s="1" t="s">
        <v>5</v>
      </c>
      <c r="I697">
        <v>3</v>
      </c>
      <c r="L697" s="1"/>
      <c r="M697" s="1"/>
      <c r="N697" s="1"/>
      <c r="O697" s="1"/>
      <c r="P697" s="1" t="s">
        <v>1533</v>
      </c>
    </row>
    <row r="698" spans="1:16" ht="15" customHeight="1" x14ac:dyDescent="0.25">
      <c r="A698" s="1" t="s">
        <v>1355</v>
      </c>
      <c r="B698" s="2" t="s">
        <v>2596</v>
      </c>
      <c r="C698" t="b">
        <v>1</v>
      </c>
      <c r="D698" s="1" t="s">
        <v>2599</v>
      </c>
      <c r="E698" s="1" t="s">
        <v>2606</v>
      </c>
      <c r="F698" s="1" t="s">
        <v>2615</v>
      </c>
      <c r="G698" s="1" t="s">
        <v>2624</v>
      </c>
      <c r="H698" s="1" t="s">
        <v>748</v>
      </c>
      <c r="J698">
        <v>13</v>
      </c>
      <c r="K698">
        <v>3</v>
      </c>
      <c r="L698" s="1"/>
      <c r="M698" s="1"/>
      <c r="N698" s="1"/>
      <c r="O698" s="1"/>
      <c r="P698" s="1" t="s">
        <v>1533</v>
      </c>
    </row>
    <row r="699" spans="1:16" ht="15" customHeight="1" x14ac:dyDescent="0.25">
      <c r="A699" s="1" t="s">
        <v>1355</v>
      </c>
      <c r="B699" s="2" t="s">
        <v>2596</v>
      </c>
      <c r="C699" t="b">
        <v>1</v>
      </c>
      <c r="D699" s="1" t="s">
        <v>2600</v>
      </c>
      <c r="E699" s="1" t="s">
        <v>2607</v>
      </c>
      <c r="F699" s="1" t="s">
        <v>2616</v>
      </c>
      <c r="G699" s="1" t="s">
        <v>2625</v>
      </c>
      <c r="H699" s="1" t="s">
        <v>5</v>
      </c>
      <c r="I699">
        <v>3</v>
      </c>
      <c r="L699" s="1"/>
      <c r="M699" s="1"/>
      <c r="N699" s="1"/>
      <c r="O699" s="1"/>
      <c r="P699" s="1" t="s">
        <v>1533</v>
      </c>
    </row>
    <row r="700" spans="1:16" ht="15" customHeight="1" x14ac:dyDescent="0.25">
      <c r="A700" s="1" t="s">
        <v>1355</v>
      </c>
      <c r="B700" s="2" t="s">
        <v>2596</v>
      </c>
      <c r="C700" t="b">
        <v>1</v>
      </c>
      <c r="D700" s="1" t="s">
        <v>1353</v>
      </c>
      <c r="E700" s="1" t="s">
        <v>2608</v>
      </c>
      <c r="F700" s="1" t="s">
        <v>2617</v>
      </c>
      <c r="G700" s="1" t="s">
        <v>2626</v>
      </c>
      <c r="H700" s="1" t="s">
        <v>5</v>
      </c>
      <c r="I700">
        <v>3</v>
      </c>
      <c r="L700" s="1"/>
      <c r="M700" s="1"/>
      <c r="N700" s="1"/>
      <c r="O700" s="1"/>
      <c r="P700" s="1" t="s">
        <v>1533</v>
      </c>
    </row>
    <row r="701" spans="1:16" ht="15" customHeight="1" x14ac:dyDescent="0.25">
      <c r="A701" s="1" t="s">
        <v>1355</v>
      </c>
      <c r="B701" s="2" t="s">
        <v>2596</v>
      </c>
      <c r="C701" t="b">
        <v>1</v>
      </c>
      <c r="D701" s="1" t="s">
        <v>2601</v>
      </c>
      <c r="E701" s="1" t="s">
        <v>2609</v>
      </c>
      <c r="F701" s="1" t="s">
        <v>2618</v>
      </c>
      <c r="G701" s="1" t="s">
        <v>2627</v>
      </c>
      <c r="H701" s="1" t="s">
        <v>748</v>
      </c>
      <c r="J701">
        <v>13</v>
      </c>
      <c r="K701">
        <v>3</v>
      </c>
      <c r="L701" s="1"/>
      <c r="M701" s="1"/>
      <c r="N701" s="1"/>
      <c r="O701" s="1"/>
      <c r="P701" s="1" t="s">
        <v>1533</v>
      </c>
    </row>
    <row r="702" spans="1:16" ht="15" customHeight="1" x14ac:dyDescent="0.25">
      <c r="A702" s="1" t="s">
        <v>1355</v>
      </c>
      <c r="B702" s="2" t="s">
        <v>2596</v>
      </c>
      <c r="C702" t="b">
        <v>1</v>
      </c>
      <c r="D702" s="1" t="s">
        <v>2602</v>
      </c>
      <c r="E702" s="1" t="s">
        <v>2610</v>
      </c>
      <c r="F702" s="1" t="s">
        <v>2619</v>
      </c>
      <c r="G702" s="1" t="s">
        <v>2628</v>
      </c>
      <c r="H702" s="1" t="s">
        <v>5</v>
      </c>
      <c r="I702">
        <v>3</v>
      </c>
      <c r="L702" s="1"/>
      <c r="M702" s="1"/>
      <c r="N702" s="1"/>
      <c r="O702" s="1"/>
      <c r="P702" s="1" t="s">
        <v>1533</v>
      </c>
    </row>
    <row r="703" spans="1:16" ht="15" customHeight="1" x14ac:dyDescent="0.25">
      <c r="A703" s="1" t="s">
        <v>1355</v>
      </c>
      <c r="B703" s="2" t="s">
        <v>2596</v>
      </c>
      <c r="C703" t="b">
        <v>1</v>
      </c>
      <c r="D703" s="1" t="s">
        <v>1354</v>
      </c>
      <c r="E703" s="1" t="s">
        <v>2611</v>
      </c>
      <c r="F703" s="1" t="s">
        <v>2620</v>
      </c>
      <c r="G703" s="1" t="s">
        <v>2629</v>
      </c>
      <c r="H703" s="1" t="s">
        <v>5</v>
      </c>
      <c r="I703">
        <v>3</v>
      </c>
      <c r="L703" s="1"/>
      <c r="M703" s="1"/>
      <c r="N703" s="1"/>
      <c r="O703" s="1"/>
      <c r="P703" s="1" t="s">
        <v>1533</v>
      </c>
    </row>
    <row r="704" spans="1:16" ht="15" customHeight="1" x14ac:dyDescent="0.25">
      <c r="A704" s="1" t="s">
        <v>1355</v>
      </c>
      <c r="B704" s="2" t="s">
        <v>2596</v>
      </c>
      <c r="D704" s="1"/>
      <c r="E704" s="1"/>
      <c r="F704" s="1"/>
      <c r="G704" s="1"/>
      <c r="H704" s="1"/>
      <c r="L704" s="1" t="s">
        <v>1524</v>
      </c>
      <c r="M704" s="1" t="s">
        <v>1525</v>
      </c>
      <c r="N704" s="1"/>
      <c r="O704" s="1"/>
      <c r="P704" s="1" t="s">
        <v>1533</v>
      </c>
    </row>
    <row r="705" spans="1:16" ht="15" customHeight="1" x14ac:dyDescent="0.25">
      <c r="A705" s="1" t="s">
        <v>1355</v>
      </c>
      <c r="B705" s="2" t="s">
        <v>2596</v>
      </c>
      <c r="D705" s="1"/>
      <c r="E705" s="1"/>
      <c r="F705" s="1"/>
      <c r="G705" s="1"/>
      <c r="H705" s="1"/>
      <c r="L705" s="1" t="s">
        <v>1524</v>
      </c>
      <c r="M705" s="1" t="s">
        <v>1526</v>
      </c>
      <c r="N705" s="1"/>
      <c r="O705" s="1"/>
      <c r="P705" s="1" t="s">
        <v>1533</v>
      </c>
    </row>
    <row r="706" spans="1:16" ht="15" customHeight="1" x14ac:dyDescent="0.25">
      <c r="A706" s="1" t="s">
        <v>1355</v>
      </c>
      <c r="B706" s="2" t="s">
        <v>2596</v>
      </c>
      <c r="D706" s="1"/>
      <c r="E706" s="1"/>
      <c r="F706" s="1"/>
      <c r="G706" s="1"/>
      <c r="H706" s="1"/>
      <c r="L706" s="1" t="s">
        <v>1524</v>
      </c>
      <c r="M706" s="1" t="s">
        <v>2594</v>
      </c>
      <c r="N706" s="1"/>
      <c r="O706" s="1"/>
      <c r="P706" s="1" t="s">
        <v>1533</v>
      </c>
    </row>
    <row r="707" spans="1:16" ht="15" customHeight="1" x14ac:dyDescent="0.25">
      <c r="A707" s="1" t="s">
        <v>1355</v>
      </c>
      <c r="B707" s="2" t="s">
        <v>2596</v>
      </c>
      <c r="D707" s="1"/>
      <c r="E707" s="1"/>
      <c r="F707" s="1"/>
      <c r="G707" s="1"/>
      <c r="H707" s="1"/>
      <c r="L707" s="1" t="s">
        <v>1524</v>
      </c>
      <c r="M707" s="1" t="s">
        <v>1527</v>
      </c>
      <c r="N707" s="1"/>
      <c r="O707" s="1"/>
      <c r="P707" s="1" t="s">
        <v>1533</v>
      </c>
    </row>
    <row r="708" spans="1:16" ht="15" customHeight="1" x14ac:dyDescent="0.25">
      <c r="A708" s="1" t="s">
        <v>1355</v>
      </c>
      <c r="B708" s="2" t="s">
        <v>2596</v>
      </c>
      <c r="D708" s="1"/>
      <c r="E708" s="1"/>
      <c r="F708" s="1"/>
      <c r="G708" s="1"/>
      <c r="H708" s="1"/>
      <c r="L708" s="1"/>
      <c r="M708" s="1"/>
      <c r="N708" s="1" t="s">
        <v>1529</v>
      </c>
      <c r="O708" s="1" t="s">
        <v>1577</v>
      </c>
      <c r="P708" s="1" t="s">
        <v>1533</v>
      </c>
    </row>
    <row r="709" spans="1:16" ht="15" customHeight="1" x14ac:dyDescent="0.25">
      <c r="A709" s="1" t="s">
        <v>1355</v>
      </c>
      <c r="B709" s="2" t="s">
        <v>2596</v>
      </c>
      <c r="D709" s="1"/>
      <c r="E709" s="1"/>
      <c r="F709" s="1"/>
      <c r="G709" s="1"/>
      <c r="H709" s="1"/>
      <c r="L709" s="1"/>
      <c r="M709" s="1"/>
      <c r="N709" s="1" t="s">
        <v>1529</v>
      </c>
      <c r="O709" s="1" t="s">
        <v>1577</v>
      </c>
      <c r="P709" s="1" t="s">
        <v>1533</v>
      </c>
    </row>
    <row r="710" spans="1:16" ht="15" customHeight="1" x14ac:dyDescent="0.25">
      <c r="A710" s="1" t="s">
        <v>1355</v>
      </c>
      <c r="B710" s="2" t="s">
        <v>2596</v>
      </c>
      <c r="D710" s="1"/>
      <c r="E710" s="1"/>
      <c r="F710" s="1"/>
      <c r="G710" s="1"/>
      <c r="H710" s="1"/>
      <c r="L710" s="1"/>
      <c r="M710" s="1"/>
      <c r="N710" s="1" t="s">
        <v>1529</v>
      </c>
      <c r="O710" s="1" t="s">
        <v>1578</v>
      </c>
      <c r="P710" s="1" t="s">
        <v>1533</v>
      </c>
    </row>
    <row r="711" spans="1:16" ht="15" customHeight="1" x14ac:dyDescent="0.25">
      <c r="A711" s="1" t="s">
        <v>1355</v>
      </c>
      <c r="B711" s="2" t="s">
        <v>2596</v>
      </c>
      <c r="D711" s="1"/>
      <c r="E711" s="1"/>
      <c r="F711" s="1"/>
      <c r="G711" s="1"/>
      <c r="H711" s="1"/>
      <c r="L711" s="1"/>
      <c r="M711" s="1"/>
      <c r="N711" s="1" t="s">
        <v>1529</v>
      </c>
      <c r="O711" s="1" t="s">
        <v>1578</v>
      </c>
      <c r="P711" s="1" t="s">
        <v>1533</v>
      </c>
    </row>
    <row r="712" spans="1:16" ht="15" customHeight="1" x14ac:dyDescent="0.25">
      <c r="A712" s="1" t="s">
        <v>1355</v>
      </c>
      <c r="B712" s="2" t="s">
        <v>2596</v>
      </c>
      <c r="D712" s="1"/>
      <c r="E712" s="1"/>
      <c r="F712" s="1"/>
      <c r="G712" s="1"/>
      <c r="H712" s="1"/>
      <c r="L712" s="1"/>
      <c r="M712" s="1"/>
      <c r="N712" s="1" t="s">
        <v>1529</v>
      </c>
      <c r="O712" s="1" t="s">
        <v>1578</v>
      </c>
      <c r="P712" s="1" t="s">
        <v>1533</v>
      </c>
    </row>
    <row r="713" spans="1:16" ht="15" customHeight="1" x14ac:dyDescent="0.25">
      <c r="A713" s="1" t="s">
        <v>1355</v>
      </c>
      <c r="B713" s="2" t="s">
        <v>2596</v>
      </c>
      <c r="D713" s="1"/>
      <c r="E713" s="1"/>
      <c r="F713" s="1"/>
      <c r="G713" s="1"/>
      <c r="H713" s="1"/>
      <c r="L713" s="1"/>
      <c r="M713" s="1"/>
      <c r="N713" s="1" t="s">
        <v>1529</v>
      </c>
      <c r="O713" s="1" t="s">
        <v>2595</v>
      </c>
      <c r="P713" s="1" t="s">
        <v>1533</v>
      </c>
    </row>
    <row r="714" spans="1:16" ht="15" customHeight="1" x14ac:dyDescent="0.25">
      <c r="A714" s="1" t="s">
        <v>1355</v>
      </c>
      <c r="B714" s="2" t="s">
        <v>2596</v>
      </c>
      <c r="D714" s="1"/>
      <c r="E714" s="1"/>
      <c r="F714" s="1"/>
      <c r="G714" s="1"/>
      <c r="H714" s="1"/>
      <c r="L714" s="1"/>
      <c r="M714" s="1"/>
      <c r="N714" s="1" t="s">
        <v>1529</v>
      </c>
      <c r="O714" s="1" t="s">
        <v>2595</v>
      </c>
      <c r="P714" s="1" t="s">
        <v>1533</v>
      </c>
    </row>
    <row r="715" spans="1:16" ht="15" customHeight="1" x14ac:dyDescent="0.25">
      <c r="A715" s="1" t="s">
        <v>1355</v>
      </c>
      <c r="B715" s="2" t="s">
        <v>2596</v>
      </c>
      <c r="D715" s="1"/>
      <c r="E715" s="1"/>
      <c r="F715" s="1"/>
      <c r="G715" s="1"/>
      <c r="H715" s="1"/>
      <c r="L715" s="1"/>
      <c r="M715" s="1"/>
      <c r="N715" s="1" t="s">
        <v>1529</v>
      </c>
      <c r="O715" s="1" t="s">
        <v>2595</v>
      </c>
      <c r="P715" s="1" t="s">
        <v>1533</v>
      </c>
    </row>
    <row r="716" spans="1:16" ht="15" customHeight="1" x14ac:dyDescent="0.25">
      <c r="A716" s="1" t="s">
        <v>1355</v>
      </c>
      <c r="B716" s="2" t="s">
        <v>2596</v>
      </c>
      <c r="D716" s="1"/>
      <c r="E716" s="1"/>
      <c r="F716" s="1"/>
      <c r="G716" s="1"/>
      <c r="H716" s="1"/>
      <c r="L716" s="1"/>
      <c r="M716" s="1"/>
      <c r="N716" s="1" t="s">
        <v>1529</v>
      </c>
      <c r="O716" s="1" t="s">
        <v>2595</v>
      </c>
      <c r="P716" s="1" t="s">
        <v>1533</v>
      </c>
    </row>
    <row r="717" spans="1:16" ht="15" customHeight="1" x14ac:dyDescent="0.25">
      <c r="A717" s="1" t="s">
        <v>1437</v>
      </c>
      <c r="B717" s="2" t="s">
        <v>2630</v>
      </c>
      <c r="C717" t="b">
        <v>0</v>
      </c>
      <c r="D717" s="1" t="s">
        <v>3</v>
      </c>
      <c r="E717" s="1" t="s">
        <v>1471</v>
      </c>
      <c r="F717" s="1" t="s">
        <v>1492</v>
      </c>
      <c r="G717" s="1"/>
      <c r="H717" s="1" t="s">
        <v>5</v>
      </c>
      <c r="I717">
        <v>18</v>
      </c>
      <c r="L717" s="1"/>
      <c r="M717" s="1"/>
      <c r="N717" s="1"/>
      <c r="O717" s="1"/>
      <c r="P717" s="1" t="s">
        <v>1533</v>
      </c>
    </row>
    <row r="718" spans="1:16" ht="15" customHeight="1" x14ac:dyDescent="0.25">
      <c r="A718" s="1" t="s">
        <v>1437</v>
      </c>
      <c r="B718" s="2" t="s">
        <v>2630</v>
      </c>
      <c r="C718" t="b">
        <v>1</v>
      </c>
      <c r="D718" s="1" t="s">
        <v>1370</v>
      </c>
      <c r="E718" s="1" t="s">
        <v>1472</v>
      </c>
      <c r="F718" s="1" t="s">
        <v>1493</v>
      </c>
      <c r="G718" s="1"/>
      <c r="H718" s="1" t="s">
        <v>5</v>
      </c>
      <c r="I718">
        <v>40</v>
      </c>
      <c r="L718" s="1"/>
      <c r="M718" s="1"/>
      <c r="N718" s="1"/>
      <c r="O718" s="1"/>
      <c r="P718" s="1" t="s">
        <v>1533</v>
      </c>
    </row>
    <row r="719" spans="1:16" ht="15" customHeight="1" x14ac:dyDescent="0.25">
      <c r="A719" s="1" t="s">
        <v>1437</v>
      </c>
      <c r="B719" s="2" t="s">
        <v>2630</v>
      </c>
      <c r="C719" t="b">
        <v>1</v>
      </c>
      <c r="D719" s="1" t="s">
        <v>1279</v>
      </c>
      <c r="E719" s="1" t="s">
        <v>1473</v>
      </c>
      <c r="F719" s="1" t="s">
        <v>1494</v>
      </c>
      <c r="G719" s="1" t="s">
        <v>1279</v>
      </c>
      <c r="H719" s="1" t="s">
        <v>5</v>
      </c>
      <c r="I719">
        <v>4</v>
      </c>
      <c r="L719" s="1"/>
      <c r="M719" s="1"/>
      <c r="N719" s="1"/>
      <c r="O719" s="1"/>
      <c r="P719" s="1" t="s">
        <v>1533</v>
      </c>
    </row>
    <row r="720" spans="1:16" ht="15" customHeight="1" x14ac:dyDescent="0.25">
      <c r="A720" s="1" t="s">
        <v>1437</v>
      </c>
      <c r="B720" s="2" t="s">
        <v>2630</v>
      </c>
      <c r="C720" t="b">
        <v>0</v>
      </c>
      <c r="D720" s="1" t="s">
        <v>1265</v>
      </c>
      <c r="E720" s="1" t="s">
        <v>1474</v>
      </c>
      <c r="F720" s="1" t="s">
        <v>1495</v>
      </c>
      <c r="G720" s="1"/>
      <c r="H720" s="1" t="s">
        <v>5</v>
      </c>
      <c r="I720">
        <v>4</v>
      </c>
      <c r="L720" s="1"/>
      <c r="M720" s="1"/>
      <c r="N720" s="1"/>
      <c r="O720" s="1"/>
      <c r="P720" s="1" t="s">
        <v>1533</v>
      </c>
    </row>
    <row r="721" spans="1:16" ht="15" customHeight="1" x14ac:dyDescent="0.25">
      <c r="A721" s="1" t="s">
        <v>1437</v>
      </c>
      <c r="B721" s="2" t="s">
        <v>2630</v>
      </c>
      <c r="C721" t="b">
        <v>1</v>
      </c>
      <c r="D721" s="1" t="s">
        <v>2008</v>
      </c>
      <c r="E721" s="1" t="s">
        <v>1475</v>
      </c>
      <c r="F721" s="1" t="s">
        <v>1496</v>
      </c>
      <c r="G721" s="1"/>
      <c r="H721" s="1" t="s">
        <v>5</v>
      </c>
      <c r="I721">
        <v>3</v>
      </c>
      <c r="L721" s="1"/>
      <c r="M721" s="1"/>
      <c r="N721" s="1"/>
      <c r="O721" s="1"/>
      <c r="P721" s="1" t="s">
        <v>1533</v>
      </c>
    </row>
    <row r="722" spans="1:16" ht="15" customHeight="1" x14ac:dyDescent="0.25">
      <c r="A722" s="1" t="s">
        <v>1437</v>
      </c>
      <c r="B722" s="2" t="s">
        <v>2630</v>
      </c>
      <c r="C722" t="b">
        <v>1</v>
      </c>
      <c r="D722" s="1" t="s">
        <v>2349</v>
      </c>
      <c r="E722" s="1" t="s">
        <v>1943</v>
      </c>
      <c r="F722" s="1" t="s">
        <v>1966</v>
      </c>
      <c r="G722" s="1"/>
      <c r="H722" s="1" t="s">
        <v>5</v>
      </c>
      <c r="I722">
        <v>3</v>
      </c>
      <c r="L722" s="1"/>
      <c r="M722" s="1"/>
      <c r="N722" s="1"/>
      <c r="O722" s="1"/>
      <c r="P722" s="1" t="s">
        <v>1533</v>
      </c>
    </row>
    <row r="723" spans="1:16" ht="15" customHeight="1" x14ac:dyDescent="0.25">
      <c r="A723" s="1" t="s">
        <v>1437</v>
      </c>
      <c r="B723" s="2" t="s">
        <v>2630</v>
      </c>
      <c r="C723" t="b">
        <v>1</v>
      </c>
      <c r="D723" s="1" t="s">
        <v>2631</v>
      </c>
      <c r="E723" s="1" t="s">
        <v>2648</v>
      </c>
      <c r="F723" s="1" t="s">
        <v>2660</v>
      </c>
      <c r="G723" s="1"/>
      <c r="H723" s="1" t="s">
        <v>5</v>
      </c>
      <c r="I723">
        <v>3</v>
      </c>
      <c r="L723" s="1"/>
      <c r="M723" s="1"/>
      <c r="N723" s="1"/>
      <c r="O723" s="1"/>
      <c r="P723" s="1" t="s">
        <v>1533</v>
      </c>
    </row>
    <row r="724" spans="1:16" ht="15" customHeight="1" x14ac:dyDescent="0.25">
      <c r="A724" s="1" t="s">
        <v>1437</v>
      </c>
      <c r="B724" s="2" t="s">
        <v>2630</v>
      </c>
      <c r="C724" t="b">
        <v>1</v>
      </c>
      <c r="D724" s="1" t="s">
        <v>2632</v>
      </c>
      <c r="E724" s="1" t="s">
        <v>1748</v>
      </c>
      <c r="F724" s="1" t="s">
        <v>1768</v>
      </c>
      <c r="G724" s="1"/>
      <c r="H724" s="1" t="s">
        <v>5</v>
      </c>
      <c r="I724">
        <v>2</v>
      </c>
      <c r="L724" s="1"/>
      <c r="M724" s="1"/>
      <c r="N724" s="1"/>
      <c r="O724" s="1"/>
      <c r="P724" s="1" t="s">
        <v>1533</v>
      </c>
    </row>
    <row r="725" spans="1:16" ht="15" customHeight="1" x14ac:dyDescent="0.25">
      <c r="A725" s="1" t="s">
        <v>1437</v>
      </c>
      <c r="B725" s="2" t="s">
        <v>2630</v>
      </c>
      <c r="C725" t="b">
        <v>1</v>
      </c>
      <c r="D725" s="1" t="s">
        <v>1470</v>
      </c>
      <c r="E725" s="1" t="s">
        <v>1749</v>
      </c>
      <c r="F725" s="1" t="s">
        <v>1769</v>
      </c>
      <c r="G725" s="1"/>
      <c r="H725" s="1" t="s">
        <v>28</v>
      </c>
      <c r="L725" s="1"/>
      <c r="M725" s="1"/>
      <c r="N725" s="1"/>
      <c r="O725" s="1"/>
      <c r="P725" s="1" t="s">
        <v>1533</v>
      </c>
    </row>
    <row r="726" spans="1:16" ht="15" customHeight="1" x14ac:dyDescent="0.25">
      <c r="A726" s="1" t="s">
        <v>1437</v>
      </c>
      <c r="B726" s="2" t="s">
        <v>2630</v>
      </c>
      <c r="C726" t="b">
        <v>1</v>
      </c>
      <c r="D726" s="1" t="s">
        <v>2633</v>
      </c>
      <c r="E726" s="1" t="s">
        <v>2649</v>
      </c>
      <c r="F726" s="1" t="s">
        <v>2661</v>
      </c>
      <c r="G726" s="1"/>
      <c r="H726" s="1" t="s">
        <v>5</v>
      </c>
      <c r="I726">
        <v>3</v>
      </c>
      <c r="L726" s="1"/>
      <c r="M726" s="1"/>
      <c r="N726" s="1"/>
      <c r="O726" s="1"/>
      <c r="P726" s="1" t="s">
        <v>1533</v>
      </c>
    </row>
    <row r="727" spans="1:16" ht="15" customHeight="1" x14ac:dyDescent="0.25">
      <c r="A727" s="1" t="s">
        <v>1437</v>
      </c>
      <c r="B727" s="2" t="s">
        <v>2630</v>
      </c>
      <c r="C727" t="b">
        <v>1</v>
      </c>
      <c r="D727" s="1" t="s">
        <v>2634</v>
      </c>
      <c r="E727" s="1" t="s">
        <v>1857</v>
      </c>
      <c r="F727" s="1" t="s">
        <v>1866</v>
      </c>
      <c r="G727" s="1"/>
      <c r="H727" s="1" t="s">
        <v>5</v>
      </c>
      <c r="I727">
        <v>4</v>
      </c>
      <c r="L727" s="1"/>
      <c r="M727" s="1"/>
      <c r="N727" s="1"/>
      <c r="O727" s="1"/>
      <c r="P727" s="1" t="s">
        <v>1533</v>
      </c>
    </row>
    <row r="728" spans="1:16" ht="15" customHeight="1" x14ac:dyDescent="0.25">
      <c r="A728" s="1" t="s">
        <v>1437</v>
      </c>
      <c r="B728" s="2" t="s">
        <v>2630</v>
      </c>
      <c r="C728" t="b">
        <v>1</v>
      </c>
      <c r="D728" s="1" t="s">
        <v>2635</v>
      </c>
      <c r="E728" s="1" t="s">
        <v>2650</v>
      </c>
      <c r="F728" s="1" t="s">
        <v>2662</v>
      </c>
      <c r="G728" s="1"/>
      <c r="H728" s="1" t="s">
        <v>5</v>
      </c>
      <c r="I728">
        <v>6</v>
      </c>
      <c r="L728" s="1"/>
      <c r="M728" s="1"/>
      <c r="N728" s="1"/>
      <c r="O728" s="1"/>
      <c r="P728" s="1" t="s">
        <v>1533</v>
      </c>
    </row>
    <row r="729" spans="1:16" ht="15" customHeight="1" x14ac:dyDescent="0.25">
      <c r="A729" s="1" t="s">
        <v>1437</v>
      </c>
      <c r="B729" s="2" t="s">
        <v>2630</v>
      </c>
      <c r="C729" t="b">
        <v>1</v>
      </c>
      <c r="D729" s="1" t="s">
        <v>2636</v>
      </c>
      <c r="E729" s="1" t="s">
        <v>2651</v>
      </c>
      <c r="F729" s="1" t="s">
        <v>2663</v>
      </c>
      <c r="G729" s="1"/>
      <c r="H729" s="1" t="s">
        <v>5</v>
      </c>
      <c r="I729">
        <v>20</v>
      </c>
      <c r="L729" s="1"/>
      <c r="M729" s="1"/>
      <c r="N729" s="1"/>
      <c r="O729" s="1"/>
      <c r="P729" s="1" t="s">
        <v>1533</v>
      </c>
    </row>
    <row r="730" spans="1:16" ht="15" customHeight="1" x14ac:dyDescent="0.25">
      <c r="A730" s="1" t="s">
        <v>1437</v>
      </c>
      <c r="B730" s="2" t="s">
        <v>2630</v>
      </c>
      <c r="C730" t="b">
        <v>1</v>
      </c>
      <c r="D730" s="1" t="s">
        <v>1452</v>
      </c>
      <c r="E730" s="1" t="s">
        <v>1997</v>
      </c>
      <c r="F730" s="1" t="s">
        <v>2003</v>
      </c>
      <c r="G730" s="1"/>
      <c r="H730" s="1" t="s">
        <v>5</v>
      </c>
      <c r="I730">
        <v>4</v>
      </c>
      <c r="L730" s="1"/>
      <c r="M730" s="1"/>
      <c r="N730" s="1"/>
      <c r="O730" s="1"/>
      <c r="P730" s="1" t="s">
        <v>1533</v>
      </c>
    </row>
    <row r="731" spans="1:16" ht="15" customHeight="1" x14ac:dyDescent="0.25">
      <c r="A731" s="1" t="s">
        <v>1437</v>
      </c>
      <c r="B731" s="2" t="s">
        <v>2630</v>
      </c>
      <c r="C731" t="b">
        <v>1</v>
      </c>
      <c r="D731" s="1" t="s">
        <v>1451</v>
      </c>
      <c r="E731" s="1" t="s">
        <v>1998</v>
      </c>
      <c r="F731" s="1" t="s">
        <v>2004</v>
      </c>
      <c r="G731" s="1"/>
      <c r="H731" s="1" t="s">
        <v>5</v>
      </c>
      <c r="I731">
        <v>1</v>
      </c>
      <c r="L731" s="1"/>
      <c r="M731" s="1"/>
      <c r="N731" s="1"/>
      <c r="O731" s="1"/>
      <c r="P731" s="1" t="s">
        <v>1533</v>
      </c>
    </row>
    <row r="732" spans="1:16" ht="15" customHeight="1" x14ac:dyDescent="0.25">
      <c r="A732" s="1" t="s">
        <v>1437</v>
      </c>
      <c r="B732" s="2" t="s">
        <v>2630</v>
      </c>
      <c r="C732" t="b">
        <v>1</v>
      </c>
      <c r="D732" s="1" t="s">
        <v>1436</v>
      </c>
      <c r="E732" s="1" t="s">
        <v>2652</v>
      </c>
      <c r="F732" s="1" t="s">
        <v>2664</v>
      </c>
      <c r="G732" s="1"/>
      <c r="H732" s="1" t="s">
        <v>5</v>
      </c>
      <c r="I732">
        <v>6</v>
      </c>
      <c r="L732" s="1"/>
      <c r="M732" s="1"/>
      <c r="N732" s="1"/>
      <c r="O732" s="1"/>
      <c r="P732" s="1" t="s">
        <v>1533</v>
      </c>
    </row>
    <row r="733" spans="1:16" ht="15" customHeight="1" x14ac:dyDescent="0.25">
      <c r="A733" s="1" t="s">
        <v>1437</v>
      </c>
      <c r="B733" s="2" t="s">
        <v>2630</v>
      </c>
      <c r="C733" t="b">
        <v>1</v>
      </c>
      <c r="D733" s="1" t="s">
        <v>2637</v>
      </c>
      <c r="E733" s="1" t="s">
        <v>2291</v>
      </c>
      <c r="F733" s="1" t="s">
        <v>2313</v>
      </c>
      <c r="G733" s="1"/>
      <c r="H733" s="1" t="s">
        <v>5</v>
      </c>
      <c r="I733">
        <v>1</v>
      </c>
      <c r="L733" s="1"/>
      <c r="M733" s="1"/>
      <c r="N733" s="1"/>
      <c r="O733" s="1"/>
      <c r="P733" s="1" t="s">
        <v>1533</v>
      </c>
    </row>
    <row r="734" spans="1:16" ht="15" customHeight="1" x14ac:dyDescent="0.25">
      <c r="A734" s="1" t="s">
        <v>1437</v>
      </c>
      <c r="B734" s="2" t="s">
        <v>2630</v>
      </c>
      <c r="C734" t="b">
        <v>1</v>
      </c>
      <c r="D734" s="1" t="s">
        <v>2271</v>
      </c>
      <c r="E734" s="1" t="s">
        <v>2292</v>
      </c>
      <c r="F734" s="1" t="s">
        <v>2314</v>
      </c>
      <c r="G734" s="1"/>
      <c r="H734" s="1" t="s">
        <v>5</v>
      </c>
      <c r="I734">
        <v>1</v>
      </c>
      <c r="L734" s="1"/>
      <c r="M734" s="1"/>
      <c r="N734" s="1"/>
      <c r="O734" s="1"/>
      <c r="P734" s="1" t="s">
        <v>1533</v>
      </c>
    </row>
    <row r="735" spans="1:16" ht="15" customHeight="1" x14ac:dyDescent="0.25">
      <c r="A735" s="1" t="s">
        <v>1437</v>
      </c>
      <c r="B735" s="2" t="s">
        <v>2630</v>
      </c>
      <c r="C735" t="b">
        <v>1</v>
      </c>
      <c r="D735" s="1" t="s">
        <v>2638</v>
      </c>
      <c r="E735" s="1" t="s">
        <v>1760</v>
      </c>
      <c r="F735" s="1" t="s">
        <v>1780</v>
      </c>
      <c r="G735" s="1"/>
      <c r="H735" s="1" t="s">
        <v>5</v>
      </c>
      <c r="I735">
        <v>1</v>
      </c>
      <c r="L735" s="1"/>
      <c r="M735" s="1"/>
      <c r="N735" s="1"/>
      <c r="O735" s="1"/>
      <c r="P735" s="1" t="s">
        <v>1533</v>
      </c>
    </row>
    <row r="736" spans="1:16" ht="15" customHeight="1" x14ac:dyDescent="0.25">
      <c r="A736" s="1" t="s">
        <v>1437</v>
      </c>
      <c r="B736" s="2" t="s">
        <v>2630</v>
      </c>
      <c r="C736" t="b">
        <v>1</v>
      </c>
      <c r="D736" s="1" t="s">
        <v>2639</v>
      </c>
      <c r="E736" s="1" t="s">
        <v>1955</v>
      </c>
      <c r="F736" s="1" t="s">
        <v>1978</v>
      </c>
      <c r="G736" s="1"/>
      <c r="H736" s="1" t="s">
        <v>5</v>
      </c>
      <c r="I736">
        <v>1</v>
      </c>
      <c r="L736" s="1"/>
      <c r="M736" s="1"/>
      <c r="N736" s="1"/>
      <c r="O736" s="1"/>
      <c r="P736" s="1" t="s">
        <v>1533</v>
      </c>
    </row>
    <row r="737" spans="1:16" ht="15" customHeight="1" x14ac:dyDescent="0.25">
      <c r="A737" s="1" t="s">
        <v>1437</v>
      </c>
      <c r="B737" s="2" t="s">
        <v>2630</v>
      </c>
      <c r="C737" t="b">
        <v>1</v>
      </c>
      <c r="D737" s="1" t="s">
        <v>1285</v>
      </c>
      <c r="E737" s="1" t="s">
        <v>2093</v>
      </c>
      <c r="F737" s="1" t="s">
        <v>2114</v>
      </c>
      <c r="G737" s="1"/>
      <c r="H737" s="1" t="s">
        <v>5</v>
      </c>
      <c r="I737">
        <v>1</v>
      </c>
      <c r="L737" s="1"/>
      <c r="M737" s="1"/>
      <c r="N737" s="1"/>
      <c r="O737" s="1"/>
      <c r="P737" s="1" t="s">
        <v>1533</v>
      </c>
    </row>
    <row r="738" spans="1:16" ht="15" customHeight="1" x14ac:dyDescent="0.25">
      <c r="A738" s="1" t="s">
        <v>1437</v>
      </c>
      <c r="B738" s="2" t="s">
        <v>2630</v>
      </c>
      <c r="C738" t="b">
        <v>1</v>
      </c>
      <c r="D738" s="1" t="s">
        <v>2640</v>
      </c>
      <c r="E738" s="1" t="s">
        <v>1958</v>
      </c>
      <c r="F738" s="1" t="s">
        <v>1981</v>
      </c>
      <c r="G738" s="1"/>
      <c r="H738" s="1" t="s">
        <v>5</v>
      </c>
      <c r="I738">
        <v>1</v>
      </c>
      <c r="L738" s="1"/>
      <c r="M738" s="1"/>
      <c r="N738" s="1"/>
      <c r="O738" s="1"/>
      <c r="P738" s="1" t="s">
        <v>1533</v>
      </c>
    </row>
    <row r="739" spans="1:16" ht="15" customHeight="1" x14ac:dyDescent="0.25">
      <c r="A739" s="1" t="s">
        <v>1437</v>
      </c>
      <c r="B739" s="2" t="s">
        <v>2630</v>
      </c>
      <c r="C739" t="b">
        <v>1</v>
      </c>
      <c r="D739" s="1" t="s">
        <v>1311</v>
      </c>
      <c r="E739" s="1" t="s">
        <v>1956</v>
      </c>
      <c r="F739" s="1" t="s">
        <v>1979</v>
      </c>
      <c r="G739" s="1"/>
      <c r="H739" s="1" t="s">
        <v>5</v>
      </c>
      <c r="I739">
        <v>1</v>
      </c>
      <c r="L739" s="1"/>
      <c r="M739" s="1"/>
      <c r="N739" s="1"/>
      <c r="O739" s="1"/>
      <c r="P739" s="1" t="s">
        <v>1533</v>
      </c>
    </row>
    <row r="740" spans="1:16" ht="15" customHeight="1" x14ac:dyDescent="0.25">
      <c r="A740" s="1" t="s">
        <v>1437</v>
      </c>
      <c r="B740" s="2" t="s">
        <v>2630</v>
      </c>
      <c r="C740" t="b">
        <v>1</v>
      </c>
      <c r="D740" s="1" t="s">
        <v>2259</v>
      </c>
      <c r="E740" s="1" t="s">
        <v>1957</v>
      </c>
      <c r="F740" s="1" t="s">
        <v>1980</v>
      </c>
      <c r="G740" s="1"/>
      <c r="H740" s="1" t="s">
        <v>5</v>
      </c>
      <c r="I740">
        <v>18</v>
      </c>
      <c r="L740" s="1"/>
      <c r="M740" s="1"/>
      <c r="N740" s="1"/>
      <c r="O740" s="1"/>
      <c r="P740" s="1" t="s">
        <v>1533</v>
      </c>
    </row>
    <row r="741" spans="1:16" ht="15" customHeight="1" x14ac:dyDescent="0.25">
      <c r="A741" s="1" t="s">
        <v>1437</v>
      </c>
      <c r="B741" s="2" t="s">
        <v>2630</v>
      </c>
      <c r="C741" t="b">
        <v>1</v>
      </c>
      <c r="D741" s="1" t="s">
        <v>2641</v>
      </c>
      <c r="E741" s="1" t="s">
        <v>2653</v>
      </c>
      <c r="F741" s="1" t="s">
        <v>2665</v>
      </c>
      <c r="G741" s="1"/>
      <c r="H741" s="1" t="s">
        <v>748</v>
      </c>
      <c r="J741">
        <v>3</v>
      </c>
      <c r="K741">
        <v>0</v>
      </c>
      <c r="L741" s="1"/>
      <c r="M741" s="1"/>
      <c r="N741" s="1"/>
      <c r="O741" s="1"/>
      <c r="P741" s="1" t="s">
        <v>1533</v>
      </c>
    </row>
    <row r="742" spans="1:16" ht="15" customHeight="1" x14ac:dyDescent="0.25">
      <c r="A742" s="1" t="s">
        <v>1437</v>
      </c>
      <c r="B742" s="2" t="s">
        <v>2630</v>
      </c>
      <c r="C742" t="b">
        <v>1</v>
      </c>
      <c r="D742" s="1" t="s">
        <v>2642</v>
      </c>
      <c r="E742" s="1" t="s">
        <v>2654</v>
      </c>
      <c r="F742" s="1" t="s">
        <v>2666</v>
      </c>
      <c r="G742" s="1"/>
      <c r="H742" s="1" t="s">
        <v>748</v>
      </c>
      <c r="J742">
        <v>3</v>
      </c>
      <c r="K742">
        <v>0</v>
      </c>
      <c r="L742" s="1"/>
      <c r="M742" s="1"/>
      <c r="N742" s="1"/>
      <c r="O742" s="1"/>
      <c r="P742" s="1" t="s">
        <v>1533</v>
      </c>
    </row>
    <row r="743" spans="1:16" ht="15" customHeight="1" x14ac:dyDescent="0.25">
      <c r="A743" s="1" t="s">
        <v>1437</v>
      </c>
      <c r="B743" s="2" t="s">
        <v>2630</v>
      </c>
      <c r="C743" t="b">
        <v>1</v>
      </c>
      <c r="D743" s="1" t="s">
        <v>2643</v>
      </c>
      <c r="E743" s="1" t="s">
        <v>2655</v>
      </c>
      <c r="F743" s="1" t="s">
        <v>2667</v>
      </c>
      <c r="G743" s="1"/>
      <c r="H743" s="1" t="s">
        <v>5</v>
      </c>
      <c r="I743">
        <v>1</v>
      </c>
      <c r="L743" s="1"/>
      <c r="M743" s="1"/>
      <c r="N743" s="1"/>
      <c r="O743" s="1"/>
      <c r="P743" s="1" t="s">
        <v>1533</v>
      </c>
    </row>
    <row r="744" spans="1:16" ht="15" customHeight="1" x14ac:dyDescent="0.25">
      <c r="A744" s="1" t="s">
        <v>1437</v>
      </c>
      <c r="B744" s="2" t="s">
        <v>2630</v>
      </c>
      <c r="C744" t="b">
        <v>1</v>
      </c>
      <c r="D744" s="1" t="s">
        <v>2379</v>
      </c>
      <c r="E744" s="1" t="s">
        <v>2656</v>
      </c>
      <c r="F744" s="1" t="s">
        <v>2668</v>
      </c>
      <c r="G744" s="1"/>
      <c r="H744" s="1" t="s">
        <v>748</v>
      </c>
      <c r="J744">
        <v>5</v>
      </c>
      <c r="K744">
        <v>0</v>
      </c>
      <c r="L744" s="1"/>
      <c r="M744" s="1"/>
      <c r="N744" s="1"/>
      <c r="O744" s="1"/>
      <c r="P744" s="1" t="s">
        <v>1533</v>
      </c>
    </row>
    <row r="745" spans="1:16" ht="15" customHeight="1" x14ac:dyDescent="0.25">
      <c r="A745" s="1" t="s">
        <v>1437</v>
      </c>
      <c r="B745" s="2" t="s">
        <v>2630</v>
      </c>
      <c r="C745" t="b">
        <v>1</v>
      </c>
      <c r="D745" s="1" t="s">
        <v>2644</v>
      </c>
      <c r="E745" s="1" t="s">
        <v>2657</v>
      </c>
      <c r="F745" s="1" t="s">
        <v>2669</v>
      </c>
      <c r="G745" s="1"/>
      <c r="H745" s="1" t="s">
        <v>748</v>
      </c>
      <c r="J745">
        <v>5</v>
      </c>
      <c r="K745">
        <v>0</v>
      </c>
      <c r="L745" s="1"/>
      <c r="M745" s="1"/>
      <c r="N745" s="1"/>
      <c r="O745" s="1"/>
      <c r="P745" s="1" t="s">
        <v>1533</v>
      </c>
    </row>
    <row r="746" spans="1:16" ht="15" customHeight="1" x14ac:dyDescent="0.25">
      <c r="A746" s="1" t="s">
        <v>1437</v>
      </c>
      <c r="B746" s="2" t="s">
        <v>2630</v>
      </c>
      <c r="C746" t="b">
        <v>1</v>
      </c>
      <c r="D746" s="1" t="s">
        <v>2645</v>
      </c>
      <c r="E746" s="1" t="s">
        <v>2658</v>
      </c>
      <c r="F746" s="1" t="s">
        <v>2670</v>
      </c>
      <c r="G746" s="1"/>
      <c r="H746" s="1" t="s">
        <v>748</v>
      </c>
      <c r="J746">
        <v>5</v>
      </c>
      <c r="K746">
        <v>0</v>
      </c>
      <c r="L746" s="1"/>
      <c r="M746" s="1"/>
      <c r="N746" s="1"/>
      <c r="O746" s="1"/>
      <c r="P746" s="1" t="s">
        <v>1533</v>
      </c>
    </row>
    <row r="747" spans="1:16" ht="15" customHeight="1" x14ac:dyDescent="0.25">
      <c r="A747" s="1" t="s">
        <v>1437</v>
      </c>
      <c r="B747" s="2" t="s">
        <v>2630</v>
      </c>
      <c r="C747" t="b">
        <v>1</v>
      </c>
      <c r="D747" s="1" t="s">
        <v>2646</v>
      </c>
      <c r="E747" s="1" t="s">
        <v>2659</v>
      </c>
      <c r="F747" s="1" t="s">
        <v>2671</v>
      </c>
      <c r="G747" s="1"/>
      <c r="H747" s="1" t="s">
        <v>748</v>
      </c>
      <c r="J747">
        <v>13</v>
      </c>
      <c r="K747">
        <v>0</v>
      </c>
      <c r="L747" s="1"/>
      <c r="M747" s="1"/>
      <c r="N747" s="1"/>
      <c r="O747" s="1"/>
      <c r="P747" s="1" t="s">
        <v>1533</v>
      </c>
    </row>
    <row r="748" spans="1:16" ht="15" customHeight="1" x14ac:dyDescent="0.25">
      <c r="A748" s="1" t="s">
        <v>1437</v>
      </c>
      <c r="B748" s="2" t="s">
        <v>2630</v>
      </c>
      <c r="C748" t="b">
        <v>1</v>
      </c>
      <c r="D748" s="1" t="s">
        <v>2647</v>
      </c>
      <c r="E748" s="1" t="s">
        <v>2101</v>
      </c>
      <c r="F748" s="1" t="s">
        <v>2122</v>
      </c>
      <c r="G748" s="1"/>
      <c r="H748" s="1" t="s">
        <v>748</v>
      </c>
      <c r="J748">
        <v>3</v>
      </c>
      <c r="K748">
        <v>0</v>
      </c>
      <c r="L748" s="1"/>
      <c r="M748" s="1"/>
      <c r="N748" s="1"/>
      <c r="O748" s="1"/>
      <c r="P748" s="1" t="s">
        <v>1533</v>
      </c>
    </row>
    <row r="749" spans="1:16" ht="15" customHeight="1" x14ac:dyDescent="0.25">
      <c r="A749" s="1" t="s">
        <v>1437</v>
      </c>
      <c r="B749" s="2" t="s">
        <v>2630</v>
      </c>
      <c r="D749" s="1"/>
      <c r="E749" s="1"/>
      <c r="F749" s="1"/>
      <c r="G749" s="1"/>
      <c r="H749" s="1"/>
      <c r="L749" s="1" t="s">
        <v>1524</v>
      </c>
      <c r="M749" s="1" t="s">
        <v>1527</v>
      </c>
      <c r="N749" s="1"/>
      <c r="O749" s="1"/>
      <c r="P749" s="1" t="s">
        <v>1533</v>
      </c>
    </row>
    <row r="750" spans="1:16" ht="15" customHeight="1" x14ac:dyDescent="0.25">
      <c r="A750" s="1" t="s">
        <v>1437</v>
      </c>
      <c r="B750" s="2" t="s">
        <v>2630</v>
      </c>
      <c r="D750" s="1"/>
      <c r="E750" s="1"/>
      <c r="F750" s="1"/>
      <c r="G750" s="1"/>
      <c r="H750" s="1"/>
      <c r="L750" s="1" t="s">
        <v>1524</v>
      </c>
      <c r="M750" s="1" t="s">
        <v>1525</v>
      </c>
      <c r="N750" s="1"/>
      <c r="O750" s="1"/>
      <c r="P750" s="1" t="s">
        <v>1533</v>
      </c>
    </row>
    <row r="751" spans="1:16" ht="15" customHeight="1" x14ac:dyDescent="0.25">
      <c r="A751" s="1" t="s">
        <v>1437</v>
      </c>
      <c r="B751" s="2" t="s">
        <v>2630</v>
      </c>
      <c r="D751" s="1"/>
      <c r="E751" s="1"/>
      <c r="F751" s="1"/>
      <c r="G751" s="1"/>
      <c r="H751" s="1"/>
      <c r="L751" s="1" t="s">
        <v>1524</v>
      </c>
      <c r="M751" s="1" t="s">
        <v>1526</v>
      </c>
      <c r="N751" s="1"/>
      <c r="O751" s="1"/>
      <c r="P751" s="1" t="s">
        <v>1533</v>
      </c>
    </row>
    <row r="752" spans="1:16" ht="15" customHeight="1" x14ac:dyDescent="0.25">
      <c r="A752" s="1" t="s">
        <v>1437</v>
      </c>
      <c r="B752" s="2" t="s">
        <v>2630</v>
      </c>
      <c r="D752" s="1"/>
      <c r="E752" s="1"/>
      <c r="F752" s="1"/>
      <c r="G752" s="1"/>
      <c r="H752" s="1"/>
      <c r="L752" s="1"/>
      <c r="M752" s="1"/>
      <c r="N752" s="1" t="s">
        <v>1529</v>
      </c>
      <c r="O752" s="1" t="s">
        <v>1577</v>
      </c>
      <c r="P752" s="1" t="s">
        <v>1533</v>
      </c>
    </row>
    <row r="753" spans="1:16" ht="15" customHeight="1" x14ac:dyDescent="0.25">
      <c r="A753" s="1" t="s">
        <v>1437</v>
      </c>
      <c r="B753" s="2" t="s">
        <v>2630</v>
      </c>
      <c r="D753" s="1"/>
      <c r="E753" s="1"/>
      <c r="F753" s="1"/>
      <c r="G753" s="1"/>
      <c r="H753" s="1"/>
      <c r="L753" s="1"/>
      <c r="M753" s="1"/>
      <c r="N753" s="1" t="s">
        <v>1529</v>
      </c>
      <c r="O753" s="1" t="s">
        <v>1577</v>
      </c>
      <c r="P753" s="1" t="s">
        <v>1533</v>
      </c>
    </row>
    <row r="754" spans="1:16" ht="15" customHeight="1" x14ac:dyDescent="0.25">
      <c r="A754" s="1" t="s">
        <v>1437</v>
      </c>
      <c r="B754" s="2" t="s">
        <v>2630</v>
      </c>
      <c r="D754" s="1"/>
      <c r="E754" s="1"/>
      <c r="F754" s="1"/>
      <c r="G754" s="1"/>
      <c r="H754" s="1"/>
      <c r="L754" s="1"/>
      <c r="M754" s="1"/>
      <c r="N754" s="1" t="s">
        <v>1529</v>
      </c>
      <c r="O754" s="1" t="s">
        <v>1578</v>
      </c>
      <c r="P754" s="1" t="s">
        <v>1533</v>
      </c>
    </row>
    <row r="755" spans="1:16" ht="15" customHeight="1" x14ac:dyDescent="0.25">
      <c r="A755" s="1" t="s">
        <v>1437</v>
      </c>
      <c r="B755" s="2" t="s">
        <v>2630</v>
      </c>
      <c r="D755" s="1"/>
      <c r="E755" s="1"/>
      <c r="F755" s="1"/>
      <c r="G755" s="1"/>
      <c r="H755" s="1"/>
      <c r="L755" s="1"/>
      <c r="M755" s="1"/>
      <c r="N755" s="1" t="s">
        <v>1529</v>
      </c>
      <c r="O755" s="1" t="s">
        <v>1578</v>
      </c>
      <c r="P755" s="1" t="s">
        <v>1533</v>
      </c>
    </row>
    <row r="756" spans="1:16" ht="15" customHeight="1" x14ac:dyDescent="0.25">
      <c r="A756" s="1" t="s">
        <v>1437</v>
      </c>
      <c r="B756" s="2" t="s">
        <v>2630</v>
      </c>
      <c r="D756" s="1"/>
      <c r="E756" s="1"/>
      <c r="F756" s="1"/>
      <c r="G756" s="1"/>
      <c r="H756" s="1"/>
      <c r="L756" s="1"/>
      <c r="M756" s="1"/>
      <c r="N756" s="1" t="s">
        <v>1529</v>
      </c>
      <c r="O756" s="1" t="s">
        <v>1578</v>
      </c>
      <c r="P756" s="1" t="s">
        <v>1533</v>
      </c>
    </row>
    <row r="757" spans="1:16" ht="15" customHeight="1" x14ac:dyDescent="0.25">
      <c r="A757" s="1" t="s">
        <v>1362</v>
      </c>
      <c r="B757" s="2" t="s">
        <v>2672</v>
      </c>
      <c r="C757" t="b">
        <v>0</v>
      </c>
      <c r="D757" s="1" t="s">
        <v>16</v>
      </c>
      <c r="E757" s="1" t="s">
        <v>2682</v>
      </c>
      <c r="F757" s="1" t="s">
        <v>2702</v>
      </c>
      <c r="G757" s="1" t="s">
        <v>2722</v>
      </c>
      <c r="H757" s="1" t="s">
        <v>5</v>
      </c>
      <c r="I757">
        <v>10</v>
      </c>
      <c r="L757" s="1"/>
      <c r="M757" s="1"/>
      <c r="N757" s="1"/>
      <c r="O757" s="1"/>
      <c r="P757" s="1" t="s">
        <v>2744</v>
      </c>
    </row>
    <row r="758" spans="1:16" ht="15" customHeight="1" x14ac:dyDescent="0.25">
      <c r="A758" s="1" t="s">
        <v>1362</v>
      </c>
      <c r="B758" s="2" t="s">
        <v>2672</v>
      </c>
      <c r="C758" t="b">
        <v>1</v>
      </c>
      <c r="D758" s="1" t="s">
        <v>1454</v>
      </c>
      <c r="E758" s="1" t="s">
        <v>2683</v>
      </c>
      <c r="F758" s="1" t="s">
        <v>2703</v>
      </c>
      <c r="G758" s="1" t="s">
        <v>2723</v>
      </c>
      <c r="H758" s="1" t="s">
        <v>5</v>
      </c>
      <c r="I758">
        <v>4</v>
      </c>
      <c r="L758" s="1"/>
      <c r="M758" s="1"/>
      <c r="N758" s="1"/>
      <c r="O758" s="1"/>
      <c r="P758" s="1" t="s">
        <v>2744</v>
      </c>
    </row>
    <row r="759" spans="1:16" ht="15" customHeight="1" x14ac:dyDescent="0.25">
      <c r="A759" s="1" t="s">
        <v>1362</v>
      </c>
      <c r="B759" s="2" t="s">
        <v>2672</v>
      </c>
      <c r="C759" t="b">
        <v>1</v>
      </c>
      <c r="D759" s="1" t="s">
        <v>1390</v>
      </c>
      <c r="E759" s="1" t="s">
        <v>2684</v>
      </c>
      <c r="F759" s="1" t="s">
        <v>2704</v>
      </c>
      <c r="G759" s="1" t="s">
        <v>1390</v>
      </c>
      <c r="H759" s="1" t="s">
        <v>5</v>
      </c>
      <c r="I759">
        <v>35</v>
      </c>
      <c r="L759" s="1"/>
      <c r="M759" s="1"/>
      <c r="N759" s="1"/>
      <c r="O759" s="1"/>
      <c r="P759" s="1" t="s">
        <v>2744</v>
      </c>
    </row>
    <row r="760" spans="1:16" ht="15" customHeight="1" x14ac:dyDescent="0.25">
      <c r="A760" s="1" t="s">
        <v>1362</v>
      </c>
      <c r="B760" s="2" t="s">
        <v>2672</v>
      </c>
      <c r="C760" t="b">
        <v>1</v>
      </c>
      <c r="D760" s="1" t="s">
        <v>1203</v>
      </c>
      <c r="E760" s="1" t="s">
        <v>2685</v>
      </c>
      <c r="F760" s="1" t="s">
        <v>2705</v>
      </c>
      <c r="G760" s="1" t="s">
        <v>1203</v>
      </c>
      <c r="H760" s="1" t="s">
        <v>5</v>
      </c>
      <c r="I760">
        <v>35</v>
      </c>
      <c r="L760" s="1"/>
      <c r="M760" s="1"/>
      <c r="N760" s="1"/>
      <c r="O760" s="1"/>
      <c r="P760" s="1" t="s">
        <v>2744</v>
      </c>
    </row>
    <row r="761" spans="1:16" ht="15" customHeight="1" x14ac:dyDescent="0.25">
      <c r="A761" s="1" t="s">
        <v>1362</v>
      </c>
      <c r="B761" s="2" t="s">
        <v>2672</v>
      </c>
      <c r="C761" t="b">
        <v>0</v>
      </c>
      <c r="D761" s="1" t="s">
        <v>1190</v>
      </c>
      <c r="E761" s="1" t="s">
        <v>2686</v>
      </c>
      <c r="F761" s="1" t="s">
        <v>2706</v>
      </c>
      <c r="G761" s="1" t="s">
        <v>1190</v>
      </c>
      <c r="H761" s="1" t="s">
        <v>5</v>
      </c>
      <c r="I761">
        <v>4</v>
      </c>
      <c r="L761" s="1"/>
      <c r="M761" s="1"/>
      <c r="N761" s="1"/>
      <c r="O761" s="1"/>
      <c r="P761" s="1" t="s">
        <v>2744</v>
      </c>
    </row>
    <row r="762" spans="1:16" ht="15" customHeight="1" x14ac:dyDescent="0.25">
      <c r="A762" s="1" t="s">
        <v>1362</v>
      </c>
      <c r="B762" s="2" t="s">
        <v>2672</v>
      </c>
      <c r="C762" t="b">
        <v>1</v>
      </c>
      <c r="D762" s="1" t="s">
        <v>2673</v>
      </c>
      <c r="E762" s="1" t="s">
        <v>2687</v>
      </c>
      <c r="F762" s="1" t="s">
        <v>2707</v>
      </c>
      <c r="G762" s="1" t="s">
        <v>2724</v>
      </c>
      <c r="H762" s="1" t="s">
        <v>5</v>
      </c>
      <c r="I762">
        <v>25</v>
      </c>
      <c r="L762" s="1"/>
      <c r="M762" s="1"/>
      <c r="N762" s="1"/>
      <c r="O762" s="1"/>
      <c r="P762" s="1" t="s">
        <v>2744</v>
      </c>
    </row>
    <row r="763" spans="1:16" ht="15" customHeight="1" x14ac:dyDescent="0.25">
      <c r="A763" s="1" t="s">
        <v>1362</v>
      </c>
      <c r="B763" s="2" t="s">
        <v>2672</v>
      </c>
      <c r="C763" t="b">
        <v>1</v>
      </c>
      <c r="D763" s="1" t="s">
        <v>1357</v>
      </c>
      <c r="E763" s="1" t="s">
        <v>2688</v>
      </c>
      <c r="F763" s="1" t="s">
        <v>2708</v>
      </c>
      <c r="G763" s="1" t="s">
        <v>2725</v>
      </c>
      <c r="H763" s="1" t="s">
        <v>5</v>
      </c>
      <c r="I763">
        <v>10</v>
      </c>
      <c r="L763" s="1"/>
      <c r="M763" s="1"/>
      <c r="N763" s="1"/>
      <c r="O763" s="1"/>
      <c r="P763" s="1" t="s">
        <v>2744</v>
      </c>
    </row>
    <row r="764" spans="1:16" ht="15" customHeight="1" x14ac:dyDescent="0.25">
      <c r="A764" s="1" t="s">
        <v>1362</v>
      </c>
      <c r="B764" s="2" t="s">
        <v>2672</v>
      </c>
      <c r="C764" t="b">
        <v>1</v>
      </c>
      <c r="D764" s="1" t="s">
        <v>1359</v>
      </c>
      <c r="E764" s="1" t="s">
        <v>2689</v>
      </c>
      <c r="F764" s="1" t="s">
        <v>2709</v>
      </c>
      <c r="G764" s="1" t="s">
        <v>2726</v>
      </c>
      <c r="H764" s="1" t="s">
        <v>5</v>
      </c>
      <c r="I764">
        <v>3</v>
      </c>
      <c r="L764" s="1"/>
      <c r="M764" s="1"/>
      <c r="N764" s="1"/>
      <c r="O764" s="1"/>
      <c r="P764" s="1" t="s">
        <v>2744</v>
      </c>
    </row>
    <row r="765" spans="1:16" ht="15" customHeight="1" x14ac:dyDescent="0.25">
      <c r="A765" s="1" t="s">
        <v>1362</v>
      </c>
      <c r="B765" s="2" t="s">
        <v>2672</v>
      </c>
      <c r="C765" t="b">
        <v>1</v>
      </c>
      <c r="D765" s="1" t="s">
        <v>2674</v>
      </c>
      <c r="E765" s="1" t="s">
        <v>2690</v>
      </c>
      <c r="F765" s="1" t="s">
        <v>2710</v>
      </c>
      <c r="G765" s="1" t="s">
        <v>2727</v>
      </c>
      <c r="H765" s="1" t="s">
        <v>5</v>
      </c>
      <c r="I765">
        <v>10</v>
      </c>
      <c r="L765" s="1"/>
      <c r="M765" s="1"/>
      <c r="N765" s="1"/>
      <c r="O765" s="1"/>
      <c r="P765" s="1" t="s">
        <v>2744</v>
      </c>
    </row>
    <row r="766" spans="1:16" ht="15" customHeight="1" x14ac:dyDescent="0.25">
      <c r="A766" s="1" t="s">
        <v>1362</v>
      </c>
      <c r="B766" s="2" t="s">
        <v>2672</v>
      </c>
      <c r="C766" t="b">
        <v>1</v>
      </c>
      <c r="D766" s="1" t="s">
        <v>2675</v>
      </c>
      <c r="E766" s="1" t="s">
        <v>2691</v>
      </c>
      <c r="F766" s="1" t="s">
        <v>2711</v>
      </c>
      <c r="G766" s="1" t="s">
        <v>2728</v>
      </c>
      <c r="H766" s="1" t="s">
        <v>5</v>
      </c>
      <c r="I766">
        <v>2</v>
      </c>
      <c r="L766" s="1"/>
      <c r="M766" s="1"/>
      <c r="N766" s="1"/>
      <c r="O766" s="1"/>
      <c r="P766" s="1" t="s">
        <v>2744</v>
      </c>
    </row>
    <row r="767" spans="1:16" ht="15" customHeight="1" x14ac:dyDescent="0.25">
      <c r="A767" s="1" t="s">
        <v>1362</v>
      </c>
      <c r="B767" s="2" t="s">
        <v>2672</v>
      </c>
      <c r="C767" t="b">
        <v>1</v>
      </c>
      <c r="D767" s="1" t="s">
        <v>2676</v>
      </c>
      <c r="E767" s="1" t="s">
        <v>2692</v>
      </c>
      <c r="F767" s="1" t="s">
        <v>2712</v>
      </c>
      <c r="G767" s="1" t="s">
        <v>2729</v>
      </c>
      <c r="H767" s="1" t="s">
        <v>5</v>
      </c>
      <c r="I767">
        <v>4</v>
      </c>
      <c r="L767" s="1"/>
      <c r="M767" s="1"/>
      <c r="N767" s="1"/>
      <c r="O767" s="1"/>
      <c r="P767" s="1" t="s">
        <v>2744</v>
      </c>
    </row>
    <row r="768" spans="1:16" ht="15" customHeight="1" x14ac:dyDescent="0.25">
      <c r="A768" s="1" t="s">
        <v>1362</v>
      </c>
      <c r="B768" s="2" t="s">
        <v>2672</v>
      </c>
      <c r="C768" t="b">
        <v>1</v>
      </c>
      <c r="D768" s="1" t="s">
        <v>1356</v>
      </c>
      <c r="E768" s="1" t="s">
        <v>2693</v>
      </c>
      <c r="F768" s="1" t="s">
        <v>2713</v>
      </c>
      <c r="G768" s="1" t="s">
        <v>2730</v>
      </c>
      <c r="H768" s="1" t="s">
        <v>5</v>
      </c>
      <c r="I768">
        <v>10</v>
      </c>
      <c r="L768" s="1"/>
      <c r="M768" s="1"/>
      <c r="N768" s="1"/>
      <c r="O768" s="1"/>
      <c r="P768" s="1" t="s">
        <v>2744</v>
      </c>
    </row>
    <row r="769" spans="1:16" ht="15" customHeight="1" x14ac:dyDescent="0.25">
      <c r="A769" s="1" t="s">
        <v>1362</v>
      </c>
      <c r="B769" s="2" t="s">
        <v>2672</v>
      </c>
      <c r="C769" t="b">
        <v>1</v>
      </c>
      <c r="D769" s="1" t="s">
        <v>1360</v>
      </c>
      <c r="E769" s="1" t="s">
        <v>2694</v>
      </c>
      <c r="F769" s="1" t="s">
        <v>2714</v>
      </c>
      <c r="G769" s="1" t="s">
        <v>2731</v>
      </c>
      <c r="H769" s="1" t="s">
        <v>5</v>
      </c>
      <c r="I769">
        <v>2</v>
      </c>
      <c r="L769" s="1"/>
      <c r="M769" s="1"/>
      <c r="N769" s="1"/>
      <c r="O769" s="1"/>
      <c r="P769" s="1" t="s">
        <v>2744</v>
      </c>
    </row>
    <row r="770" spans="1:16" ht="15" customHeight="1" x14ac:dyDescent="0.25">
      <c r="A770" s="1" t="s">
        <v>1362</v>
      </c>
      <c r="B770" s="2" t="s">
        <v>2672</v>
      </c>
      <c r="C770" t="b">
        <v>1</v>
      </c>
      <c r="D770" s="1" t="s">
        <v>1358</v>
      </c>
      <c r="E770" s="1" t="s">
        <v>2695</v>
      </c>
      <c r="F770" s="1" t="s">
        <v>2715</v>
      </c>
      <c r="G770" s="1" t="s">
        <v>2732</v>
      </c>
      <c r="H770" s="1" t="s">
        <v>5</v>
      </c>
      <c r="I770">
        <v>2</v>
      </c>
      <c r="L770" s="1"/>
      <c r="M770" s="1"/>
      <c r="N770" s="1"/>
      <c r="O770" s="1"/>
      <c r="P770" s="1" t="s">
        <v>2744</v>
      </c>
    </row>
    <row r="771" spans="1:16" ht="15" customHeight="1" x14ac:dyDescent="0.25">
      <c r="A771" s="1" t="s">
        <v>1362</v>
      </c>
      <c r="B771" s="2" t="s">
        <v>2672</v>
      </c>
      <c r="C771" t="b">
        <v>1</v>
      </c>
      <c r="D771" s="1" t="s">
        <v>2677</v>
      </c>
      <c r="E771" s="1" t="s">
        <v>2696</v>
      </c>
      <c r="F771" s="1" t="s">
        <v>2716</v>
      </c>
      <c r="G771" s="1" t="s">
        <v>2733</v>
      </c>
      <c r="H771" s="1" t="s">
        <v>28</v>
      </c>
      <c r="L771" s="1"/>
      <c r="M771" s="1"/>
      <c r="N771" s="1"/>
      <c r="O771" s="1"/>
      <c r="P771" s="1" t="s">
        <v>2744</v>
      </c>
    </row>
    <row r="772" spans="1:16" ht="15" customHeight="1" x14ac:dyDescent="0.25">
      <c r="A772" s="1" t="s">
        <v>1362</v>
      </c>
      <c r="B772" s="2" t="s">
        <v>2672</v>
      </c>
      <c r="C772" t="b">
        <v>1</v>
      </c>
      <c r="D772" s="1" t="s">
        <v>1361</v>
      </c>
      <c r="E772" s="1" t="s">
        <v>2697</v>
      </c>
      <c r="F772" s="1" t="s">
        <v>2717</v>
      </c>
      <c r="G772" s="1" t="s">
        <v>2734</v>
      </c>
      <c r="H772" s="1" t="s">
        <v>1576</v>
      </c>
      <c r="J772">
        <v>2</v>
      </c>
      <c r="K772">
        <v>0</v>
      </c>
      <c r="L772" s="1"/>
      <c r="M772" s="1"/>
      <c r="N772" s="1"/>
      <c r="O772" s="1"/>
      <c r="P772" s="1" t="s">
        <v>2744</v>
      </c>
    </row>
    <row r="773" spans="1:16" ht="15" customHeight="1" x14ac:dyDescent="0.25">
      <c r="A773" s="1" t="s">
        <v>1362</v>
      </c>
      <c r="B773" s="2" t="s">
        <v>2672</v>
      </c>
      <c r="C773" t="b">
        <v>1</v>
      </c>
      <c r="D773" s="1" t="s">
        <v>2678</v>
      </c>
      <c r="E773" s="1" t="s">
        <v>2698</v>
      </c>
      <c r="F773" s="1" t="s">
        <v>2718</v>
      </c>
      <c r="G773" s="1" t="s">
        <v>2735</v>
      </c>
      <c r="H773" s="1" t="s">
        <v>28</v>
      </c>
      <c r="L773" s="1"/>
      <c r="M773" s="1"/>
      <c r="N773" s="1"/>
      <c r="O773" s="1"/>
      <c r="P773" s="1" t="s">
        <v>2744</v>
      </c>
    </row>
    <row r="774" spans="1:16" ht="15" customHeight="1" x14ac:dyDescent="0.25">
      <c r="A774" s="1" t="s">
        <v>1362</v>
      </c>
      <c r="B774" s="2" t="s">
        <v>2672</v>
      </c>
      <c r="C774" t="b">
        <v>1</v>
      </c>
      <c r="D774" s="1" t="s">
        <v>2679</v>
      </c>
      <c r="E774" s="1" t="s">
        <v>2699</v>
      </c>
      <c r="F774" s="1" t="s">
        <v>2719</v>
      </c>
      <c r="G774" s="1" t="s">
        <v>2736</v>
      </c>
      <c r="H774" s="1" t="s">
        <v>5</v>
      </c>
      <c r="I774">
        <v>10</v>
      </c>
      <c r="L774" s="1"/>
      <c r="M774" s="1"/>
      <c r="N774" s="1"/>
      <c r="O774" s="1"/>
      <c r="P774" s="1" t="s">
        <v>2744</v>
      </c>
    </row>
    <row r="775" spans="1:16" ht="15" customHeight="1" x14ac:dyDescent="0.25">
      <c r="A775" s="1" t="s">
        <v>1362</v>
      </c>
      <c r="B775" s="2" t="s">
        <v>2672</v>
      </c>
      <c r="C775" t="b">
        <v>1</v>
      </c>
      <c r="D775" s="1" t="s">
        <v>2680</v>
      </c>
      <c r="E775" s="1" t="s">
        <v>2700</v>
      </c>
      <c r="F775" s="1" t="s">
        <v>2720</v>
      </c>
      <c r="G775" s="1" t="s">
        <v>2737</v>
      </c>
      <c r="H775" s="1" t="s">
        <v>1576</v>
      </c>
      <c r="J775">
        <v>8</v>
      </c>
      <c r="K775">
        <v>0</v>
      </c>
      <c r="L775" s="1"/>
      <c r="M775" s="1"/>
      <c r="N775" s="1"/>
      <c r="O775" s="1"/>
      <c r="P775" s="1" t="s">
        <v>2744</v>
      </c>
    </row>
    <row r="776" spans="1:16" ht="15" customHeight="1" x14ac:dyDescent="0.25">
      <c r="A776" s="1" t="s">
        <v>1362</v>
      </c>
      <c r="B776" s="2" t="s">
        <v>2672</v>
      </c>
      <c r="C776" t="b">
        <v>1</v>
      </c>
      <c r="D776" s="1" t="s">
        <v>2681</v>
      </c>
      <c r="E776" s="1" t="s">
        <v>2701</v>
      </c>
      <c r="F776" s="1" t="s">
        <v>2721</v>
      </c>
      <c r="G776" s="1" t="s">
        <v>2738</v>
      </c>
      <c r="H776" s="1" t="s">
        <v>5</v>
      </c>
      <c r="I776">
        <v>10</v>
      </c>
      <c r="L776" s="1"/>
      <c r="M776" s="1"/>
      <c r="N776" s="1"/>
      <c r="O776" s="1"/>
      <c r="P776" s="1" t="s">
        <v>2744</v>
      </c>
    </row>
    <row r="777" spans="1:16" ht="15" customHeight="1" x14ac:dyDescent="0.25">
      <c r="A777" s="1" t="s">
        <v>1362</v>
      </c>
      <c r="B777" s="2" t="s">
        <v>2672</v>
      </c>
      <c r="D777" s="1"/>
      <c r="E777" s="1"/>
      <c r="F777" s="1"/>
      <c r="G777" s="1"/>
      <c r="H777" s="1"/>
      <c r="L777" s="1" t="s">
        <v>1524</v>
      </c>
      <c r="M777" s="1" t="s">
        <v>2739</v>
      </c>
      <c r="N777" s="1"/>
      <c r="O777" s="1"/>
      <c r="P777" s="1" t="s">
        <v>2744</v>
      </c>
    </row>
    <row r="778" spans="1:16" ht="15" customHeight="1" x14ac:dyDescent="0.25">
      <c r="A778" s="1" t="s">
        <v>1362</v>
      </c>
      <c r="B778" s="2" t="s">
        <v>2672</v>
      </c>
      <c r="D778" s="1"/>
      <c r="E778" s="1"/>
      <c r="F778" s="1"/>
      <c r="G778" s="1"/>
      <c r="H778" s="1"/>
      <c r="L778" s="1" t="s">
        <v>1524</v>
      </c>
      <c r="M778" s="1" t="s">
        <v>2740</v>
      </c>
      <c r="N778" s="1"/>
      <c r="O778" s="1"/>
      <c r="P778" s="1" t="s">
        <v>2744</v>
      </c>
    </row>
    <row r="779" spans="1:16" ht="15" customHeight="1" x14ac:dyDescent="0.25">
      <c r="A779" s="1" t="s">
        <v>1362</v>
      </c>
      <c r="B779" s="2" t="s">
        <v>2672</v>
      </c>
      <c r="D779" s="1"/>
      <c r="E779" s="1"/>
      <c r="F779" s="1"/>
      <c r="G779" s="1"/>
      <c r="H779" s="1"/>
      <c r="L779" s="1" t="s">
        <v>1524</v>
      </c>
      <c r="M779" s="1" t="s">
        <v>2741</v>
      </c>
      <c r="N779" s="1"/>
      <c r="O779" s="1"/>
      <c r="P779" s="1" t="s">
        <v>2744</v>
      </c>
    </row>
    <row r="780" spans="1:16" ht="15" customHeight="1" x14ac:dyDescent="0.25">
      <c r="A780" s="1" t="s">
        <v>1362</v>
      </c>
      <c r="B780" s="2" t="s">
        <v>2672</v>
      </c>
      <c r="D780" s="1"/>
      <c r="E780" s="1"/>
      <c r="F780" s="1"/>
      <c r="G780" s="1"/>
      <c r="H780" s="1"/>
      <c r="L780" s="1"/>
      <c r="M780" s="1"/>
      <c r="N780" s="1" t="s">
        <v>1529</v>
      </c>
      <c r="O780" s="1" t="s">
        <v>2742</v>
      </c>
      <c r="P780" s="1" t="s">
        <v>2744</v>
      </c>
    </row>
    <row r="781" spans="1:16" ht="15" customHeight="1" x14ac:dyDescent="0.25">
      <c r="A781" s="1" t="s">
        <v>1362</v>
      </c>
      <c r="B781" s="2" t="s">
        <v>2672</v>
      </c>
      <c r="D781" s="1"/>
      <c r="E781" s="1"/>
      <c r="F781" s="1"/>
      <c r="G781" s="1"/>
      <c r="H781" s="1"/>
      <c r="L781" s="1"/>
      <c r="M781" s="1"/>
      <c r="N781" s="1" t="s">
        <v>1529</v>
      </c>
      <c r="O781" s="1" t="s">
        <v>2742</v>
      </c>
      <c r="P781" s="1" t="s">
        <v>2744</v>
      </c>
    </row>
    <row r="782" spans="1:16" ht="15" customHeight="1" x14ac:dyDescent="0.25">
      <c r="A782" s="1" t="s">
        <v>1362</v>
      </c>
      <c r="B782" s="2" t="s">
        <v>2672</v>
      </c>
      <c r="D782" s="1"/>
      <c r="E782" s="1"/>
      <c r="F782" s="1"/>
      <c r="G782" s="1"/>
      <c r="H782" s="1"/>
      <c r="L782" s="1"/>
      <c r="M782" s="1"/>
      <c r="N782" s="1" t="s">
        <v>1529</v>
      </c>
      <c r="O782" s="1" t="s">
        <v>2743</v>
      </c>
      <c r="P782" s="1" t="s">
        <v>2744</v>
      </c>
    </row>
    <row r="783" spans="1:16" ht="15" customHeight="1" x14ac:dyDescent="0.25">
      <c r="A783" s="1" t="s">
        <v>1362</v>
      </c>
      <c r="B783" s="2" t="s">
        <v>2672</v>
      </c>
      <c r="D783" s="1"/>
      <c r="E783" s="1"/>
      <c r="F783" s="1"/>
      <c r="G783" s="1"/>
      <c r="H783" s="1"/>
      <c r="L783" s="1"/>
      <c r="M783" s="1"/>
      <c r="N783" s="1" t="s">
        <v>1529</v>
      </c>
      <c r="O783" s="1" t="s">
        <v>2743</v>
      </c>
      <c r="P783" s="1" t="s">
        <v>2744</v>
      </c>
    </row>
    <row r="784" spans="1:16" ht="15" customHeight="1" x14ac:dyDescent="0.25">
      <c r="A784" s="1" t="s">
        <v>1188</v>
      </c>
      <c r="B784" s="2" t="s">
        <v>2745</v>
      </c>
      <c r="C784" t="b">
        <v>0</v>
      </c>
      <c r="D784" s="1" t="s">
        <v>16</v>
      </c>
      <c r="E784" s="1" t="s">
        <v>2682</v>
      </c>
      <c r="F784" s="1" t="s">
        <v>2702</v>
      </c>
      <c r="G784" s="1" t="s">
        <v>2722</v>
      </c>
      <c r="H784" s="1" t="s">
        <v>5</v>
      </c>
      <c r="I784">
        <v>10</v>
      </c>
      <c r="L784" s="1"/>
      <c r="M784" s="1"/>
      <c r="N784" s="1"/>
      <c r="O784" s="1"/>
      <c r="P784" s="1" t="s">
        <v>2744</v>
      </c>
    </row>
    <row r="785" spans="1:16" ht="15" customHeight="1" x14ac:dyDescent="0.25">
      <c r="A785" s="1" t="s">
        <v>1188</v>
      </c>
      <c r="B785" s="2" t="s">
        <v>2745</v>
      </c>
      <c r="C785" t="b">
        <v>1</v>
      </c>
      <c r="D785" s="1" t="s">
        <v>1454</v>
      </c>
      <c r="E785" s="1" t="s">
        <v>2683</v>
      </c>
      <c r="F785" s="1" t="s">
        <v>2703</v>
      </c>
      <c r="G785" s="1" t="s">
        <v>2723</v>
      </c>
      <c r="H785" s="1" t="s">
        <v>5</v>
      </c>
      <c r="I785">
        <v>4</v>
      </c>
      <c r="L785" s="1"/>
      <c r="M785" s="1"/>
      <c r="N785" s="1"/>
      <c r="O785" s="1"/>
      <c r="P785" s="1" t="s">
        <v>2744</v>
      </c>
    </row>
    <row r="786" spans="1:16" ht="15" customHeight="1" x14ac:dyDescent="0.25">
      <c r="A786" s="1" t="s">
        <v>1188</v>
      </c>
      <c r="B786" s="2" t="s">
        <v>2745</v>
      </c>
      <c r="C786" t="b">
        <v>1</v>
      </c>
      <c r="D786" s="1" t="s">
        <v>1390</v>
      </c>
      <c r="E786" s="1" t="s">
        <v>2684</v>
      </c>
      <c r="F786" s="1" t="s">
        <v>2704</v>
      </c>
      <c r="G786" s="1" t="s">
        <v>1390</v>
      </c>
      <c r="H786" s="1" t="s">
        <v>5</v>
      </c>
      <c r="I786">
        <v>35</v>
      </c>
      <c r="L786" s="1"/>
      <c r="M786" s="1"/>
      <c r="N786" s="1"/>
      <c r="O786" s="1"/>
      <c r="P786" s="1" t="s">
        <v>2744</v>
      </c>
    </row>
    <row r="787" spans="1:16" ht="15" customHeight="1" x14ac:dyDescent="0.25">
      <c r="A787" s="1" t="s">
        <v>1188</v>
      </c>
      <c r="B787" s="2" t="s">
        <v>2745</v>
      </c>
      <c r="C787" t="b">
        <v>1</v>
      </c>
      <c r="D787" s="1" t="s">
        <v>1203</v>
      </c>
      <c r="E787" s="1" t="s">
        <v>2685</v>
      </c>
      <c r="F787" s="1" t="s">
        <v>2705</v>
      </c>
      <c r="G787" s="1" t="s">
        <v>1203</v>
      </c>
      <c r="H787" s="1" t="s">
        <v>5</v>
      </c>
      <c r="I787">
        <v>35</v>
      </c>
      <c r="L787" s="1"/>
      <c r="M787" s="1"/>
      <c r="N787" s="1"/>
      <c r="O787" s="1"/>
      <c r="P787" s="1" t="s">
        <v>2744</v>
      </c>
    </row>
    <row r="788" spans="1:16" ht="15" customHeight="1" x14ac:dyDescent="0.25">
      <c r="A788" s="1" t="s">
        <v>1188</v>
      </c>
      <c r="B788" s="2" t="s">
        <v>2745</v>
      </c>
      <c r="C788" t="b">
        <v>0</v>
      </c>
      <c r="D788" s="1" t="s">
        <v>1190</v>
      </c>
      <c r="E788" s="1" t="s">
        <v>2686</v>
      </c>
      <c r="F788" s="1" t="s">
        <v>2706</v>
      </c>
      <c r="G788" s="1" t="s">
        <v>1190</v>
      </c>
      <c r="H788" s="1" t="s">
        <v>5</v>
      </c>
      <c r="I788">
        <v>4</v>
      </c>
      <c r="L788" s="1"/>
      <c r="M788" s="1"/>
      <c r="N788" s="1"/>
      <c r="O788" s="1"/>
      <c r="P788" s="1" t="s">
        <v>2744</v>
      </c>
    </row>
    <row r="789" spans="1:16" ht="15" customHeight="1" x14ac:dyDescent="0.25">
      <c r="A789" s="1" t="s">
        <v>1188</v>
      </c>
      <c r="B789" s="2" t="s">
        <v>2745</v>
      </c>
      <c r="C789" t="b">
        <v>1</v>
      </c>
      <c r="D789" s="1" t="s">
        <v>2746</v>
      </c>
      <c r="E789" s="1" t="s">
        <v>2687</v>
      </c>
      <c r="F789" s="1" t="s">
        <v>2707</v>
      </c>
      <c r="G789" s="1" t="s">
        <v>2724</v>
      </c>
      <c r="H789" s="1" t="s">
        <v>5</v>
      </c>
      <c r="I789">
        <v>25</v>
      </c>
      <c r="L789" s="1"/>
      <c r="M789" s="1"/>
      <c r="N789" s="1"/>
      <c r="O789" s="1"/>
      <c r="P789" s="1" t="s">
        <v>2744</v>
      </c>
    </row>
    <row r="790" spans="1:16" ht="15" customHeight="1" x14ac:dyDescent="0.25">
      <c r="A790" s="1" t="s">
        <v>1188</v>
      </c>
      <c r="B790" s="2" t="s">
        <v>2745</v>
      </c>
      <c r="C790" t="b">
        <v>1</v>
      </c>
      <c r="D790" s="1" t="s">
        <v>1186</v>
      </c>
      <c r="E790" s="1" t="s">
        <v>2763</v>
      </c>
      <c r="F790" s="1" t="s">
        <v>2786</v>
      </c>
      <c r="G790" s="1" t="s">
        <v>2807</v>
      </c>
      <c r="H790" s="1" t="s">
        <v>5</v>
      </c>
      <c r="I790">
        <v>4</v>
      </c>
      <c r="L790" s="1"/>
      <c r="M790" s="1"/>
      <c r="N790" s="1"/>
      <c r="O790" s="1"/>
      <c r="P790" s="1" t="s">
        <v>2744</v>
      </c>
    </row>
    <row r="791" spans="1:16" ht="15" customHeight="1" x14ac:dyDescent="0.25">
      <c r="A791" s="1" t="s">
        <v>1188</v>
      </c>
      <c r="B791" s="2" t="s">
        <v>2745</v>
      </c>
      <c r="C791" t="b">
        <v>1</v>
      </c>
      <c r="D791" s="1" t="s">
        <v>1183</v>
      </c>
      <c r="E791" s="1" t="s">
        <v>2764</v>
      </c>
      <c r="F791" s="1" t="s">
        <v>2787</v>
      </c>
      <c r="G791" s="1" t="s">
        <v>1183</v>
      </c>
      <c r="H791" s="1" t="s">
        <v>5</v>
      </c>
      <c r="I791">
        <v>1</v>
      </c>
      <c r="L791" s="1"/>
      <c r="M791" s="1"/>
      <c r="N791" s="1"/>
      <c r="O791" s="1"/>
      <c r="P791" s="1" t="s">
        <v>2744</v>
      </c>
    </row>
    <row r="792" spans="1:16" ht="15" customHeight="1" x14ac:dyDescent="0.25">
      <c r="A792" s="1" t="s">
        <v>1188</v>
      </c>
      <c r="B792" s="2" t="s">
        <v>2745</v>
      </c>
      <c r="C792" t="b">
        <v>1</v>
      </c>
      <c r="D792" s="1" t="s">
        <v>1187</v>
      </c>
      <c r="E792" s="1" t="s">
        <v>2765</v>
      </c>
      <c r="F792" s="1" t="s">
        <v>2788</v>
      </c>
      <c r="G792" s="1" t="s">
        <v>2808</v>
      </c>
      <c r="H792" s="1" t="s">
        <v>5</v>
      </c>
      <c r="I792">
        <v>10</v>
      </c>
      <c r="L792" s="1"/>
      <c r="M792" s="1"/>
      <c r="N792" s="1"/>
      <c r="O792" s="1"/>
      <c r="P792" s="1" t="s">
        <v>2744</v>
      </c>
    </row>
    <row r="793" spans="1:16" ht="15" customHeight="1" x14ac:dyDescent="0.25">
      <c r="A793" s="1" t="s">
        <v>1188</v>
      </c>
      <c r="B793" s="2" t="s">
        <v>2745</v>
      </c>
      <c r="C793" t="b">
        <v>1</v>
      </c>
      <c r="D793" s="1" t="s">
        <v>2747</v>
      </c>
      <c r="E793" s="1" t="s">
        <v>2766</v>
      </c>
      <c r="F793" s="1" t="s">
        <v>2789</v>
      </c>
      <c r="G793" s="1" t="s">
        <v>2809</v>
      </c>
      <c r="H793" s="1" t="s">
        <v>28</v>
      </c>
      <c r="L793" s="1"/>
      <c r="M793" s="1"/>
      <c r="N793" s="1"/>
      <c r="O793" s="1"/>
      <c r="P793" s="1" t="s">
        <v>2744</v>
      </c>
    </row>
    <row r="794" spans="1:16" ht="15" customHeight="1" x14ac:dyDescent="0.25">
      <c r="A794" s="1" t="s">
        <v>1188</v>
      </c>
      <c r="B794" s="2" t="s">
        <v>2745</v>
      </c>
      <c r="C794" t="b">
        <v>1</v>
      </c>
      <c r="D794" s="1" t="s">
        <v>2748</v>
      </c>
      <c r="E794" s="1" t="s">
        <v>2767</v>
      </c>
      <c r="F794" s="1" t="s">
        <v>2790</v>
      </c>
      <c r="G794" s="1" t="s">
        <v>2810</v>
      </c>
      <c r="H794" s="1" t="s">
        <v>28</v>
      </c>
      <c r="L794" s="1"/>
      <c r="M794" s="1"/>
      <c r="N794" s="1"/>
      <c r="O794" s="1"/>
      <c r="P794" s="1" t="s">
        <v>2744</v>
      </c>
    </row>
    <row r="795" spans="1:16" ht="15" customHeight="1" x14ac:dyDescent="0.25">
      <c r="A795" s="1" t="s">
        <v>1188</v>
      </c>
      <c r="B795" s="2" t="s">
        <v>2745</v>
      </c>
      <c r="C795" t="b">
        <v>1</v>
      </c>
      <c r="D795" s="1" t="s">
        <v>2749</v>
      </c>
      <c r="E795" s="1" t="s">
        <v>2768</v>
      </c>
      <c r="F795" s="1" t="s">
        <v>2791</v>
      </c>
      <c r="G795" s="1" t="s">
        <v>2749</v>
      </c>
      <c r="H795" s="1" t="s">
        <v>1576</v>
      </c>
      <c r="J795">
        <v>1</v>
      </c>
      <c r="K795">
        <v>0</v>
      </c>
      <c r="L795" s="1"/>
      <c r="M795" s="1"/>
      <c r="N795" s="1"/>
      <c r="O795" s="1"/>
      <c r="P795" s="1" t="s">
        <v>2744</v>
      </c>
    </row>
    <row r="796" spans="1:16" ht="15" customHeight="1" x14ac:dyDescent="0.25">
      <c r="A796" s="1" t="s">
        <v>1188</v>
      </c>
      <c r="B796" s="2" t="s">
        <v>2745</v>
      </c>
      <c r="C796" t="b">
        <v>1</v>
      </c>
      <c r="D796" s="1" t="s">
        <v>1184</v>
      </c>
      <c r="E796" s="1" t="s">
        <v>2769</v>
      </c>
      <c r="F796" s="1" t="s">
        <v>2792</v>
      </c>
      <c r="G796" s="1" t="s">
        <v>1184</v>
      </c>
      <c r="H796" s="1" t="s">
        <v>5</v>
      </c>
      <c r="I796">
        <v>2</v>
      </c>
      <c r="L796" s="1"/>
      <c r="M796" s="1"/>
      <c r="N796" s="1"/>
      <c r="O796" s="1"/>
      <c r="P796" s="1" t="s">
        <v>2744</v>
      </c>
    </row>
    <row r="797" spans="1:16" ht="15" customHeight="1" x14ac:dyDescent="0.25">
      <c r="A797" s="1" t="s">
        <v>1188</v>
      </c>
      <c r="B797" s="2" t="s">
        <v>2745</v>
      </c>
      <c r="C797" t="b">
        <v>1</v>
      </c>
      <c r="D797" s="1" t="s">
        <v>1185</v>
      </c>
      <c r="E797" s="1" t="s">
        <v>2770</v>
      </c>
      <c r="F797" s="1" t="s">
        <v>2793</v>
      </c>
      <c r="G797" s="1" t="s">
        <v>2811</v>
      </c>
      <c r="H797" s="1" t="s">
        <v>5</v>
      </c>
      <c r="I797">
        <v>2</v>
      </c>
      <c r="L797" s="1"/>
      <c r="M797" s="1"/>
      <c r="N797" s="1"/>
      <c r="O797" s="1"/>
      <c r="P797" s="1" t="s">
        <v>2744</v>
      </c>
    </row>
    <row r="798" spans="1:16" ht="15" customHeight="1" x14ac:dyDescent="0.25">
      <c r="A798" s="1" t="s">
        <v>1188</v>
      </c>
      <c r="B798" s="2" t="s">
        <v>2745</v>
      </c>
      <c r="C798" t="b">
        <v>1</v>
      </c>
      <c r="D798" s="1" t="s">
        <v>1181</v>
      </c>
      <c r="E798" s="1" t="s">
        <v>2771</v>
      </c>
      <c r="F798" s="1" t="s">
        <v>2792</v>
      </c>
      <c r="G798" s="1" t="s">
        <v>2812</v>
      </c>
      <c r="H798" s="1" t="s">
        <v>5</v>
      </c>
      <c r="I798">
        <v>2</v>
      </c>
      <c r="L798" s="1"/>
      <c r="M798" s="1"/>
      <c r="N798" s="1"/>
      <c r="O798" s="1"/>
      <c r="P798" s="1" t="s">
        <v>2744</v>
      </c>
    </row>
    <row r="799" spans="1:16" ht="15" customHeight="1" x14ac:dyDescent="0.25">
      <c r="A799" s="1" t="s">
        <v>1188</v>
      </c>
      <c r="B799" s="2" t="s">
        <v>2745</v>
      </c>
      <c r="C799" t="b">
        <v>1</v>
      </c>
      <c r="D799" s="1" t="s">
        <v>1182</v>
      </c>
      <c r="E799" s="1" t="s">
        <v>2772</v>
      </c>
      <c r="F799" s="1" t="s">
        <v>2794</v>
      </c>
      <c r="G799" s="1" t="s">
        <v>2813</v>
      </c>
      <c r="H799" s="1" t="s">
        <v>5</v>
      </c>
      <c r="I799">
        <v>1</v>
      </c>
      <c r="L799" s="1"/>
      <c r="M799" s="1"/>
      <c r="N799" s="1"/>
      <c r="O799" s="1"/>
      <c r="P799" s="1" t="s">
        <v>2744</v>
      </c>
    </row>
    <row r="800" spans="1:16" ht="15" customHeight="1" x14ac:dyDescent="0.25">
      <c r="A800" s="1" t="s">
        <v>1188</v>
      </c>
      <c r="B800" s="2" t="s">
        <v>2745</v>
      </c>
      <c r="C800" t="b">
        <v>1</v>
      </c>
      <c r="D800" s="1" t="s">
        <v>2750</v>
      </c>
      <c r="E800" s="1" t="s">
        <v>2773</v>
      </c>
      <c r="F800" s="1" t="s">
        <v>2795</v>
      </c>
      <c r="G800" s="1" t="s">
        <v>2814</v>
      </c>
      <c r="H800" s="1" t="s">
        <v>5</v>
      </c>
      <c r="I800">
        <v>12</v>
      </c>
      <c r="L800" s="1"/>
      <c r="M800" s="1"/>
      <c r="N800" s="1"/>
      <c r="O800" s="1"/>
      <c r="P800" s="1" t="s">
        <v>2744</v>
      </c>
    </row>
    <row r="801" spans="1:16" ht="15" customHeight="1" x14ac:dyDescent="0.25">
      <c r="A801" s="1" t="s">
        <v>1188</v>
      </c>
      <c r="B801" s="2" t="s">
        <v>2745</v>
      </c>
      <c r="C801" t="b">
        <v>1</v>
      </c>
      <c r="D801" s="1" t="s">
        <v>2751</v>
      </c>
      <c r="E801" s="1" t="s">
        <v>2774</v>
      </c>
      <c r="F801" s="1" t="s">
        <v>1867</v>
      </c>
      <c r="G801" s="1" t="s">
        <v>2815</v>
      </c>
      <c r="H801" s="1" t="s">
        <v>5</v>
      </c>
      <c r="I801">
        <v>1</v>
      </c>
      <c r="L801" s="1"/>
      <c r="M801" s="1"/>
      <c r="N801" s="1"/>
      <c r="O801" s="1"/>
      <c r="P801" s="1" t="s">
        <v>2744</v>
      </c>
    </row>
    <row r="802" spans="1:16" ht="15" customHeight="1" x14ac:dyDescent="0.25">
      <c r="A802" s="1" t="s">
        <v>1188</v>
      </c>
      <c r="B802" s="2" t="s">
        <v>2745</v>
      </c>
      <c r="C802" t="b">
        <v>1</v>
      </c>
      <c r="D802" s="1" t="s">
        <v>2752</v>
      </c>
      <c r="E802" s="1" t="s">
        <v>2775</v>
      </c>
      <c r="F802" s="1" t="s">
        <v>2796</v>
      </c>
      <c r="G802" s="1" t="s">
        <v>2816</v>
      </c>
      <c r="H802" s="1" t="s">
        <v>5</v>
      </c>
      <c r="I802">
        <v>15</v>
      </c>
      <c r="L802" s="1"/>
      <c r="M802" s="1"/>
      <c r="N802" s="1"/>
      <c r="O802" s="1"/>
      <c r="P802" s="1" t="s">
        <v>2744</v>
      </c>
    </row>
    <row r="803" spans="1:16" ht="15" customHeight="1" x14ac:dyDescent="0.25">
      <c r="A803" s="1" t="s">
        <v>1188</v>
      </c>
      <c r="B803" s="2" t="s">
        <v>2745</v>
      </c>
      <c r="C803" t="b">
        <v>1</v>
      </c>
      <c r="D803" s="1" t="s">
        <v>2753</v>
      </c>
      <c r="E803" s="1" t="s">
        <v>2776</v>
      </c>
      <c r="F803" s="1" t="s">
        <v>2797</v>
      </c>
      <c r="G803" s="1" t="s">
        <v>2817</v>
      </c>
      <c r="H803" s="1" t="s">
        <v>5</v>
      </c>
      <c r="I803">
        <v>1</v>
      </c>
      <c r="L803" s="1"/>
      <c r="M803" s="1"/>
      <c r="N803" s="1"/>
      <c r="O803" s="1"/>
      <c r="P803" s="1" t="s">
        <v>2744</v>
      </c>
    </row>
    <row r="804" spans="1:16" ht="15" customHeight="1" x14ac:dyDescent="0.25">
      <c r="A804" s="1" t="s">
        <v>1188</v>
      </c>
      <c r="B804" s="2" t="s">
        <v>2745</v>
      </c>
      <c r="C804" t="b">
        <v>1</v>
      </c>
      <c r="D804" s="1" t="s">
        <v>2754</v>
      </c>
      <c r="E804" s="1" t="s">
        <v>2777</v>
      </c>
      <c r="F804" s="1" t="s">
        <v>2798</v>
      </c>
      <c r="G804" s="1" t="s">
        <v>2818</v>
      </c>
      <c r="H804" s="1" t="s">
        <v>5</v>
      </c>
      <c r="I804">
        <v>30</v>
      </c>
      <c r="L804" s="1"/>
      <c r="M804" s="1"/>
      <c r="N804" s="1"/>
      <c r="O804" s="1"/>
      <c r="P804" s="1" t="s">
        <v>2744</v>
      </c>
    </row>
    <row r="805" spans="1:16" ht="15" customHeight="1" x14ac:dyDescent="0.25">
      <c r="A805" s="1" t="s">
        <v>1188</v>
      </c>
      <c r="B805" s="2" t="s">
        <v>2745</v>
      </c>
      <c r="C805" t="b">
        <v>1</v>
      </c>
      <c r="D805" s="1" t="s">
        <v>2755</v>
      </c>
      <c r="E805" s="1" t="s">
        <v>2778</v>
      </c>
      <c r="F805" s="1" t="s">
        <v>2799</v>
      </c>
      <c r="G805" s="1" t="s">
        <v>2819</v>
      </c>
      <c r="H805" s="1" t="s">
        <v>5</v>
      </c>
      <c r="I805">
        <v>31</v>
      </c>
      <c r="L805" s="1"/>
      <c r="M805" s="1"/>
      <c r="N805" s="1"/>
      <c r="O805" s="1"/>
      <c r="P805" s="1" t="s">
        <v>2744</v>
      </c>
    </row>
    <row r="806" spans="1:16" ht="15" customHeight="1" x14ac:dyDescent="0.25">
      <c r="A806" s="1" t="s">
        <v>1188</v>
      </c>
      <c r="B806" s="2" t="s">
        <v>2745</v>
      </c>
      <c r="C806" t="b">
        <v>1</v>
      </c>
      <c r="D806" s="1" t="s">
        <v>2756</v>
      </c>
      <c r="E806" s="1" t="s">
        <v>2779</v>
      </c>
      <c r="F806" s="1" t="s">
        <v>2800</v>
      </c>
      <c r="G806" s="1" t="s">
        <v>2820</v>
      </c>
      <c r="H806" s="1" t="s">
        <v>5</v>
      </c>
      <c r="I806">
        <v>130</v>
      </c>
      <c r="L806" s="1"/>
      <c r="M806" s="1"/>
      <c r="N806" s="1"/>
      <c r="O806" s="1"/>
      <c r="P806" s="1" t="s">
        <v>2744</v>
      </c>
    </row>
    <row r="807" spans="1:16" ht="15" customHeight="1" x14ac:dyDescent="0.25">
      <c r="A807" s="1" t="s">
        <v>1188</v>
      </c>
      <c r="B807" s="2" t="s">
        <v>2745</v>
      </c>
      <c r="C807" t="b">
        <v>1</v>
      </c>
      <c r="D807" s="1" t="s">
        <v>2757</v>
      </c>
      <c r="E807" s="1" t="s">
        <v>2780</v>
      </c>
      <c r="F807" s="1" t="s">
        <v>2801</v>
      </c>
      <c r="G807" s="1" t="s">
        <v>2821</v>
      </c>
      <c r="H807" s="1" t="s">
        <v>5</v>
      </c>
      <c r="I807">
        <v>30</v>
      </c>
      <c r="L807" s="1"/>
      <c r="M807" s="1"/>
      <c r="N807" s="1"/>
      <c r="O807" s="1"/>
      <c r="P807" s="1" t="s">
        <v>2744</v>
      </c>
    </row>
    <row r="808" spans="1:16" ht="15" customHeight="1" x14ac:dyDescent="0.25">
      <c r="A808" s="1" t="s">
        <v>1188</v>
      </c>
      <c r="B808" s="2" t="s">
        <v>2745</v>
      </c>
      <c r="C808" t="b">
        <v>1</v>
      </c>
      <c r="D808" s="1" t="s">
        <v>2758</v>
      </c>
      <c r="E808" s="1" t="s">
        <v>2781</v>
      </c>
      <c r="F808" s="1" t="s">
        <v>2802</v>
      </c>
      <c r="G808" s="1" t="s">
        <v>2822</v>
      </c>
      <c r="H808" s="1" t="s">
        <v>5</v>
      </c>
      <c r="I808">
        <v>1</v>
      </c>
      <c r="L808" s="1"/>
      <c r="M808" s="1"/>
      <c r="N808" s="1"/>
      <c r="O808" s="1"/>
      <c r="P808" s="1" t="s">
        <v>2744</v>
      </c>
    </row>
    <row r="809" spans="1:16" ht="15" customHeight="1" x14ac:dyDescent="0.25">
      <c r="A809" s="1" t="s">
        <v>1188</v>
      </c>
      <c r="B809" s="2" t="s">
        <v>2745</v>
      </c>
      <c r="C809" t="b">
        <v>1</v>
      </c>
      <c r="D809" s="1" t="s">
        <v>2759</v>
      </c>
      <c r="E809" s="1" t="s">
        <v>2782</v>
      </c>
      <c r="F809" s="1" t="s">
        <v>2803</v>
      </c>
      <c r="G809" s="1" t="s">
        <v>2823</v>
      </c>
      <c r="H809" s="1" t="s">
        <v>5</v>
      </c>
      <c r="I809">
        <v>1</v>
      </c>
      <c r="L809" s="1"/>
      <c r="M809" s="1"/>
      <c r="N809" s="1"/>
      <c r="O809" s="1"/>
      <c r="P809" s="1" t="s">
        <v>2744</v>
      </c>
    </row>
    <row r="810" spans="1:16" ht="15" customHeight="1" x14ac:dyDescent="0.25">
      <c r="A810" s="1" t="s">
        <v>1188</v>
      </c>
      <c r="B810" s="2" t="s">
        <v>2745</v>
      </c>
      <c r="C810" t="b">
        <v>1</v>
      </c>
      <c r="D810" s="1" t="s">
        <v>2760</v>
      </c>
      <c r="E810" s="1" t="s">
        <v>2783</v>
      </c>
      <c r="F810" s="1" t="s">
        <v>2804</v>
      </c>
      <c r="G810" s="1" t="s">
        <v>2824</v>
      </c>
      <c r="H810" s="1" t="s">
        <v>5</v>
      </c>
      <c r="I810">
        <v>1</v>
      </c>
      <c r="L810" s="1"/>
      <c r="M810" s="1"/>
      <c r="N810" s="1"/>
      <c r="O810" s="1"/>
      <c r="P810" s="1" t="s">
        <v>2744</v>
      </c>
    </row>
    <row r="811" spans="1:16" ht="15" customHeight="1" x14ac:dyDescent="0.25">
      <c r="A811" s="1" t="s">
        <v>1188</v>
      </c>
      <c r="B811" s="2" t="s">
        <v>2745</v>
      </c>
      <c r="C811" t="b">
        <v>1</v>
      </c>
      <c r="D811" s="1" t="s">
        <v>2761</v>
      </c>
      <c r="E811" s="1" t="s">
        <v>2784</v>
      </c>
      <c r="F811" s="1" t="s">
        <v>2805</v>
      </c>
      <c r="G811" s="1" t="s">
        <v>2825</v>
      </c>
      <c r="H811" s="1" t="s">
        <v>5</v>
      </c>
      <c r="I811">
        <v>1</v>
      </c>
      <c r="L811" s="1"/>
      <c r="M811" s="1"/>
      <c r="N811" s="1"/>
      <c r="O811" s="1"/>
      <c r="P811" s="1" t="s">
        <v>2744</v>
      </c>
    </row>
    <row r="812" spans="1:16" ht="15" customHeight="1" x14ac:dyDescent="0.25">
      <c r="A812" s="1" t="s">
        <v>1188</v>
      </c>
      <c r="B812" s="2" t="s">
        <v>2745</v>
      </c>
      <c r="C812" t="b">
        <v>1</v>
      </c>
      <c r="D812" s="1" t="s">
        <v>2762</v>
      </c>
      <c r="E812" s="1" t="s">
        <v>2785</v>
      </c>
      <c r="F812" s="1" t="s">
        <v>2806</v>
      </c>
      <c r="G812" s="1" t="s">
        <v>2826</v>
      </c>
      <c r="H812" s="1" t="s">
        <v>5</v>
      </c>
      <c r="I812">
        <v>1</v>
      </c>
      <c r="L812" s="1"/>
      <c r="M812" s="1"/>
      <c r="N812" s="1"/>
      <c r="O812" s="1"/>
      <c r="P812" s="1" t="s">
        <v>2744</v>
      </c>
    </row>
    <row r="813" spans="1:16" ht="15" customHeight="1" x14ac:dyDescent="0.25">
      <c r="A813" s="1" t="s">
        <v>1188</v>
      </c>
      <c r="B813" s="2" t="s">
        <v>2745</v>
      </c>
      <c r="D813" s="1"/>
      <c r="E813" s="1"/>
      <c r="F813" s="1"/>
      <c r="G813" s="1"/>
      <c r="H813" s="1"/>
      <c r="L813" s="1" t="s">
        <v>1524</v>
      </c>
      <c r="M813" s="1" t="s">
        <v>2739</v>
      </c>
      <c r="N813" s="1"/>
      <c r="O813" s="1"/>
      <c r="P813" s="1" t="s">
        <v>2744</v>
      </c>
    </row>
    <row r="814" spans="1:16" ht="15" customHeight="1" x14ac:dyDescent="0.25">
      <c r="A814" s="1" t="s">
        <v>1188</v>
      </c>
      <c r="B814" s="2" t="s">
        <v>2745</v>
      </c>
      <c r="D814" s="1"/>
      <c r="E814" s="1"/>
      <c r="F814" s="1"/>
      <c r="G814" s="1"/>
      <c r="H814" s="1"/>
      <c r="L814" s="1" t="s">
        <v>1524</v>
      </c>
      <c r="M814" s="1" t="s">
        <v>2741</v>
      </c>
      <c r="N814" s="1"/>
      <c r="O814" s="1"/>
      <c r="P814" s="1" t="s">
        <v>2744</v>
      </c>
    </row>
    <row r="815" spans="1:16" ht="15" customHeight="1" x14ac:dyDescent="0.25">
      <c r="A815" s="1" t="s">
        <v>1188</v>
      </c>
      <c r="B815" s="2" t="s">
        <v>2745</v>
      </c>
      <c r="D815" s="1"/>
      <c r="E815" s="1"/>
      <c r="F815" s="1"/>
      <c r="G815" s="1"/>
      <c r="H815" s="1"/>
      <c r="L815" s="1" t="s">
        <v>1524</v>
      </c>
      <c r="M815" s="1" t="s">
        <v>2740</v>
      </c>
      <c r="N815" s="1"/>
      <c r="O815" s="1"/>
      <c r="P815" s="1" t="s">
        <v>2744</v>
      </c>
    </row>
    <row r="816" spans="1:16" ht="15" customHeight="1" x14ac:dyDescent="0.25">
      <c r="A816" s="1" t="s">
        <v>1188</v>
      </c>
      <c r="B816" s="2" t="s">
        <v>2745</v>
      </c>
      <c r="D816" s="1"/>
      <c r="E816" s="1"/>
      <c r="F816" s="1"/>
      <c r="G816" s="1"/>
      <c r="H816" s="1"/>
      <c r="L816" s="1" t="s">
        <v>1524</v>
      </c>
      <c r="M816" s="1" t="s">
        <v>2827</v>
      </c>
      <c r="N816" s="1"/>
      <c r="O816" s="1"/>
      <c r="P816" s="1" t="s">
        <v>2744</v>
      </c>
    </row>
    <row r="817" spans="1:16" ht="15" customHeight="1" x14ac:dyDescent="0.25">
      <c r="A817" s="1" t="s">
        <v>1188</v>
      </c>
      <c r="B817" s="2" t="s">
        <v>2745</v>
      </c>
      <c r="D817" s="1"/>
      <c r="E817" s="1"/>
      <c r="F817" s="1"/>
      <c r="G817" s="1"/>
      <c r="H817" s="1"/>
      <c r="L817" s="1"/>
      <c r="M817" s="1"/>
      <c r="N817" s="1" t="s">
        <v>1529</v>
      </c>
      <c r="O817" s="1" t="s">
        <v>2828</v>
      </c>
      <c r="P817" s="1" t="s">
        <v>2744</v>
      </c>
    </row>
    <row r="818" spans="1:16" ht="15" customHeight="1" x14ac:dyDescent="0.25">
      <c r="A818" s="1" t="s">
        <v>1188</v>
      </c>
      <c r="B818" s="2" t="s">
        <v>2745</v>
      </c>
      <c r="D818" s="1"/>
      <c r="E818" s="1"/>
      <c r="F818" s="1"/>
      <c r="G818" s="1"/>
      <c r="H818" s="1"/>
      <c r="L818" s="1"/>
      <c r="M818" s="1"/>
      <c r="N818" s="1" t="s">
        <v>1529</v>
      </c>
      <c r="O818" s="1" t="s">
        <v>2828</v>
      </c>
      <c r="P818" s="1" t="s">
        <v>2744</v>
      </c>
    </row>
    <row r="819" spans="1:16" ht="15" customHeight="1" x14ac:dyDescent="0.25">
      <c r="A819" s="1" t="s">
        <v>1188</v>
      </c>
      <c r="B819" s="2" t="s">
        <v>2745</v>
      </c>
      <c r="D819" s="1"/>
      <c r="E819" s="1"/>
      <c r="F819" s="1"/>
      <c r="G819" s="1"/>
      <c r="H819" s="1"/>
      <c r="L819" s="1"/>
      <c r="M819" s="1"/>
      <c r="N819" s="1" t="s">
        <v>1529</v>
      </c>
      <c r="O819" s="1" t="s">
        <v>2829</v>
      </c>
      <c r="P819" s="1" t="s">
        <v>2744</v>
      </c>
    </row>
    <row r="820" spans="1:16" ht="15" customHeight="1" x14ac:dyDescent="0.25">
      <c r="A820" s="1" t="s">
        <v>1188</v>
      </c>
      <c r="B820" s="2" t="s">
        <v>2745</v>
      </c>
      <c r="D820" s="1"/>
      <c r="E820" s="1"/>
      <c r="F820" s="1"/>
      <c r="G820" s="1"/>
      <c r="H820" s="1"/>
      <c r="L820" s="1"/>
      <c r="M820" s="1"/>
      <c r="N820" s="1" t="s">
        <v>1529</v>
      </c>
      <c r="O820" s="1" t="s">
        <v>2829</v>
      </c>
      <c r="P820" s="1" t="s">
        <v>2744</v>
      </c>
    </row>
    <row r="821" spans="1:16" ht="15" customHeight="1" x14ac:dyDescent="0.25">
      <c r="A821" s="1" t="s">
        <v>1188</v>
      </c>
      <c r="B821" s="2" t="s">
        <v>2745</v>
      </c>
      <c r="D821" s="1"/>
      <c r="E821" s="1"/>
      <c r="F821" s="1"/>
      <c r="G821" s="1"/>
      <c r="H821" s="1"/>
      <c r="L821" s="1"/>
      <c r="M821" s="1"/>
      <c r="N821" s="1" t="s">
        <v>1529</v>
      </c>
      <c r="O821" s="1" t="s">
        <v>2830</v>
      </c>
      <c r="P821" s="1" t="s">
        <v>2744</v>
      </c>
    </row>
    <row r="822" spans="1:16" ht="15" customHeight="1" x14ac:dyDescent="0.25">
      <c r="A822" s="1" t="s">
        <v>1188</v>
      </c>
      <c r="B822" s="2" t="s">
        <v>2745</v>
      </c>
      <c r="D822" s="1"/>
      <c r="E822" s="1"/>
      <c r="F822" s="1"/>
      <c r="G822" s="1"/>
      <c r="H822" s="1"/>
      <c r="L822" s="1"/>
      <c r="M822" s="1"/>
      <c r="N822" s="1" t="s">
        <v>1529</v>
      </c>
      <c r="O822" s="1" t="s">
        <v>2830</v>
      </c>
      <c r="P822" s="1" t="s">
        <v>2744</v>
      </c>
    </row>
    <row r="823" spans="1:16" ht="15" customHeight="1" x14ac:dyDescent="0.25">
      <c r="A823" s="1" t="s">
        <v>1188</v>
      </c>
      <c r="B823" s="2" t="s">
        <v>2745</v>
      </c>
      <c r="D823" s="1"/>
      <c r="E823" s="1"/>
      <c r="F823" s="1"/>
      <c r="G823" s="1"/>
      <c r="H823" s="1"/>
      <c r="L823" s="1"/>
      <c r="M823" s="1"/>
      <c r="N823" s="1" t="s">
        <v>1529</v>
      </c>
      <c r="O823" s="1" t="s">
        <v>2830</v>
      </c>
      <c r="P823" s="1" t="s">
        <v>2744</v>
      </c>
    </row>
    <row r="824" spans="1:16" ht="15" customHeight="1" x14ac:dyDescent="0.25">
      <c r="A824" s="1" t="s">
        <v>2831</v>
      </c>
      <c r="B824" s="2" t="s">
        <v>2832</v>
      </c>
      <c r="C824" t="b">
        <v>0</v>
      </c>
      <c r="D824" s="1" t="s">
        <v>16</v>
      </c>
      <c r="E824" s="1" t="s">
        <v>2682</v>
      </c>
      <c r="F824" s="1" t="s">
        <v>2702</v>
      </c>
      <c r="G824" s="1" t="s">
        <v>2722</v>
      </c>
      <c r="H824" s="1" t="s">
        <v>5</v>
      </c>
      <c r="I824">
        <v>10</v>
      </c>
      <c r="L824" s="1"/>
      <c r="M824" s="1"/>
      <c r="N824" s="1"/>
      <c r="O824" s="1"/>
      <c r="P824" s="1" t="s">
        <v>2744</v>
      </c>
    </row>
    <row r="825" spans="1:16" ht="15" customHeight="1" x14ac:dyDescent="0.25">
      <c r="A825" s="1" t="s">
        <v>2831</v>
      </c>
      <c r="B825" s="2" t="s">
        <v>2832</v>
      </c>
      <c r="C825" t="b">
        <v>1</v>
      </c>
      <c r="D825" s="1" t="s">
        <v>1454</v>
      </c>
      <c r="E825" s="1" t="s">
        <v>2683</v>
      </c>
      <c r="F825" s="1" t="s">
        <v>2703</v>
      </c>
      <c r="G825" s="1" t="s">
        <v>2723</v>
      </c>
      <c r="H825" s="1" t="s">
        <v>5</v>
      </c>
      <c r="I825">
        <v>4</v>
      </c>
      <c r="L825" s="1"/>
      <c r="M825" s="1"/>
      <c r="N825" s="1"/>
      <c r="O825" s="1"/>
      <c r="P825" s="1" t="s">
        <v>2744</v>
      </c>
    </row>
    <row r="826" spans="1:16" ht="15" customHeight="1" x14ac:dyDescent="0.25">
      <c r="A826" s="1" t="s">
        <v>2831</v>
      </c>
      <c r="B826" s="2" t="s">
        <v>2832</v>
      </c>
      <c r="C826" t="b">
        <v>1</v>
      </c>
      <c r="D826" s="1" t="s">
        <v>1390</v>
      </c>
      <c r="E826" s="1" t="s">
        <v>2684</v>
      </c>
      <c r="F826" s="1" t="s">
        <v>2704</v>
      </c>
      <c r="G826" s="1" t="s">
        <v>1390</v>
      </c>
      <c r="H826" s="1" t="s">
        <v>5</v>
      </c>
      <c r="I826">
        <v>35</v>
      </c>
      <c r="L826" s="1"/>
      <c r="M826" s="1"/>
      <c r="N826" s="1"/>
      <c r="O826" s="1"/>
      <c r="P826" s="1" t="s">
        <v>2744</v>
      </c>
    </row>
    <row r="827" spans="1:16" ht="15" customHeight="1" x14ac:dyDescent="0.25">
      <c r="A827" s="1" t="s">
        <v>2831</v>
      </c>
      <c r="B827" s="2" t="s">
        <v>2832</v>
      </c>
      <c r="C827" t="b">
        <v>1</v>
      </c>
      <c r="D827" s="1" t="s">
        <v>1203</v>
      </c>
      <c r="E827" s="1" t="s">
        <v>2685</v>
      </c>
      <c r="F827" s="1" t="s">
        <v>2705</v>
      </c>
      <c r="G827" s="1" t="s">
        <v>1203</v>
      </c>
      <c r="H827" s="1" t="s">
        <v>5</v>
      </c>
      <c r="I827">
        <v>35</v>
      </c>
      <c r="L827" s="1"/>
      <c r="M827" s="1"/>
      <c r="N827" s="1"/>
      <c r="O827" s="1"/>
      <c r="P827" s="1" t="s">
        <v>2744</v>
      </c>
    </row>
    <row r="828" spans="1:16" ht="15" customHeight="1" x14ac:dyDescent="0.25">
      <c r="A828" s="1" t="s">
        <v>2831</v>
      </c>
      <c r="B828" s="2" t="s">
        <v>2832</v>
      </c>
      <c r="C828" t="b">
        <v>0</v>
      </c>
      <c r="D828" s="1" t="s">
        <v>1190</v>
      </c>
      <c r="E828" s="1" t="s">
        <v>2686</v>
      </c>
      <c r="F828" s="1" t="s">
        <v>2706</v>
      </c>
      <c r="G828" s="1" t="s">
        <v>1190</v>
      </c>
      <c r="H828" s="1" t="s">
        <v>5</v>
      </c>
      <c r="I828">
        <v>4</v>
      </c>
      <c r="L828" s="1"/>
      <c r="M828" s="1"/>
      <c r="N828" s="1"/>
      <c r="O828" s="1"/>
      <c r="P828" s="1" t="s">
        <v>2744</v>
      </c>
    </row>
    <row r="829" spans="1:16" ht="15" customHeight="1" x14ac:dyDescent="0.25">
      <c r="A829" s="1" t="s">
        <v>2831</v>
      </c>
      <c r="B829" s="2" t="s">
        <v>2832</v>
      </c>
      <c r="C829" t="b">
        <v>1</v>
      </c>
      <c r="D829" s="1" t="s">
        <v>2746</v>
      </c>
      <c r="E829" s="1" t="s">
        <v>2687</v>
      </c>
      <c r="F829" s="1" t="s">
        <v>2707</v>
      </c>
      <c r="G829" s="1" t="s">
        <v>2724</v>
      </c>
      <c r="H829" s="1" t="s">
        <v>5</v>
      </c>
      <c r="I829">
        <v>25</v>
      </c>
      <c r="L829" s="1"/>
      <c r="M829" s="1"/>
      <c r="N829" s="1"/>
      <c r="O829" s="1"/>
      <c r="P829" s="1" t="s">
        <v>2744</v>
      </c>
    </row>
    <row r="830" spans="1:16" ht="15" customHeight="1" x14ac:dyDescent="0.25">
      <c r="A830" s="1" t="s">
        <v>2831</v>
      </c>
      <c r="B830" s="2" t="s">
        <v>2832</v>
      </c>
      <c r="C830" t="b">
        <v>1</v>
      </c>
      <c r="D830" s="1" t="s">
        <v>2833</v>
      </c>
      <c r="E830" s="1" t="s">
        <v>2840</v>
      </c>
      <c r="F830" s="1" t="s">
        <v>2847</v>
      </c>
      <c r="G830" s="1" t="s">
        <v>2854</v>
      </c>
      <c r="H830" s="1" t="s">
        <v>5</v>
      </c>
      <c r="I830">
        <v>10</v>
      </c>
      <c r="L830" s="1"/>
      <c r="M830" s="1"/>
      <c r="N830" s="1"/>
      <c r="O830" s="1"/>
      <c r="P830" s="1" t="s">
        <v>2744</v>
      </c>
    </row>
    <row r="831" spans="1:16" ht="15" customHeight="1" x14ac:dyDescent="0.25">
      <c r="A831" s="1" t="s">
        <v>2831</v>
      </c>
      <c r="B831" s="2" t="s">
        <v>2832</v>
      </c>
      <c r="C831" t="b">
        <v>1</v>
      </c>
      <c r="D831" s="1" t="s">
        <v>2834</v>
      </c>
      <c r="E831" s="1" t="s">
        <v>2841</v>
      </c>
      <c r="F831" s="1" t="s">
        <v>2848</v>
      </c>
      <c r="G831" s="1" t="s">
        <v>2855</v>
      </c>
      <c r="H831" s="1" t="s">
        <v>5</v>
      </c>
      <c r="I831">
        <v>2</v>
      </c>
      <c r="L831" s="1"/>
      <c r="M831" s="1"/>
      <c r="N831" s="1"/>
      <c r="O831" s="1"/>
      <c r="P831" s="1" t="s">
        <v>2744</v>
      </c>
    </row>
    <row r="832" spans="1:16" ht="15" customHeight="1" x14ac:dyDescent="0.25">
      <c r="A832" s="1" t="s">
        <v>2831</v>
      </c>
      <c r="B832" s="2" t="s">
        <v>2832</v>
      </c>
      <c r="C832" t="b">
        <v>1</v>
      </c>
      <c r="D832" s="1" t="s">
        <v>2835</v>
      </c>
      <c r="E832" s="1" t="s">
        <v>2842</v>
      </c>
      <c r="F832" s="1" t="s">
        <v>2849</v>
      </c>
      <c r="G832" s="1" t="s">
        <v>2856</v>
      </c>
      <c r="H832" s="1" t="s">
        <v>748</v>
      </c>
      <c r="J832">
        <v>13</v>
      </c>
      <c r="K832">
        <v>2</v>
      </c>
      <c r="L832" s="1"/>
      <c r="M832" s="1"/>
      <c r="N832" s="1"/>
      <c r="O832" s="1"/>
      <c r="P832" s="1" t="s">
        <v>2744</v>
      </c>
    </row>
    <row r="833" spans="1:16" ht="15" customHeight="1" x14ac:dyDescent="0.25">
      <c r="A833" s="1" t="s">
        <v>2831</v>
      </c>
      <c r="B833" s="2" t="s">
        <v>2832</v>
      </c>
      <c r="C833" t="b">
        <v>1</v>
      </c>
      <c r="D833" s="1" t="s">
        <v>2836</v>
      </c>
      <c r="E833" s="1" t="s">
        <v>2843</v>
      </c>
      <c r="F833" s="1" t="s">
        <v>2850</v>
      </c>
      <c r="G833" s="1" t="s">
        <v>2836</v>
      </c>
      <c r="H833" s="1" t="s">
        <v>5</v>
      </c>
      <c r="I833">
        <v>5</v>
      </c>
      <c r="L833" s="1"/>
      <c r="M833" s="1"/>
      <c r="N833" s="1"/>
      <c r="O833" s="1"/>
      <c r="P833" s="1" t="s">
        <v>2744</v>
      </c>
    </row>
    <row r="834" spans="1:16" ht="15" customHeight="1" x14ac:dyDescent="0.25">
      <c r="A834" s="1" t="s">
        <v>2831</v>
      </c>
      <c r="B834" s="2" t="s">
        <v>2832</v>
      </c>
      <c r="C834" t="b">
        <v>1</v>
      </c>
      <c r="D834" s="1" t="s">
        <v>2837</v>
      </c>
      <c r="E834" s="1" t="s">
        <v>2844</v>
      </c>
      <c r="F834" s="1" t="s">
        <v>2851</v>
      </c>
      <c r="G834" s="1" t="s">
        <v>2857</v>
      </c>
      <c r="H834" s="1" t="s">
        <v>28</v>
      </c>
      <c r="L834" s="1"/>
      <c r="M834" s="1"/>
      <c r="N834" s="1"/>
      <c r="O834" s="1"/>
      <c r="P834" s="1" t="s">
        <v>2744</v>
      </c>
    </row>
    <row r="835" spans="1:16" ht="15" customHeight="1" x14ac:dyDescent="0.25">
      <c r="A835" s="1" t="s">
        <v>2831</v>
      </c>
      <c r="B835" s="2" t="s">
        <v>2832</v>
      </c>
      <c r="C835" t="b">
        <v>1</v>
      </c>
      <c r="D835" s="1" t="s">
        <v>2838</v>
      </c>
      <c r="E835" s="1" t="s">
        <v>2845</v>
      </c>
      <c r="F835" s="1" t="s">
        <v>2852</v>
      </c>
      <c r="G835" s="1" t="s">
        <v>2858</v>
      </c>
      <c r="H835" s="1" t="s">
        <v>748</v>
      </c>
      <c r="J835">
        <v>3</v>
      </c>
      <c r="K835">
        <v>0</v>
      </c>
      <c r="L835" s="1"/>
      <c r="M835" s="1"/>
      <c r="N835" s="1"/>
      <c r="O835" s="1"/>
      <c r="P835" s="1" t="s">
        <v>2744</v>
      </c>
    </row>
    <row r="836" spans="1:16" ht="15" customHeight="1" x14ac:dyDescent="0.25">
      <c r="A836" s="1" t="s">
        <v>2831</v>
      </c>
      <c r="B836" s="2" t="s">
        <v>2832</v>
      </c>
      <c r="C836" t="b">
        <v>1</v>
      </c>
      <c r="D836" s="1" t="s">
        <v>2839</v>
      </c>
      <c r="E836" s="1" t="s">
        <v>2846</v>
      </c>
      <c r="F836" s="1" t="s">
        <v>2853</v>
      </c>
      <c r="G836" s="1" t="s">
        <v>2859</v>
      </c>
      <c r="H836" s="1" t="s">
        <v>748</v>
      </c>
      <c r="J836">
        <v>3</v>
      </c>
      <c r="K836">
        <v>0</v>
      </c>
      <c r="L836" s="1"/>
      <c r="M836" s="1"/>
      <c r="N836" s="1"/>
      <c r="O836" s="1"/>
      <c r="P836" s="1" t="s">
        <v>2744</v>
      </c>
    </row>
    <row r="837" spans="1:16" ht="15" customHeight="1" x14ac:dyDescent="0.25">
      <c r="A837" s="1" t="s">
        <v>2831</v>
      </c>
      <c r="B837" s="2" t="s">
        <v>2832</v>
      </c>
      <c r="D837" s="1"/>
      <c r="E837" s="1"/>
      <c r="F837" s="1"/>
      <c r="G837" s="1"/>
      <c r="H837" s="1"/>
      <c r="L837" s="1" t="s">
        <v>1524</v>
      </c>
      <c r="M837" s="1" t="s">
        <v>2739</v>
      </c>
      <c r="N837" s="1"/>
      <c r="O837" s="1"/>
      <c r="P837" s="1" t="s">
        <v>2744</v>
      </c>
    </row>
    <row r="838" spans="1:16" ht="15" customHeight="1" x14ac:dyDescent="0.25">
      <c r="A838" s="1" t="s">
        <v>2831</v>
      </c>
      <c r="B838" s="2" t="s">
        <v>2832</v>
      </c>
      <c r="D838" s="1"/>
      <c r="E838" s="1"/>
      <c r="F838" s="1"/>
      <c r="G838" s="1"/>
      <c r="H838" s="1"/>
      <c r="L838" s="1" t="s">
        <v>1524</v>
      </c>
      <c r="M838" s="1" t="s">
        <v>2740</v>
      </c>
      <c r="N838" s="1"/>
      <c r="O838" s="1"/>
      <c r="P838" s="1" t="s">
        <v>2744</v>
      </c>
    </row>
    <row r="839" spans="1:16" ht="15" customHeight="1" x14ac:dyDescent="0.25">
      <c r="A839" s="1" t="s">
        <v>2831</v>
      </c>
      <c r="B839" s="2" t="s">
        <v>2832</v>
      </c>
      <c r="D839" s="1"/>
      <c r="E839" s="1"/>
      <c r="F839" s="1"/>
      <c r="G839" s="1"/>
      <c r="H839" s="1"/>
      <c r="L839" s="1" t="s">
        <v>1524</v>
      </c>
      <c r="M839" s="1" t="s">
        <v>2741</v>
      </c>
      <c r="N839" s="1"/>
      <c r="O839" s="1"/>
      <c r="P839" s="1" t="s">
        <v>2744</v>
      </c>
    </row>
    <row r="840" spans="1:16" ht="15" customHeight="1" x14ac:dyDescent="0.25">
      <c r="A840" s="1" t="s">
        <v>2831</v>
      </c>
      <c r="B840" s="2" t="s">
        <v>2832</v>
      </c>
      <c r="D840" s="1"/>
      <c r="E840" s="1"/>
      <c r="F840" s="1"/>
      <c r="G840" s="1"/>
      <c r="H840" s="1"/>
      <c r="L840" s="1"/>
      <c r="M840" s="1"/>
      <c r="N840" s="1" t="s">
        <v>1529</v>
      </c>
      <c r="O840" s="1" t="s">
        <v>2828</v>
      </c>
      <c r="P840" s="1" t="s">
        <v>2744</v>
      </c>
    </row>
    <row r="841" spans="1:16" ht="15" customHeight="1" x14ac:dyDescent="0.25">
      <c r="A841" s="1" t="s">
        <v>2831</v>
      </c>
      <c r="B841" s="2" t="s">
        <v>2832</v>
      </c>
      <c r="D841" s="1"/>
      <c r="E841" s="1"/>
      <c r="F841" s="1"/>
      <c r="G841" s="1"/>
      <c r="H841" s="1"/>
      <c r="L841" s="1"/>
      <c r="M841" s="1"/>
      <c r="N841" s="1" t="s">
        <v>1529</v>
      </c>
      <c r="O841" s="1" t="s">
        <v>2828</v>
      </c>
      <c r="P841" s="1" t="s">
        <v>2744</v>
      </c>
    </row>
    <row r="842" spans="1:16" ht="15" customHeight="1" x14ac:dyDescent="0.25">
      <c r="A842" s="1" t="s">
        <v>2831</v>
      </c>
      <c r="B842" s="2" t="s">
        <v>2832</v>
      </c>
      <c r="D842" s="1"/>
      <c r="E842" s="1"/>
      <c r="F842" s="1"/>
      <c r="G842" s="1"/>
      <c r="H842" s="1"/>
      <c r="L842" s="1"/>
      <c r="M842" s="1"/>
      <c r="N842" s="1" t="s">
        <v>1529</v>
      </c>
      <c r="O842" s="1" t="s">
        <v>2743</v>
      </c>
      <c r="P842" s="1" t="s">
        <v>2744</v>
      </c>
    </row>
    <row r="843" spans="1:16" ht="15" customHeight="1" x14ac:dyDescent="0.25">
      <c r="A843" s="1" t="s">
        <v>2831</v>
      </c>
      <c r="B843" s="2" t="s">
        <v>2832</v>
      </c>
      <c r="D843" s="1"/>
      <c r="E843" s="1"/>
      <c r="F843" s="1"/>
      <c r="G843" s="1"/>
      <c r="H843" s="1"/>
      <c r="L843" s="1"/>
      <c r="M843" s="1"/>
      <c r="N843" s="1" t="s">
        <v>1529</v>
      </c>
      <c r="O843" s="1" t="s">
        <v>2743</v>
      </c>
      <c r="P843" s="1" t="s">
        <v>2744</v>
      </c>
    </row>
    <row r="844" spans="1:16" ht="15" customHeight="1" x14ac:dyDescent="0.25">
      <c r="A844" s="1" t="s">
        <v>1200</v>
      </c>
      <c r="B844" s="2" t="s">
        <v>2860</v>
      </c>
      <c r="C844" t="b">
        <v>0</v>
      </c>
      <c r="D844" s="1" t="s">
        <v>16</v>
      </c>
      <c r="E844" s="1" t="s">
        <v>2682</v>
      </c>
      <c r="F844" s="1" t="s">
        <v>2702</v>
      </c>
      <c r="G844" s="1" t="s">
        <v>2722</v>
      </c>
      <c r="H844" s="1" t="s">
        <v>5</v>
      </c>
      <c r="I844">
        <v>10</v>
      </c>
      <c r="L844" s="1"/>
      <c r="M844" s="1"/>
      <c r="N844" s="1"/>
      <c r="O844" s="1"/>
      <c r="P844" s="1" t="s">
        <v>2744</v>
      </c>
    </row>
    <row r="845" spans="1:16" ht="15" customHeight="1" x14ac:dyDescent="0.25">
      <c r="A845" s="1" t="s">
        <v>1200</v>
      </c>
      <c r="B845" s="2" t="s">
        <v>2860</v>
      </c>
      <c r="C845" t="b">
        <v>1</v>
      </c>
      <c r="D845" s="1" t="s">
        <v>1454</v>
      </c>
      <c r="E845" s="1" t="s">
        <v>2683</v>
      </c>
      <c r="F845" s="1" t="s">
        <v>2703</v>
      </c>
      <c r="G845" s="1" t="s">
        <v>2723</v>
      </c>
      <c r="H845" s="1" t="s">
        <v>5</v>
      </c>
      <c r="I845">
        <v>4</v>
      </c>
      <c r="L845" s="1"/>
      <c r="M845" s="1"/>
      <c r="N845" s="1"/>
      <c r="O845" s="1"/>
      <c r="P845" s="1" t="s">
        <v>2744</v>
      </c>
    </row>
    <row r="846" spans="1:16" ht="15" customHeight="1" x14ac:dyDescent="0.25">
      <c r="A846" s="1" t="s">
        <v>1200</v>
      </c>
      <c r="B846" s="2" t="s">
        <v>2860</v>
      </c>
      <c r="C846" t="b">
        <v>1</v>
      </c>
      <c r="D846" s="1" t="s">
        <v>1390</v>
      </c>
      <c r="E846" s="1" t="s">
        <v>2684</v>
      </c>
      <c r="F846" s="1" t="s">
        <v>2704</v>
      </c>
      <c r="G846" s="1" t="s">
        <v>1390</v>
      </c>
      <c r="H846" s="1" t="s">
        <v>5</v>
      </c>
      <c r="I846">
        <v>35</v>
      </c>
      <c r="L846" s="1"/>
      <c r="M846" s="1"/>
      <c r="N846" s="1"/>
      <c r="O846" s="1"/>
      <c r="P846" s="1" t="s">
        <v>2744</v>
      </c>
    </row>
    <row r="847" spans="1:16" ht="15" customHeight="1" x14ac:dyDescent="0.25">
      <c r="A847" s="1" t="s">
        <v>1200</v>
      </c>
      <c r="B847" s="2" t="s">
        <v>2860</v>
      </c>
      <c r="C847" t="b">
        <v>1</v>
      </c>
      <c r="D847" s="1" t="s">
        <v>1203</v>
      </c>
      <c r="E847" s="1" t="s">
        <v>2685</v>
      </c>
      <c r="F847" s="1" t="s">
        <v>2705</v>
      </c>
      <c r="G847" s="1" t="s">
        <v>1203</v>
      </c>
      <c r="H847" s="1" t="s">
        <v>5</v>
      </c>
      <c r="I847">
        <v>35</v>
      </c>
      <c r="L847" s="1"/>
      <c r="M847" s="1"/>
      <c r="N847" s="1"/>
      <c r="O847" s="1"/>
      <c r="P847" s="1" t="s">
        <v>2744</v>
      </c>
    </row>
    <row r="848" spans="1:16" ht="15" customHeight="1" x14ac:dyDescent="0.25">
      <c r="A848" s="1" t="s">
        <v>1200</v>
      </c>
      <c r="B848" s="2" t="s">
        <v>2860</v>
      </c>
      <c r="C848" t="b">
        <v>0</v>
      </c>
      <c r="D848" s="1" t="s">
        <v>1190</v>
      </c>
      <c r="E848" s="1" t="s">
        <v>2686</v>
      </c>
      <c r="F848" s="1" t="s">
        <v>2706</v>
      </c>
      <c r="G848" s="1" t="s">
        <v>1190</v>
      </c>
      <c r="H848" s="1" t="s">
        <v>5</v>
      </c>
      <c r="I848">
        <v>4</v>
      </c>
      <c r="L848" s="1"/>
      <c r="M848" s="1"/>
      <c r="N848" s="1"/>
      <c r="O848" s="1"/>
      <c r="P848" s="1" t="s">
        <v>2744</v>
      </c>
    </row>
    <row r="849" spans="1:16" ht="15" customHeight="1" x14ac:dyDescent="0.25">
      <c r="A849" s="1" t="s">
        <v>1200</v>
      </c>
      <c r="B849" s="2" t="s">
        <v>2860</v>
      </c>
      <c r="C849" t="b">
        <v>1</v>
      </c>
      <c r="D849" s="1" t="s">
        <v>2746</v>
      </c>
      <c r="E849" s="1" t="s">
        <v>2687</v>
      </c>
      <c r="F849" s="1" t="s">
        <v>2707</v>
      </c>
      <c r="G849" s="1" t="s">
        <v>2724</v>
      </c>
      <c r="H849" s="1" t="s">
        <v>5</v>
      </c>
      <c r="I849">
        <v>25</v>
      </c>
      <c r="L849" s="1"/>
      <c r="M849" s="1"/>
      <c r="N849" s="1"/>
      <c r="O849" s="1"/>
      <c r="P849" s="1" t="s">
        <v>2744</v>
      </c>
    </row>
    <row r="850" spans="1:16" ht="15" customHeight="1" x14ac:dyDescent="0.25">
      <c r="A850" s="1" t="s">
        <v>1200</v>
      </c>
      <c r="B850" s="2" t="s">
        <v>2860</v>
      </c>
      <c r="C850" t="b">
        <v>1</v>
      </c>
      <c r="D850" s="1" t="s">
        <v>1189</v>
      </c>
      <c r="E850" s="1" t="s">
        <v>2869</v>
      </c>
      <c r="F850" s="1" t="s">
        <v>2888</v>
      </c>
      <c r="G850" s="1" t="s">
        <v>2907</v>
      </c>
      <c r="H850" s="1" t="s">
        <v>5</v>
      </c>
      <c r="I850">
        <v>4</v>
      </c>
      <c r="L850" s="1"/>
      <c r="M850" s="1"/>
      <c r="N850" s="1"/>
      <c r="O850" s="1"/>
      <c r="P850" s="1" t="s">
        <v>2744</v>
      </c>
    </row>
    <row r="851" spans="1:16" ht="15" customHeight="1" x14ac:dyDescent="0.25">
      <c r="A851" s="1" t="s">
        <v>1200</v>
      </c>
      <c r="B851" s="2" t="s">
        <v>2860</v>
      </c>
      <c r="C851" t="b">
        <v>1</v>
      </c>
      <c r="D851" s="1" t="s">
        <v>1199</v>
      </c>
      <c r="E851" s="1" t="s">
        <v>2870</v>
      </c>
      <c r="F851" s="1" t="s">
        <v>2889</v>
      </c>
      <c r="G851" s="1" t="s">
        <v>2908</v>
      </c>
      <c r="H851" s="1" t="s">
        <v>5</v>
      </c>
      <c r="I851">
        <v>4</v>
      </c>
      <c r="L851" s="1"/>
      <c r="M851" s="1"/>
      <c r="N851" s="1"/>
      <c r="O851" s="1"/>
      <c r="P851" s="1" t="s">
        <v>2744</v>
      </c>
    </row>
    <row r="852" spans="1:16" ht="15" customHeight="1" x14ac:dyDescent="0.25">
      <c r="A852" s="1" t="s">
        <v>1200</v>
      </c>
      <c r="B852" s="2" t="s">
        <v>2860</v>
      </c>
      <c r="C852" t="b">
        <v>1</v>
      </c>
      <c r="D852" s="1" t="s">
        <v>2861</v>
      </c>
      <c r="E852" s="1" t="s">
        <v>2871</v>
      </c>
      <c r="F852" s="1" t="s">
        <v>2890</v>
      </c>
      <c r="G852" s="1" t="s">
        <v>2909</v>
      </c>
      <c r="H852" s="1" t="s">
        <v>5</v>
      </c>
      <c r="I852">
        <v>4</v>
      </c>
      <c r="L852" s="1"/>
      <c r="M852" s="1"/>
      <c r="N852" s="1"/>
      <c r="O852" s="1"/>
      <c r="P852" s="1" t="s">
        <v>2744</v>
      </c>
    </row>
    <row r="853" spans="1:16" ht="15" customHeight="1" x14ac:dyDescent="0.25">
      <c r="A853" s="1" t="s">
        <v>1200</v>
      </c>
      <c r="B853" s="2" t="s">
        <v>2860</v>
      </c>
      <c r="C853" t="b">
        <v>1</v>
      </c>
      <c r="D853" s="1" t="s">
        <v>1191</v>
      </c>
      <c r="E853" s="1" t="s">
        <v>2872</v>
      </c>
      <c r="F853" s="1" t="s">
        <v>2891</v>
      </c>
      <c r="G853" s="1" t="s">
        <v>2910</v>
      </c>
      <c r="H853" s="1" t="s">
        <v>5</v>
      </c>
      <c r="I853">
        <v>4</v>
      </c>
      <c r="L853" s="1"/>
      <c r="M853" s="1"/>
      <c r="N853" s="1"/>
      <c r="O853" s="1"/>
      <c r="P853" s="1" t="s">
        <v>2744</v>
      </c>
    </row>
    <row r="854" spans="1:16" ht="15" customHeight="1" x14ac:dyDescent="0.25">
      <c r="A854" s="1" t="s">
        <v>1200</v>
      </c>
      <c r="B854" s="2" t="s">
        <v>2860</v>
      </c>
      <c r="C854" t="b">
        <v>1</v>
      </c>
      <c r="D854" s="1" t="s">
        <v>2862</v>
      </c>
      <c r="E854" s="1" t="s">
        <v>2873</v>
      </c>
      <c r="F854" s="1" t="s">
        <v>2892</v>
      </c>
      <c r="G854" s="1" t="s">
        <v>2911</v>
      </c>
      <c r="H854" s="1" t="s">
        <v>748</v>
      </c>
      <c r="J854">
        <v>3</v>
      </c>
      <c r="K854">
        <v>0</v>
      </c>
      <c r="L854" s="1"/>
      <c r="M854" s="1"/>
      <c r="N854" s="1"/>
      <c r="O854" s="1"/>
      <c r="P854" s="1" t="s">
        <v>2744</v>
      </c>
    </row>
    <row r="855" spans="1:16" ht="15" customHeight="1" x14ac:dyDescent="0.25">
      <c r="A855" s="1" t="s">
        <v>1200</v>
      </c>
      <c r="B855" s="2" t="s">
        <v>2860</v>
      </c>
      <c r="C855" t="b">
        <v>1</v>
      </c>
      <c r="D855" s="1" t="s">
        <v>2863</v>
      </c>
      <c r="E855" s="1" t="s">
        <v>2874</v>
      </c>
      <c r="F855" s="1" t="s">
        <v>2893</v>
      </c>
      <c r="G855" s="1" t="s">
        <v>2912</v>
      </c>
      <c r="H855" s="1" t="s">
        <v>5</v>
      </c>
      <c r="I855">
        <v>1</v>
      </c>
      <c r="L855" s="1"/>
      <c r="M855" s="1"/>
      <c r="N855" s="1"/>
      <c r="O855" s="1"/>
      <c r="P855" s="1" t="s">
        <v>2744</v>
      </c>
    </row>
    <row r="856" spans="1:16" ht="15" customHeight="1" x14ac:dyDescent="0.25">
      <c r="A856" s="1" t="s">
        <v>1200</v>
      </c>
      <c r="B856" s="2" t="s">
        <v>2860</v>
      </c>
      <c r="C856" t="b">
        <v>1</v>
      </c>
      <c r="D856" s="1" t="s">
        <v>1196</v>
      </c>
      <c r="E856" s="1" t="s">
        <v>2875</v>
      </c>
      <c r="F856" s="1" t="s">
        <v>2894</v>
      </c>
      <c r="G856" s="1" t="s">
        <v>2913</v>
      </c>
      <c r="H856" s="1" t="s">
        <v>5</v>
      </c>
      <c r="I856">
        <v>10</v>
      </c>
      <c r="L856" s="1"/>
      <c r="M856" s="1"/>
      <c r="N856" s="1"/>
      <c r="O856" s="1"/>
      <c r="P856" s="1" t="s">
        <v>2744</v>
      </c>
    </row>
    <row r="857" spans="1:16" ht="15" customHeight="1" x14ac:dyDescent="0.25">
      <c r="A857" s="1" t="s">
        <v>1200</v>
      </c>
      <c r="B857" s="2" t="s">
        <v>2860</v>
      </c>
      <c r="C857" t="b">
        <v>1</v>
      </c>
      <c r="D857" s="1" t="s">
        <v>1195</v>
      </c>
      <c r="E857" s="1" t="s">
        <v>2876</v>
      </c>
      <c r="F857" s="1" t="s">
        <v>2895</v>
      </c>
      <c r="G857" s="1" t="s">
        <v>2914</v>
      </c>
      <c r="H857" s="1" t="s">
        <v>5</v>
      </c>
      <c r="I857">
        <v>1</v>
      </c>
      <c r="L857" s="1"/>
      <c r="M857" s="1"/>
      <c r="N857" s="1"/>
      <c r="O857" s="1"/>
      <c r="P857" s="1" t="s">
        <v>2744</v>
      </c>
    </row>
    <row r="858" spans="1:16" ht="15" customHeight="1" x14ac:dyDescent="0.25">
      <c r="A858" s="1" t="s">
        <v>1200</v>
      </c>
      <c r="B858" s="2" t="s">
        <v>2860</v>
      </c>
      <c r="C858" t="b">
        <v>1</v>
      </c>
      <c r="D858" s="1" t="s">
        <v>2864</v>
      </c>
      <c r="E858" s="1" t="s">
        <v>2877</v>
      </c>
      <c r="F858" s="1" t="s">
        <v>2896</v>
      </c>
      <c r="G858" s="1" t="s">
        <v>2915</v>
      </c>
      <c r="H858" s="1" t="s">
        <v>5</v>
      </c>
      <c r="I858">
        <v>10</v>
      </c>
      <c r="L858" s="1"/>
      <c r="M858" s="1"/>
      <c r="N858" s="1"/>
      <c r="O858" s="1"/>
      <c r="P858" s="1" t="s">
        <v>2744</v>
      </c>
    </row>
    <row r="859" spans="1:16" ht="15" customHeight="1" x14ac:dyDescent="0.25">
      <c r="A859" s="1" t="s">
        <v>1200</v>
      </c>
      <c r="B859" s="2" t="s">
        <v>2860</v>
      </c>
      <c r="C859" t="b">
        <v>1</v>
      </c>
      <c r="D859" s="1" t="s">
        <v>1192</v>
      </c>
      <c r="E859" s="1" t="s">
        <v>2878</v>
      </c>
      <c r="F859" s="1" t="s">
        <v>2897</v>
      </c>
      <c r="G859" s="1" t="s">
        <v>2916</v>
      </c>
      <c r="H859" s="1" t="s">
        <v>5</v>
      </c>
      <c r="I859">
        <v>5</v>
      </c>
      <c r="L859" s="1"/>
      <c r="M859" s="1"/>
      <c r="N859" s="1"/>
      <c r="O859" s="1"/>
      <c r="P859" s="1" t="s">
        <v>2744</v>
      </c>
    </row>
    <row r="860" spans="1:16" ht="15" customHeight="1" x14ac:dyDescent="0.25">
      <c r="A860" s="1" t="s">
        <v>1200</v>
      </c>
      <c r="B860" s="2" t="s">
        <v>2860</v>
      </c>
      <c r="C860" t="b">
        <v>1</v>
      </c>
      <c r="D860" s="1" t="s">
        <v>2865</v>
      </c>
      <c r="E860" s="1" t="s">
        <v>2879</v>
      </c>
      <c r="F860" s="1" t="s">
        <v>2898</v>
      </c>
      <c r="G860" s="1" t="s">
        <v>2917</v>
      </c>
      <c r="H860" s="1" t="s">
        <v>748</v>
      </c>
      <c r="J860">
        <v>13</v>
      </c>
      <c r="K860">
        <v>2</v>
      </c>
      <c r="L860" s="1"/>
      <c r="M860" s="1"/>
      <c r="N860" s="1"/>
      <c r="O860" s="1"/>
      <c r="P860" s="1" t="s">
        <v>2744</v>
      </c>
    </row>
    <row r="861" spans="1:16" ht="15" customHeight="1" x14ac:dyDescent="0.25">
      <c r="A861" s="1" t="s">
        <v>1200</v>
      </c>
      <c r="B861" s="2" t="s">
        <v>2860</v>
      </c>
      <c r="C861" t="b">
        <v>1</v>
      </c>
      <c r="D861" s="1" t="s">
        <v>1185</v>
      </c>
      <c r="E861" s="1" t="s">
        <v>2880</v>
      </c>
      <c r="F861" s="1" t="s">
        <v>2899</v>
      </c>
      <c r="G861" s="1" t="s">
        <v>2918</v>
      </c>
      <c r="H861" s="1" t="s">
        <v>5</v>
      </c>
      <c r="I861">
        <v>2</v>
      </c>
      <c r="L861" s="1"/>
      <c r="M861" s="1"/>
      <c r="N861" s="1"/>
      <c r="O861" s="1"/>
      <c r="P861" s="1" t="s">
        <v>2744</v>
      </c>
    </row>
    <row r="862" spans="1:16" ht="15" customHeight="1" x14ac:dyDescent="0.25">
      <c r="A862" s="1" t="s">
        <v>1200</v>
      </c>
      <c r="B862" s="2" t="s">
        <v>2860</v>
      </c>
      <c r="C862" t="b">
        <v>1</v>
      </c>
      <c r="D862" s="1" t="s">
        <v>2866</v>
      </c>
      <c r="E862" s="1" t="s">
        <v>2881</v>
      </c>
      <c r="F862" s="1" t="s">
        <v>2900</v>
      </c>
      <c r="G862" s="1" t="s">
        <v>2919</v>
      </c>
      <c r="H862" s="1" t="s">
        <v>5</v>
      </c>
      <c r="I862">
        <v>1</v>
      </c>
      <c r="L862" s="1"/>
      <c r="M862" s="1"/>
      <c r="N862" s="1"/>
      <c r="O862" s="1"/>
      <c r="P862" s="1" t="s">
        <v>2744</v>
      </c>
    </row>
    <row r="863" spans="1:16" ht="15" customHeight="1" x14ac:dyDescent="0.25">
      <c r="A863" s="1" t="s">
        <v>1200</v>
      </c>
      <c r="B863" s="2" t="s">
        <v>2860</v>
      </c>
      <c r="C863" t="b">
        <v>1</v>
      </c>
      <c r="D863" s="1" t="s">
        <v>1194</v>
      </c>
      <c r="E863" s="1" t="s">
        <v>2882</v>
      </c>
      <c r="F863" s="1" t="s">
        <v>2901</v>
      </c>
      <c r="G863" s="1" t="s">
        <v>1194</v>
      </c>
      <c r="H863" s="1" t="s">
        <v>5</v>
      </c>
      <c r="I863">
        <v>10</v>
      </c>
      <c r="L863" s="1"/>
      <c r="M863" s="1"/>
      <c r="N863" s="1"/>
      <c r="O863" s="1"/>
      <c r="P863" s="1" t="s">
        <v>2744</v>
      </c>
    </row>
    <row r="864" spans="1:16" ht="15" customHeight="1" x14ac:dyDescent="0.25">
      <c r="A864" s="1" t="s">
        <v>1200</v>
      </c>
      <c r="B864" s="2" t="s">
        <v>2860</v>
      </c>
      <c r="C864" t="b">
        <v>1</v>
      </c>
      <c r="D864" s="1" t="s">
        <v>2867</v>
      </c>
      <c r="E864" s="1" t="s">
        <v>2883</v>
      </c>
      <c r="F864" s="1" t="s">
        <v>2902</v>
      </c>
      <c r="G864" s="1" t="s">
        <v>2920</v>
      </c>
      <c r="H864" s="1" t="s">
        <v>5</v>
      </c>
      <c r="I864">
        <v>1</v>
      </c>
      <c r="L864" s="1"/>
      <c r="M864" s="1"/>
      <c r="N864" s="1"/>
      <c r="O864" s="1"/>
      <c r="P864" s="1" t="s">
        <v>2744</v>
      </c>
    </row>
    <row r="865" spans="1:16" ht="15" customHeight="1" x14ac:dyDescent="0.25">
      <c r="A865" s="1" t="s">
        <v>1200</v>
      </c>
      <c r="B865" s="2" t="s">
        <v>2860</v>
      </c>
      <c r="C865" t="b">
        <v>1</v>
      </c>
      <c r="D865" s="1" t="s">
        <v>1193</v>
      </c>
      <c r="E865" s="1" t="s">
        <v>2884</v>
      </c>
      <c r="F865" s="1" t="s">
        <v>2903</v>
      </c>
      <c r="G865" s="1" t="s">
        <v>2921</v>
      </c>
      <c r="H865" s="1" t="s">
        <v>5</v>
      </c>
      <c r="I865">
        <v>7</v>
      </c>
      <c r="L865" s="1"/>
      <c r="M865" s="1"/>
      <c r="N865" s="1"/>
      <c r="O865" s="1"/>
      <c r="P865" s="1" t="s">
        <v>2744</v>
      </c>
    </row>
    <row r="866" spans="1:16" ht="15" customHeight="1" x14ac:dyDescent="0.25">
      <c r="A866" s="1" t="s">
        <v>1200</v>
      </c>
      <c r="B866" s="2" t="s">
        <v>2860</v>
      </c>
      <c r="C866" t="b">
        <v>1</v>
      </c>
      <c r="D866" s="1" t="s">
        <v>1197</v>
      </c>
      <c r="E866" s="1" t="s">
        <v>2885</v>
      </c>
      <c r="F866" s="1" t="s">
        <v>2904</v>
      </c>
      <c r="G866" s="1" t="s">
        <v>2922</v>
      </c>
      <c r="H866" s="1" t="s">
        <v>5</v>
      </c>
      <c r="I866">
        <v>3</v>
      </c>
      <c r="L866" s="1"/>
      <c r="M866" s="1"/>
      <c r="N866" s="1"/>
      <c r="O866" s="1"/>
      <c r="P866" s="1" t="s">
        <v>2744</v>
      </c>
    </row>
    <row r="867" spans="1:16" ht="15" customHeight="1" x14ac:dyDescent="0.25">
      <c r="A867" s="1" t="s">
        <v>1200</v>
      </c>
      <c r="B867" s="2" t="s">
        <v>2860</v>
      </c>
      <c r="C867" t="b">
        <v>1</v>
      </c>
      <c r="D867" s="1" t="s">
        <v>1198</v>
      </c>
      <c r="E867" s="1" t="s">
        <v>2886</v>
      </c>
      <c r="F867" s="1" t="s">
        <v>2905</v>
      </c>
      <c r="G867" s="1" t="s">
        <v>2923</v>
      </c>
      <c r="H867" s="1" t="s">
        <v>5</v>
      </c>
      <c r="I867">
        <v>3</v>
      </c>
      <c r="L867" s="1"/>
      <c r="M867" s="1"/>
      <c r="N867" s="1"/>
      <c r="O867" s="1"/>
      <c r="P867" s="1" t="s">
        <v>2744</v>
      </c>
    </row>
    <row r="868" spans="1:16" ht="15" customHeight="1" x14ac:dyDescent="0.25">
      <c r="A868" s="1" t="s">
        <v>1200</v>
      </c>
      <c r="B868" s="2" t="s">
        <v>2860</v>
      </c>
      <c r="C868" t="b">
        <v>0</v>
      </c>
      <c r="D868" s="1" t="s">
        <v>2868</v>
      </c>
      <c r="E868" s="1" t="s">
        <v>2887</v>
      </c>
      <c r="F868" s="1" t="s">
        <v>2906</v>
      </c>
      <c r="G868" s="1" t="s">
        <v>2924</v>
      </c>
      <c r="H868" s="1" t="s">
        <v>5</v>
      </c>
      <c r="I868">
        <v>10</v>
      </c>
      <c r="L868" s="1"/>
      <c r="M868" s="1"/>
      <c r="N868" s="1"/>
      <c r="O868" s="1"/>
      <c r="P868" s="1" t="s">
        <v>2744</v>
      </c>
    </row>
    <row r="869" spans="1:16" ht="15" customHeight="1" x14ac:dyDescent="0.25">
      <c r="A869" s="1" t="s">
        <v>1200</v>
      </c>
      <c r="B869" s="2" t="s">
        <v>2860</v>
      </c>
      <c r="D869" s="1"/>
      <c r="E869" s="1"/>
      <c r="F869" s="1"/>
      <c r="G869" s="1"/>
      <c r="H869" s="1"/>
      <c r="L869" s="1" t="s">
        <v>1524</v>
      </c>
      <c r="M869" s="1" t="s">
        <v>2925</v>
      </c>
      <c r="N869" s="1"/>
      <c r="O869" s="1"/>
      <c r="P869" s="1" t="s">
        <v>2744</v>
      </c>
    </row>
    <row r="870" spans="1:16" ht="15" customHeight="1" x14ac:dyDescent="0.25">
      <c r="A870" s="1" t="s">
        <v>1200</v>
      </c>
      <c r="B870" s="2" t="s">
        <v>2860</v>
      </c>
      <c r="D870" s="1"/>
      <c r="E870" s="1"/>
      <c r="F870" s="1"/>
      <c r="G870" s="1"/>
      <c r="H870" s="1"/>
      <c r="L870" s="1" t="s">
        <v>1524</v>
      </c>
      <c r="M870" s="1" t="s">
        <v>2739</v>
      </c>
      <c r="N870" s="1"/>
      <c r="O870" s="1"/>
      <c r="P870" s="1" t="s">
        <v>2744</v>
      </c>
    </row>
    <row r="871" spans="1:16" ht="15" customHeight="1" x14ac:dyDescent="0.25">
      <c r="A871" s="1" t="s">
        <v>1200</v>
      </c>
      <c r="B871" s="2" t="s">
        <v>2860</v>
      </c>
      <c r="D871" s="1"/>
      <c r="E871" s="1"/>
      <c r="F871" s="1"/>
      <c r="G871" s="1"/>
      <c r="H871" s="1"/>
      <c r="L871" s="1" t="s">
        <v>1524</v>
      </c>
      <c r="M871" s="1" t="s">
        <v>2741</v>
      </c>
      <c r="N871" s="1"/>
      <c r="O871" s="1"/>
      <c r="P871" s="1" t="s">
        <v>2744</v>
      </c>
    </row>
    <row r="872" spans="1:16" ht="15" customHeight="1" x14ac:dyDescent="0.25">
      <c r="A872" s="1" t="s">
        <v>1200</v>
      </c>
      <c r="B872" s="2" t="s">
        <v>2860</v>
      </c>
      <c r="D872" s="1"/>
      <c r="E872" s="1"/>
      <c r="F872" s="1"/>
      <c r="G872" s="1"/>
      <c r="H872" s="1"/>
      <c r="L872" s="1" t="s">
        <v>1524</v>
      </c>
      <c r="M872" s="1" t="s">
        <v>2740</v>
      </c>
      <c r="N872" s="1"/>
      <c r="O872" s="1"/>
      <c r="P872" s="1" t="s">
        <v>2744</v>
      </c>
    </row>
    <row r="873" spans="1:16" ht="15" customHeight="1" x14ac:dyDescent="0.25">
      <c r="A873" s="1" t="s">
        <v>1200</v>
      </c>
      <c r="B873" s="2" t="s">
        <v>2860</v>
      </c>
      <c r="D873" s="1"/>
      <c r="E873" s="1"/>
      <c r="F873" s="1"/>
      <c r="G873" s="1"/>
      <c r="H873" s="1"/>
      <c r="L873" s="1"/>
      <c r="M873" s="1"/>
      <c r="N873" s="1" t="s">
        <v>1529</v>
      </c>
      <c r="O873" s="1" t="s">
        <v>2828</v>
      </c>
      <c r="P873" s="1" t="s">
        <v>2744</v>
      </c>
    </row>
    <row r="874" spans="1:16" ht="15" customHeight="1" x14ac:dyDescent="0.25">
      <c r="A874" s="1" t="s">
        <v>1200</v>
      </c>
      <c r="B874" s="2" t="s">
        <v>2860</v>
      </c>
      <c r="D874" s="1"/>
      <c r="E874" s="1"/>
      <c r="F874" s="1"/>
      <c r="G874" s="1"/>
      <c r="H874" s="1"/>
      <c r="L874" s="1"/>
      <c r="M874" s="1"/>
      <c r="N874" s="1" t="s">
        <v>1529</v>
      </c>
      <c r="O874" s="1" t="s">
        <v>2828</v>
      </c>
      <c r="P874" s="1" t="s">
        <v>2744</v>
      </c>
    </row>
    <row r="875" spans="1:16" ht="15" customHeight="1" x14ac:dyDescent="0.25">
      <c r="A875" s="1" t="s">
        <v>1200</v>
      </c>
      <c r="B875" s="2" t="s">
        <v>2860</v>
      </c>
      <c r="D875" s="1"/>
      <c r="E875" s="1"/>
      <c r="F875" s="1"/>
      <c r="G875" s="1"/>
      <c r="H875" s="1"/>
      <c r="L875" s="1"/>
      <c r="M875" s="1"/>
      <c r="N875" s="1" t="s">
        <v>1529</v>
      </c>
      <c r="O875" s="1" t="s">
        <v>2926</v>
      </c>
      <c r="P875" s="1" t="s">
        <v>2744</v>
      </c>
    </row>
    <row r="876" spans="1:16" ht="15" customHeight="1" x14ac:dyDescent="0.25">
      <c r="A876" s="1" t="s">
        <v>1200</v>
      </c>
      <c r="B876" s="2" t="s">
        <v>2860</v>
      </c>
      <c r="D876" s="1"/>
      <c r="E876" s="1"/>
      <c r="F876" s="1"/>
      <c r="G876" s="1"/>
      <c r="H876" s="1"/>
      <c r="L876" s="1"/>
      <c r="M876" s="1"/>
      <c r="N876" s="1" t="s">
        <v>1529</v>
      </c>
      <c r="O876" s="1" t="s">
        <v>2926</v>
      </c>
      <c r="P876" s="1" t="s">
        <v>2744</v>
      </c>
    </row>
    <row r="877" spans="1:16" ht="15" customHeight="1" x14ac:dyDescent="0.25">
      <c r="A877" s="1" t="s">
        <v>1200</v>
      </c>
      <c r="B877" s="2" t="s">
        <v>2860</v>
      </c>
      <c r="D877" s="1"/>
      <c r="E877" s="1"/>
      <c r="F877" s="1"/>
      <c r="G877" s="1"/>
      <c r="H877" s="1"/>
      <c r="L877" s="1"/>
      <c r="M877" s="1"/>
      <c r="N877" s="1" t="s">
        <v>1529</v>
      </c>
      <c r="O877" s="1" t="s">
        <v>2926</v>
      </c>
      <c r="P877" s="1" t="s">
        <v>2744</v>
      </c>
    </row>
    <row r="878" spans="1:16" ht="15" customHeight="1" x14ac:dyDescent="0.25">
      <c r="A878" s="1" t="s">
        <v>1200</v>
      </c>
      <c r="B878" s="2" t="s">
        <v>2860</v>
      </c>
      <c r="D878" s="1"/>
      <c r="E878" s="1"/>
      <c r="F878" s="1"/>
      <c r="G878" s="1"/>
      <c r="H878" s="1"/>
      <c r="L878" s="1"/>
      <c r="M878" s="1"/>
      <c r="N878" s="1" t="s">
        <v>1529</v>
      </c>
      <c r="O878" s="1" t="s">
        <v>2926</v>
      </c>
      <c r="P878" s="1" t="s">
        <v>2744</v>
      </c>
    </row>
    <row r="879" spans="1:16" ht="15" customHeight="1" x14ac:dyDescent="0.25">
      <c r="A879" s="1" t="s">
        <v>1200</v>
      </c>
      <c r="B879" s="2" t="s">
        <v>2860</v>
      </c>
      <c r="D879" s="1"/>
      <c r="E879" s="1"/>
      <c r="F879" s="1"/>
      <c r="G879" s="1"/>
      <c r="H879" s="1"/>
      <c r="L879" s="1"/>
      <c r="M879" s="1"/>
      <c r="N879" s="1" t="s">
        <v>1529</v>
      </c>
      <c r="O879" s="1" t="s">
        <v>2926</v>
      </c>
      <c r="P879" s="1" t="s">
        <v>2744</v>
      </c>
    </row>
    <row r="880" spans="1:16" ht="15" customHeight="1" x14ac:dyDescent="0.25">
      <c r="A880" s="1" t="s">
        <v>1200</v>
      </c>
      <c r="B880" s="2" t="s">
        <v>2860</v>
      </c>
      <c r="D880" s="1"/>
      <c r="E880" s="1"/>
      <c r="F880" s="1"/>
      <c r="G880" s="1"/>
      <c r="H880" s="1"/>
      <c r="L880" s="1"/>
      <c r="M880" s="1"/>
      <c r="N880" s="1" t="s">
        <v>1529</v>
      </c>
      <c r="O880" s="1" t="s">
        <v>2927</v>
      </c>
      <c r="P880" s="1" t="s">
        <v>2744</v>
      </c>
    </row>
    <row r="881" spans="1:16" ht="15" customHeight="1" x14ac:dyDescent="0.25">
      <c r="A881" s="1" t="s">
        <v>1200</v>
      </c>
      <c r="B881" s="2" t="s">
        <v>2860</v>
      </c>
      <c r="D881" s="1"/>
      <c r="E881" s="1"/>
      <c r="F881" s="1"/>
      <c r="G881" s="1"/>
      <c r="H881" s="1"/>
      <c r="L881" s="1"/>
      <c r="M881" s="1"/>
      <c r="N881" s="1" t="s">
        <v>1529</v>
      </c>
      <c r="O881" s="1" t="s">
        <v>2927</v>
      </c>
      <c r="P881" s="1" t="s">
        <v>2744</v>
      </c>
    </row>
    <row r="882" spans="1:16" ht="15" customHeight="1" x14ac:dyDescent="0.25">
      <c r="A882" s="1" t="s">
        <v>1200</v>
      </c>
      <c r="B882" s="2" t="s">
        <v>2860</v>
      </c>
      <c r="D882" s="1"/>
      <c r="E882" s="1"/>
      <c r="F882" s="1"/>
      <c r="G882" s="1"/>
      <c r="H882" s="1"/>
      <c r="L882" s="1"/>
      <c r="M882" s="1"/>
      <c r="N882" s="1" t="s">
        <v>1529</v>
      </c>
      <c r="O882" s="1" t="s">
        <v>2927</v>
      </c>
      <c r="P882" s="1" t="s">
        <v>2744</v>
      </c>
    </row>
    <row r="883" spans="1:16" ht="15" customHeight="1" x14ac:dyDescent="0.25">
      <c r="A883" s="1" t="s">
        <v>1459</v>
      </c>
      <c r="B883" s="2" t="s">
        <v>2928</v>
      </c>
      <c r="C883" t="b">
        <v>0</v>
      </c>
      <c r="D883" s="1" t="s">
        <v>16</v>
      </c>
      <c r="E883" s="1" t="s">
        <v>2682</v>
      </c>
      <c r="F883" s="1" t="s">
        <v>2702</v>
      </c>
      <c r="G883" s="1" t="s">
        <v>2722</v>
      </c>
      <c r="H883" s="1" t="s">
        <v>5</v>
      </c>
      <c r="I883">
        <v>10</v>
      </c>
      <c r="L883" s="1"/>
      <c r="M883" s="1"/>
      <c r="N883" s="1"/>
      <c r="O883" s="1"/>
      <c r="P883" s="1" t="s">
        <v>2744</v>
      </c>
    </row>
    <row r="884" spans="1:16" ht="15" customHeight="1" x14ac:dyDescent="0.25">
      <c r="A884" s="1" t="s">
        <v>1459</v>
      </c>
      <c r="B884" s="2" t="s">
        <v>2928</v>
      </c>
      <c r="C884" t="b">
        <v>1</v>
      </c>
      <c r="D884" s="1" t="s">
        <v>1454</v>
      </c>
      <c r="E884" s="1" t="s">
        <v>2683</v>
      </c>
      <c r="F884" s="1" t="s">
        <v>2703</v>
      </c>
      <c r="G884" s="1" t="s">
        <v>2723</v>
      </c>
      <c r="H884" s="1" t="s">
        <v>5</v>
      </c>
      <c r="I884">
        <v>4</v>
      </c>
      <c r="L884" s="1"/>
      <c r="M884" s="1"/>
      <c r="N884" s="1"/>
      <c r="O884" s="1"/>
      <c r="P884" s="1" t="s">
        <v>2744</v>
      </c>
    </row>
    <row r="885" spans="1:16" ht="15" customHeight="1" x14ac:dyDescent="0.25">
      <c r="A885" s="1" t="s">
        <v>1459</v>
      </c>
      <c r="B885" s="2" t="s">
        <v>2928</v>
      </c>
      <c r="C885" t="b">
        <v>1</v>
      </c>
      <c r="D885" s="1" t="s">
        <v>1390</v>
      </c>
      <c r="E885" s="1" t="s">
        <v>2684</v>
      </c>
      <c r="F885" s="1" t="s">
        <v>2704</v>
      </c>
      <c r="G885" s="1" t="s">
        <v>1390</v>
      </c>
      <c r="H885" s="1" t="s">
        <v>5</v>
      </c>
      <c r="I885">
        <v>35</v>
      </c>
      <c r="L885" s="1"/>
      <c r="M885" s="1"/>
      <c r="N885" s="1"/>
      <c r="O885" s="1"/>
      <c r="P885" s="1" t="s">
        <v>2744</v>
      </c>
    </row>
    <row r="886" spans="1:16" ht="15" customHeight="1" x14ac:dyDescent="0.25">
      <c r="A886" s="1" t="s">
        <v>1459</v>
      </c>
      <c r="B886" s="2" t="s">
        <v>2928</v>
      </c>
      <c r="C886" t="b">
        <v>1</v>
      </c>
      <c r="D886" s="1" t="s">
        <v>1203</v>
      </c>
      <c r="E886" s="1" t="s">
        <v>2685</v>
      </c>
      <c r="F886" s="1" t="s">
        <v>2705</v>
      </c>
      <c r="G886" s="1" t="s">
        <v>1203</v>
      </c>
      <c r="H886" s="1" t="s">
        <v>5</v>
      </c>
      <c r="I886">
        <v>35</v>
      </c>
      <c r="L886" s="1"/>
      <c r="M886" s="1"/>
      <c r="N886" s="1"/>
      <c r="O886" s="1"/>
      <c r="P886" s="1" t="s">
        <v>2744</v>
      </c>
    </row>
    <row r="887" spans="1:16" ht="15" customHeight="1" x14ac:dyDescent="0.25">
      <c r="A887" s="1" t="s">
        <v>1459</v>
      </c>
      <c r="B887" s="2" t="s">
        <v>2928</v>
      </c>
      <c r="C887" t="b">
        <v>1</v>
      </c>
      <c r="D887" s="1" t="s">
        <v>1398</v>
      </c>
      <c r="E887" s="1" t="s">
        <v>2936</v>
      </c>
      <c r="F887" s="1" t="s">
        <v>2953</v>
      </c>
      <c r="G887" s="1" t="s">
        <v>1398</v>
      </c>
      <c r="H887" s="1" t="s">
        <v>5</v>
      </c>
      <c r="I887">
        <v>15</v>
      </c>
      <c r="L887" s="1"/>
      <c r="M887" s="1"/>
      <c r="N887" s="1"/>
      <c r="O887" s="1"/>
      <c r="P887" s="1" t="s">
        <v>2744</v>
      </c>
    </row>
    <row r="888" spans="1:16" ht="15" customHeight="1" x14ac:dyDescent="0.25">
      <c r="A888" s="1" t="s">
        <v>1459</v>
      </c>
      <c r="B888" s="2" t="s">
        <v>2928</v>
      </c>
      <c r="C888" t="b">
        <v>1</v>
      </c>
      <c r="D888" s="1" t="s">
        <v>2929</v>
      </c>
      <c r="E888" s="1" t="s">
        <v>2937</v>
      </c>
      <c r="F888" s="1" t="s">
        <v>2954</v>
      </c>
      <c r="G888" s="1" t="s">
        <v>2929</v>
      </c>
      <c r="H888" s="1" t="s">
        <v>5</v>
      </c>
      <c r="I888">
        <v>35</v>
      </c>
      <c r="L888" s="1"/>
      <c r="M888" s="1"/>
      <c r="N888" s="1"/>
      <c r="O888" s="1"/>
      <c r="P888" s="1" t="s">
        <v>2744</v>
      </c>
    </row>
    <row r="889" spans="1:16" ht="15" customHeight="1" x14ac:dyDescent="0.25">
      <c r="A889" s="1" t="s">
        <v>1459</v>
      </c>
      <c r="B889" s="2" t="s">
        <v>2928</v>
      </c>
      <c r="C889" t="b">
        <v>1</v>
      </c>
      <c r="D889" s="1" t="s">
        <v>1455</v>
      </c>
      <c r="E889" s="1" t="s">
        <v>2938</v>
      </c>
      <c r="F889" s="1" t="s">
        <v>2955</v>
      </c>
      <c r="G889" s="1" t="s">
        <v>1391</v>
      </c>
      <c r="H889" s="1" t="s">
        <v>5</v>
      </c>
      <c r="I889">
        <v>35</v>
      </c>
      <c r="L889" s="1"/>
      <c r="M889" s="1"/>
      <c r="N889" s="1"/>
      <c r="O889" s="1"/>
      <c r="P889" s="1" t="s">
        <v>2744</v>
      </c>
    </row>
    <row r="890" spans="1:16" ht="15" customHeight="1" x14ac:dyDescent="0.25">
      <c r="A890" s="1" t="s">
        <v>1459</v>
      </c>
      <c r="B890" s="2" t="s">
        <v>2928</v>
      </c>
      <c r="C890" t="b">
        <v>1</v>
      </c>
      <c r="D890" s="1" t="s">
        <v>2930</v>
      </c>
      <c r="E890" s="1" t="s">
        <v>2939</v>
      </c>
      <c r="F890" s="1" t="s">
        <v>2956</v>
      </c>
      <c r="G890" s="1" t="s">
        <v>2930</v>
      </c>
      <c r="H890" s="1" t="s">
        <v>5</v>
      </c>
      <c r="I890">
        <v>35</v>
      </c>
      <c r="L890" s="1"/>
      <c r="M890" s="1"/>
      <c r="N890" s="1"/>
      <c r="O890" s="1"/>
      <c r="P890" s="1" t="s">
        <v>2744</v>
      </c>
    </row>
    <row r="891" spans="1:16" ht="15" customHeight="1" x14ac:dyDescent="0.25">
      <c r="A891" s="1" t="s">
        <v>1459</v>
      </c>
      <c r="B891" s="2" t="s">
        <v>2928</v>
      </c>
      <c r="C891" t="b">
        <v>1</v>
      </c>
      <c r="D891" s="1" t="s">
        <v>1394</v>
      </c>
      <c r="E891" s="1" t="s">
        <v>2940</v>
      </c>
      <c r="F891" s="1" t="s">
        <v>2957</v>
      </c>
      <c r="G891" s="1" t="s">
        <v>1394</v>
      </c>
      <c r="H891" s="1" t="s">
        <v>5</v>
      </c>
      <c r="I891">
        <v>10</v>
      </c>
      <c r="L891" s="1"/>
      <c r="M891" s="1"/>
      <c r="N891" s="1"/>
      <c r="O891" s="1"/>
      <c r="P891" s="1" t="s">
        <v>2744</v>
      </c>
    </row>
    <row r="892" spans="1:16" ht="15" customHeight="1" x14ac:dyDescent="0.25">
      <c r="A892" s="1" t="s">
        <v>1459</v>
      </c>
      <c r="B892" s="2" t="s">
        <v>2928</v>
      </c>
      <c r="C892" t="b">
        <v>1</v>
      </c>
      <c r="D892" s="1" t="s">
        <v>1223</v>
      </c>
      <c r="E892" s="1" t="s">
        <v>2941</v>
      </c>
      <c r="F892" s="1" t="s">
        <v>2958</v>
      </c>
      <c r="G892" s="1" t="s">
        <v>2969</v>
      </c>
      <c r="H892" s="1" t="s">
        <v>5</v>
      </c>
      <c r="I892">
        <v>3</v>
      </c>
      <c r="L892" s="1"/>
      <c r="M892" s="1"/>
      <c r="N892" s="1"/>
      <c r="O892" s="1"/>
      <c r="P892" s="1" t="s">
        <v>2744</v>
      </c>
    </row>
    <row r="893" spans="1:16" ht="15" customHeight="1" x14ac:dyDescent="0.25">
      <c r="A893" s="1" t="s">
        <v>1459</v>
      </c>
      <c r="B893" s="2" t="s">
        <v>2928</v>
      </c>
      <c r="C893" t="b">
        <v>1</v>
      </c>
      <c r="D893" s="1" t="s">
        <v>1395</v>
      </c>
      <c r="E893" s="1" t="s">
        <v>2942</v>
      </c>
      <c r="F893" s="1" t="s">
        <v>2959</v>
      </c>
      <c r="G893" s="1" t="s">
        <v>2970</v>
      </c>
      <c r="H893" s="1" t="s">
        <v>5</v>
      </c>
      <c r="I893">
        <v>3</v>
      </c>
      <c r="L893" s="1"/>
      <c r="M893" s="1"/>
      <c r="N893" s="1"/>
      <c r="O893" s="1"/>
      <c r="P893" s="1" t="s">
        <v>2744</v>
      </c>
    </row>
    <row r="894" spans="1:16" ht="15" customHeight="1" x14ac:dyDescent="0.25">
      <c r="A894" s="1" t="s">
        <v>1459</v>
      </c>
      <c r="B894" s="2" t="s">
        <v>2928</v>
      </c>
      <c r="C894" t="b">
        <v>1</v>
      </c>
      <c r="D894" s="1" t="s">
        <v>1457</v>
      </c>
      <c r="E894" s="1" t="s">
        <v>2943</v>
      </c>
      <c r="F894" s="1" t="s">
        <v>2960</v>
      </c>
      <c r="G894" s="1" t="s">
        <v>1457</v>
      </c>
      <c r="H894" s="1" t="s">
        <v>5</v>
      </c>
      <c r="I894">
        <v>10</v>
      </c>
      <c r="L894" s="1"/>
      <c r="M894" s="1"/>
      <c r="N894" s="1"/>
      <c r="O894" s="1"/>
      <c r="P894" s="1" t="s">
        <v>2744</v>
      </c>
    </row>
    <row r="895" spans="1:16" ht="15" customHeight="1" x14ac:dyDescent="0.25">
      <c r="A895" s="1" t="s">
        <v>1459</v>
      </c>
      <c r="B895" s="2" t="s">
        <v>2928</v>
      </c>
      <c r="C895" t="b">
        <v>1</v>
      </c>
      <c r="D895" s="1" t="s">
        <v>1396</v>
      </c>
      <c r="E895" s="1" t="s">
        <v>2944</v>
      </c>
      <c r="F895" s="1" t="s">
        <v>2961</v>
      </c>
      <c r="G895" s="1" t="s">
        <v>2971</v>
      </c>
      <c r="H895" s="1" t="s">
        <v>5</v>
      </c>
      <c r="I895">
        <v>10</v>
      </c>
      <c r="L895" s="1"/>
      <c r="M895" s="1"/>
      <c r="N895" s="1"/>
      <c r="O895" s="1"/>
      <c r="P895" s="1" t="s">
        <v>2744</v>
      </c>
    </row>
    <row r="896" spans="1:16" ht="15" customHeight="1" x14ac:dyDescent="0.25">
      <c r="A896" s="1" t="s">
        <v>1459</v>
      </c>
      <c r="B896" s="2" t="s">
        <v>2928</v>
      </c>
      <c r="C896" t="b">
        <v>1</v>
      </c>
      <c r="D896" s="1" t="s">
        <v>2931</v>
      </c>
      <c r="E896" s="1" t="s">
        <v>2945</v>
      </c>
      <c r="F896" s="1" t="s">
        <v>2962</v>
      </c>
      <c r="G896" s="1" t="s">
        <v>2972</v>
      </c>
      <c r="H896" s="1" t="s">
        <v>5</v>
      </c>
      <c r="I896">
        <v>15</v>
      </c>
      <c r="L896" s="1"/>
      <c r="M896" s="1"/>
      <c r="N896" s="1"/>
      <c r="O896" s="1"/>
      <c r="P896" s="1" t="s">
        <v>2744</v>
      </c>
    </row>
    <row r="897" spans="1:16" ht="15" customHeight="1" x14ac:dyDescent="0.25">
      <c r="A897" s="1" t="s">
        <v>1459</v>
      </c>
      <c r="B897" s="2" t="s">
        <v>2928</v>
      </c>
      <c r="C897" t="b">
        <v>1</v>
      </c>
      <c r="D897" s="1" t="s">
        <v>2932</v>
      </c>
      <c r="E897" s="1" t="s">
        <v>2946</v>
      </c>
      <c r="F897" s="1" t="s">
        <v>2963</v>
      </c>
      <c r="G897" s="1" t="s">
        <v>2932</v>
      </c>
      <c r="H897" s="1" t="s">
        <v>5</v>
      </c>
      <c r="I897">
        <v>10</v>
      </c>
      <c r="L897" s="1"/>
      <c r="M897" s="1"/>
      <c r="N897" s="1"/>
      <c r="O897" s="1"/>
      <c r="P897" s="1" t="s">
        <v>2744</v>
      </c>
    </row>
    <row r="898" spans="1:16" ht="15" customHeight="1" x14ac:dyDescent="0.25">
      <c r="A898" s="1" t="s">
        <v>1459</v>
      </c>
      <c r="B898" s="2" t="s">
        <v>2928</v>
      </c>
      <c r="C898" t="b">
        <v>1</v>
      </c>
      <c r="D898" s="1" t="s">
        <v>1458</v>
      </c>
      <c r="E898" s="1" t="s">
        <v>2947</v>
      </c>
      <c r="F898" s="1" t="s">
        <v>2964</v>
      </c>
      <c r="G898" s="1" t="s">
        <v>2973</v>
      </c>
      <c r="H898" s="1" t="s">
        <v>5</v>
      </c>
      <c r="I898">
        <v>10</v>
      </c>
      <c r="L898" s="1"/>
      <c r="M898" s="1"/>
      <c r="N898" s="1"/>
      <c r="O898" s="1"/>
      <c r="P898" s="1" t="s">
        <v>2744</v>
      </c>
    </row>
    <row r="899" spans="1:16" ht="15" customHeight="1" x14ac:dyDescent="0.25">
      <c r="A899" s="1" t="s">
        <v>1459</v>
      </c>
      <c r="B899" s="2" t="s">
        <v>2928</v>
      </c>
      <c r="C899" t="b">
        <v>1</v>
      </c>
      <c r="D899" s="1" t="s">
        <v>1389</v>
      </c>
      <c r="E899" s="1" t="s">
        <v>2948</v>
      </c>
      <c r="F899" s="1" t="s">
        <v>1534</v>
      </c>
      <c r="G899" s="1" t="s">
        <v>2974</v>
      </c>
      <c r="H899" s="1" t="s">
        <v>5</v>
      </c>
      <c r="I899">
        <v>1</v>
      </c>
      <c r="L899" s="1"/>
      <c r="M899" s="1"/>
      <c r="N899" s="1"/>
      <c r="O899" s="1"/>
      <c r="P899" s="1" t="s">
        <v>2744</v>
      </c>
    </row>
    <row r="900" spans="1:16" ht="15" customHeight="1" x14ac:dyDescent="0.25">
      <c r="A900" s="1" t="s">
        <v>1459</v>
      </c>
      <c r="B900" s="2" t="s">
        <v>2928</v>
      </c>
      <c r="C900" t="b">
        <v>1</v>
      </c>
      <c r="D900" s="1" t="s">
        <v>1456</v>
      </c>
      <c r="E900" s="1" t="s">
        <v>2949</v>
      </c>
      <c r="F900" s="1" t="s">
        <v>2965</v>
      </c>
      <c r="G900" s="1" t="s">
        <v>2975</v>
      </c>
      <c r="H900" s="1" t="s">
        <v>5</v>
      </c>
      <c r="I900">
        <v>16</v>
      </c>
      <c r="L900" s="1"/>
      <c r="M900" s="1"/>
      <c r="N900" s="1"/>
      <c r="O900" s="1"/>
      <c r="P900" s="1" t="s">
        <v>2744</v>
      </c>
    </row>
    <row r="901" spans="1:16" ht="15" customHeight="1" x14ac:dyDescent="0.25">
      <c r="A901" s="1" t="s">
        <v>1459</v>
      </c>
      <c r="B901" s="2" t="s">
        <v>2928</v>
      </c>
      <c r="C901" t="b">
        <v>1</v>
      </c>
      <c r="D901" s="1" t="s">
        <v>2933</v>
      </c>
      <c r="E901" s="1" t="s">
        <v>2950</v>
      </c>
      <c r="F901" s="1" t="s">
        <v>2966</v>
      </c>
      <c r="G901" s="1" t="s">
        <v>2976</v>
      </c>
      <c r="H901" s="1" t="s">
        <v>5</v>
      </c>
      <c r="I901">
        <v>31</v>
      </c>
      <c r="L901" s="1"/>
      <c r="M901" s="1"/>
      <c r="N901" s="1"/>
      <c r="O901" s="1"/>
      <c r="P901" s="1" t="s">
        <v>2744</v>
      </c>
    </row>
    <row r="902" spans="1:16" ht="15" customHeight="1" x14ac:dyDescent="0.25">
      <c r="A902" s="1" t="s">
        <v>1459</v>
      </c>
      <c r="B902" s="2" t="s">
        <v>2928</v>
      </c>
      <c r="C902" t="b">
        <v>1</v>
      </c>
      <c r="D902" s="1" t="s">
        <v>2934</v>
      </c>
      <c r="E902" s="1" t="s">
        <v>2951</v>
      </c>
      <c r="F902" s="1" t="s">
        <v>2967</v>
      </c>
      <c r="G902" s="1" t="s">
        <v>2977</v>
      </c>
      <c r="H902" s="1" t="s">
        <v>5</v>
      </c>
      <c r="I902">
        <v>14</v>
      </c>
      <c r="L902" s="1"/>
      <c r="M902" s="1"/>
      <c r="N902" s="1"/>
      <c r="O902" s="1"/>
      <c r="P902" s="1" t="s">
        <v>2744</v>
      </c>
    </row>
    <row r="903" spans="1:16" ht="15" customHeight="1" x14ac:dyDescent="0.25">
      <c r="A903" s="1" t="s">
        <v>1459</v>
      </c>
      <c r="B903" s="2" t="s">
        <v>2928</v>
      </c>
      <c r="C903" t="b">
        <v>1</v>
      </c>
      <c r="D903" s="1" t="s">
        <v>2935</v>
      </c>
      <c r="E903" s="1" t="s">
        <v>2952</v>
      </c>
      <c r="F903" s="1" t="s">
        <v>2968</v>
      </c>
      <c r="G903" s="1" t="s">
        <v>2978</v>
      </c>
      <c r="H903" s="1" t="s">
        <v>5</v>
      </c>
      <c r="I903">
        <v>15</v>
      </c>
      <c r="L903" s="1"/>
      <c r="M903" s="1"/>
      <c r="N903" s="1"/>
      <c r="O903" s="1"/>
      <c r="P903" s="1" t="s">
        <v>2744</v>
      </c>
    </row>
    <row r="904" spans="1:16" ht="15" customHeight="1" x14ac:dyDescent="0.25">
      <c r="A904" s="1" t="s">
        <v>1459</v>
      </c>
      <c r="B904" s="2" t="s">
        <v>2928</v>
      </c>
      <c r="D904" s="1"/>
      <c r="E904" s="1"/>
      <c r="F904" s="1"/>
      <c r="G904" s="1"/>
      <c r="H904" s="1"/>
      <c r="L904" s="1" t="s">
        <v>1524</v>
      </c>
      <c r="M904" s="1" t="s">
        <v>2741</v>
      </c>
      <c r="N904" s="1"/>
      <c r="O904" s="1"/>
      <c r="P904" s="1" t="s">
        <v>2744</v>
      </c>
    </row>
    <row r="905" spans="1:16" ht="15" customHeight="1" x14ac:dyDescent="0.25">
      <c r="A905" s="1" t="s">
        <v>1201</v>
      </c>
      <c r="B905" s="2" t="s">
        <v>2979</v>
      </c>
      <c r="C905" t="b">
        <v>0</v>
      </c>
      <c r="D905" s="1" t="s">
        <v>16</v>
      </c>
      <c r="E905" s="1" t="s">
        <v>2682</v>
      </c>
      <c r="F905" s="1" t="s">
        <v>2702</v>
      </c>
      <c r="G905" s="1" t="s">
        <v>2722</v>
      </c>
      <c r="H905" s="1" t="s">
        <v>5</v>
      </c>
      <c r="I905">
        <v>10</v>
      </c>
      <c r="L905" s="1"/>
      <c r="M905" s="1"/>
      <c r="N905" s="1"/>
      <c r="O905" s="1"/>
      <c r="P905" s="2" t="s">
        <v>3006</v>
      </c>
    </row>
    <row r="906" spans="1:16" ht="15" customHeight="1" x14ac:dyDescent="0.25">
      <c r="A906" s="1" t="s">
        <v>1201</v>
      </c>
      <c r="B906" s="2" t="s">
        <v>2979</v>
      </c>
      <c r="C906" t="b">
        <v>1</v>
      </c>
      <c r="D906" s="1" t="s">
        <v>1454</v>
      </c>
      <c r="E906" s="1" t="s">
        <v>2683</v>
      </c>
      <c r="F906" s="1" t="s">
        <v>2703</v>
      </c>
      <c r="G906" s="1" t="s">
        <v>2723</v>
      </c>
      <c r="H906" s="1" t="s">
        <v>5</v>
      </c>
      <c r="I906">
        <v>4</v>
      </c>
      <c r="L906" s="1"/>
      <c r="M906" s="1"/>
      <c r="N906" s="1"/>
      <c r="O906" s="1"/>
      <c r="P906" s="2" t="s">
        <v>3006</v>
      </c>
    </row>
    <row r="907" spans="1:16" ht="15" customHeight="1" x14ac:dyDescent="0.25">
      <c r="A907" s="1" t="s">
        <v>1201</v>
      </c>
      <c r="B907" s="2" t="s">
        <v>2979</v>
      </c>
      <c r="C907" t="b">
        <v>1</v>
      </c>
      <c r="D907" s="1" t="s">
        <v>1390</v>
      </c>
      <c r="E907" s="1" t="s">
        <v>2684</v>
      </c>
      <c r="F907" s="1" t="s">
        <v>2704</v>
      </c>
      <c r="G907" s="1" t="s">
        <v>1390</v>
      </c>
      <c r="H907" s="1" t="s">
        <v>5</v>
      </c>
      <c r="I907">
        <v>35</v>
      </c>
      <c r="L907" s="1"/>
      <c r="M907" s="1"/>
      <c r="N907" s="1"/>
      <c r="O907" s="1"/>
      <c r="P907" s="2" t="s">
        <v>3006</v>
      </c>
    </row>
    <row r="908" spans="1:16" ht="15" customHeight="1" x14ac:dyDescent="0.25">
      <c r="A908" s="1" t="s">
        <v>1201</v>
      </c>
      <c r="B908" s="2" t="s">
        <v>2979</v>
      </c>
      <c r="C908" t="b">
        <v>1</v>
      </c>
      <c r="D908" s="1" t="s">
        <v>1203</v>
      </c>
      <c r="E908" s="1" t="s">
        <v>2685</v>
      </c>
      <c r="F908" s="1" t="s">
        <v>2705</v>
      </c>
      <c r="G908" s="1" t="s">
        <v>1203</v>
      </c>
      <c r="H908" s="1" t="s">
        <v>5</v>
      </c>
      <c r="I908">
        <v>35</v>
      </c>
      <c r="L908" s="1"/>
      <c r="M908" s="1"/>
      <c r="N908" s="1"/>
      <c r="O908" s="1"/>
      <c r="P908" s="2" t="s">
        <v>3006</v>
      </c>
    </row>
    <row r="909" spans="1:16" ht="15" customHeight="1" x14ac:dyDescent="0.25">
      <c r="A909" s="1" t="s">
        <v>1201</v>
      </c>
      <c r="B909" s="2" t="s">
        <v>2979</v>
      </c>
      <c r="C909" t="b">
        <v>1</v>
      </c>
      <c r="D909" s="1" t="s">
        <v>2980</v>
      </c>
      <c r="E909" s="1" t="s">
        <v>2936</v>
      </c>
      <c r="F909" s="1" t="s">
        <v>2953</v>
      </c>
      <c r="G909" s="1" t="s">
        <v>1398</v>
      </c>
      <c r="H909" s="1" t="s">
        <v>5</v>
      </c>
      <c r="I909">
        <v>15</v>
      </c>
      <c r="L909" s="1"/>
      <c r="M909" s="1"/>
      <c r="N909" s="1"/>
      <c r="O909" s="1"/>
      <c r="P909" s="2" t="s">
        <v>3006</v>
      </c>
    </row>
    <row r="910" spans="1:16" ht="15" customHeight="1" x14ac:dyDescent="0.25">
      <c r="A910" s="1" t="s">
        <v>1201</v>
      </c>
      <c r="B910" s="2" t="s">
        <v>2979</v>
      </c>
      <c r="C910" t="b">
        <v>1</v>
      </c>
      <c r="D910" s="1" t="s">
        <v>2981</v>
      </c>
      <c r="E910" s="1" t="s">
        <v>2986</v>
      </c>
      <c r="F910" s="1" t="s">
        <v>2704</v>
      </c>
      <c r="G910" s="1" t="s">
        <v>1390</v>
      </c>
      <c r="H910" s="1" t="s">
        <v>5</v>
      </c>
      <c r="I910">
        <v>35</v>
      </c>
      <c r="L910" s="1"/>
      <c r="M910" s="1"/>
      <c r="N910" s="1"/>
      <c r="O910" s="1"/>
      <c r="P910" s="2" t="s">
        <v>3006</v>
      </c>
    </row>
    <row r="911" spans="1:16" ht="15" customHeight="1" x14ac:dyDescent="0.25">
      <c r="A911" s="1" t="s">
        <v>1201</v>
      </c>
      <c r="B911" s="2" t="s">
        <v>2979</v>
      </c>
      <c r="C911" t="b">
        <v>1</v>
      </c>
      <c r="D911" s="1" t="s">
        <v>2982</v>
      </c>
      <c r="E911" s="1" t="s">
        <v>2987</v>
      </c>
      <c r="F911" s="1" t="s">
        <v>2993</v>
      </c>
      <c r="G911" s="1" t="s">
        <v>2997</v>
      </c>
      <c r="H911" s="1" t="s">
        <v>5</v>
      </c>
      <c r="I911">
        <v>35</v>
      </c>
      <c r="L911" s="1"/>
      <c r="M911" s="1"/>
      <c r="N911" s="1"/>
      <c r="O911" s="1"/>
      <c r="P911" s="2" t="s">
        <v>3006</v>
      </c>
    </row>
    <row r="912" spans="1:16" ht="15" customHeight="1" x14ac:dyDescent="0.25">
      <c r="A912" s="1" t="s">
        <v>1201</v>
      </c>
      <c r="B912" s="2" t="s">
        <v>2979</v>
      </c>
      <c r="C912" t="b">
        <v>1</v>
      </c>
      <c r="D912" s="1" t="s">
        <v>2983</v>
      </c>
      <c r="E912" s="1" t="s">
        <v>2988</v>
      </c>
      <c r="F912" s="1" t="s">
        <v>2965</v>
      </c>
      <c r="G912" s="1" t="s">
        <v>2975</v>
      </c>
      <c r="H912" s="1" t="s">
        <v>5</v>
      </c>
      <c r="I912">
        <v>16</v>
      </c>
      <c r="L912" s="1"/>
      <c r="M912" s="1"/>
      <c r="N912" s="1"/>
      <c r="O912" s="1"/>
      <c r="P912" s="2" t="s">
        <v>3006</v>
      </c>
    </row>
    <row r="913" spans="1:16" ht="15" customHeight="1" x14ac:dyDescent="0.25">
      <c r="A913" s="1" t="s">
        <v>1201</v>
      </c>
      <c r="B913" s="2" t="s">
        <v>2979</v>
      </c>
      <c r="C913" t="b">
        <v>1</v>
      </c>
      <c r="D913" s="1" t="s">
        <v>481</v>
      </c>
      <c r="E913" s="1" t="s">
        <v>2989</v>
      </c>
      <c r="F913" s="1" t="s">
        <v>2994</v>
      </c>
      <c r="G913" s="1" t="s">
        <v>2998</v>
      </c>
      <c r="H913" s="1" t="s">
        <v>5</v>
      </c>
      <c r="I913">
        <v>4</v>
      </c>
      <c r="L913" s="1"/>
      <c r="M913" s="1"/>
      <c r="N913" s="1"/>
      <c r="O913" s="1"/>
      <c r="P913" s="2" t="s">
        <v>3006</v>
      </c>
    </row>
    <row r="914" spans="1:16" ht="15" customHeight="1" x14ac:dyDescent="0.25">
      <c r="A914" s="1" t="s">
        <v>1201</v>
      </c>
      <c r="B914" s="2" t="s">
        <v>2979</v>
      </c>
      <c r="C914" t="b">
        <v>1</v>
      </c>
      <c r="D914" s="1" t="s">
        <v>2984</v>
      </c>
      <c r="E914" s="1" t="s">
        <v>2990</v>
      </c>
      <c r="F914" s="1" t="s">
        <v>2995</v>
      </c>
      <c r="G914" s="1" t="s">
        <v>1370</v>
      </c>
      <c r="H914" s="1" t="s">
        <v>5</v>
      </c>
      <c r="I914">
        <v>20</v>
      </c>
      <c r="L914" s="1"/>
      <c r="M914" s="1"/>
      <c r="N914" s="1"/>
      <c r="O914" s="1"/>
      <c r="P914" s="2" t="s">
        <v>3006</v>
      </c>
    </row>
    <row r="915" spans="1:16" ht="15" customHeight="1" x14ac:dyDescent="0.25">
      <c r="A915" s="1" t="s">
        <v>1201</v>
      </c>
      <c r="B915" s="2" t="s">
        <v>2979</v>
      </c>
      <c r="C915" t="b">
        <v>1</v>
      </c>
      <c r="D915" s="1" t="s">
        <v>1011</v>
      </c>
      <c r="E915" s="1" t="s">
        <v>2991</v>
      </c>
      <c r="F915" s="1" t="s">
        <v>2996</v>
      </c>
      <c r="G915" s="1" t="s">
        <v>2999</v>
      </c>
      <c r="H915" s="1" t="s">
        <v>5</v>
      </c>
      <c r="I915">
        <v>2</v>
      </c>
      <c r="L915" s="1"/>
      <c r="M915" s="1"/>
      <c r="N915" s="1"/>
      <c r="O915" s="1"/>
      <c r="P915" s="2" t="s">
        <v>3006</v>
      </c>
    </row>
    <row r="916" spans="1:16" ht="15" customHeight="1" x14ac:dyDescent="0.25">
      <c r="A916" s="1" t="s">
        <v>1201</v>
      </c>
      <c r="B916" s="2" t="s">
        <v>2979</v>
      </c>
      <c r="C916" t="b">
        <v>0</v>
      </c>
      <c r="D916" s="1" t="s">
        <v>2985</v>
      </c>
      <c r="E916" s="1" t="s">
        <v>2992</v>
      </c>
      <c r="F916" s="1" t="s">
        <v>2995</v>
      </c>
      <c r="G916" s="1" t="s">
        <v>1370</v>
      </c>
      <c r="H916" s="1" t="s">
        <v>5</v>
      </c>
      <c r="I916">
        <v>20</v>
      </c>
      <c r="L916" s="1"/>
      <c r="M916" s="1"/>
      <c r="N916" s="1"/>
      <c r="O916" s="1"/>
      <c r="P916" s="2" t="s">
        <v>3006</v>
      </c>
    </row>
    <row r="917" spans="1:16" ht="15" customHeight="1" x14ac:dyDescent="0.25">
      <c r="A917" s="1" t="s">
        <v>1201</v>
      </c>
      <c r="B917" s="2" t="s">
        <v>2979</v>
      </c>
      <c r="C917" t="b">
        <v>1</v>
      </c>
      <c r="D917" s="1" t="s">
        <v>2933</v>
      </c>
      <c r="E917" s="1" t="s">
        <v>2950</v>
      </c>
      <c r="F917" s="1" t="s">
        <v>2966</v>
      </c>
      <c r="G917" s="1" t="s">
        <v>2976</v>
      </c>
      <c r="H917" s="1" t="s">
        <v>5</v>
      </c>
      <c r="I917">
        <v>31</v>
      </c>
      <c r="L917" s="1"/>
      <c r="M917" s="1"/>
      <c r="N917" s="1"/>
      <c r="O917" s="1"/>
      <c r="P917" s="2" t="s">
        <v>3006</v>
      </c>
    </row>
    <row r="918" spans="1:16" ht="15" customHeight="1" x14ac:dyDescent="0.25">
      <c r="A918" s="1" t="s">
        <v>1201</v>
      </c>
      <c r="B918" s="2" t="s">
        <v>2979</v>
      </c>
      <c r="D918" s="1"/>
      <c r="E918" s="1"/>
      <c r="F918" s="1"/>
      <c r="G918" s="1"/>
      <c r="H918" s="1"/>
      <c r="L918" s="1" t="s">
        <v>1524</v>
      </c>
      <c r="M918" s="1" t="s">
        <v>3000</v>
      </c>
      <c r="N918" s="1"/>
      <c r="O918" s="1"/>
      <c r="P918" s="2" t="s">
        <v>3006</v>
      </c>
    </row>
    <row r="919" spans="1:16" ht="15" customHeight="1" x14ac:dyDescent="0.25">
      <c r="A919" s="1" t="s">
        <v>1201</v>
      </c>
      <c r="B919" s="2" t="s">
        <v>2979</v>
      </c>
      <c r="D919" s="1"/>
      <c r="E919" s="1"/>
      <c r="F919" s="1"/>
      <c r="G919" s="1"/>
      <c r="H919" s="1"/>
      <c r="L919" s="1" t="s">
        <v>1524</v>
      </c>
      <c r="M919" s="1" t="s">
        <v>2741</v>
      </c>
      <c r="N919" s="1"/>
      <c r="O919" s="1"/>
      <c r="P919" s="2" t="s">
        <v>3006</v>
      </c>
    </row>
    <row r="920" spans="1:16" ht="15" customHeight="1" x14ac:dyDescent="0.25">
      <c r="A920" s="1" t="s">
        <v>1201</v>
      </c>
      <c r="B920" s="2" t="s">
        <v>2979</v>
      </c>
      <c r="D920" s="1"/>
      <c r="E920" s="1"/>
      <c r="F920" s="1"/>
      <c r="G920" s="1"/>
      <c r="H920" s="1"/>
      <c r="L920" s="1" t="s">
        <v>1524</v>
      </c>
      <c r="M920" s="1" t="s">
        <v>3001</v>
      </c>
      <c r="N920" s="1"/>
      <c r="O920" s="1"/>
      <c r="P920" s="2" t="s">
        <v>3006</v>
      </c>
    </row>
    <row r="921" spans="1:16" ht="15" customHeight="1" x14ac:dyDescent="0.25">
      <c r="A921" s="1" t="s">
        <v>1201</v>
      </c>
      <c r="B921" s="2" t="s">
        <v>2979</v>
      </c>
      <c r="D921" s="1"/>
      <c r="E921" s="1"/>
      <c r="F921" s="1"/>
      <c r="G921" s="1"/>
      <c r="H921" s="1"/>
      <c r="L921" s="1" t="s">
        <v>1524</v>
      </c>
      <c r="M921" s="1" t="s">
        <v>3002</v>
      </c>
      <c r="N921" s="1"/>
      <c r="O921" s="1"/>
      <c r="P921" s="2" t="s">
        <v>3006</v>
      </c>
    </row>
    <row r="922" spans="1:16" ht="15" customHeight="1" x14ac:dyDescent="0.25">
      <c r="A922" s="1" t="s">
        <v>1201</v>
      </c>
      <c r="B922" s="2" t="s">
        <v>2979</v>
      </c>
      <c r="D922" s="1"/>
      <c r="E922" s="1"/>
      <c r="F922" s="1"/>
      <c r="G922" s="1"/>
      <c r="H922" s="1"/>
      <c r="L922" s="1"/>
      <c r="M922" s="1"/>
      <c r="N922" s="1" t="s">
        <v>1529</v>
      </c>
      <c r="O922" s="1" t="s">
        <v>3003</v>
      </c>
      <c r="P922" s="2" t="s">
        <v>3006</v>
      </c>
    </row>
    <row r="923" spans="1:16" ht="15" customHeight="1" x14ac:dyDescent="0.25">
      <c r="A923" s="1" t="s">
        <v>1201</v>
      </c>
      <c r="B923" s="2" t="s">
        <v>2979</v>
      </c>
      <c r="D923" s="1"/>
      <c r="E923" s="1"/>
      <c r="F923" s="1"/>
      <c r="G923" s="1"/>
      <c r="H923" s="1"/>
      <c r="L923" s="1"/>
      <c r="M923" s="1"/>
      <c r="N923" s="1" t="s">
        <v>1529</v>
      </c>
      <c r="O923" s="1" t="s">
        <v>3003</v>
      </c>
      <c r="P923" s="2" t="s">
        <v>3006</v>
      </c>
    </row>
    <row r="924" spans="1:16" ht="15" customHeight="1" x14ac:dyDescent="0.25">
      <c r="A924" s="1" t="s">
        <v>1201</v>
      </c>
      <c r="B924" s="2" t="s">
        <v>2979</v>
      </c>
      <c r="D924" s="1"/>
      <c r="E924" s="1"/>
      <c r="F924" s="1"/>
      <c r="G924" s="1"/>
      <c r="H924" s="1"/>
      <c r="L924" s="1"/>
      <c r="M924" s="1"/>
      <c r="N924" s="1" t="s">
        <v>1529</v>
      </c>
      <c r="O924" s="1" t="s">
        <v>3004</v>
      </c>
      <c r="P924" s="2" t="s">
        <v>3006</v>
      </c>
    </row>
    <row r="925" spans="1:16" ht="15" customHeight="1" x14ac:dyDescent="0.25">
      <c r="A925" s="1" t="s">
        <v>1201</v>
      </c>
      <c r="B925" s="2" t="s">
        <v>2979</v>
      </c>
      <c r="D925" s="1"/>
      <c r="E925" s="1"/>
      <c r="F925" s="1"/>
      <c r="G925" s="1"/>
      <c r="H925" s="1"/>
      <c r="L925" s="1"/>
      <c r="M925" s="1"/>
      <c r="N925" s="1" t="s">
        <v>1529</v>
      </c>
      <c r="O925" s="1" t="s">
        <v>3004</v>
      </c>
      <c r="P925" s="2" t="s">
        <v>3006</v>
      </c>
    </row>
    <row r="926" spans="1:16" ht="15" customHeight="1" x14ac:dyDescent="0.25">
      <c r="A926" s="1" t="s">
        <v>1201</v>
      </c>
      <c r="B926" s="2" t="s">
        <v>2979</v>
      </c>
      <c r="D926" s="1"/>
      <c r="E926" s="1"/>
      <c r="F926" s="1"/>
      <c r="G926" s="1"/>
      <c r="H926" s="1"/>
      <c r="L926" s="1"/>
      <c r="M926" s="1"/>
      <c r="N926" s="1" t="s">
        <v>1529</v>
      </c>
      <c r="O926" s="1" t="s">
        <v>3005</v>
      </c>
      <c r="P926" s="2" t="s">
        <v>3006</v>
      </c>
    </row>
    <row r="927" spans="1:16" ht="15" customHeight="1" x14ac:dyDescent="0.25">
      <c r="A927" s="1" t="s">
        <v>1201</v>
      </c>
      <c r="B927" s="2" t="s">
        <v>2979</v>
      </c>
      <c r="D927" s="1"/>
      <c r="E927" s="1"/>
      <c r="F927" s="1"/>
      <c r="G927" s="1"/>
      <c r="H927" s="1"/>
      <c r="L927" s="1"/>
      <c r="M927" s="1"/>
      <c r="N927" s="1" t="s">
        <v>1529</v>
      </c>
      <c r="O927" s="1" t="s">
        <v>3005</v>
      </c>
      <c r="P927" s="2" t="s">
        <v>3006</v>
      </c>
    </row>
    <row r="928" spans="1:16" ht="15" customHeight="1" x14ac:dyDescent="0.25">
      <c r="A928" s="1" t="s">
        <v>1209</v>
      </c>
      <c r="B928" s="2" t="s">
        <v>3007</v>
      </c>
      <c r="C928" t="b">
        <v>0</v>
      </c>
      <c r="D928" s="1" t="s">
        <v>16</v>
      </c>
      <c r="E928" s="1" t="s">
        <v>2682</v>
      </c>
      <c r="F928" s="1" t="s">
        <v>2702</v>
      </c>
      <c r="G928" s="1" t="s">
        <v>2722</v>
      </c>
      <c r="H928" s="1" t="s">
        <v>5</v>
      </c>
      <c r="I928">
        <v>10</v>
      </c>
      <c r="L928" s="1"/>
      <c r="M928" s="1"/>
      <c r="N928" s="1"/>
      <c r="O928" s="1"/>
      <c r="P928" s="1" t="s">
        <v>2744</v>
      </c>
    </row>
    <row r="929" spans="1:16" ht="15" customHeight="1" x14ac:dyDescent="0.25">
      <c r="A929" s="1" t="s">
        <v>1209</v>
      </c>
      <c r="B929" s="2" t="s">
        <v>3007</v>
      </c>
      <c r="C929" t="b">
        <v>1</v>
      </c>
      <c r="D929" s="1" t="s">
        <v>1454</v>
      </c>
      <c r="E929" s="1" t="s">
        <v>2683</v>
      </c>
      <c r="F929" s="1" t="s">
        <v>2703</v>
      </c>
      <c r="G929" s="1" t="s">
        <v>2723</v>
      </c>
      <c r="H929" s="1" t="s">
        <v>5</v>
      </c>
      <c r="I929">
        <v>4</v>
      </c>
      <c r="L929" s="1"/>
      <c r="M929" s="1"/>
      <c r="N929" s="1"/>
      <c r="O929" s="1"/>
      <c r="P929" s="1" t="s">
        <v>2744</v>
      </c>
    </row>
    <row r="930" spans="1:16" ht="15" customHeight="1" x14ac:dyDescent="0.25">
      <c r="A930" s="1" t="s">
        <v>1209</v>
      </c>
      <c r="B930" s="2" t="s">
        <v>3007</v>
      </c>
      <c r="C930" t="b">
        <v>1</v>
      </c>
      <c r="D930" s="1" t="s">
        <v>1390</v>
      </c>
      <c r="E930" s="1" t="s">
        <v>2684</v>
      </c>
      <c r="F930" s="1" t="s">
        <v>2704</v>
      </c>
      <c r="G930" s="1" t="s">
        <v>1390</v>
      </c>
      <c r="H930" s="1" t="s">
        <v>5</v>
      </c>
      <c r="I930">
        <v>35</v>
      </c>
      <c r="L930" s="1"/>
      <c r="M930" s="1"/>
      <c r="N930" s="1"/>
      <c r="O930" s="1"/>
      <c r="P930" s="1" t="s">
        <v>2744</v>
      </c>
    </row>
    <row r="931" spans="1:16" ht="15" customHeight="1" x14ac:dyDescent="0.25">
      <c r="A931" s="1" t="s">
        <v>1209</v>
      </c>
      <c r="B931" s="2" t="s">
        <v>3007</v>
      </c>
      <c r="C931" t="b">
        <v>1</v>
      </c>
      <c r="D931" s="1" t="s">
        <v>1203</v>
      </c>
      <c r="E931" s="1" t="s">
        <v>2685</v>
      </c>
      <c r="F931" s="1" t="s">
        <v>2705</v>
      </c>
      <c r="G931" s="1" t="s">
        <v>1203</v>
      </c>
      <c r="H931" s="1" t="s">
        <v>5</v>
      </c>
      <c r="I931">
        <v>35</v>
      </c>
      <c r="L931" s="1"/>
      <c r="M931" s="1"/>
      <c r="N931" s="1"/>
      <c r="O931" s="1"/>
      <c r="P931" s="1" t="s">
        <v>2744</v>
      </c>
    </row>
    <row r="932" spans="1:16" ht="15" customHeight="1" x14ac:dyDescent="0.25">
      <c r="A932" s="1" t="s">
        <v>1209</v>
      </c>
      <c r="B932" s="2" t="s">
        <v>3007</v>
      </c>
      <c r="C932" t="b">
        <v>1</v>
      </c>
      <c r="D932" s="1" t="s">
        <v>1207</v>
      </c>
      <c r="E932" s="1" t="s">
        <v>3024</v>
      </c>
      <c r="F932" s="1" t="s">
        <v>3045</v>
      </c>
      <c r="G932" s="1" t="s">
        <v>3064</v>
      </c>
      <c r="H932" s="1" t="s">
        <v>5</v>
      </c>
      <c r="I932">
        <v>10</v>
      </c>
      <c r="L932" s="1"/>
      <c r="M932" s="1"/>
      <c r="N932" s="1"/>
      <c r="O932" s="1"/>
      <c r="P932" s="1" t="s">
        <v>2744</v>
      </c>
    </row>
    <row r="933" spans="1:16" ht="15" customHeight="1" x14ac:dyDescent="0.25">
      <c r="A933" s="1" t="s">
        <v>1209</v>
      </c>
      <c r="B933" s="2" t="s">
        <v>3007</v>
      </c>
      <c r="C933" t="b">
        <v>1</v>
      </c>
      <c r="D933" s="1" t="s">
        <v>2676</v>
      </c>
      <c r="E933" s="1" t="s">
        <v>2692</v>
      </c>
      <c r="F933" s="1" t="s">
        <v>2712</v>
      </c>
      <c r="G933" s="1" t="s">
        <v>2729</v>
      </c>
      <c r="H933" s="1" t="s">
        <v>5</v>
      </c>
      <c r="I933">
        <v>4</v>
      </c>
      <c r="L933" s="1"/>
      <c r="M933" s="1"/>
      <c r="N933" s="1"/>
      <c r="O933" s="1"/>
      <c r="P933" s="1" t="s">
        <v>2744</v>
      </c>
    </row>
    <row r="934" spans="1:16" ht="15" customHeight="1" x14ac:dyDescent="0.25">
      <c r="A934" s="1" t="s">
        <v>1209</v>
      </c>
      <c r="B934" s="2" t="s">
        <v>3007</v>
      </c>
      <c r="C934" t="b">
        <v>1</v>
      </c>
      <c r="D934" s="1" t="s">
        <v>1206</v>
      </c>
      <c r="E934" s="1" t="s">
        <v>3025</v>
      </c>
      <c r="F934" s="1" t="s">
        <v>3046</v>
      </c>
      <c r="G934" s="1" t="s">
        <v>3065</v>
      </c>
      <c r="H934" s="1" t="s">
        <v>5</v>
      </c>
      <c r="I934">
        <v>6</v>
      </c>
      <c r="L934" s="1"/>
      <c r="M934" s="1"/>
      <c r="N934" s="1"/>
      <c r="O934" s="1"/>
      <c r="P934" s="1" t="s">
        <v>2744</v>
      </c>
    </row>
    <row r="935" spans="1:16" ht="15" customHeight="1" x14ac:dyDescent="0.25">
      <c r="A935" s="1" t="s">
        <v>1209</v>
      </c>
      <c r="B935" s="2" t="s">
        <v>3007</v>
      </c>
      <c r="C935" t="b">
        <v>1</v>
      </c>
      <c r="D935" s="1" t="s">
        <v>3008</v>
      </c>
      <c r="E935" s="1" t="s">
        <v>3026</v>
      </c>
      <c r="F935" s="1" t="s">
        <v>3047</v>
      </c>
      <c r="G935" s="1" t="s">
        <v>3066</v>
      </c>
      <c r="H935" s="1" t="s">
        <v>5</v>
      </c>
      <c r="I935">
        <v>10</v>
      </c>
      <c r="L935" s="1"/>
      <c r="M935" s="1"/>
      <c r="N935" s="1"/>
      <c r="O935" s="1"/>
      <c r="P935" s="1" t="s">
        <v>2744</v>
      </c>
    </row>
    <row r="936" spans="1:16" ht="15" customHeight="1" x14ac:dyDescent="0.25">
      <c r="A936" s="1" t="s">
        <v>1209</v>
      </c>
      <c r="B936" s="2" t="s">
        <v>3007</v>
      </c>
      <c r="C936" t="b">
        <v>1</v>
      </c>
      <c r="D936" s="1" t="s">
        <v>3009</v>
      </c>
      <c r="E936" s="1" t="s">
        <v>3027</v>
      </c>
      <c r="F936" s="1" t="s">
        <v>3048</v>
      </c>
      <c r="G936" s="1" t="s">
        <v>3067</v>
      </c>
      <c r="H936" s="1" t="s">
        <v>1576</v>
      </c>
      <c r="J936">
        <v>7</v>
      </c>
      <c r="K936">
        <v>0</v>
      </c>
      <c r="L936" s="1"/>
      <c r="M936" s="1"/>
      <c r="N936" s="1"/>
      <c r="O936" s="1"/>
      <c r="P936" s="1" t="s">
        <v>2744</v>
      </c>
    </row>
    <row r="937" spans="1:16" ht="15" customHeight="1" x14ac:dyDescent="0.25">
      <c r="A937" s="1" t="s">
        <v>1209</v>
      </c>
      <c r="B937" s="2" t="s">
        <v>3007</v>
      </c>
      <c r="C937" t="b">
        <v>1</v>
      </c>
      <c r="D937" s="1" t="s">
        <v>3010</v>
      </c>
      <c r="E937" s="1" t="s">
        <v>3028</v>
      </c>
      <c r="F937" s="1" t="s">
        <v>3049</v>
      </c>
      <c r="G937" s="1" t="s">
        <v>3068</v>
      </c>
      <c r="H937" s="1" t="s">
        <v>1576</v>
      </c>
      <c r="J937">
        <v>5</v>
      </c>
      <c r="K937">
        <v>0</v>
      </c>
      <c r="L937" s="1"/>
      <c r="M937" s="1"/>
      <c r="N937" s="1"/>
      <c r="O937" s="1"/>
      <c r="P937" s="1" t="s">
        <v>2744</v>
      </c>
    </row>
    <row r="938" spans="1:16" ht="15" customHeight="1" x14ac:dyDescent="0.25">
      <c r="A938" s="1" t="s">
        <v>1209</v>
      </c>
      <c r="B938" s="2" t="s">
        <v>3007</v>
      </c>
      <c r="C938" t="b">
        <v>1</v>
      </c>
      <c r="D938" s="1" t="s">
        <v>3011</v>
      </c>
      <c r="E938" s="1" t="s">
        <v>3029</v>
      </c>
      <c r="F938" s="1" t="s">
        <v>3050</v>
      </c>
      <c r="G938" s="1" t="s">
        <v>3069</v>
      </c>
      <c r="H938" s="1" t="s">
        <v>1576</v>
      </c>
      <c r="J938">
        <v>1</v>
      </c>
      <c r="K938">
        <v>0</v>
      </c>
      <c r="L938" s="1"/>
      <c r="M938" s="1"/>
      <c r="N938" s="1"/>
      <c r="O938" s="1"/>
      <c r="P938" s="1" t="s">
        <v>2744</v>
      </c>
    </row>
    <row r="939" spans="1:16" ht="15" customHeight="1" x14ac:dyDescent="0.25">
      <c r="A939" s="1" t="s">
        <v>1209</v>
      </c>
      <c r="B939" s="2" t="s">
        <v>3007</v>
      </c>
      <c r="C939" t="b">
        <v>1</v>
      </c>
      <c r="D939" s="1" t="s">
        <v>1205</v>
      </c>
      <c r="E939" s="1" t="s">
        <v>3030</v>
      </c>
      <c r="F939" s="1" t="s">
        <v>3051</v>
      </c>
      <c r="G939" s="1" t="s">
        <v>3070</v>
      </c>
      <c r="H939" s="1" t="s">
        <v>5</v>
      </c>
      <c r="I939">
        <v>4</v>
      </c>
      <c r="L939" s="1"/>
      <c r="M939" s="1"/>
      <c r="N939" s="1"/>
      <c r="O939" s="1"/>
      <c r="P939" s="1" t="s">
        <v>2744</v>
      </c>
    </row>
    <row r="940" spans="1:16" ht="15" customHeight="1" x14ac:dyDescent="0.25">
      <c r="A940" s="1" t="s">
        <v>1209</v>
      </c>
      <c r="B940" s="2" t="s">
        <v>3007</v>
      </c>
      <c r="C940" t="b">
        <v>1</v>
      </c>
      <c r="D940" s="1" t="s">
        <v>3012</v>
      </c>
      <c r="E940" s="1" t="s">
        <v>3031</v>
      </c>
      <c r="F940" s="1" t="s">
        <v>3052</v>
      </c>
      <c r="G940" s="1" t="s">
        <v>3071</v>
      </c>
      <c r="H940" s="1" t="s">
        <v>5</v>
      </c>
      <c r="I940">
        <v>25</v>
      </c>
      <c r="L940" s="1"/>
      <c r="M940" s="1"/>
      <c r="N940" s="1"/>
      <c r="O940" s="1"/>
      <c r="P940" s="1" t="s">
        <v>2744</v>
      </c>
    </row>
    <row r="941" spans="1:16" ht="15" customHeight="1" x14ac:dyDescent="0.25">
      <c r="A941" s="1" t="s">
        <v>1209</v>
      </c>
      <c r="B941" s="2" t="s">
        <v>3007</v>
      </c>
      <c r="C941" t="b">
        <v>1</v>
      </c>
      <c r="D941" s="1" t="s">
        <v>3013</v>
      </c>
      <c r="E941" s="1" t="s">
        <v>3032</v>
      </c>
      <c r="F941" s="1" t="s">
        <v>3053</v>
      </c>
      <c r="G941" s="1" t="s">
        <v>3072</v>
      </c>
      <c r="H941" s="1" t="s">
        <v>5</v>
      </c>
      <c r="I941">
        <v>25</v>
      </c>
      <c r="L941" s="1"/>
      <c r="M941" s="1"/>
      <c r="N941" s="1"/>
      <c r="O941" s="1"/>
      <c r="P941" s="1" t="s">
        <v>2744</v>
      </c>
    </row>
    <row r="942" spans="1:16" ht="15" customHeight="1" x14ac:dyDescent="0.25">
      <c r="A942" s="1" t="s">
        <v>1209</v>
      </c>
      <c r="B942" s="2" t="s">
        <v>3007</v>
      </c>
      <c r="C942" t="b">
        <v>1</v>
      </c>
      <c r="D942" s="1" t="s">
        <v>1202</v>
      </c>
      <c r="E942" s="1" t="s">
        <v>2944</v>
      </c>
      <c r="F942" s="1" t="s">
        <v>2961</v>
      </c>
      <c r="G942" s="1" t="s">
        <v>2971</v>
      </c>
      <c r="H942" s="1" t="s">
        <v>5</v>
      </c>
      <c r="I942">
        <v>10</v>
      </c>
      <c r="L942" s="1"/>
      <c r="M942" s="1"/>
      <c r="N942" s="1"/>
      <c r="O942" s="1"/>
      <c r="P942" s="1" t="s">
        <v>2744</v>
      </c>
    </row>
    <row r="943" spans="1:16" ht="15" customHeight="1" x14ac:dyDescent="0.25">
      <c r="A943" s="1" t="s">
        <v>1209</v>
      </c>
      <c r="B943" s="2" t="s">
        <v>3007</v>
      </c>
      <c r="C943" t="b">
        <v>1</v>
      </c>
      <c r="D943" s="1" t="s">
        <v>3014</v>
      </c>
      <c r="E943" s="1" t="s">
        <v>3033</v>
      </c>
      <c r="F943" s="1" t="s">
        <v>3054</v>
      </c>
      <c r="G943" s="1" t="s">
        <v>3073</v>
      </c>
      <c r="H943" s="1" t="s">
        <v>5</v>
      </c>
      <c r="I943">
        <v>10</v>
      </c>
      <c r="L943" s="1"/>
      <c r="M943" s="1"/>
      <c r="N943" s="1"/>
      <c r="O943" s="1"/>
      <c r="P943" s="1" t="s">
        <v>2744</v>
      </c>
    </row>
    <row r="944" spans="1:16" ht="15" customHeight="1" x14ac:dyDescent="0.25">
      <c r="A944" s="1" t="s">
        <v>1209</v>
      </c>
      <c r="B944" s="2" t="s">
        <v>3007</v>
      </c>
      <c r="C944" t="b">
        <v>1</v>
      </c>
      <c r="D944" s="1" t="s">
        <v>1412</v>
      </c>
      <c r="E944" s="1" t="s">
        <v>3034</v>
      </c>
      <c r="F944" s="1" t="s">
        <v>3055</v>
      </c>
      <c r="G944" s="1" t="s">
        <v>1412</v>
      </c>
      <c r="H944" s="1" t="s">
        <v>5</v>
      </c>
      <c r="I944">
        <v>16</v>
      </c>
      <c r="L944" s="1"/>
      <c r="M944" s="1"/>
      <c r="N944" s="1"/>
      <c r="O944" s="1"/>
      <c r="P944" s="1" t="s">
        <v>2744</v>
      </c>
    </row>
    <row r="945" spans="1:16" ht="15" customHeight="1" x14ac:dyDescent="0.25">
      <c r="A945" s="1" t="s">
        <v>1209</v>
      </c>
      <c r="B945" s="2" t="s">
        <v>3007</v>
      </c>
      <c r="C945" t="b">
        <v>1</v>
      </c>
      <c r="D945" s="1" t="s">
        <v>3015</v>
      </c>
      <c r="E945" s="1" t="s">
        <v>3035</v>
      </c>
      <c r="F945" s="1" t="s">
        <v>3056</v>
      </c>
      <c r="G945" s="1" t="s">
        <v>3015</v>
      </c>
      <c r="H945" s="1" t="s">
        <v>5</v>
      </c>
      <c r="I945">
        <v>11</v>
      </c>
      <c r="L945" s="1"/>
      <c r="M945" s="1"/>
      <c r="N945" s="1"/>
      <c r="O945" s="1"/>
      <c r="P945" s="1" t="s">
        <v>2744</v>
      </c>
    </row>
    <row r="946" spans="1:16" ht="15" customHeight="1" x14ac:dyDescent="0.25">
      <c r="A946" s="1" t="s">
        <v>1209</v>
      </c>
      <c r="B946" s="2" t="s">
        <v>3007</v>
      </c>
      <c r="C946" t="b">
        <v>1</v>
      </c>
      <c r="D946" s="1" t="s">
        <v>3016</v>
      </c>
      <c r="E946" s="1" t="s">
        <v>3036</v>
      </c>
      <c r="F946" s="1" t="s">
        <v>3057</v>
      </c>
      <c r="G946" s="1" t="s">
        <v>3074</v>
      </c>
      <c r="H946" s="1" t="s">
        <v>5</v>
      </c>
      <c r="I946">
        <v>1</v>
      </c>
      <c r="L946" s="1"/>
      <c r="M946" s="1"/>
      <c r="N946" s="1"/>
      <c r="O946" s="1"/>
      <c r="P946" s="1" t="s">
        <v>2744</v>
      </c>
    </row>
    <row r="947" spans="1:16" ht="15" customHeight="1" x14ac:dyDescent="0.25">
      <c r="A947" s="1" t="s">
        <v>1209</v>
      </c>
      <c r="B947" s="2" t="s">
        <v>3007</v>
      </c>
      <c r="C947" t="b">
        <v>1</v>
      </c>
      <c r="D947" s="1" t="s">
        <v>3017</v>
      </c>
      <c r="E947" s="1" t="s">
        <v>3037</v>
      </c>
      <c r="F947" s="1" t="s">
        <v>3058</v>
      </c>
      <c r="G947" s="1" t="s">
        <v>3075</v>
      </c>
      <c r="H947" s="1" t="s">
        <v>5</v>
      </c>
      <c r="I947">
        <v>1</v>
      </c>
      <c r="L947" s="1"/>
      <c r="M947" s="1"/>
      <c r="N947" s="1"/>
      <c r="O947" s="1"/>
      <c r="P947" s="1" t="s">
        <v>2744</v>
      </c>
    </row>
    <row r="948" spans="1:16" ht="15" customHeight="1" x14ac:dyDescent="0.25">
      <c r="A948" s="1" t="s">
        <v>1209</v>
      </c>
      <c r="B948" s="2" t="s">
        <v>3007</v>
      </c>
      <c r="C948" t="b">
        <v>1</v>
      </c>
      <c r="D948" s="1" t="s">
        <v>3018</v>
      </c>
      <c r="E948" s="1" t="s">
        <v>3038</v>
      </c>
      <c r="F948" s="1" t="s">
        <v>3059</v>
      </c>
      <c r="G948" s="1" t="s">
        <v>3076</v>
      </c>
      <c r="H948" s="1" t="s">
        <v>5</v>
      </c>
      <c r="I948">
        <v>1</v>
      </c>
      <c r="L948" s="1"/>
      <c r="M948" s="1"/>
      <c r="N948" s="1"/>
      <c r="O948" s="1"/>
      <c r="P948" s="1" t="s">
        <v>2744</v>
      </c>
    </row>
    <row r="949" spans="1:16" ht="15" customHeight="1" x14ac:dyDescent="0.25">
      <c r="A949" s="1" t="s">
        <v>1209</v>
      </c>
      <c r="B949" s="2" t="s">
        <v>3007</v>
      </c>
      <c r="C949" t="b">
        <v>1</v>
      </c>
      <c r="D949" s="1" t="s">
        <v>1208</v>
      </c>
      <c r="E949" s="1" t="s">
        <v>3039</v>
      </c>
      <c r="F949" s="1" t="s">
        <v>3060</v>
      </c>
      <c r="G949" s="1" t="s">
        <v>3077</v>
      </c>
      <c r="H949" s="1" t="s">
        <v>5</v>
      </c>
      <c r="I949">
        <v>10</v>
      </c>
      <c r="L949" s="1"/>
      <c r="M949" s="1"/>
      <c r="N949" s="1"/>
      <c r="O949" s="1"/>
      <c r="P949" s="1" t="s">
        <v>2744</v>
      </c>
    </row>
    <row r="950" spans="1:16" ht="15" customHeight="1" x14ac:dyDescent="0.25">
      <c r="A950" s="1" t="s">
        <v>1209</v>
      </c>
      <c r="B950" s="2" t="s">
        <v>3007</v>
      </c>
      <c r="C950" t="b">
        <v>1</v>
      </c>
      <c r="D950" s="1" t="s">
        <v>1204</v>
      </c>
      <c r="E950" s="1" t="s">
        <v>3040</v>
      </c>
      <c r="F950" s="1" t="s">
        <v>3061</v>
      </c>
      <c r="G950" s="1" t="s">
        <v>3078</v>
      </c>
      <c r="H950" s="1" t="s">
        <v>5</v>
      </c>
      <c r="I950">
        <v>3</v>
      </c>
      <c r="L950" s="1"/>
      <c r="M950" s="1"/>
      <c r="N950" s="1"/>
      <c r="O950" s="1"/>
      <c r="P950" s="1" t="s">
        <v>2744</v>
      </c>
    </row>
    <row r="951" spans="1:16" ht="15" customHeight="1" x14ac:dyDescent="0.25">
      <c r="A951" s="1" t="s">
        <v>1209</v>
      </c>
      <c r="B951" s="2" t="s">
        <v>3007</v>
      </c>
      <c r="C951" t="b">
        <v>1</v>
      </c>
      <c r="D951" s="1" t="s">
        <v>3019</v>
      </c>
      <c r="E951" s="1" t="s">
        <v>3041</v>
      </c>
      <c r="F951" s="1" t="s">
        <v>3062</v>
      </c>
      <c r="G951" s="1" t="s">
        <v>708</v>
      </c>
      <c r="H951" s="1" t="s">
        <v>5</v>
      </c>
      <c r="I951">
        <v>20</v>
      </c>
      <c r="L951" s="1"/>
      <c r="M951" s="1"/>
      <c r="N951" s="1"/>
      <c r="O951" s="1"/>
      <c r="P951" s="1" t="s">
        <v>2744</v>
      </c>
    </row>
    <row r="952" spans="1:16" ht="15" customHeight="1" x14ac:dyDescent="0.25">
      <c r="A952" s="1" t="s">
        <v>1209</v>
      </c>
      <c r="B952" s="2" t="s">
        <v>3007</v>
      </c>
      <c r="C952" t="b">
        <v>1</v>
      </c>
      <c r="D952" s="1" t="s">
        <v>3020</v>
      </c>
      <c r="E952" s="1" t="s">
        <v>3042</v>
      </c>
      <c r="F952" s="1" t="s">
        <v>3063</v>
      </c>
      <c r="G952" s="1" t="s">
        <v>3079</v>
      </c>
      <c r="H952" s="1" t="s">
        <v>5</v>
      </c>
      <c r="I952">
        <v>4</v>
      </c>
      <c r="L952" s="1"/>
      <c r="M952" s="1"/>
      <c r="N952" s="1"/>
      <c r="O952" s="1"/>
      <c r="P952" s="1" t="s">
        <v>2744</v>
      </c>
    </row>
    <row r="953" spans="1:16" ht="15" customHeight="1" x14ac:dyDescent="0.25">
      <c r="A953" s="1" t="s">
        <v>1209</v>
      </c>
      <c r="B953" s="2" t="s">
        <v>3007</v>
      </c>
      <c r="C953" t="b">
        <v>1</v>
      </c>
      <c r="D953" s="1" t="s">
        <v>3021</v>
      </c>
      <c r="E953" s="1" t="s">
        <v>2945</v>
      </c>
      <c r="F953" s="1" t="s">
        <v>2962</v>
      </c>
      <c r="G953" s="1" t="s">
        <v>2972</v>
      </c>
      <c r="H953" s="1" t="s">
        <v>5</v>
      </c>
      <c r="I953">
        <v>15</v>
      </c>
      <c r="L953" s="1"/>
      <c r="M953" s="1"/>
      <c r="N953" s="1"/>
      <c r="O953" s="1"/>
      <c r="P953" s="1" t="s">
        <v>2744</v>
      </c>
    </row>
    <row r="954" spans="1:16" ht="15" customHeight="1" x14ac:dyDescent="0.25">
      <c r="A954" s="1" t="s">
        <v>1209</v>
      </c>
      <c r="B954" s="2" t="s">
        <v>3007</v>
      </c>
      <c r="C954" t="b">
        <v>0</v>
      </c>
      <c r="D954" s="1" t="s">
        <v>3022</v>
      </c>
      <c r="E954" s="1" t="s">
        <v>3043</v>
      </c>
      <c r="F954" s="1" t="s">
        <v>2958</v>
      </c>
      <c r="G954" s="1" t="s">
        <v>2969</v>
      </c>
      <c r="H954" s="1" t="s">
        <v>5</v>
      </c>
      <c r="I954">
        <v>3</v>
      </c>
      <c r="L954" s="1"/>
      <c r="M954" s="1"/>
      <c r="N954" s="1"/>
      <c r="O954" s="1"/>
      <c r="P954" s="1" t="s">
        <v>2744</v>
      </c>
    </row>
    <row r="955" spans="1:16" ht="15" customHeight="1" x14ac:dyDescent="0.25">
      <c r="A955" s="1" t="s">
        <v>1209</v>
      </c>
      <c r="B955" s="2" t="s">
        <v>3007</v>
      </c>
      <c r="C955" t="b">
        <v>1</v>
      </c>
      <c r="D955" s="1" t="s">
        <v>3023</v>
      </c>
      <c r="E955" s="1" t="s">
        <v>3044</v>
      </c>
      <c r="F955" s="1" t="s">
        <v>3062</v>
      </c>
      <c r="G955" s="1" t="s">
        <v>708</v>
      </c>
      <c r="H955" s="1" t="s">
        <v>5</v>
      </c>
      <c r="I955">
        <v>20</v>
      </c>
      <c r="L955" s="1"/>
      <c r="M955" s="1"/>
      <c r="N955" s="1"/>
      <c r="O955" s="1"/>
      <c r="P955" s="1" t="s">
        <v>2744</v>
      </c>
    </row>
    <row r="956" spans="1:16" ht="15" customHeight="1" x14ac:dyDescent="0.25">
      <c r="A956" s="1" t="s">
        <v>1209</v>
      </c>
      <c r="B956" s="2" t="s">
        <v>3007</v>
      </c>
      <c r="D956" s="1"/>
      <c r="E956" s="1"/>
      <c r="F956" s="1"/>
      <c r="G956" s="1"/>
      <c r="H956" s="1"/>
      <c r="L956" s="1" t="s">
        <v>1524</v>
      </c>
      <c r="M956" s="1" t="s">
        <v>3080</v>
      </c>
      <c r="N956" s="1"/>
      <c r="O956" s="1"/>
      <c r="P956" s="1" t="s">
        <v>2744</v>
      </c>
    </row>
    <row r="957" spans="1:16" ht="15" customHeight="1" x14ac:dyDescent="0.25">
      <c r="A957" s="1" t="s">
        <v>1209</v>
      </c>
      <c r="B957" s="2" t="s">
        <v>3007</v>
      </c>
      <c r="D957" s="1"/>
      <c r="E957" s="1"/>
      <c r="F957" s="1"/>
      <c r="G957" s="1"/>
      <c r="H957" s="1"/>
      <c r="L957" s="1" t="s">
        <v>1524</v>
      </c>
      <c r="M957" s="1" t="s">
        <v>2741</v>
      </c>
      <c r="N957" s="1"/>
      <c r="O957" s="1"/>
      <c r="P957" s="1" t="s">
        <v>2744</v>
      </c>
    </row>
    <row r="958" spans="1:16" ht="15" customHeight="1" x14ac:dyDescent="0.25">
      <c r="A958" s="1" t="s">
        <v>1209</v>
      </c>
      <c r="B958" s="2" t="s">
        <v>3007</v>
      </c>
      <c r="D958" s="1"/>
      <c r="E958" s="1"/>
      <c r="F958" s="1"/>
      <c r="G958" s="1"/>
      <c r="H958" s="1"/>
      <c r="L958" s="1"/>
      <c r="M958" s="1"/>
      <c r="N958" s="1" t="s">
        <v>1529</v>
      </c>
      <c r="O958" s="1" t="s">
        <v>3081</v>
      </c>
      <c r="P958" s="1" t="s">
        <v>2744</v>
      </c>
    </row>
    <row r="959" spans="1:16" ht="15" customHeight="1" x14ac:dyDescent="0.25">
      <c r="A959" s="1" t="s">
        <v>1209</v>
      </c>
      <c r="B959" s="2" t="s">
        <v>3007</v>
      </c>
      <c r="D959" s="1"/>
      <c r="E959" s="1"/>
      <c r="F959" s="1"/>
      <c r="G959" s="1"/>
      <c r="H959" s="1"/>
      <c r="L959" s="1"/>
      <c r="M959" s="1"/>
      <c r="N959" s="1" t="s">
        <v>1529</v>
      </c>
      <c r="O959" s="1" t="s">
        <v>3081</v>
      </c>
      <c r="P959" s="1" t="s">
        <v>2744</v>
      </c>
    </row>
    <row r="960" spans="1:16" ht="15" customHeight="1" x14ac:dyDescent="0.25">
      <c r="A960" s="1" t="s">
        <v>1209</v>
      </c>
      <c r="B960" s="2" t="s">
        <v>3007</v>
      </c>
      <c r="D960" s="1"/>
      <c r="E960" s="1"/>
      <c r="F960" s="1"/>
      <c r="G960" s="1"/>
      <c r="H960" s="1"/>
      <c r="L960" s="1"/>
      <c r="M960" s="1"/>
      <c r="N960" s="1" t="s">
        <v>1529</v>
      </c>
      <c r="O960" s="1" t="s">
        <v>3081</v>
      </c>
      <c r="P960" s="1" t="s">
        <v>2744</v>
      </c>
    </row>
    <row r="961" spans="1:16" ht="15" customHeight="1" x14ac:dyDescent="0.25">
      <c r="A961" s="1" t="s">
        <v>1209</v>
      </c>
      <c r="B961" s="2" t="s">
        <v>3007</v>
      </c>
      <c r="D961" s="1"/>
      <c r="E961" s="1"/>
      <c r="F961" s="1"/>
      <c r="G961" s="1"/>
      <c r="H961" s="1"/>
      <c r="L961" s="1"/>
      <c r="M961" s="1"/>
      <c r="N961" s="1" t="s">
        <v>1529</v>
      </c>
      <c r="O961" s="1" t="s">
        <v>3081</v>
      </c>
      <c r="P961" s="1" t="s">
        <v>2744</v>
      </c>
    </row>
    <row r="962" spans="1:16" ht="15" customHeight="1" x14ac:dyDescent="0.25">
      <c r="A962" s="1" t="s">
        <v>1215</v>
      </c>
      <c r="B962" s="2" t="s">
        <v>3082</v>
      </c>
      <c r="C962" t="b">
        <v>0</v>
      </c>
      <c r="D962" s="1" t="s">
        <v>16</v>
      </c>
      <c r="E962" s="1" t="s">
        <v>2682</v>
      </c>
      <c r="F962" s="1" t="s">
        <v>2702</v>
      </c>
      <c r="G962" s="1" t="s">
        <v>2722</v>
      </c>
      <c r="H962" s="1" t="s">
        <v>5</v>
      </c>
      <c r="I962">
        <v>10</v>
      </c>
      <c r="L962" s="1"/>
      <c r="M962" s="1"/>
      <c r="N962" s="1"/>
      <c r="O962" s="1"/>
      <c r="P962" s="1" t="s">
        <v>2744</v>
      </c>
    </row>
    <row r="963" spans="1:16" ht="15" customHeight="1" x14ac:dyDescent="0.25">
      <c r="A963" s="1" t="s">
        <v>1215</v>
      </c>
      <c r="B963" s="2" t="s">
        <v>3082</v>
      </c>
      <c r="C963" t="b">
        <v>1</v>
      </c>
      <c r="D963" s="1" t="s">
        <v>1454</v>
      </c>
      <c r="E963" s="1" t="s">
        <v>2683</v>
      </c>
      <c r="F963" s="1" t="s">
        <v>2703</v>
      </c>
      <c r="G963" s="1" t="s">
        <v>2723</v>
      </c>
      <c r="H963" s="1" t="s">
        <v>5</v>
      </c>
      <c r="I963">
        <v>4</v>
      </c>
      <c r="L963" s="1"/>
      <c r="M963" s="1"/>
      <c r="N963" s="1"/>
      <c r="O963" s="1"/>
      <c r="P963" s="1" t="s">
        <v>2744</v>
      </c>
    </row>
    <row r="964" spans="1:16" ht="15" customHeight="1" x14ac:dyDescent="0.25">
      <c r="A964" s="1" t="s">
        <v>1215</v>
      </c>
      <c r="B964" s="2" t="s">
        <v>3082</v>
      </c>
      <c r="C964" t="b">
        <v>1</v>
      </c>
      <c r="D964" s="1" t="s">
        <v>1390</v>
      </c>
      <c r="E964" s="1" t="s">
        <v>2684</v>
      </c>
      <c r="F964" s="1" t="s">
        <v>2704</v>
      </c>
      <c r="G964" s="1" t="s">
        <v>1390</v>
      </c>
      <c r="H964" s="1" t="s">
        <v>5</v>
      </c>
      <c r="I964">
        <v>35</v>
      </c>
      <c r="L964" s="1"/>
      <c r="M964" s="1"/>
      <c r="N964" s="1"/>
      <c r="O964" s="1"/>
      <c r="P964" s="1" t="s">
        <v>2744</v>
      </c>
    </row>
    <row r="965" spans="1:16" ht="15" customHeight="1" x14ac:dyDescent="0.25">
      <c r="A965" s="1" t="s">
        <v>1215</v>
      </c>
      <c r="B965" s="2" t="s">
        <v>3082</v>
      </c>
      <c r="C965" t="b">
        <v>1</v>
      </c>
      <c r="D965" s="1" t="s">
        <v>1203</v>
      </c>
      <c r="E965" s="1" t="s">
        <v>2685</v>
      </c>
      <c r="F965" s="1" t="s">
        <v>2705</v>
      </c>
      <c r="G965" s="1" t="s">
        <v>1203</v>
      </c>
      <c r="H965" s="1" t="s">
        <v>5</v>
      </c>
      <c r="I965">
        <v>35</v>
      </c>
      <c r="L965" s="1"/>
      <c r="M965" s="1"/>
      <c r="N965" s="1"/>
      <c r="O965" s="1"/>
      <c r="P965" s="1" t="s">
        <v>2744</v>
      </c>
    </row>
    <row r="966" spans="1:16" ht="15" customHeight="1" x14ac:dyDescent="0.25">
      <c r="A966" s="1" t="s">
        <v>1215</v>
      </c>
      <c r="B966" s="2" t="s">
        <v>3082</v>
      </c>
      <c r="C966" t="b">
        <v>0</v>
      </c>
      <c r="D966" s="1" t="s">
        <v>1217</v>
      </c>
      <c r="E966" s="1" t="s">
        <v>3090</v>
      </c>
      <c r="F966" s="1" t="s">
        <v>3103</v>
      </c>
      <c r="G966" s="1" t="s">
        <v>3116</v>
      </c>
      <c r="H966" s="1" t="s">
        <v>5</v>
      </c>
      <c r="I966">
        <v>3</v>
      </c>
      <c r="L966" s="1"/>
      <c r="M966" s="1"/>
      <c r="N966" s="1"/>
      <c r="O966" s="1"/>
      <c r="P966" s="1" t="s">
        <v>2744</v>
      </c>
    </row>
    <row r="967" spans="1:16" ht="15" customHeight="1" x14ac:dyDescent="0.25">
      <c r="A967" s="1" t="s">
        <v>1215</v>
      </c>
      <c r="B967" s="2" t="s">
        <v>3082</v>
      </c>
      <c r="C967" t="b">
        <v>0</v>
      </c>
      <c r="D967" s="1" t="s">
        <v>3083</v>
      </c>
      <c r="E967" s="1" t="s">
        <v>3091</v>
      </c>
      <c r="F967" s="1" t="s">
        <v>3104</v>
      </c>
      <c r="G967" s="1" t="s">
        <v>3117</v>
      </c>
      <c r="H967" s="1" t="s">
        <v>28</v>
      </c>
      <c r="L967" s="1"/>
      <c r="M967" s="1"/>
      <c r="N967" s="1"/>
      <c r="O967" s="1"/>
      <c r="P967" s="1" t="s">
        <v>2744</v>
      </c>
    </row>
    <row r="968" spans="1:16" ht="15" customHeight="1" x14ac:dyDescent="0.25">
      <c r="A968" s="1" t="s">
        <v>1215</v>
      </c>
      <c r="B968" s="2" t="s">
        <v>3082</v>
      </c>
      <c r="C968" t="b">
        <v>0</v>
      </c>
      <c r="D968" s="1" t="s">
        <v>3084</v>
      </c>
      <c r="E968" s="1" t="s">
        <v>3092</v>
      </c>
      <c r="F968" s="1" t="s">
        <v>3105</v>
      </c>
      <c r="G968" s="1" t="s">
        <v>3118</v>
      </c>
      <c r="H968" s="1" t="s">
        <v>5</v>
      </c>
      <c r="I968">
        <v>1</v>
      </c>
      <c r="L968" s="1"/>
      <c r="M968" s="1"/>
      <c r="N968" s="1"/>
      <c r="O968" s="1"/>
      <c r="P968" s="1" t="s">
        <v>2744</v>
      </c>
    </row>
    <row r="969" spans="1:16" ht="15" customHeight="1" x14ac:dyDescent="0.25">
      <c r="A969" s="1" t="s">
        <v>1215</v>
      </c>
      <c r="B969" s="2" t="s">
        <v>3082</v>
      </c>
      <c r="C969" t="b">
        <v>0</v>
      </c>
      <c r="D969" s="1" t="s">
        <v>3085</v>
      </c>
      <c r="E969" s="1" t="s">
        <v>3093</v>
      </c>
      <c r="F969" s="1" t="s">
        <v>3106</v>
      </c>
      <c r="G969" s="1" t="s">
        <v>3119</v>
      </c>
      <c r="H969" s="1" t="s">
        <v>28</v>
      </c>
      <c r="L969" s="1"/>
      <c r="M969" s="1"/>
      <c r="N969" s="1"/>
      <c r="O969" s="1"/>
      <c r="P969" s="1" t="s">
        <v>2744</v>
      </c>
    </row>
    <row r="970" spans="1:16" ht="15" customHeight="1" x14ac:dyDescent="0.25">
      <c r="A970" s="1" t="s">
        <v>1215</v>
      </c>
      <c r="B970" s="2" t="s">
        <v>3082</v>
      </c>
      <c r="C970" t="b">
        <v>0</v>
      </c>
      <c r="D970" s="1" t="s">
        <v>3086</v>
      </c>
      <c r="E970" s="1" t="s">
        <v>3094</v>
      </c>
      <c r="F970" s="1" t="s">
        <v>3107</v>
      </c>
      <c r="G970" s="1" t="s">
        <v>3120</v>
      </c>
      <c r="H970" s="1" t="s">
        <v>5</v>
      </c>
      <c r="I970">
        <v>1</v>
      </c>
      <c r="L970" s="1"/>
      <c r="M970" s="1"/>
      <c r="N970" s="1"/>
      <c r="O970" s="1"/>
      <c r="P970" s="1" t="s">
        <v>2744</v>
      </c>
    </row>
    <row r="971" spans="1:16" ht="15" customHeight="1" x14ac:dyDescent="0.25">
      <c r="A971" s="1" t="s">
        <v>1215</v>
      </c>
      <c r="B971" s="2" t="s">
        <v>3082</v>
      </c>
      <c r="C971" t="b">
        <v>0</v>
      </c>
      <c r="D971" s="1" t="s">
        <v>3087</v>
      </c>
      <c r="E971" s="1" t="s">
        <v>3095</v>
      </c>
      <c r="F971" s="1" t="s">
        <v>3108</v>
      </c>
      <c r="G971" s="1" t="s">
        <v>3121</v>
      </c>
      <c r="H971" s="1" t="s">
        <v>28</v>
      </c>
      <c r="L971" s="1"/>
      <c r="M971" s="1"/>
      <c r="N971" s="1"/>
      <c r="O971" s="1"/>
      <c r="P971" s="1" t="s">
        <v>2744</v>
      </c>
    </row>
    <row r="972" spans="1:16" ht="15" customHeight="1" x14ac:dyDescent="0.25">
      <c r="A972" s="1" t="s">
        <v>1215</v>
      </c>
      <c r="B972" s="2" t="s">
        <v>3082</v>
      </c>
      <c r="C972" t="b">
        <v>0</v>
      </c>
      <c r="D972" s="1" t="s">
        <v>1214</v>
      </c>
      <c r="E972" s="1" t="s">
        <v>3096</v>
      </c>
      <c r="F972" s="1" t="s">
        <v>3109</v>
      </c>
      <c r="G972" s="1" t="s">
        <v>3122</v>
      </c>
      <c r="H972" s="1" t="s">
        <v>5</v>
      </c>
      <c r="I972">
        <v>1</v>
      </c>
      <c r="L972" s="1"/>
      <c r="M972" s="1"/>
      <c r="N972" s="1"/>
      <c r="O972" s="1"/>
      <c r="P972" s="1" t="s">
        <v>2744</v>
      </c>
    </row>
    <row r="973" spans="1:16" ht="15" customHeight="1" x14ac:dyDescent="0.25">
      <c r="A973" s="1" t="s">
        <v>1215</v>
      </c>
      <c r="B973" s="2" t="s">
        <v>3082</v>
      </c>
      <c r="C973" t="b">
        <v>1</v>
      </c>
      <c r="D973" s="1" t="s">
        <v>1210</v>
      </c>
      <c r="E973" s="1" t="s">
        <v>3097</v>
      </c>
      <c r="F973" s="1" t="s">
        <v>3110</v>
      </c>
      <c r="G973" s="1" t="s">
        <v>3123</v>
      </c>
      <c r="H973" s="1" t="s">
        <v>5</v>
      </c>
      <c r="I973">
        <v>1</v>
      </c>
      <c r="L973" s="1"/>
      <c r="M973" s="1"/>
      <c r="N973" s="1"/>
      <c r="O973" s="1"/>
      <c r="P973" s="1" t="s">
        <v>2744</v>
      </c>
    </row>
    <row r="974" spans="1:16" ht="15" customHeight="1" x14ac:dyDescent="0.25">
      <c r="A974" s="1" t="s">
        <v>1215</v>
      </c>
      <c r="B974" s="2" t="s">
        <v>3082</v>
      </c>
      <c r="C974" t="b">
        <v>1</v>
      </c>
      <c r="D974" s="1" t="s">
        <v>3088</v>
      </c>
      <c r="E974" s="1" t="s">
        <v>3098</v>
      </c>
      <c r="F974" s="1" t="s">
        <v>3111</v>
      </c>
      <c r="G974" s="1" t="s">
        <v>3124</v>
      </c>
      <c r="H974" s="1" t="s">
        <v>5</v>
      </c>
      <c r="I974">
        <v>1</v>
      </c>
      <c r="L974" s="1"/>
      <c r="M974" s="1"/>
      <c r="N974" s="1"/>
      <c r="O974" s="1"/>
      <c r="P974" s="1" t="s">
        <v>2744</v>
      </c>
    </row>
    <row r="975" spans="1:16" ht="15" customHeight="1" x14ac:dyDescent="0.25">
      <c r="A975" s="1" t="s">
        <v>1215</v>
      </c>
      <c r="B975" s="2" t="s">
        <v>3082</v>
      </c>
      <c r="C975" t="b">
        <v>1</v>
      </c>
      <c r="D975" s="1" t="s">
        <v>3089</v>
      </c>
      <c r="E975" s="1" t="s">
        <v>3099</v>
      </c>
      <c r="F975" s="1" t="s">
        <v>3112</v>
      </c>
      <c r="G975" s="1" t="s">
        <v>3125</v>
      </c>
      <c r="H975" s="1" t="s">
        <v>5</v>
      </c>
      <c r="I975">
        <v>1</v>
      </c>
      <c r="L975" s="1"/>
      <c r="M975" s="1"/>
      <c r="N975" s="1"/>
      <c r="O975" s="1"/>
      <c r="P975" s="1" t="s">
        <v>2744</v>
      </c>
    </row>
    <row r="976" spans="1:16" ht="15" customHeight="1" x14ac:dyDescent="0.25">
      <c r="A976" s="1" t="s">
        <v>1215</v>
      </c>
      <c r="B976" s="2" t="s">
        <v>3082</v>
      </c>
      <c r="C976" t="b">
        <v>1</v>
      </c>
      <c r="D976" s="1" t="s">
        <v>1213</v>
      </c>
      <c r="E976" s="1" t="s">
        <v>3100</v>
      </c>
      <c r="F976" s="1" t="s">
        <v>3113</v>
      </c>
      <c r="G976" s="1" t="s">
        <v>3126</v>
      </c>
      <c r="H976" s="1" t="s">
        <v>5</v>
      </c>
      <c r="I976">
        <v>1</v>
      </c>
      <c r="L976" s="1"/>
      <c r="M976" s="1"/>
      <c r="N976" s="1"/>
      <c r="O976" s="1"/>
      <c r="P976" s="1" t="s">
        <v>2744</v>
      </c>
    </row>
    <row r="977" spans="1:16" ht="15" customHeight="1" x14ac:dyDescent="0.25">
      <c r="A977" s="1" t="s">
        <v>1215</v>
      </c>
      <c r="B977" s="2" t="s">
        <v>3082</v>
      </c>
      <c r="C977" t="b">
        <v>1</v>
      </c>
      <c r="D977" s="1" t="s">
        <v>1212</v>
      </c>
      <c r="E977" s="1" t="s">
        <v>3101</v>
      </c>
      <c r="F977" s="1" t="s">
        <v>3114</v>
      </c>
      <c r="G977" s="1" t="s">
        <v>3127</v>
      </c>
      <c r="H977" s="1" t="s">
        <v>5</v>
      </c>
      <c r="I977">
        <v>1</v>
      </c>
      <c r="L977" s="1"/>
      <c r="M977" s="1"/>
      <c r="N977" s="1"/>
      <c r="O977" s="1"/>
      <c r="P977" s="1" t="s">
        <v>2744</v>
      </c>
    </row>
    <row r="978" spans="1:16" ht="15" customHeight="1" x14ac:dyDescent="0.25">
      <c r="A978" s="1" t="s">
        <v>1215</v>
      </c>
      <c r="B978" s="2" t="s">
        <v>3082</v>
      </c>
      <c r="C978" t="b">
        <v>1</v>
      </c>
      <c r="D978" s="1" t="s">
        <v>1211</v>
      </c>
      <c r="E978" s="1" t="s">
        <v>3102</v>
      </c>
      <c r="F978" s="1" t="s">
        <v>3115</v>
      </c>
      <c r="G978" s="1" t="s">
        <v>3128</v>
      </c>
      <c r="H978" s="1" t="s">
        <v>5</v>
      </c>
      <c r="I978">
        <v>1</v>
      </c>
      <c r="L978" s="1"/>
      <c r="M978" s="1"/>
      <c r="N978" s="1"/>
      <c r="O978" s="1"/>
      <c r="P978" s="1" t="s">
        <v>2744</v>
      </c>
    </row>
    <row r="979" spans="1:16" ht="15" customHeight="1" x14ac:dyDescent="0.25">
      <c r="A979" s="1" t="s">
        <v>1215</v>
      </c>
      <c r="B979" s="2" t="s">
        <v>3082</v>
      </c>
      <c r="D979" s="1"/>
      <c r="E979" s="1"/>
      <c r="F979" s="1"/>
      <c r="G979" s="1"/>
      <c r="H979" s="1"/>
      <c r="L979" s="1" t="s">
        <v>1524</v>
      </c>
      <c r="M979" s="1" t="s">
        <v>3129</v>
      </c>
      <c r="N979" s="1"/>
      <c r="O979" s="1"/>
      <c r="P979" s="1" t="s">
        <v>2744</v>
      </c>
    </row>
    <row r="980" spans="1:16" ht="15" customHeight="1" x14ac:dyDescent="0.25">
      <c r="A980" s="1" t="s">
        <v>1215</v>
      </c>
      <c r="B980" s="2" t="s">
        <v>3082</v>
      </c>
      <c r="D980" s="1"/>
      <c r="E980" s="1"/>
      <c r="F980" s="1"/>
      <c r="G980" s="1"/>
      <c r="H980" s="1"/>
      <c r="L980" s="1" t="s">
        <v>1524</v>
      </c>
      <c r="M980" s="1" t="s">
        <v>2741</v>
      </c>
      <c r="N980" s="1"/>
      <c r="O980" s="1"/>
      <c r="P980" s="1" t="s">
        <v>2744</v>
      </c>
    </row>
    <row r="981" spans="1:16" ht="15" customHeight="1" x14ac:dyDescent="0.25">
      <c r="A981" s="1" t="s">
        <v>1215</v>
      </c>
      <c r="B981" s="2" t="s">
        <v>3082</v>
      </c>
      <c r="D981" s="1"/>
      <c r="E981" s="1"/>
      <c r="F981" s="1"/>
      <c r="G981" s="1"/>
      <c r="H981" s="1"/>
      <c r="L981" s="1"/>
      <c r="M981" s="1"/>
      <c r="N981" s="1" t="s">
        <v>1529</v>
      </c>
      <c r="O981" s="1" t="s">
        <v>3130</v>
      </c>
      <c r="P981" s="1" t="s">
        <v>2744</v>
      </c>
    </row>
    <row r="982" spans="1:16" ht="15" customHeight="1" x14ac:dyDescent="0.25">
      <c r="A982" s="1" t="s">
        <v>1215</v>
      </c>
      <c r="B982" s="2" t="s">
        <v>3082</v>
      </c>
      <c r="D982" s="1"/>
      <c r="E982" s="1"/>
      <c r="F982" s="1"/>
      <c r="G982" s="1"/>
      <c r="H982" s="1"/>
      <c r="L982" s="1"/>
      <c r="M982" s="1"/>
      <c r="N982" s="1" t="s">
        <v>1529</v>
      </c>
      <c r="O982" s="1" t="s">
        <v>3130</v>
      </c>
      <c r="P982" s="1" t="s">
        <v>2744</v>
      </c>
    </row>
    <row r="983" spans="1:16" ht="15" customHeight="1" x14ac:dyDescent="0.25">
      <c r="A983" s="1" t="s">
        <v>1220</v>
      </c>
      <c r="B983" s="2" t="s">
        <v>3131</v>
      </c>
      <c r="C983" t="b">
        <v>0</v>
      </c>
      <c r="D983" s="1" t="s">
        <v>16</v>
      </c>
      <c r="E983" s="1" t="s">
        <v>2682</v>
      </c>
      <c r="F983" s="1" t="s">
        <v>2702</v>
      </c>
      <c r="G983" s="1" t="s">
        <v>2722</v>
      </c>
      <c r="H983" s="1" t="s">
        <v>5</v>
      </c>
      <c r="I983">
        <v>10</v>
      </c>
      <c r="L983" s="1"/>
      <c r="M983" s="1"/>
      <c r="N983" s="1"/>
      <c r="O983" s="1"/>
      <c r="P983" s="1" t="s">
        <v>2744</v>
      </c>
    </row>
    <row r="984" spans="1:16" ht="15" customHeight="1" x14ac:dyDescent="0.25">
      <c r="A984" s="1" t="s">
        <v>1220</v>
      </c>
      <c r="B984" s="2" t="s">
        <v>3131</v>
      </c>
      <c r="C984" t="b">
        <v>1</v>
      </c>
      <c r="D984" s="1" t="s">
        <v>1454</v>
      </c>
      <c r="E984" s="1" t="s">
        <v>2683</v>
      </c>
      <c r="F984" s="1" t="s">
        <v>2703</v>
      </c>
      <c r="G984" s="1" t="s">
        <v>2723</v>
      </c>
      <c r="H984" s="1" t="s">
        <v>5</v>
      </c>
      <c r="I984">
        <v>4</v>
      </c>
      <c r="L984" s="1"/>
      <c r="M984" s="1"/>
      <c r="N984" s="1"/>
      <c r="O984" s="1"/>
      <c r="P984" s="1" t="s">
        <v>2744</v>
      </c>
    </row>
    <row r="985" spans="1:16" ht="15" customHeight="1" x14ac:dyDescent="0.25">
      <c r="A985" s="1" t="s">
        <v>1220</v>
      </c>
      <c r="B985" s="2" t="s">
        <v>3131</v>
      </c>
      <c r="C985" t="b">
        <v>1</v>
      </c>
      <c r="D985" s="1" t="s">
        <v>1390</v>
      </c>
      <c r="E985" s="1" t="s">
        <v>2684</v>
      </c>
      <c r="F985" s="1" t="s">
        <v>2704</v>
      </c>
      <c r="G985" s="1" t="s">
        <v>1390</v>
      </c>
      <c r="H985" s="1" t="s">
        <v>5</v>
      </c>
      <c r="I985">
        <v>35</v>
      </c>
      <c r="L985" s="1"/>
      <c r="M985" s="1"/>
      <c r="N985" s="1"/>
      <c r="O985" s="1"/>
      <c r="P985" s="1" t="s">
        <v>2744</v>
      </c>
    </row>
    <row r="986" spans="1:16" ht="15" customHeight="1" x14ac:dyDescent="0.25">
      <c r="A986" s="1" t="s">
        <v>1220</v>
      </c>
      <c r="B986" s="2" t="s">
        <v>3131</v>
      </c>
      <c r="C986" t="b">
        <v>1</v>
      </c>
      <c r="D986" s="1" t="s">
        <v>1203</v>
      </c>
      <c r="E986" s="1" t="s">
        <v>2685</v>
      </c>
      <c r="F986" s="1" t="s">
        <v>2705</v>
      </c>
      <c r="G986" s="1" t="s">
        <v>1203</v>
      </c>
      <c r="H986" s="1" t="s">
        <v>5</v>
      </c>
      <c r="I986">
        <v>35</v>
      </c>
      <c r="L986" s="1"/>
      <c r="M986" s="1"/>
      <c r="N986" s="1"/>
      <c r="O986" s="1"/>
      <c r="P986" s="1" t="s">
        <v>2744</v>
      </c>
    </row>
    <row r="987" spans="1:16" ht="15" customHeight="1" x14ac:dyDescent="0.25">
      <c r="A987" s="1" t="s">
        <v>1220</v>
      </c>
      <c r="B987" s="2" t="s">
        <v>3131</v>
      </c>
      <c r="C987" t="b">
        <v>0</v>
      </c>
      <c r="D987" s="1" t="s">
        <v>1217</v>
      </c>
      <c r="E987" s="1" t="s">
        <v>3147</v>
      </c>
      <c r="F987" s="1" t="s">
        <v>3167</v>
      </c>
      <c r="G987" s="1" t="s">
        <v>1416</v>
      </c>
      <c r="H987" s="1" t="s">
        <v>5</v>
      </c>
      <c r="I987">
        <v>3</v>
      </c>
      <c r="L987" s="1"/>
      <c r="M987" s="1"/>
      <c r="N987" s="1"/>
      <c r="O987" s="1"/>
      <c r="P987" s="1" t="s">
        <v>2744</v>
      </c>
    </row>
    <row r="988" spans="1:16" ht="15" customHeight="1" x14ac:dyDescent="0.25">
      <c r="A988" s="1" t="s">
        <v>1220</v>
      </c>
      <c r="B988" s="2" t="s">
        <v>3131</v>
      </c>
      <c r="C988" t="b">
        <v>0</v>
      </c>
      <c r="D988" s="1" t="s">
        <v>1218</v>
      </c>
      <c r="E988" s="1" t="s">
        <v>3148</v>
      </c>
      <c r="F988" s="1" t="s">
        <v>3168</v>
      </c>
      <c r="G988" s="1" t="s">
        <v>3185</v>
      </c>
      <c r="H988" s="1" t="s">
        <v>5</v>
      </c>
      <c r="I988">
        <v>15</v>
      </c>
      <c r="L988" s="1"/>
      <c r="M988" s="1"/>
      <c r="N988" s="1"/>
      <c r="O988" s="1"/>
      <c r="P988" s="1" t="s">
        <v>2744</v>
      </c>
    </row>
    <row r="989" spans="1:16" ht="15" customHeight="1" x14ac:dyDescent="0.25">
      <c r="A989" s="1" t="s">
        <v>1220</v>
      </c>
      <c r="B989" s="2" t="s">
        <v>3131</v>
      </c>
      <c r="C989" t="b">
        <v>0</v>
      </c>
      <c r="D989" s="1" t="s">
        <v>1216</v>
      </c>
      <c r="E989" s="1" t="s">
        <v>3149</v>
      </c>
      <c r="F989" s="1" t="s">
        <v>3169</v>
      </c>
      <c r="G989" s="1" t="s">
        <v>3186</v>
      </c>
      <c r="H989" s="1" t="s">
        <v>5</v>
      </c>
      <c r="I989">
        <v>18</v>
      </c>
      <c r="L989" s="1"/>
      <c r="M989" s="1"/>
      <c r="N989" s="1"/>
      <c r="O989" s="1"/>
      <c r="P989" s="1" t="s">
        <v>2744</v>
      </c>
    </row>
    <row r="990" spans="1:16" ht="15" customHeight="1" x14ac:dyDescent="0.25">
      <c r="A990" s="1" t="s">
        <v>1220</v>
      </c>
      <c r="B990" s="2" t="s">
        <v>3131</v>
      </c>
      <c r="C990" t="b">
        <v>1</v>
      </c>
      <c r="D990" s="1" t="s">
        <v>3132</v>
      </c>
      <c r="E990" s="1" t="s">
        <v>3150</v>
      </c>
      <c r="F990" s="1" t="s">
        <v>3170</v>
      </c>
      <c r="G990" s="1" t="s">
        <v>3187</v>
      </c>
      <c r="H990" s="1" t="s">
        <v>5</v>
      </c>
      <c r="I990">
        <v>60</v>
      </c>
      <c r="L990" s="1"/>
      <c r="M990" s="1"/>
      <c r="N990" s="1"/>
      <c r="O990" s="1"/>
      <c r="P990" s="1" t="s">
        <v>2744</v>
      </c>
    </row>
    <row r="991" spans="1:16" ht="15" customHeight="1" x14ac:dyDescent="0.25">
      <c r="A991" s="1" t="s">
        <v>1220</v>
      </c>
      <c r="B991" s="2" t="s">
        <v>3131</v>
      </c>
      <c r="C991" t="b">
        <v>1</v>
      </c>
      <c r="D991" s="1" t="s">
        <v>3133</v>
      </c>
      <c r="E991" s="1" t="s">
        <v>3151</v>
      </c>
      <c r="F991" s="1" t="s">
        <v>3171</v>
      </c>
      <c r="G991" s="1" t="s">
        <v>3188</v>
      </c>
      <c r="H991" s="1" t="s">
        <v>5</v>
      </c>
      <c r="I991">
        <v>2</v>
      </c>
      <c r="L991" s="1"/>
      <c r="M991" s="1"/>
      <c r="N991" s="1"/>
      <c r="O991" s="1"/>
      <c r="P991" s="1" t="s">
        <v>2744</v>
      </c>
    </row>
    <row r="992" spans="1:16" ht="15" customHeight="1" x14ac:dyDescent="0.25">
      <c r="A992" s="1" t="s">
        <v>1220</v>
      </c>
      <c r="B992" s="2" t="s">
        <v>3131</v>
      </c>
      <c r="C992" t="b">
        <v>1</v>
      </c>
      <c r="D992" s="1" t="s">
        <v>3134</v>
      </c>
      <c r="E992" s="1" t="s">
        <v>3152</v>
      </c>
      <c r="F992" s="1" t="s">
        <v>3172</v>
      </c>
      <c r="G992" s="1" t="s">
        <v>3189</v>
      </c>
      <c r="H992" s="1" t="s">
        <v>5</v>
      </c>
      <c r="I992">
        <v>4</v>
      </c>
      <c r="L992" s="1"/>
      <c r="M992" s="1"/>
      <c r="N992" s="1"/>
      <c r="O992" s="1"/>
      <c r="P992" s="1" t="s">
        <v>2744</v>
      </c>
    </row>
    <row r="993" spans="1:16" ht="15" customHeight="1" x14ac:dyDescent="0.25">
      <c r="A993" s="1" t="s">
        <v>1220</v>
      </c>
      <c r="B993" s="2" t="s">
        <v>3131</v>
      </c>
      <c r="C993" t="b">
        <v>1</v>
      </c>
      <c r="D993" s="1" t="s">
        <v>3135</v>
      </c>
      <c r="E993" s="1" t="s">
        <v>3153</v>
      </c>
      <c r="F993" s="1" t="s">
        <v>3173</v>
      </c>
      <c r="G993" s="1" t="s">
        <v>3190</v>
      </c>
      <c r="H993" s="1" t="s">
        <v>5</v>
      </c>
      <c r="I993">
        <v>20</v>
      </c>
      <c r="L993" s="1"/>
      <c r="M993" s="1"/>
      <c r="N993" s="1"/>
      <c r="O993" s="1"/>
      <c r="P993" s="1" t="s">
        <v>2744</v>
      </c>
    </row>
    <row r="994" spans="1:16" ht="15" customHeight="1" x14ac:dyDescent="0.25">
      <c r="A994" s="1" t="s">
        <v>1220</v>
      </c>
      <c r="B994" s="2" t="s">
        <v>3131</v>
      </c>
      <c r="C994" t="b">
        <v>1</v>
      </c>
      <c r="D994" s="1" t="s">
        <v>3136</v>
      </c>
      <c r="E994" s="1" t="s">
        <v>3154</v>
      </c>
      <c r="F994" s="1" t="s">
        <v>3174</v>
      </c>
      <c r="G994" s="1" t="s">
        <v>3191</v>
      </c>
      <c r="H994" s="1" t="s">
        <v>5</v>
      </c>
      <c r="I994">
        <v>1</v>
      </c>
      <c r="L994" s="1"/>
      <c r="M994" s="1"/>
      <c r="N994" s="1"/>
      <c r="O994" s="1"/>
      <c r="P994" s="1" t="s">
        <v>2744</v>
      </c>
    </row>
    <row r="995" spans="1:16" ht="15" customHeight="1" x14ac:dyDescent="0.25">
      <c r="A995" s="1" t="s">
        <v>1220</v>
      </c>
      <c r="B995" s="2" t="s">
        <v>3131</v>
      </c>
      <c r="C995" t="b">
        <v>1</v>
      </c>
      <c r="D995" s="1" t="s">
        <v>3137</v>
      </c>
      <c r="E995" s="1" t="s">
        <v>3155</v>
      </c>
      <c r="F995" s="1" t="s">
        <v>3175</v>
      </c>
      <c r="G995" s="1" t="s">
        <v>3192</v>
      </c>
      <c r="H995" s="1" t="s">
        <v>5</v>
      </c>
      <c r="I995">
        <v>60</v>
      </c>
      <c r="L995" s="1"/>
      <c r="M995" s="1"/>
      <c r="N995" s="1"/>
      <c r="O995" s="1"/>
      <c r="P995" s="1" t="s">
        <v>2744</v>
      </c>
    </row>
    <row r="996" spans="1:16" ht="15" customHeight="1" x14ac:dyDescent="0.25">
      <c r="A996" s="1" t="s">
        <v>1220</v>
      </c>
      <c r="B996" s="2" t="s">
        <v>3131</v>
      </c>
      <c r="C996" t="b">
        <v>1</v>
      </c>
      <c r="D996" s="1" t="s">
        <v>1395</v>
      </c>
      <c r="E996" s="1" t="s">
        <v>3156</v>
      </c>
      <c r="F996" s="1" t="s">
        <v>3176</v>
      </c>
      <c r="G996" s="1" t="s">
        <v>2970</v>
      </c>
      <c r="H996" s="1" t="s">
        <v>5</v>
      </c>
      <c r="I996">
        <v>3</v>
      </c>
      <c r="L996" s="1"/>
      <c r="M996" s="1"/>
      <c r="N996" s="1"/>
      <c r="O996" s="1"/>
      <c r="P996" s="1" t="s">
        <v>2744</v>
      </c>
    </row>
    <row r="997" spans="1:16" ht="15" customHeight="1" x14ac:dyDescent="0.25">
      <c r="A997" s="1" t="s">
        <v>1220</v>
      </c>
      <c r="B997" s="2" t="s">
        <v>3131</v>
      </c>
      <c r="C997" t="b">
        <v>1</v>
      </c>
      <c r="D997" s="1" t="s">
        <v>3138</v>
      </c>
      <c r="E997" s="1" t="s">
        <v>3157</v>
      </c>
      <c r="F997" s="1" t="s">
        <v>2955</v>
      </c>
      <c r="G997" s="1" t="s">
        <v>1391</v>
      </c>
      <c r="H997" s="1" t="s">
        <v>5</v>
      </c>
      <c r="I997">
        <v>35</v>
      </c>
      <c r="L997" s="1"/>
      <c r="M997" s="1"/>
      <c r="N997" s="1"/>
      <c r="O997" s="1"/>
      <c r="P997" s="1" t="s">
        <v>2744</v>
      </c>
    </row>
    <row r="998" spans="1:16" ht="15" customHeight="1" x14ac:dyDescent="0.25">
      <c r="A998" s="1" t="s">
        <v>1220</v>
      </c>
      <c r="B998" s="2" t="s">
        <v>3131</v>
      </c>
      <c r="C998" t="b">
        <v>1</v>
      </c>
      <c r="D998" s="1" t="s">
        <v>3139</v>
      </c>
      <c r="E998" s="1" t="s">
        <v>3158</v>
      </c>
      <c r="F998" s="1" t="s">
        <v>2705</v>
      </c>
      <c r="G998" s="1" t="s">
        <v>1203</v>
      </c>
      <c r="H998" s="1" t="s">
        <v>5</v>
      </c>
      <c r="I998">
        <v>35</v>
      </c>
      <c r="L998" s="1"/>
      <c r="M998" s="1"/>
      <c r="N998" s="1"/>
      <c r="O998" s="1"/>
      <c r="P998" s="1" t="s">
        <v>2744</v>
      </c>
    </row>
    <row r="999" spans="1:16" ht="15" customHeight="1" x14ac:dyDescent="0.25">
      <c r="A999" s="1" t="s">
        <v>1220</v>
      </c>
      <c r="B999" s="2" t="s">
        <v>3131</v>
      </c>
      <c r="C999" t="b">
        <v>1</v>
      </c>
      <c r="D999" s="1" t="s">
        <v>3140</v>
      </c>
      <c r="E999" s="1" t="s">
        <v>3159</v>
      </c>
      <c r="F999" s="1" t="s">
        <v>3177</v>
      </c>
      <c r="G999" s="1" t="s">
        <v>3140</v>
      </c>
      <c r="H999" s="1" t="s">
        <v>5</v>
      </c>
      <c r="I999">
        <v>40</v>
      </c>
      <c r="L999" s="1"/>
      <c r="M999" s="1"/>
      <c r="N999" s="1"/>
      <c r="O999" s="1"/>
      <c r="P999" s="1" t="s">
        <v>2744</v>
      </c>
    </row>
    <row r="1000" spans="1:16" ht="15" customHeight="1" x14ac:dyDescent="0.25">
      <c r="A1000" s="1" t="s">
        <v>1220</v>
      </c>
      <c r="B1000" s="2" t="s">
        <v>3131</v>
      </c>
      <c r="C1000" t="b">
        <v>1</v>
      </c>
      <c r="D1000" s="1" t="s">
        <v>3141</v>
      </c>
      <c r="E1000" s="1" t="s">
        <v>3160</v>
      </c>
      <c r="F1000" s="1" t="s">
        <v>3178</v>
      </c>
      <c r="G1000" s="1" t="s">
        <v>3193</v>
      </c>
      <c r="H1000" s="1" t="s">
        <v>5</v>
      </c>
      <c r="I1000">
        <v>11</v>
      </c>
      <c r="L1000" s="1"/>
      <c r="M1000" s="1"/>
      <c r="N1000" s="1"/>
      <c r="O1000" s="1"/>
      <c r="P1000" s="1" t="s">
        <v>2744</v>
      </c>
    </row>
    <row r="1001" spans="1:16" ht="15" customHeight="1" x14ac:dyDescent="0.25">
      <c r="A1001" s="1" t="s">
        <v>1220</v>
      </c>
      <c r="B1001" s="2" t="s">
        <v>3131</v>
      </c>
      <c r="C1001" t="b">
        <v>1</v>
      </c>
      <c r="D1001" s="1" t="s">
        <v>3142</v>
      </c>
      <c r="E1001" s="1" t="s">
        <v>3161</v>
      </c>
      <c r="F1001" s="1" t="s">
        <v>3179</v>
      </c>
      <c r="G1001" s="1" t="s">
        <v>3194</v>
      </c>
      <c r="H1001" s="1" t="s">
        <v>5</v>
      </c>
      <c r="I1001">
        <v>2</v>
      </c>
      <c r="L1001" s="1"/>
      <c r="M1001" s="1"/>
      <c r="N1001" s="1"/>
      <c r="O1001" s="1"/>
      <c r="P1001" s="1" t="s">
        <v>2744</v>
      </c>
    </row>
    <row r="1002" spans="1:16" ht="15" customHeight="1" x14ac:dyDescent="0.25">
      <c r="A1002" s="1" t="s">
        <v>1220</v>
      </c>
      <c r="B1002" s="2" t="s">
        <v>3131</v>
      </c>
      <c r="C1002" t="b">
        <v>1</v>
      </c>
      <c r="D1002" s="1" t="s">
        <v>3143</v>
      </c>
      <c r="E1002" s="1" t="s">
        <v>3162</v>
      </c>
      <c r="F1002" s="1" t="s">
        <v>3180</v>
      </c>
      <c r="G1002" s="1" t="s">
        <v>3195</v>
      </c>
      <c r="H1002" s="1" t="s">
        <v>5</v>
      </c>
      <c r="I1002">
        <v>1</v>
      </c>
      <c r="L1002" s="1"/>
      <c r="M1002" s="1"/>
      <c r="N1002" s="1"/>
      <c r="O1002" s="1"/>
      <c r="P1002" s="1" t="s">
        <v>2744</v>
      </c>
    </row>
    <row r="1003" spans="1:16" ht="15" customHeight="1" x14ac:dyDescent="0.25">
      <c r="A1003" s="1" t="s">
        <v>1220</v>
      </c>
      <c r="B1003" s="2" t="s">
        <v>3131</v>
      </c>
      <c r="C1003" t="b">
        <v>1</v>
      </c>
      <c r="D1003" s="1" t="s">
        <v>3144</v>
      </c>
      <c r="E1003" s="1" t="s">
        <v>3163</v>
      </c>
      <c r="F1003" s="1" t="s">
        <v>3181</v>
      </c>
      <c r="G1003" s="1" t="s">
        <v>3144</v>
      </c>
      <c r="H1003" s="1" t="s">
        <v>5</v>
      </c>
      <c r="I1003">
        <v>15</v>
      </c>
      <c r="L1003" s="1"/>
      <c r="M1003" s="1"/>
      <c r="N1003" s="1"/>
      <c r="O1003" s="1"/>
      <c r="P1003" s="1" t="s">
        <v>2744</v>
      </c>
    </row>
    <row r="1004" spans="1:16" ht="15" customHeight="1" x14ac:dyDescent="0.25">
      <c r="A1004" s="1" t="s">
        <v>1220</v>
      </c>
      <c r="B1004" s="2" t="s">
        <v>3131</v>
      </c>
      <c r="C1004" t="b">
        <v>1</v>
      </c>
      <c r="D1004" s="1" t="s">
        <v>1219</v>
      </c>
      <c r="E1004" s="1" t="s">
        <v>3164</v>
      </c>
      <c r="F1004" s="1" t="s">
        <v>3182</v>
      </c>
      <c r="G1004" s="1" t="s">
        <v>2915</v>
      </c>
      <c r="H1004" s="1" t="s">
        <v>5</v>
      </c>
      <c r="I1004">
        <v>10</v>
      </c>
      <c r="L1004" s="1"/>
      <c r="M1004" s="1"/>
      <c r="N1004" s="1"/>
      <c r="O1004" s="1"/>
      <c r="P1004" s="1" t="s">
        <v>2744</v>
      </c>
    </row>
    <row r="1005" spans="1:16" ht="15" customHeight="1" x14ac:dyDescent="0.25">
      <c r="A1005" s="1" t="s">
        <v>1220</v>
      </c>
      <c r="B1005" s="2" t="s">
        <v>3131</v>
      </c>
      <c r="C1005" t="b">
        <v>1</v>
      </c>
      <c r="D1005" s="1" t="s">
        <v>3145</v>
      </c>
      <c r="E1005" s="1" t="s">
        <v>3165</v>
      </c>
      <c r="F1005" s="1" t="s">
        <v>3183</v>
      </c>
      <c r="G1005" s="1" t="s">
        <v>3196</v>
      </c>
      <c r="H1005" s="1" t="s">
        <v>5</v>
      </c>
      <c r="I1005">
        <v>1</v>
      </c>
      <c r="L1005" s="1"/>
      <c r="M1005" s="1"/>
      <c r="N1005" s="1"/>
      <c r="O1005" s="1"/>
      <c r="P1005" s="1" t="s">
        <v>2744</v>
      </c>
    </row>
    <row r="1006" spans="1:16" ht="15" customHeight="1" x14ac:dyDescent="0.25">
      <c r="A1006" s="1" t="s">
        <v>1220</v>
      </c>
      <c r="B1006" s="2" t="s">
        <v>3131</v>
      </c>
      <c r="C1006" t="b">
        <v>1</v>
      </c>
      <c r="D1006" s="1" t="s">
        <v>3146</v>
      </c>
      <c r="E1006" s="1" t="s">
        <v>3166</v>
      </c>
      <c r="F1006" s="1" t="s">
        <v>3184</v>
      </c>
      <c r="G1006" s="1" t="s">
        <v>3197</v>
      </c>
      <c r="H1006" s="1" t="s">
        <v>5</v>
      </c>
      <c r="I1006">
        <v>1</v>
      </c>
      <c r="L1006" s="1"/>
      <c r="M1006" s="1"/>
      <c r="N1006" s="1"/>
      <c r="O1006" s="1"/>
      <c r="P1006" s="1" t="s">
        <v>2744</v>
      </c>
    </row>
    <row r="1007" spans="1:16" ht="15" customHeight="1" x14ac:dyDescent="0.25">
      <c r="A1007" s="1" t="s">
        <v>1220</v>
      </c>
      <c r="B1007" s="2" t="s">
        <v>3131</v>
      </c>
      <c r="C1007" t="b">
        <v>0</v>
      </c>
      <c r="D1007" s="1" t="s">
        <v>2868</v>
      </c>
      <c r="E1007" s="1" t="s">
        <v>2887</v>
      </c>
      <c r="F1007" s="1" t="s">
        <v>2906</v>
      </c>
      <c r="G1007" s="1" t="s">
        <v>2924</v>
      </c>
      <c r="H1007" s="1" t="s">
        <v>5</v>
      </c>
      <c r="I1007">
        <v>10</v>
      </c>
      <c r="L1007" s="1"/>
      <c r="M1007" s="1"/>
      <c r="N1007" s="1"/>
      <c r="O1007" s="1"/>
      <c r="P1007" s="1" t="s">
        <v>2744</v>
      </c>
    </row>
    <row r="1008" spans="1:16" ht="15" customHeight="1" x14ac:dyDescent="0.25">
      <c r="A1008" s="1" t="s">
        <v>1220</v>
      </c>
      <c r="B1008" s="2" t="s">
        <v>3131</v>
      </c>
      <c r="D1008" s="1"/>
      <c r="E1008" s="1"/>
      <c r="F1008" s="1"/>
      <c r="G1008" s="1"/>
      <c r="H1008" s="1"/>
      <c r="L1008" s="1" t="s">
        <v>1524</v>
      </c>
      <c r="M1008" s="1" t="s">
        <v>2741</v>
      </c>
      <c r="N1008" s="1"/>
      <c r="O1008" s="1"/>
      <c r="P1008" s="1" t="s">
        <v>2744</v>
      </c>
    </row>
    <row r="1009" spans="1:16" ht="15" customHeight="1" x14ac:dyDescent="0.25">
      <c r="A1009" s="1" t="s">
        <v>1220</v>
      </c>
      <c r="B1009" s="2" t="s">
        <v>3131</v>
      </c>
      <c r="D1009" s="1"/>
      <c r="E1009" s="1"/>
      <c r="F1009" s="1"/>
      <c r="G1009" s="1"/>
      <c r="H1009" s="1"/>
      <c r="L1009" s="1" t="s">
        <v>1524</v>
      </c>
      <c r="M1009" s="1" t="s">
        <v>3198</v>
      </c>
      <c r="N1009" s="1"/>
      <c r="O1009" s="1"/>
      <c r="P1009" s="1" t="s">
        <v>2744</v>
      </c>
    </row>
    <row r="1010" spans="1:16" ht="15" customHeight="1" x14ac:dyDescent="0.25">
      <c r="A1010" s="1" t="s">
        <v>1220</v>
      </c>
      <c r="B1010" s="2" t="s">
        <v>3131</v>
      </c>
      <c r="D1010" s="1"/>
      <c r="E1010" s="1"/>
      <c r="F1010" s="1"/>
      <c r="G1010" s="1"/>
      <c r="H1010" s="1"/>
      <c r="L1010" s="1" t="s">
        <v>1524</v>
      </c>
      <c r="M1010" s="1" t="s">
        <v>3199</v>
      </c>
      <c r="N1010" s="1"/>
      <c r="O1010" s="1"/>
      <c r="P1010" s="1" t="s">
        <v>2744</v>
      </c>
    </row>
    <row r="1011" spans="1:16" ht="15" customHeight="1" x14ac:dyDescent="0.25">
      <c r="A1011" s="1" t="s">
        <v>1220</v>
      </c>
      <c r="B1011" s="2" t="s">
        <v>3131</v>
      </c>
      <c r="D1011" s="1"/>
      <c r="E1011" s="1"/>
      <c r="F1011" s="1"/>
      <c r="G1011" s="1"/>
      <c r="H1011" s="1"/>
      <c r="L1011" s="1" t="s">
        <v>1524</v>
      </c>
      <c r="M1011" s="1" t="s">
        <v>2925</v>
      </c>
      <c r="N1011" s="1"/>
      <c r="O1011" s="1"/>
      <c r="P1011" s="1" t="s">
        <v>2744</v>
      </c>
    </row>
    <row r="1012" spans="1:16" ht="15" customHeight="1" x14ac:dyDescent="0.25">
      <c r="A1012" s="1" t="s">
        <v>1220</v>
      </c>
      <c r="B1012" s="2" t="s">
        <v>3131</v>
      </c>
      <c r="D1012" s="1"/>
      <c r="E1012" s="1"/>
      <c r="F1012" s="1"/>
      <c r="G1012" s="1"/>
      <c r="H1012" s="1"/>
      <c r="L1012" s="1"/>
      <c r="M1012" s="1"/>
      <c r="N1012" s="1" t="s">
        <v>1529</v>
      </c>
      <c r="O1012" s="1" t="s">
        <v>3200</v>
      </c>
      <c r="P1012" s="1" t="s">
        <v>2744</v>
      </c>
    </row>
    <row r="1013" spans="1:16" ht="15" customHeight="1" x14ac:dyDescent="0.25">
      <c r="A1013" s="1" t="s">
        <v>1220</v>
      </c>
      <c r="B1013" s="2" t="s">
        <v>3131</v>
      </c>
      <c r="D1013" s="1"/>
      <c r="E1013" s="1"/>
      <c r="F1013" s="1"/>
      <c r="G1013" s="1"/>
      <c r="H1013" s="1"/>
      <c r="L1013" s="1"/>
      <c r="M1013" s="1"/>
      <c r="N1013" s="1" t="s">
        <v>1529</v>
      </c>
      <c r="O1013" s="1" t="s">
        <v>3200</v>
      </c>
      <c r="P1013" s="1" t="s">
        <v>2744</v>
      </c>
    </row>
    <row r="1014" spans="1:16" ht="15" customHeight="1" x14ac:dyDescent="0.25">
      <c r="A1014" s="1" t="s">
        <v>1220</v>
      </c>
      <c r="B1014" s="2" t="s">
        <v>3131</v>
      </c>
      <c r="D1014" s="1"/>
      <c r="E1014" s="1"/>
      <c r="F1014" s="1"/>
      <c r="G1014" s="1"/>
      <c r="H1014" s="1"/>
      <c r="L1014" s="1"/>
      <c r="M1014" s="1"/>
      <c r="N1014" s="1" t="s">
        <v>1529</v>
      </c>
      <c r="O1014" s="1" t="s">
        <v>3201</v>
      </c>
      <c r="P1014" s="1" t="s">
        <v>2744</v>
      </c>
    </row>
    <row r="1015" spans="1:16" ht="15" customHeight="1" x14ac:dyDescent="0.25">
      <c r="A1015" s="1" t="s">
        <v>1220</v>
      </c>
      <c r="B1015" s="2" t="s">
        <v>3131</v>
      </c>
      <c r="D1015" s="1"/>
      <c r="E1015" s="1"/>
      <c r="F1015" s="1"/>
      <c r="G1015" s="1"/>
      <c r="H1015" s="1"/>
      <c r="L1015" s="1"/>
      <c r="M1015" s="1"/>
      <c r="N1015" s="1" t="s">
        <v>1529</v>
      </c>
      <c r="O1015" s="1" t="s">
        <v>3201</v>
      </c>
      <c r="P1015" s="1" t="s">
        <v>2744</v>
      </c>
    </row>
    <row r="1016" spans="1:16" ht="15" customHeight="1" x14ac:dyDescent="0.25">
      <c r="A1016" s="1" t="s">
        <v>1220</v>
      </c>
      <c r="B1016" s="2" t="s">
        <v>3131</v>
      </c>
      <c r="D1016" s="1"/>
      <c r="E1016" s="1"/>
      <c r="F1016" s="1"/>
      <c r="G1016" s="1"/>
      <c r="H1016" s="1"/>
      <c r="L1016" s="1"/>
      <c r="M1016" s="1"/>
      <c r="N1016" s="1" t="s">
        <v>1529</v>
      </c>
      <c r="O1016" s="1" t="s">
        <v>3201</v>
      </c>
      <c r="P1016" s="1" t="s">
        <v>2744</v>
      </c>
    </row>
    <row r="1017" spans="1:16" ht="15" customHeight="1" x14ac:dyDescent="0.25">
      <c r="A1017" s="1" t="s">
        <v>1220</v>
      </c>
      <c r="B1017" s="2" t="s">
        <v>3131</v>
      </c>
      <c r="D1017" s="1"/>
      <c r="E1017" s="1"/>
      <c r="F1017" s="1"/>
      <c r="G1017" s="1"/>
      <c r="H1017" s="1"/>
      <c r="L1017" s="1"/>
      <c r="M1017" s="1"/>
      <c r="N1017" s="1" t="s">
        <v>1529</v>
      </c>
      <c r="O1017" s="1" t="s">
        <v>3202</v>
      </c>
      <c r="P1017" s="1" t="s">
        <v>2744</v>
      </c>
    </row>
    <row r="1018" spans="1:16" ht="15" customHeight="1" x14ac:dyDescent="0.25">
      <c r="A1018" s="1" t="s">
        <v>1220</v>
      </c>
      <c r="B1018" s="2" t="s">
        <v>3131</v>
      </c>
      <c r="D1018" s="1"/>
      <c r="E1018" s="1"/>
      <c r="F1018" s="1"/>
      <c r="G1018" s="1"/>
      <c r="H1018" s="1"/>
      <c r="L1018" s="1"/>
      <c r="M1018" s="1"/>
      <c r="N1018" s="1" t="s">
        <v>1529</v>
      </c>
      <c r="O1018" s="1" t="s">
        <v>3202</v>
      </c>
      <c r="P1018" s="1" t="s">
        <v>2744</v>
      </c>
    </row>
    <row r="1019" spans="1:16" ht="15" customHeight="1" x14ac:dyDescent="0.25">
      <c r="A1019" s="1" t="s">
        <v>1220</v>
      </c>
      <c r="B1019" s="2" t="s">
        <v>3131</v>
      </c>
      <c r="D1019" s="1"/>
      <c r="E1019" s="1"/>
      <c r="F1019" s="1"/>
      <c r="G1019" s="1"/>
      <c r="H1019" s="1"/>
      <c r="L1019" s="1"/>
      <c r="M1019" s="1"/>
      <c r="N1019" s="1" t="s">
        <v>1529</v>
      </c>
      <c r="O1019" s="1" t="s">
        <v>3202</v>
      </c>
      <c r="P1019" s="1" t="s">
        <v>2744</v>
      </c>
    </row>
    <row r="1020" spans="1:16" ht="15" customHeight="1" x14ac:dyDescent="0.25">
      <c r="A1020" s="1" t="s">
        <v>1220</v>
      </c>
      <c r="B1020" s="2" t="s">
        <v>3131</v>
      </c>
      <c r="D1020" s="1"/>
      <c r="E1020" s="1"/>
      <c r="F1020" s="1"/>
      <c r="G1020" s="1"/>
      <c r="H1020" s="1"/>
      <c r="L1020" s="1"/>
      <c r="M1020" s="1"/>
      <c r="N1020" s="1" t="s">
        <v>1529</v>
      </c>
      <c r="O1020" s="1" t="s">
        <v>3202</v>
      </c>
      <c r="P1020" s="1" t="s">
        <v>2744</v>
      </c>
    </row>
    <row r="1021" spans="1:16" ht="15" customHeight="1" x14ac:dyDescent="0.25">
      <c r="A1021" s="1" t="s">
        <v>1368</v>
      </c>
      <c r="B1021" s="2" t="s">
        <v>3203</v>
      </c>
      <c r="C1021" t="b">
        <v>0</v>
      </c>
      <c r="D1021" s="1" t="s">
        <v>16</v>
      </c>
      <c r="E1021" s="1" t="s">
        <v>2682</v>
      </c>
      <c r="F1021" s="1" t="s">
        <v>2702</v>
      </c>
      <c r="G1021" s="1" t="s">
        <v>2722</v>
      </c>
      <c r="H1021" s="1" t="s">
        <v>5</v>
      </c>
      <c r="I1021">
        <v>10</v>
      </c>
      <c r="L1021" s="1"/>
      <c r="M1021" s="1"/>
      <c r="N1021" s="1"/>
      <c r="O1021" s="1"/>
      <c r="P1021" s="1" t="s">
        <v>2744</v>
      </c>
    </row>
    <row r="1022" spans="1:16" ht="15" customHeight="1" x14ac:dyDescent="0.25">
      <c r="A1022" s="1" t="s">
        <v>1368</v>
      </c>
      <c r="B1022" s="2" t="s">
        <v>3203</v>
      </c>
      <c r="C1022" t="b">
        <v>1</v>
      </c>
      <c r="D1022" s="1" t="s">
        <v>1454</v>
      </c>
      <c r="E1022" s="1" t="s">
        <v>2683</v>
      </c>
      <c r="F1022" s="1" t="s">
        <v>2703</v>
      </c>
      <c r="G1022" s="1" t="s">
        <v>2723</v>
      </c>
      <c r="H1022" s="1" t="s">
        <v>5</v>
      </c>
      <c r="I1022">
        <v>4</v>
      </c>
      <c r="L1022" s="1"/>
      <c r="M1022" s="1"/>
      <c r="N1022" s="1"/>
      <c r="O1022" s="1"/>
      <c r="P1022" s="1" t="s">
        <v>2744</v>
      </c>
    </row>
    <row r="1023" spans="1:16" ht="15" customHeight="1" x14ac:dyDescent="0.25">
      <c r="A1023" s="1" t="s">
        <v>1368</v>
      </c>
      <c r="B1023" s="2" t="s">
        <v>3203</v>
      </c>
      <c r="C1023" t="b">
        <v>1</v>
      </c>
      <c r="D1023" s="1" t="s">
        <v>1390</v>
      </c>
      <c r="E1023" s="1" t="s">
        <v>2684</v>
      </c>
      <c r="F1023" s="1" t="s">
        <v>2704</v>
      </c>
      <c r="G1023" s="1" t="s">
        <v>1390</v>
      </c>
      <c r="H1023" s="1" t="s">
        <v>5</v>
      </c>
      <c r="I1023">
        <v>35</v>
      </c>
      <c r="L1023" s="1"/>
      <c r="M1023" s="1"/>
      <c r="N1023" s="1"/>
      <c r="O1023" s="1"/>
      <c r="P1023" s="1" t="s">
        <v>2744</v>
      </c>
    </row>
    <row r="1024" spans="1:16" ht="15" customHeight="1" x14ac:dyDescent="0.25">
      <c r="A1024" s="1" t="s">
        <v>1368</v>
      </c>
      <c r="B1024" s="2" t="s">
        <v>3203</v>
      </c>
      <c r="C1024" t="b">
        <v>1</v>
      </c>
      <c r="D1024" s="1" t="s">
        <v>1203</v>
      </c>
      <c r="E1024" s="1" t="s">
        <v>2685</v>
      </c>
      <c r="F1024" s="1" t="s">
        <v>2705</v>
      </c>
      <c r="G1024" s="1" t="s">
        <v>1203</v>
      </c>
      <c r="H1024" s="1" t="s">
        <v>5</v>
      </c>
      <c r="I1024">
        <v>35</v>
      </c>
      <c r="L1024" s="1"/>
      <c r="M1024" s="1"/>
      <c r="N1024" s="1"/>
      <c r="O1024" s="1"/>
      <c r="P1024" s="1" t="s">
        <v>2744</v>
      </c>
    </row>
    <row r="1025" spans="1:16" ht="15" customHeight="1" x14ac:dyDescent="0.25">
      <c r="A1025" s="1" t="s">
        <v>1368</v>
      </c>
      <c r="B1025" s="2" t="s">
        <v>3203</v>
      </c>
      <c r="C1025" t="b">
        <v>1</v>
      </c>
      <c r="D1025" s="1" t="s">
        <v>1367</v>
      </c>
      <c r="E1025" s="1" t="s">
        <v>3215</v>
      </c>
      <c r="F1025" s="1" t="s">
        <v>3231</v>
      </c>
      <c r="G1025" s="1" t="s">
        <v>1367</v>
      </c>
      <c r="H1025" s="1" t="s">
        <v>5</v>
      </c>
      <c r="I1025">
        <v>2</v>
      </c>
      <c r="L1025" s="1"/>
      <c r="M1025" s="1"/>
      <c r="N1025" s="1"/>
      <c r="O1025" s="1"/>
      <c r="P1025" s="1" t="s">
        <v>2744</v>
      </c>
    </row>
    <row r="1026" spans="1:16" ht="15" customHeight="1" x14ac:dyDescent="0.25">
      <c r="A1026" s="1" t="s">
        <v>1368</v>
      </c>
      <c r="B1026" s="2" t="s">
        <v>3203</v>
      </c>
      <c r="C1026" t="b">
        <v>1</v>
      </c>
      <c r="D1026" s="1" t="s">
        <v>3204</v>
      </c>
      <c r="E1026" s="1" t="s">
        <v>3216</v>
      </c>
      <c r="F1026" s="1" t="s">
        <v>3232</v>
      </c>
      <c r="G1026" s="1" t="s">
        <v>3204</v>
      </c>
      <c r="H1026" s="1" t="s">
        <v>5</v>
      </c>
      <c r="I1026">
        <v>5</v>
      </c>
      <c r="L1026" s="1"/>
      <c r="M1026" s="1"/>
      <c r="N1026" s="1"/>
      <c r="O1026" s="1"/>
      <c r="P1026" s="1" t="s">
        <v>2744</v>
      </c>
    </row>
    <row r="1027" spans="1:16" ht="15" customHeight="1" x14ac:dyDescent="0.25">
      <c r="A1027" s="1" t="s">
        <v>1368</v>
      </c>
      <c r="B1027" s="2" t="s">
        <v>3203</v>
      </c>
      <c r="C1027" t="b">
        <v>1</v>
      </c>
      <c r="D1027" s="1" t="s">
        <v>1363</v>
      </c>
      <c r="E1027" s="1" t="s">
        <v>3217</v>
      </c>
      <c r="F1027" s="1" t="s">
        <v>3233</v>
      </c>
      <c r="G1027" s="1" t="s">
        <v>3246</v>
      </c>
      <c r="H1027" s="1" t="s">
        <v>5</v>
      </c>
      <c r="I1027">
        <v>2</v>
      </c>
      <c r="L1027" s="1"/>
      <c r="M1027" s="1"/>
      <c r="N1027" s="1"/>
      <c r="O1027" s="1"/>
      <c r="P1027" s="1" t="s">
        <v>2744</v>
      </c>
    </row>
    <row r="1028" spans="1:16" ht="15" customHeight="1" x14ac:dyDescent="0.25">
      <c r="A1028" s="1" t="s">
        <v>1368</v>
      </c>
      <c r="B1028" s="2" t="s">
        <v>3203</v>
      </c>
      <c r="C1028" t="b">
        <v>1</v>
      </c>
      <c r="D1028" s="1" t="s">
        <v>3205</v>
      </c>
      <c r="E1028" s="1" t="s">
        <v>3218</v>
      </c>
      <c r="F1028" s="1" t="s">
        <v>3234</v>
      </c>
      <c r="G1028" s="1" t="s">
        <v>3247</v>
      </c>
      <c r="H1028" s="1" t="s">
        <v>1576</v>
      </c>
      <c r="J1028">
        <v>2</v>
      </c>
      <c r="K1028">
        <v>0</v>
      </c>
      <c r="L1028" s="1"/>
      <c r="M1028" s="1"/>
      <c r="N1028" s="1"/>
      <c r="O1028" s="1"/>
      <c r="P1028" s="1" t="s">
        <v>2744</v>
      </c>
    </row>
    <row r="1029" spans="1:16" ht="15" customHeight="1" x14ac:dyDescent="0.25">
      <c r="A1029" s="1" t="s">
        <v>1368</v>
      </c>
      <c r="B1029" s="2" t="s">
        <v>3203</v>
      </c>
      <c r="C1029" t="b">
        <v>1</v>
      </c>
      <c r="D1029" s="1" t="s">
        <v>1205</v>
      </c>
      <c r="E1029" s="1" t="s">
        <v>3030</v>
      </c>
      <c r="F1029" s="1" t="s">
        <v>3051</v>
      </c>
      <c r="G1029" s="1" t="s">
        <v>3070</v>
      </c>
      <c r="H1029" s="1" t="s">
        <v>5</v>
      </c>
      <c r="I1029">
        <v>4</v>
      </c>
      <c r="L1029" s="1"/>
      <c r="M1029" s="1"/>
      <c r="N1029" s="1"/>
      <c r="O1029" s="1"/>
      <c r="P1029" s="1" t="s">
        <v>2744</v>
      </c>
    </row>
    <row r="1030" spans="1:16" ht="15" customHeight="1" x14ac:dyDescent="0.25">
      <c r="A1030" s="1" t="s">
        <v>1368</v>
      </c>
      <c r="B1030" s="2" t="s">
        <v>3203</v>
      </c>
      <c r="C1030" t="b">
        <v>1</v>
      </c>
      <c r="D1030" s="1" t="s">
        <v>1365</v>
      </c>
      <c r="E1030" s="1" t="s">
        <v>3219</v>
      </c>
      <c r="F1030" s="1" t="s">
        <v>3235</v>
      </c>
      <c r="G1030" s="1" t="s">
        <v>1365</v>
      </c>
      <c r="H1030" s="1" t="s">
        <v>5</v>
      </c>
      <c r="I1030">
        <v>10</v>
      </c>
      <c r="L1030" s="1"/>
      <c r="M1030" s="1"/>
      <c r="N1030" s="1"/>
      <c r="O1030" s="1"/>
      <c r="P1030" s="1" t="s">
        <v>2744</v>
      </c>
    </row>
    <row r="1031" spans="1:16" ht="15" customHeight="1" x14ac:dyDescent="0.25">
      <c r="A1031" s="1" t="s">
        <v>1368</v>
      </c>
      <c r="B1031" s="2" t="s">
        <v>3203</v>
      </c>
      <c r="C1031" t="b">
        <v>1</v>
      </c>
      <c r="D1031" s="1" t="s">
        <v>3206</v>
      </c>
      <c r="E1031" s="1" t="s">
        <v>3220</v>
      </c>
      <c r="F1031" s="1" t="s">
        <v>3236</v>
      </c>
      <c r="G1031" s="1" t="s">
        <v>3248</v>
      </c>
      <c r="H1031" s="1" t="s">
        <v>5</v>
      </c>
      <c r="I1031">
        <v>10</v>
      </c>
      <c r="L1031" s="1"/>
      <c r="M1031" s="1"/>
      <c r="N1031" s="1"/>
      <c r="O1031" s="1"/>
      <c r="P1031" s="1" t="s">
        <v>2744</v>
      </c>
    </row>
    <row r="1032" spans="1:16" ht="15" customHeight="1" x14ac:dyDescent="0.25">
      <c r="A1032" s="1" t="s">
        <v>1368</v>
      </c>
      <c r="B1032" s="2" t="s">
        <v>3203</v>
      </c>
      <c r="C1032" t="b">
        <v>1</v>
      </c>
      <c r="D1032" s="1" t="s">
        <v>3207</v>
      </c>
      <c r="E1032" s="1" t="s">
        <v>3221</v>
      </c>
      <c r="F1032" s="1" t="s">
        <v>3237</v>
      </c>
      <c r="G1032" s="1" t="s">
        <v>3249</v>
      </c>
      <c r="H1032" s="1" t="s">
        <v>5</v>
      </c>
      <c r="I1032">
        <v>10</v>
      </c>
      <c r="L1032" s="1"/>
      <c r="M1032" s="1"/>
      <c r="N1032" s="1"/>
      <c r="O1032" s="1"/>
      <c r="P1032" s="1" t="s">
        <v>2744</v>
      </c>
    </row>
    <row r="1033" spans="1:16" ht="15" customHeight="1" x14ac:dyDescent="0.25">
      <c r="A1033" s="1" t="s">
        <v>1368</v>
      </c>
      <c r="B1033" s="2" t="s">
        <v>3203</v>
      </c>
      <c r="C1033" t="b">
        <v>1</v>
      </c>
      <c r="D1033" s="1" t="s">
        <v>3208</v>
      </c>
      <c r="E1033" s="1" t="s">
        <v>3222</v>
      </c>
      <c r="F1033" s="1" t="s">
        <v>3238</v>
      </c>
      <c r="G1033" s="1" t="s">
        <v>3250</v>
      </c>
      <c r="H1033" s="1" t="s">
        <v>5</v>
      </c>
      <c r="I1033">
        <v>10</v>
      </c>
      <c r="L1033" s="1"/>
      <c r="M1033" s="1"/>
      <c r="N1033" s="1"/>
      <c r="O1033" s="1"/>
      <c r="P1033" s="1" t="s">
        <v>2744</v>
      </c>
    </row>
    <row r="1034" spans="1:16" ht="15" customHeight="1" x14ac:dyDescent="0.25">
      <c r="A1034" s="1" t="s">
        <v>1368</v>
      </c>
      <c r="B1034" s="2" t="s">
        <v>3203</v>
      </c>
      <c r="C1034" t="b">
        <v>1</v>
      </c>
      <c r="D1034" s="1" t="s">
        <v>3209</v>
      </c>
      <c r="E1034" s="1" t="s">
        <v>3223</v>
      </c>
      <c r="F1034" s="1" t="s">
        <v>3239</v>
      </c>
      <c r="G1034" s="1" t="s">
        <v>3251</v>
      </c>
      <c r="H1034" s="1" t="s">
        <v>5</v>
      </c>
      <c r="I1034">
        <v>10</v>
      </c>
      <c r="L1034" s="1"/>
      <c r="M1034" s="1"/>
      <c r="N1034" s="1"/>
      <c r="O1034" s="1"/>
      <c r="P1034" s="1" t="s">
        <v>2744</v>
      </c>
    </row>
    <row r="1035" spans="1:16" ht="15" customHeight="1" x14ac:dyDescent="0.25">
      <c r="A1035" s="1" t="s">
        <v>1368</v>
      </c>
      <c r="B1035" s="2" t="s">
        <v>3203</v>
      </c>
      <c r="C1035" t="b">
        <v>1</v>
      </c>
      <c r="D1035" s="1" t="s">
        <v>3210</v>
      </c>
      <c r="E1035" s="1" t="s">
        <v>3224</v>
      </c>
      <c r="F1035" s="1" t="s">
        <v>3240</v>
      </c>
      <c r="G1035" s="1" t="s">
        <v>3210</v>
      </c>
      <c r="H1035" s="1" t="s">
        <v>748</v>
      </c>
      <c r="J1035">
        <v>15</v>
      </c>
      <c r="K1035">
        <v>2</v>
      </c>
      <c r="L1035" s="1"/>
      <c r="M1035" s="1"/>
      <c r="N1035" s="1"/>
      <c r="O1035" s="1"/>
      <c r="P1035" s="1" t="s">
        <v>2744</v>
      </c>
    </row>
    <row r="1036" spans="1:16" ht="15" customHeight="1" x14ac:dyDescent="0.25">
      <c r="A1036" s="1" t="s">
        <v>1368</v>
      </c>
      <c r="B1036" s="2" t="s">
        <v>3203</v>
      </c>
      <c r="C1036" t="b">
        <v>1</v>
      </c>
      <c r="D1036" s="1" t="s">
        <v>3211</v>
      </c>
      <c r="E1036" s="1" t="s">
        <v>3225</v>
      </c>
      <c r="F1036" s="1" t="s">
        <v>3241</v>
      </c>
      <c r="G1036" s="1" t="s">
        <v>3252</v>
      </c>
      <c r="H1036" s="1" t="s">
        <v>5</v>
      </c>
      <c r="I1036">
        <v>5</v>
      </c>
      <c r="L1036" s="1"/>
      <c r="M1036" s="1"/>
      <c r="N1036" s="1"/>
      <c r="O1036" s="1"/>
      <c r="P1036" s="1" t="s">
        <v>2744</v>
      </c>
    </row>
    <row r="1037" spans="1:16" ht="15" customHeight="1" x14ac:dyDescent="0.25">
      <c r="A1037" s="1" t="s">
        <v>1368</v>
      </c>
      <c r="B1037" s="2" t="s">
        <v>3203</v>
      </c>
      <c r="C1037" t="b">
        <v>1</v>
      </c>
      <c r="D1037" s="1" t="s">
        <v>3212</v>
      </c>
      <c r="E1037" s="1" t="s">
        <v>3226</v>
      </c>
      <c r="F1037" s="1" t="s">
        <v>3242</v>
      </c>
      <c r="G1037" s="1" t="s">
        <v>3253</v>
      </c>
      <c r="H1037" s="1" t="s">
        <v>1576</v>
      </c>
      <c r="J1037">
        <v>4</v>
      </c>
      <c r="K1037">
        <v>0</v>
      </c>
      <c r="L1037" s="1"/>
      <c r="M1037" s="1"/>
      <c r="N1037" s="1"/>
      <c r="O1037" s="1"/>
      <c r="P1037" s="1" t="s">
        <v>2744</v>
      </c>
    </row>
    <row r="1038" spans="1:16" ht="15" customHeight="1" x14ac:dyDescent="0.25">
      <c r="A1038" s="1" t="s">
        <v>1368</v>
      </c>
      <c r="B1038" s="2" t="s">
        <v>3203</v>
      </c>
      <c r="C1038" t="b">
        <v>1</v>
      </c>
      <c r="D1038" s="1" t="s">
        <v>3213</v>
      </c>
      <c r="E1038" s="1" t="s">
        <v>3227</v>
      </c>
      <c r="F1038" s="1" t="s">
        <v>3243</v>
      </c>
      <c r="G1038" s="1" t="s">
        <v>3254</v>
      </c>
      <c r="H1038" s="1" t="s">
        <v>1576</v>
      </c>
      <c r="J1038">
        <v>6</v>
      </c>
      <c r="K1038">
        <v>0</v>
      </c>
      <c r="L1038" s="1"/>
      <c r="M1038" s="1"/>
      <c r="N1038" s="1"/>
      <c r="O1038" s="1"/>
      <c r="P1038" s="1" t="s">
        <v>2744</v>
      </c>
    </row>
    <row r="1039" spans="1:16" ht="15" customHeight="1" x14ac:dyDescent="0.25">
      <c r="A1039" s="1" t="s">
        <v>1368</v>
      </c>
      <c r="B1039" s="2" t="s">
        <v>3203</v>
      </c>
      <c r="C1039" t="b">
        <v>1</v>
      </c>
      <c r="D1039" s="1" t="s">
        <v>3214</v>
      </c>
      <c r="E1039" s="1" t="s">
        <v>3228</v>
      </c>
      <c r="F1039" s="1" t="s">
        <v>3244</v>
      </c>
      <c r="G1039" s="1" t="s">
        <v>3255</v>
      </c>
      <c r="H1039" s="1" t="s">
        <v>1576</v>
      </c>
      <c r="J1039">
        <v>4</v>
      </c>
      <c r="K1039">
        <v>0</v>
      </c>
      <c r="L1039" s="1"/>
      <c r="M1039" s="1"/>
      <c r="N1039" s="1"/>
      <c r="O1039" s="1"/>
      <c r="P1039" s="1" t="s">
        <v>2744</v>
      </c>
    </row>
    <row r="1040" spans="1:16" ht="15" customHeight="1" x14ac:dyDescent="0.25">
      <c r="A1040" s="1" t="s">
        <v>1368</v>
      </c>
      <c r="B1040" s="2" t="s">
        <v>3203</v>
      </c>
      <c r="C1040" t="b">
        <v>1</v>
      </c>
      <c r="D1040" s="1" t="s">
        <v>1364</v>
      </c>
      <c r="E1040" s="1" t="s">
        <v>3229</v>
      </c>
      <c r="F1040" s="1" t="s">
        <v>1868</v>
      </c>
      <c r="G1040" s="1" t="s">
        <v>1447</v>
      </c>
      <c r="H1040" s="1" t="s">
        <v>5</v>
      </c>
      <c r="I1040">
        <v>2</v>
      </c>
      <c r="L1040" s="1"/>
      <c r="M1040" s="1"/>
      <c r="N1040" s="1"/>
      <c r="O1040" s="1"/>
      <c r="P1040" s="1" t="s">
        <v>2744</v>
      </c>
    </row>
    <row r="1041" spans="1:16" ht="15" customHeight="1" x14ac:dyDescent="0.25">
      <c r="A1041" s="1" t="s">
        <v>1368</v>
      </c>
      <c r="B1041" s="2" t="s">
        <v>3203</v>
      </c>
      <c r="C1041" t="b">
        <v>1</v>
      </c>
      <c r="D1041" s="1" t="s">
        <v>1366</v>
      </c>
      <c r="E1041" s="1" t="s">
        <v>3230</v>
      </c>
      <c r="F1041" s="1" t="s">
        <v>3245</v>
      </c>
      <c r="G1041" s="1" t="s">
        <v>1366</v>
      </c>
      <c r="H1041" s="1" t="s">
        <v>5</v>
      </c>
      <c r="I1041">
        <v>2</v>
      </c>
      <c r="L1041" s="1"/>
      <c r="M1041" s="1"/>
      <c r="N1041" s="1"/>
      <c r="O1041" s="1"/>
      <c r="P1041" s="1" t="s">
        <v>2744</v>
      </c>
    </row>
    <row r="1042" spans="1:16" ht="15" customHeight="1" x14ac:dyDescent="0.25">
      <c r="A1042" s="1" t="s">
        <v>1368</v>
      </c>
      <c r="B1042" s="2" t="s">
        <v>3203</v>
      </c>
      <c r="D1042" s="1"/>
      <c r="E1042" s="1"/>
      <c r="F1042" s="1"/>
      <c r="G1042" s="1"/>
      <c r="H1042" s="1"/>
      <c r="L1042" s="1" t="s">
        <v>1524</v>
      </c>
      <c r="M1042" s="1" t="s">
        <v>2741</v>
      </c>
      <c r="N1042" s="1"/>
      <c r="O1042" s="1"/>
      <c r="P1042" s="1" t="s">
        <v>2744</v>
      </c>
    </row>
    <row r="1043" spans="1:16" ht="15" customHeight="1" x14ac:dyDescent="0.25">
      <c r="A1043" s="1" t="s">
        <v>1230</v>
      </c>
      <c r="B1043" s="2" t="s">
        <v>3256</v>
      </c>
      <c r="C1043" t="b">
        <v>0</v>
      </c>
      <c r="D1043" s="1" t="s">
        <v>16</v>
      </c>
      <c r="E1043" s="1" t="s">
        <v>2682</v>
      </c>
      <c r="F1043" s="1" t="s">
        <v>2702</v>
      </c>
      <c r="G1043" s="1" t="s">
        <v>2722</v>
      </c>
      <c r="H1043" s="1" t="s">
        <v>5</v>
      </c>
      <c r="I1043">
        <v>10</v>
      </c>
      <c r="L1043" s="1"/>
      <c r="M1043" s="1"/>
      <c r="N1043" s="1"/>
      <c r="O1043" s="1"/>
      <c r="P1043" s="2" t="s">
        <v>3344</v>
      </c>
    </row>
    <row r="1044" spans="1:16" ht="15" customHeight="1" x14ac:dyDescent="0.25">
      <c r="A1044" s="1" t="s">
        <v>1230</v>
      </c>
      <c r="B1044" s="2" t="s">
        <v>3256</v>
      </c>
      <c r="C1044" t="b">
        <v>1</v>
      </c>
      <c r="D1044" s="1" t="s">
        <v>1454</v>
      </c>
      <c r="E1044" s="1" t="s">
        <v>2683</v>
      </c>
      <c r="F1044" s="1" t="s">
        <v>2703</v>
      </c>
      <c r="G1044" s="1" t="s">
        <v>2723</v>
      </c>
      <c r="H1044" s="1" t="s">
        <v>5</v>
      </c>
      <c r="I1044">
        <v>4</v>
      </c>
      <c r="L1044" s="1"/>
      <c r="M1044" s="1"/>
      <c r="N1044" s="1"/>
      <c r="O1044" s="1"/>
      <c r="P1044" s="2" t="s">
        <v>3344</v>
      </c>
    </row>
    <row r="1045" spans="1:16" ht="15" customHeight="1" x14ac:dyDescent="0.25">
      <c r="A1045" s="1" t="s">
        <v>1230</v>
      </c>
      <c r="B1045" s="2" t="s">
        <v>3256</v>
      </c>
      <c r="C1045" t="b">
        <v>1</v>
      </c>
      <c r="D1045" s="1" t="s">
        <v>1390</v>
      </c>
      <c r="E1045" s="1" t="s">
        <v>2684</v>
      </c>
      <c r="F1045" s="1" t="s">
        <v>2704</v>
      </c>
      <c r="G1045" s="1" t="s">
        <v>1390</v>
      </c>
      <c r="H1045" s="1" t="s">
        <v>5</v>
      </c>
      <c r="I1045">
        <v>35</v>
      </c>
      <c r="L1045" s="1"/>
      <c r="M1045" s="1"/>
      <c r="N1045" s="1"/>
      <c r="O1045" s="1"/>
      <c r="P1045" s="2" t="s">
        <v>3344</v>
      </c>
    </row>
    <row r="1046" spans="1:16" ht="15" customHeight="1" x14ac:dyDescent="0.25">
      <c r="A1046" s="1" t="s">
        <v>1230</v>
      </c>
      <c r="B1046" s="2" t="s">
        <v>3256</v>
      </c>
      <c r="C1046" t="b">
        <v>1</v>
      </c>
      <c r="D1046" s="1" t="s">
        <v>1203</v>
      </c>
      <c r="E1046" s="1" t="s">
        <v>2685</v>
      </c>
      <c r="F1046" s="1" t="s">
        <v>2705</v>
      </c>
      <c r="G1046" s="1" t="s">
        <v>1203</v>
      </c>
      <c r="H1046" s="1" t="s">
        <v>5</v>
      </c>
      <c r="I1046">
        <v>35</v>
      </c>
      <c r="L1046" s="1"/>
      <c r="M1046" s="1"/>
      <c r="N1046" s="1"/>
      <c r="O1046" s="1"/>
      <c r="P1046" s="2" t="s">
        <v>3344</v>
      </c>
    </row>
    <row r="1047" spans="1:16" ht="15" customHeight="1" x14ac:dyDescent="0.25">
      <c r="A1047" s="1" t="s">
        <v>1230</v>
      </c>
      <c r="B1047" s="2" t="s">
        <v>3256</v>
      </c>
      <c r="C1047" t="b">
        <v>0</v>
      </c>
      <c r="D1047" s="1" t="s">
        <v>1236</v>
      </c>
      <c r="E1047" s="1" t="s">
        <v>3269</v>
      </c>
      <c r="F1047" s="1" t="s">
        <v>2434</v>
      </c>
      <c r="G1047" s="1" t="s">
        <v>2448</v>
      </c>
      <c r="H1047" s="1" t="s">
        <v>5</v>
      </c>
      <c r="I1047">
        <v>4</v>
      </c>
      <c r="L1047" s="1"/>
      <c r="M1047" s="1"/>
      <c r="N1047" s="1"/>
      <c r="O1047" s="1"/>
      <c r="P1047" s="2" t="s">
        <v>3344</v>
      </c>
    </row>
    <row r="1048" spans="1:16" ht="15" customHeight="1" x14ac:dyDescent="0.25">
      <c r="A1048" s="1" t="s">
        <v>1230</v>
      </c>
      <c r="B1048" s="2" t="s">
        <v>3256</v>
      </c>
      <c r="C1048" t="b">
        <v>1</v>
      </c>
      <c r="D1048" s="1" t="s">
        <v>3257</v>
      </c>
      <c r="E1048" s="1" t="s">
        <v>3270</v>
      </c>
      <c r="F1048" s="1" t="s">
        <v>2995</v>
      </c>
      <c r="G1048" s="1" t="s">
        <v>2981</v>
      </c>
      <c r="H1048" s="1" t="s">
        <v>5</v>
      </c>
      <c r="I1048">
        <v>20</v>
      </c>
      <c r="L1048" s="1"/>
      <c r="M1048" s="1"/>
      <c r="N1048" s="1"/>
      <c r="O1048" s="1"/>
      <c r="P1048" s="2" t="s">
        <v>3344</v>
      </c>
    </row>
    <row r="1049" spans="1:16" ht="15" customHeight="1" x14ac:dyDescent="0.25">
      <c r="A1049" s="1" t="s">
        <v>1230</v>
      </c>
      <c r="B1049" s="2" t="s">
        <v>3256</v>
      </c>
      <c r="C1049" t="b">
        <v>0</v>
      </c>
      <c r="D1049" s="1" t="s">
        <v>1233</v>
      </c>
      <c r="E1049" s="1" t="s">
        <v>3271</v>
      </c>
      <c r="F1049" s="1" t="s">
        <v>2435</v>
      </c>
      <c r="G1049" s="1" t="s">
        <v>2449</v>
      </c>
      <c r="H1049" s="1" t="s">
        <v>5</v>
      </c>
      <c r="I1049">
        <v>2</v>
      </c>
      <c r="L1049" s="1"/>
      <c r="M1049" s="1"/>
      <c r="N1049" s="1"/>
      <c r="O1049" s="1"/>
      <c r="P1049" s="2" t="s">
        <v>3344</v>
      </c>
    </row>
    <row r="1050" spans="1:16" ht="15" customHeight="1" x14ac:dyDescent="0.25">
      <c r="A1050" s="1" t="s">
        <v>1230</v>
      </c>
      <c r="B1050" s="2" t="s">
        <v>3256</v>
      </c>
      <c r="C1050" t="b">
        <v>1</v>
      </c>
      <c r="D1050" s="1" t="s">
        <v>3258</v>
      </c>
      <c r="E1050" s="1" t="s">
        <v>3272</v>
      </c>
      <c r="F1050" s="1" t="s">
        <v>2995</v>
      </c>
      <c r="G1050" s="1" t="s">
        <v>2981</v>
      </c>
      <c r="H1050" s="1" t="s">
        <v>5</v>
      </c>
      <c r="I1050">
        <v>20</v>
      </c>
      <c r="L1050" s="1"/>
      <c r="M1050" s="1"/>
      <c r="N1050" s="1"/>
      <c r="O1050" s="1"/>
      <c r="P1050" s="2" t="s">
        <v>3344</v>
      </c>
    </row>
    <row r="1051" spans="1:16" ht="15" customHeight="1" x14ac:dyDescent="0.25">
      <c r="A1051" s="1" t="s">
        <v>1230</v>
      </c>
      <c r="B1051" s="2" t="s">
        <v>3256</v>
      </c>
      <c r="C1051" t="b">
        <v>0</v>
      </c>
      <c r="D1051" s="1" t="s">
        <v>1234</v>
      </c>
      <c r="E1051" s="1" t="s">
        <v>3273</v>
      </c>
      <c r="F1051" s="1" t="s">
        <v>1498</v>
      </c>
      <c r="G1051" s="1" t="s">
        <v>1234</v>
      </c>
      <c r="H1051" s="1" t="s">
        <v>5</v>
      </c>
      <c r="I1051">
        <v>2</v>
      </c>
      <c r="L1051" s="1"/>
      <c r="M1051" s="1"/>
      <c r="N1051" s="1"/>
      <c r="O1051" s="1"/>
      <c r="P1051" s="2" t="s">
        <v>3344</v>
      </c>
    </row>
    <row r="1052" spans="1:16" ht="15" customHeight="1" x14ac:dyDescent="0.25">
      <c r="A1052" s="1" t="s">
        <v>1230</v>
      </c>
      <c r="B1052" s="2" t="s">
        <v>3256</v>
      </c>
      <c r="C1052" t="b">
        <v>1</v>
      </c>
      <c r="D1052" s="1" t="s">
        <v>3259</v>
      </c>
      <c r="E1052" s="1" t="s">
        <v>3274</v>
      </c>
      <c r="F1052" s="1" t="s">
        <v>2995</v>
      </c>
      <c r="G1052" s="1" t="s">
        <v>2981</v>
      </c>
      <c r="H1052" s="1" t="s">
        <v>5</v>
      </c>
      <c r="I1052">
        <v>20</v>
      </c>
      <c r="L1052" s="1"/>
      <c r="M1052" s="1"/>
      <c r="N1052" s="1"/>
      <c r="O1052" s="1"/>
      <c r="P1052" s="2" t="s">
        <v>3344</v>
      </c>
    </row>
    <row r="1053" spans="1:16" ht="15" customHeight="1" x14ac:dyDescent="0.25">
      <c r="A1053" s="1" t="s">
        <v>1230</v>
      </c>
      <c r="B1053" s="2" t="s">
        <v>3256</v>
      </c>
      <c r="C1053" t="b">
        <v>1</v>
      </c>
      <c r="D1053" s="1" t="s">
        <v>3260</v>
      </c>
      <c r="E1053" s="1" t="s">
        <v>3275</v>
      </c>
      <c r="F1053" s="1" t="s">
        <v>3294</v>
      </c>
      <c r="G1053" s="1" t="s">
        <v>3310</v>
      </c>
      <c r="H1053" s="1" t="s">
        <v>5</v>
      </c>
      <c r="I1053">
        <v>1</v>
      </c>
      <c r="L1053" s="1"/>
      <c r="M1053" s="1"/>
      <c r="N1053" s="1"/>
      <c r="O1053" s="1"/>
      <c r="P1053" s="2" t="s">
        <v>3344</v>
      </c>
    </row>
    <row r="1054" spans="1:16" ht="15" customHeight="1" x14ac:dyDescent="0.25">
      <c r="A1054" s="1" t="s">
        <v>1230</v>
      </c>
      <c r="B1054" s="2" t="s">
        <v>3256</v>
      </c>
      <c r="C1054" t="b">
        <v>1</v>
      </c>
      <c r="D1054" s="1" t="s">
        <v>3261</v>
      </c>
      <c r="E1054" s="1" t="s">
        <v>3276</v>
      </c>
      <c r="F1054" s="1" t="s">
        <v>3295</v>
      </c>
      <c r="G1054" s="1" t="s">
        <v>3311</v>
      </c>
      <c r="H1054" s="1" t="s">
        <v>5</v>
      </c>
      <c r="I1054">
        <v>1</v>
      </c>
      <c r="L1054" s="1"/>
      <c r="M1054" s="1"/>
      <c r="N1054" s="1"/>
      <c r="O1054" s="1"/>
      <c r="P1054" s="2" t="s">
        <v>3344</v>
      </c>
    </row>
    <row r="1055" spans="1:16" ht="15" customHeight="1" x14ac:dyDescent="0.25">
      <c r="A1055" s="1" t="s">
        <v>1230</v>
      </c>
      <c r="B1055" s="2" t="s">
        <v>3256</v>
      </c>
      <c r="C1055" t="b">
        <v>1</v>
      </c>
      <c r="D1055" s="1" t="s">
        <v>3262</v>
      </c>
      <c r="E1055" s="1" t="s">
        <v>3277</v>
      </c>
      <c r="F1055" s="1" t="s">
        <v>3296</v>
      </c>
      <c r="G1055" s="1" t="s">
        <v>3312</v>
      </c>
      <c r="H1055" s="1" t="s">
        <v>5</v>
      </c>
      <c r="I1055">
        <v>1</v>
      </c>
      <c r="L1055" s="1"/>
      <c r="M1055" s="1"/>
      <c r="N1055" s="1"/>
      <c r="O1055" s="1"/>
      <c r="P1055" s="2" t="s">
        <v>3344</v>
      </c>
    </row>
    <row r="1056" spans="1:16" ht="15" customHeight="1" x14ac:dyDescent="0.25">
      <c r="A1056" s="1" t="s">
        <v>1230</v>
      </c>
      <c r="B1056" s="2" t="s">
        <v>3256</v>
      </c>
      <c r="C1056" t="b">
        <v>1</v>
      </c>
      <c r="D1056" s="1" t="s">
        <v>1229</v>
      </c>
      <c r="E1056" s="1" t="s">
        <v>3278</v>
      </c>
      <c r="F1056" s="1" t="s">
        <v>3297</v>
      </c>
      <c r="G1056" s="1" t="s">
        <v>3313</v>
      </c>
      <c r="H1056" s="1" t="s">
        <v>5</v>
      </c>
      <c r="I1056">
        <v>2</v>
      </c>
      <c r="L1056" s="1"/>
      <c r="M1056" s="1"/>
      <c r="N1056" s="1"/>
      <c r="O1056" s="1"/>
      <c r="P1056" s="2" t="s">
        <v>3344</v>
      </c>
    </row>
    <row r="1057" spans="1:16" ht="15" customHeight="1" x14ac:dyDescent="0.25">
      <c r="A1057" s="1" t="s">
        <v>1230</v>
      </c>
      <c r="B1057" s="2" t="s">
        <v>3256</v>
      </c>
      <c r="C1057" t="b">
        <v>1</v>
      </c>
      <c r="D1057" s="1" t="s">
        <v>3263</v>
      </c>
      <c r="E1057" s="1" t="s">
        <v>3279</v>
      </c>
      <c r="F1057" s="1" t="s">
        <v>3298</v>
      </c>
      <c r="G1057" s="1" t="s">
        <v>3314</v>
      </c>
      <c r="H1057" s="1" t="s">
        <v>5</v>
      </c>
      <c r="I1057">
        <v>2</v>
      </c>
      <c r="L1057" s="1"/>
      <c r="M1057" s="1"/>
      <c r="N1057" s="1"/>
      <c r="O1057" s="1"/>
      <c r="P1057" s="2" t="s">
        <v>3344</v>
      </c>
    </row>
    <row r="1058" spans="1:16" ht="15" customHeight="1" x14ac:dyDescent="0.25">
      <c r="A1058" s="1" t="s">
        <v>1230</v>
      </c>
      <c r="B1058" s="2" t="s">
        <v>3256</v>
      </c>
      <c r="C1058" t="b">
        <v>1</v>
      </c>
      <c r="D1058" s="1" t="s">
        <v>1228</v>
      </c>
      <c r="E1058" s="1" t="s">
        <v>3280</v>
      </c>
      <c r="F1058" s="1" t="s">
        <v>3299</v>
      </c>
      <c r="G1058" s="1" t="s">
        <v>3315</v>
      </c>
      <c r="H1058" s="1" t="s">
        <v>5</v>
      </c>
      <c r="I1058">
        <v>3</v>
      </c>
      <c r="L1058" s="1"/>
      <c r="M1058" s="1"/>
      <c r="N1058" s="1"/>
      <c r="O1058" s="1"/>
      <c r="P1058" s="2" t="s">
        <v>3344</v>
      </c>
    </row>
    <row r="1059" spans="1:16" ht="15" customHeight="1" x14ac:dyDescent="0.25">
      <c r="A1059" s="1" t="s">
        <v>1230</v>
      </c>
      <c r="B1059" s="2" t="s">
        <v>3256</v>
      </c>
      <c r="C1059" t="b">
        <v>1</v>
      </c>
      <c r="D1059" s="1" t="s">
        <v>3264</v>
      </c>
      <c r="E1059" s="1" t="s">
        <v>3281</v>
      </c>
      <c r="F1059" s="1" t="s">
        <v>3300</v>
      </c>
      <c r="G1059" s="1" t="s">
        <v>3316</v>
      </c>
      <c r="H1059" s="1" t="s">
        <v>5</v>
      </c>
      <c r="I1059">
        <v>28</v>
      </c>
      <c r="L1059" s="1"/>
      <c r="M1059" s="1"/>
      <c r="N1059" s="1"/>
      <c r="O1059" s="1"/>
      <c r="P1059" s="2" t="s">
        <v>3344</v>
      </c>
    </row>
    <row r="1060" spans="1:16" ht="15" customHeight="1" x14ac:dyDescent="0.25">
      <c r="A1060" s="1" t="s">
        <v>1230</v>
      </c>
      <c r="B1060" s="2" t="s">
        <v>3256</v>
      </c>
      <c r="C1060" t="b">
        <v>1</v>
      </c>
      <c r="D1060" s="1" t="s">
        <v>1189</v>
      </c>
      <c r="E1060" s="1" t="s">
        <v>3282</v>
      </c>
      <c r="F1060" s="1" t="s">
        <v>2888</v>
      </c>
      <c r="G1060" s="1" t="s">
        <v>2907</v>
      </c>
      <c r="H1060" s="1" t="s">
        <v>5</v>
      </c>
      <c r="I1060">
        <v>4</v>
      </c>
      <c r="L1060" s="1"/>
      <c r="M1060" s="1"/>
      <c r="N1060" s="1"/>
      <c r="O1060" s="1"/>
      <c r="P1060" s="2" t="s">
        <v>3344</v>
      </c>
    </row>
    <row r="1061" spans="1:16" ht="15" customHeight="1" x14ac:dyDescent="0.25">
      <c r="A1061" s="1" t="s">
        <v>1230</v>
      </c>
      <c r="B1061" s="2" t="s">
        <v>3256</v>
      </c>
      <c r="C1061" t="b">
        <v>1</v>
      </c>
      <c r="D1061" s="1" t="s">
        <v>3265</v>
      </c>
      <c r="E1061" s="1" t="s">
        <v>3283</v>
      </c>
      <c r="F1061" s="1" t="s">
        <v>2995</v>
      </c>
      <c r="G1061" s="1" t="s">
        <v>3317</v>
      </c>
      <c r="H1061" s="1" t="s">
        <v>5</v>
      </c>
      <c r="I1061">
        <v>30</v>
      </c>
      <c r="L1061" s="1"/>
      <c r="M1061" s="1"/>
      <c r="N1061" s="1"/>
      <c r="O1061" s="1"/>
      <c r="P1061" s="2" t="s">
        <v>3344</v>
      </c>
    </row>
    <row r="1062" spans="1:16" ht="15" customHeight="1" x14ac:dyDescent="0.25">
      <c r="A1062" s="1" t="s">
        <v>1230</v>
      </c>
      <c r="B1062" s="2" t="s">
        <v>3256</v>
      </c>
      <c r="C1062" t="b">
        <v>1</v>
      </c>
      <c r="D1062" s="1" t="s">
        <v>1227</v>
      </c>
      <c r="E1062" s="1" t="s">
        <v>3284</v>
      </c>
      <c r="F1062" s="1" t="s">
        <v>3301</v>
      </c>
      <c r="G1062" s="1" t="s">
        <v>3318</v>
      </c>
      <c r="H1062" s="1" t="s">
        <v>5</v>
      </c>
      <c r="I1062">
        <v>2</v>
      </c>
      <c r="L1062" s="1"/>
      <c r="M1062" s="1"/>
      <c r="N1062" s="1"/>
      <c r="O1062" s="1"/>
      <c r="P1062" s="2" t="s">
        <v>3344</v>
      </c>
    </row>
    <row r="1063" spans="1:16" ht="15" customHeight="1" x14ac:dyDescent="0.25">
      <c r="A1063" s="1" t="s">
        <v>1230</v>
      </c>
      <c r="B1063" s="2" t="s">
        <v>3256</v>
      </c>
      <c r="C1063" t="b">
        <v>0</v>
      </c>
      <c r="D1063" s="1" t="s">
        <v>1223</v>
      </c>
      <c r="E1063" s="1" t="s">
        <v>3285</v>
      </c>
      <c r="F1063" s="1" t="s">
        <v>3302</v>
      </c>
      <c r="G1063" s="1" t="s">
        <v>3319</v>
      </c>
      <c r="H1063" s="1" t="s">
        <v>5</v>
      </c>
      <c r="I1063">
        <v>3</v>
      </c>
      <c r="L1063" s="1"/>
      <c r="M1063" s="1"/>
      <c r="N1063" s="1"/>
      <c r="O1063" s="1"/>
      <c r="P1063" s="2" t="s">
        <v>3344</v>
      </c>
    </row>
    <row r="1064" spans="1:16" ht="15" customHeight="1" x14ac:dyDescent="0.25">
      <c r="A1064" s="1" t="s">
        <v>1230</v>
      </c>
      <c r="B1064" s="2" t="s">
        <v>3256</v>
      </c>
      <c r="C1064" t="b">
        <v>0</v>
      </c>
      <c r="D1064" s="1" t="s">
        <v>3266</v>
      </c>
      <c r="E1064" s="1" t="s">
        <v>3286</v>
      </c>
      <c r="F1064" s="1" t="s">
        <v>3303</v>
      </c>
      <c r="G1064" s="1" t="s">
        <v>3266</v>
      </c>
      <c r="H1064" s="1" t="s">
        <v>5</v>
      </c>
      <c r="I1064">
        <v>15</v>
      </c>
      <c r="L1064" s="1"/>
      <c r="M1064" s="1"/>
      <c r="N1064" s="1"/>
      <c r="O1064" s="1"/>
      <c r="P1064" s="2" t="s">
        <v>3344</v>
      </c>
    </row>
    <row r="1065" spans="1:16" ht="15" customHeight="1" x14ac:dyDescent="0.25">
      <c r="A1065" s="1" t="s">
        <v>1230</v>
      </c>
      <c r="B1065" s="2" t="s">
        <v>3256</v>
      </c>
      <c r="C1065" t="b">
        <v>0</v>
      </c>
      <c r="D1065" s="1" t="s">
        <v>1221</v>
      </c>
      <c r="E1065" s="1" t="s">
        <v>3287</v>
      </c>
      <c r="F1065" s="1" t="s">
        <v>3304</v>
      </c>
      <c r="G1065" s="1" t="s">
        <v>3320</v>
      </c>
      <c r="H1065" s="1" t="s">
        <v>5</v>
      </c>
      <c r="I1065">
        <v>4</v>
      </c>
      <c r="L1065" s="1"/>
      <c r="M1065" s="1"/>
      <c r="N1065" s="1"/>
      <c r="O1065" s="1"/>
      <c r="P1065" s="2" t="s">
        <v>3344</v>
      </c>
    </row>
    <row r="1066" spans="1:16" ht="15" customHeight="1" x14ac:dyDescent="0.25">
      <c r="A1066" s="1" t="s">
        <v>1230</v>
      </c>
      <c r="B1066" s="2" t="s">
        <v>3256</v>
      </c>
      <c r="C1066" t="b">
        <v>1</v>
      </c>
      <c r="D1066" s="1" t="s">
        <v>1222</v>
      </c>
      <c r="E1066" s="1" t="s">
        <v>3288</v>
      </c>
      <c r="F1066" s="1" t="s">
        <v>3305</v>
      </c>
      <c r="G1066" s="1" t="s">
        <v>3321</v>
      </c>
      <c r="H1066" s="1" t="s">
        <v>5</v>
      </c>
      <c r="I1066">
        <v>1</v>
      </c>
      <c r="L1066" s="1"/>
      <c r="M1066" s="1"/>
      <c r="N1066" s="1"/>
      <c r="O1066" s="1"/>
      <c r="P1066" s="2" t="s">
        <v>3344</v>
      </c>
    </row>
    <row r="1067" spans="1:16" ht="15" customHeight="1" x14ac:dyDescent="0.25">
      <c r="A1067" s="1" t="s">
        <v>1230</v>
      </c>
      <c r="B1067" s="2" t="s">
        <v>3256</v>
      </c>
      <c r="C1067" t="b">
        <v>0</v>
      </c>
      <c r="D1067" s="1" t="s">
        <v>3267</v>
      </c>
      <c r="E1067" s="1" t="s">
        <v>3289</v>
      </c>
      <c r="F1067" s="1" t="s">
        <v>2995</v>
      </c>
      <c r="G1067" s="1" t="s">
        <v>1370</v>
      </c>
      <c r="H1067" s="1" t="s">
        <v>5</v>
      </c>
      <c r="I1067">
        <v>20</v>
      </c>
      <c r="L1067" s="1"/>
      <c r="M1067" s="1"/>
      <c r="N1067" s="1"/>
      <c r="O1067" s="1"/>
      <c r="P1067" s="2" t="s">
        <v>3344</v>
      </c>
    </row>
    <row r="1068" spans="1:16" ht="15" customHeight="1" x14ac:dyDescent="0.25">
      <c r="A1068" s="1" t="s">
        <v>1230</v>
      </c>
      <c r="B1068" s="2" t="s">
        <v>3256</v>
      </c>
      <c r="C1068" t="b">
        <v>0</v>
      </c>
      <c r="D1068" s="1" t="s">
        <v>1224</v>
      </c>
      <c r="E1068" s="1" t="s">
        <v>3290</v>
      </c>
      <c r="F1068" s="1" t="s">
        <v>3306</v>
      </c>
      <c r="G1068" s="1" t="s">
        <v>3322</v>
      </c>
      <c r="H1068" s="1" t="s">
        <v>5</v>
      </c>
      <c r="I1068">
        <v>15</v>
      </c>
      <c r="L1068" s="1"/>
      <c r="M1068" s="1"/>
      <c r="N1068" s="1"/>
      <c r="O1068" s="1"/>
      <c r="P1068" s="2" t="s">
        <v>3344</v>
      </c>
    </row>
    <row r="1069" spans="1:16" ht="15" customHeight="1" x14ac:dyDescent="0.25">
      <c r="A1069" s="1" t="s">
        <v>1230</v>
      </c>
      <c r="B1069" s="2" t="s">
        <v>3256</v>
      </c>
      <c r="C1069" t="b">
        <v>1</v>
      </c>
      <c r="D1069" s="1" t="s">
        <v>3268</v>
      </c>
      <c r="E1069" s="1" t="s">
        <v>3291</v>
      </c>
      <c r="F1069" s="1" t="s">
        <v>3307</v>
      </c>
      <c r="G1069" s="1" t="s">
        <v>3323</v>
      </c>
      <c r="H1069" s="1" t="s">
        <v>5</v>
      </c>
      <c r="I1069">
        <v>1</v>
      </c>
      <c r="L1069" s="1"/>
      <c r="M1069" s="1"/>
      <c r="N1069" s="1"/>
      <c r="O1069" s="1"/>
      <c r="P1069" s="2" t="s">
        <v>3344</v>
      </c>
    </row>
    <row r="1070" spans="1:16" ht="15" customHeight="1" x14ac:dyDescent="0.25">
      <c r="A1070" s="1" t="s">
        <v>1230</v>
      </c>
      <c r="B1070" s="2" t="s">
        <v>3256</v>
      </c>
      <c r="C1070" t="b">
        <v>1</v>
      </c>
      <c r="D1070" s="1" t="s">
        <v>1225</v>
      </c>
      <c r="E1070" s="1" t="s">
        <v>3292</v>
      </c>
      <c r="F1070" s="1" t="s">
        <v>3308</v>
      </c>
      <c r="G1070" s="1" t="s">
        <v>3324</v>
      </c>
      <c r="H1070" s="1" t="s">
        <v>28</v>
      </c>
      <c r="L1070" s="1"/>
      <c r="M1070" s="1"/>
      <c r="N1070" s="1"/>
      <c r="O1070" s="1"/>
      <c r="P1070" s="2" t="s">
        <v>3344</v>
      </c>
    </row>
    <row r="1071" spans="1:16" ht="15" customHeight="1" x14ac:dyDescent="0.25">
      <c r="A1071" s="1" t="s">
        <v>1230</v>
      </c>
      <c r="B1071" s="2" t="s">
        <v>3256</v>
      </c>
      <c r="C1071" t="b">
        <v>1</v>
      </c>
      <c r="D1071" s="1" t="s">
        <v>1226</v>
      </c>
      <c r="E1071" s="1" t="s">
        <v>3293</v>
      </c>
      <c r="F1071" s="1" t="s">
        <v>3309</v>
      </c>
      <c r="G1071" s="1" t="s">
        <v>3325</v>
      </c>
      <c r="H1071" s="1" t="s">
        <v>28</v>
      </c>
      <c r="L1071" s="1"/>
      <c r="M1071" s="1"/>
      <c r="N1071" s="1"/>
      <c r="O1071" s="1"/>
      <c r="P1071" s="2" t="s">
        <v>3344</v>
      </c>
    </row>
    <row r="1072" spans="1:16" ht="15" customHeight="1" x14ac:dyDescent="0.25">
      <c r="A1072" s="1" t="s">
        <v>1230</v>
      </c>
      <c r="B1072" s="2" t="s">
        <v>3256</v>
      </c>
      <c r="D1072" s="1"/>
      <c r="E1072" s="1"/>
      <c r="F1072" s="1"/>
      <c r="G1072" s="1"/>
      <c r="H1072" s="1"/>
      <c r="L1072" s="1" t="s">
        <v>1524</v>
      </c>
      <c r="M1072" s="1" t="s">
        <v>3326</v>
      </c>
      <c r="N1072" s="1"/>
      <c r="O1072" s="1"/>
      <c r="P1072" s="2" t="s">
        <v>3344</v>
      </c>
    </row>
    <row r="1073" spans="1:16" ht="15" customHeight="1" x14ac:dyDescent="0.25">
      <c r="A1073" s="1" t="s">
        <v>1230</v>
      </c>
      <c r="B1073" s="2" t="s">
        <v>3256</v>
      </c>
      <c r="D1073" s="1"/>
      <c r="E1073" s="1"/>
      <c r="F1073" s="1"/>
      <c r="G1073" s="1"/>
      <c r="H1073" s="1"/>
      <c r="L1073" s="1" t="s">
        <v>1524</v>
      </c>
      <c r="M1073" s="1" t="s">
        <v>3327</v>
      </c>
      <c r="N1073" s="1"/>
      <c r="O1073" s="1"/>
      <c r="P1073" s="2" t="s">
        <v>3344</v>
      </c>
    </row>
    <row r="1074" spans="1:16" ht="15" customHeight="1" x14ac:dyDescent="0.25">
      <c r="A1074" s="1" t="s">
        <v>1230</v>
      </c>
      <c r="B1074" s="2" t="s">
        <v>3256</v>
      </c>
      <c r="D1074" s="1"/>
      <c r="E1074" s="1"/>
      <c r="F1074" s="1"/>
      <c r="G1074" s="1"/>
      <c r="H1074" s="1"/>
      <c r="L1074" s="1" t="s">
        <v>1524</v>
      </c>
      <c r="M1074" s="1" t="s">
        <v>3328</v>
      </c>
      <c r="N1074" s="1"/>
      <c r="O1074" s="1"/>
      <c r="P1074" s="2" t="s">
        <v>3344</v>
      </c>
    </row>
    <row r="1075" spans="1:16" ht="15" customHeight="1" x14ac:dyDescent="0.25">
      <c r="A1075" s="1" t="s">
        <v>1230</v>
      </c>
      <c r="B1075" s="2" t="s">
        <v>3256</v>
      </c>
      <c r="D1075" s="1"/>
      <c r="E1075" s="1"/>
      <c r="F1075" s="1"/>
      <c r="G1075" s="1"/>
      <c r="H1075" s="1"/>
      <c r="L1075" s="1" t="s">
        <v>1524</v>
      </c>
      <c r="M1075" s="1" t="s">
        <v>3329</v>
      </c>
      <c r="N1075" s="1"/>
      <c r="O1075" s="1"/>
      <c r="P1075" s="2" t="s">
        <v>3344</v>
      </c>
    </row>
    <row r="1076" spans="1:16" ht="15" customHeight="1" x14ac:dyDescent="0.25">
      <c r="A1076" s="1" t="s">
        <v>1230</v>
      </c>
      <c r="B1076" s="2" t="s">
        <v>3256</v>
      </c>
      <c r="D1076" s="1"/>
      <c r="E1076" s="1"/>
      <c r="F1076" s="1"/>
      <c r="G1076" s="1"/>
      <c r="H1076" s="1"/>
      <c r="L1076" s="1" t="s">
        <v>1524</v>
      </c>
      <c r="M1076" s="1" t="s">
        <v>3330</v>
      </c>
      <c r="N1076" s="1"/>
      <c r="O1076" s="1"/>
      <c r="P1076" s="2" t="s">
        <v>3344</v>
      </c>
    </row>
    <row r="1077" spans="1:16" ht="15" customHeight="1" x14ac:dyDescent="0.25">
      <c r="A1077" s="1" t="s">
        <v>1230</v>
      </c>
      <c r="B1077" s="2" t="s">
        <v>3256</v>
      </c>
      <c r="D1077" s="1"/>
      <c r="E1077" s="1"/>
      <c r="F1077" s="1"/>
      <c r="G1077" s="1"/>
      <c r="H1077" s="1"/>
      <c r="L1077" s="1" t="s">
        <v>1524</v>
      </c>
      <c r="M1077" s="1" t="s">
        <v>3331</v>
      </c>
      <c r="N1077" s="1"/>
      <c r="O1077" s="1"/>
      <c r="P1077" s="2" t="s">
        <v>3344</v>
      </c>
    </row>
    <row r="1078" spans="1:16" ht="15" customHeight="1" x14ac:dyDescent="0.25">
      <c r="A1078" s="1" t="s">
        <v>1230</v>
      </c>
      <c r="B1078" s="2" t="s">
        <v>3256</v>
      </c>
      <c r="D1078" s="1"/>
      <c r="E1078" s="1"/>
      <c r="F1078" s="1"/>
      <c r="G1078" s="1"/>
      <c r="H1078" s="1"/>
      <c r="L1078" s="1" t="s">
        <v>1524</v>
      </c>
      <c r="M1078" s="1" t="s">
        <v>2741</v>
      </c>
      <c r="N1078" s="1"/>
      <c r="O1078" s="1"/>
      <c r="P1078" s="2" t="s">
        <v>3344</v>
      </c>
    </row>
    <row r="1079" spans="1:16" ht="15" customHeight="1" x14ac:dyDescent="0.25">
      <c r="A1079" s="1" t="s">
        <v>1230</v>
      </c>
      <c r="B1079" s="2" t="s">
        <v>3256</v>
      </c>
      <c r="D1079" s="1"/>
      <c r="E1079" s="1"/>
      <c r="F1079" s="1"/>
      <c r="G1079" s="1"/>
      <c r="H1079" s="1"/>
      <c r="L1079" s="1" t="s">
        <v>1524</v>
      </c>
      <c r="M1079" s="1" t="s">
        <v>3332</v>
      </c>
      <c r="N1079" s="1"/>
      <c r="O1079" s="1"/>
      <c r="P1079" s="2" t="s">
        <v>3344</v>
      </c>
    </row>
    <row r="1080" spans="1:16" ht="15" customHeight="1" x14ac:dyDescent="0.25">
      <c r="A1080" s="1" t="s">
        <v>1230</v>
      </c>
      <c r="B1080" s="2" t="s">
        <v>3256</v>
      </c>
      <c r="D1080" s="1"/>
      <c r="E1080" s="1"/>
      <c r="F1080" s="1"/>
      <c r="G1080" s="1"/>
      <c r="H1080" s="1"/>
      <c r="L1080" s="1" t="s">
        <v>1524</v>
      </c>
      <c r="M1080" s="1" t="s">
        <v>3333</v>
      </c>
      <c r="N1080" s="1"/>
      <c r="O1080" s="1"/>
      <c r="P1080" s="2" t="s">
        <v>3344</v>
      </c>
    </row>
    <row r="1081" spans="1:16" ht="15" customHeight="1" x14ac:dyDescent="0.25">
      <c r="A1081" s="1" t="s">
        <v>1230</v>
      </c>
      <c r="B1081" s="2" t="s">
        <v>3256</v>
      </c>
      <c r="D1081" s="1"/>
      <c r="E1081" s="1"/>
      <c r="F1081" s="1"/>
      <c r="G1081" s="1"/>
      <c r="H1081" s="1"/>
      <c r="L1081" s="1" t="s">
        <v>1524</v>
      </c>
      <c r="M1081" s="1" t="s">
        <v>3334</v>
      </c>
      <c r="N1081" s="1"/>
      <c r="O1081" s="1"/>
      <c r="P1081" s="2" t="s">
        <v>3344</v>
      </c>
    </row>
    <row r="1082" spans="1:16" ht="15" customHeight="1" x14ac:dyDescent="0.25">
      <c r="A1082" s="1" t="s">
        <v>1230</v>
      </c>
      <c r="B1082" s="2" t="s">
        <v>3256</v>
      </c>
      <c r="D1082" s="1"/>
      <c r="E1082" s="1"/>
      <c r="F1082" s="1"/>
      <c r="G1082" s="1"/>
      <c r="H1082" s="1"/>
      <c r="L1082" s="1"/>
      <c r="M1082" s="1"/>
      <c r="N1082" s="1" t="s">
        <v>1529</v>
      </c>
      <c r="O1082" s="1" t="s">
        <v>3335</v>
      </c>
      <c r="P1082" s="2" t="s">
        <v>3344</v>
      </c>
    </row>
    <row r="1083" spans="1:16" ht="15" customHeight="1" x14ac:dyDescent="0.25">
      <c r="A1083" s="1" t="s">
        <v>1230</v>
      </c>
      <c r="B1083" s="2" t="s">
        <v>3256</v>
      </c>
      <c r="D1083" s="1"/>
      <c r="E1083" s="1"/>
      <c r="F1083" s="1"/>
      <c r="G1083" s="1"/>
      <c r="H1083" s="1"/>
      <c r="L1083" s="1"/>
      <c r="M1083" s="1"/>
      <c r="N1083" s="1" t="s">
        <v>1529</v>
      </c>
      <c r="O1083" s="1" t="s">
        <v>3335</v>
      </c>
      <c r="P1083" s="2" t="s">
        <v>3344</v>
      </c>
    </row>
    <row r="1084" spans="1:16" ht="15" customHeight="1" x14ac:dyDescent="0.25">
      <c r="A1084" s="1" t="s">
        <v>1230</v>
      </c>
      <c r="B1084" s="2" t="s">
        <v>3256</v>
      </c>
      <c r="D1084" s="1"/>
      <c r="E1084" s="1"/>
      <c r="F1084" s="1"/>
      <c r="G1084" s="1"/>
      <c r="H1084" s="1"/>
      <c r="L1084" s="1"/>
      <c r="M1084" s="1"/>
      <c r="N1084" s="1" t="s">
        <v>1529</v>
      </c>
      <c r="O1084" s="1" t="s">
        <v>3336</v>
      </c>
      <c r="P1084" s="2" t="s">
        <v>3344</v>
      </c>
    </row>
    <row r="1085" spans="1:16" ht="15" customHeight="1" x14ac:dyDescent="0.25">
      <c r="A1085" s="1" t="s">
        <v>1230</v>
      </c>
      <c r="B1085" s="2" t="s">
        <v>3256</v>
      </c>
      <c r="D1085" s="1"/>
      <c r="E1085" s="1"/>
      <c r="F1085" s="1"/>
      <c r="G1085" s="1"/>
      <c r="H1085" s="1"/>
      <c r="L1085" s="1"/>
      <c r="M1085" s="1"/>
      <c r="N1085" s="1" t="s">
        <v>1529</v>
      </c>
      <c r="O1085" s="1" t="s">
        <v>3336</v>
      </c>
      <c r="P1085" s="2" t="s">
        <v>3344</v>
      </c>
    </row>
    <row r="1086" spans="1:16" ht="15" customHeight="1" x14ac:dyDescent="0.25">
      <c r="A1086" s="1" t="s">
        <v>1230</v>
      </c>
      <c r="B1086" s="2" t="s">
        <v>3256</v>
      </c>
      <c r="D1086" s="1"/>
      <c r="E1086" s="1"/>
      <c r="F1086" s="1"/>
      <c r="G1086" s="1"/>
      <c r="H1086" s="1"/>
      <c r="L1086" s="1"/>
      <c r="M1086" s="1"/>
      <c r="N1086" s="1" t="s">
        <v>1529</v>
      </c>
      <c r="O1086" s="1" t="s">
        <v>3336</v>
      </c>
      <c r="P1086" s="2" t="s">
        <v>3344</v>
      </c>
    </row>
    <row r="1087" spans="1:16" ht="15" customHeight="1" x14ac:dyDescent="0.25">
      <c r="A1087" s="1" t="s">
        <v>1230</v>
      </c>
      <c r="B1087" s="2" t="s">
        <v>3256</v>
      </c>
      <c r="D1087" s="1"/>
      <c r="E1087" s="1"/>
      <c r="F1087" s="1"/>
      <c r="G1087" s="1"/>
      <c r="H1087" s="1"/>
      <c r="L1087" s="1"/>
      <c r="M1087" s="1"/>
      <c r="N1087" s="1" t="s">
        <v>1529</v>
      </c>
      <c r="O1087" s="1" t="s">
        <v>3337</v>
      </c>
      <c r="P1087" s="2" t="s">
        <v>3344</v>
      </c>
    </row>
    <row r="1088" spans="1:16" ht="15" customHeight="1" x14ac:dyDescent="0.25">
      <c r="A1088" s="1" t="s">
        <v>1230</v>
      </c>
      <c r="B1088" s="2" t="s">
        <v>3256</v>
      </c>
      <c r="D1088" s="1"/>
      <c r="E1088" s="1"/>
      <c r="F1088" s="1"/>
      <c r="G1088" s="1"/>
      <c r="H1088" s="1"/>
      <c r="L1088" s="1"/>
      <c r="M1088" s="1"/>
      <c r="N1088" s="1" t="s">
        <v>1529</v>
      </c>
      <c r="O1088" s="1" t="s">
        <v>3337</v>
      </c>
      <c r="P1088" s="2" t="s">
        <v>3344</v>
      </c>
    </row>
    <row r="1089" spans="1:16" ht="15" customHeight="1" x14ac:dyDescent="0.25">
      <c r="A1089" s="1" t="s">
        <v>1230</v>
      </c>
      <c r="B1089" s="2" t="s">
        <v>3256</v>
      </c>
      <c r="D1089" s="1"/>
      <c r="E1089" s="1"/>
      <c r="F1089" s="1"/>
      <c r="G1089" s="1"/>
      <c r="H1089" s="1"/>
      <c r="L1089" s="1"/>
      <c r="M1089" s="1"/>
      <c r="N1089" s="1" t="s">
        <v>1529</v>
      </c>
      <c r="O1089" s="1" t="s">
        <v>3338</v>
      </c>
      <c r="P1089" s="2" t="s">
        <v>3344</v>
      </c>
    </row>
    <row r="1090" spans="1:16" ht="15" customHeight="1" x14ac:dyDescent="0.25">
      <c r="A1090" s="1" t="s">
        <v>1230</v>
      </c>
      <c r="B1090" s="2" t="s">
        <v>3256</v>
      </c>
      <c r="D1090" s="1"/>
      <c r="E1090" s="1"/>
      <c r="F1090" s="1"/>
      <c r="G1090" s="1"/>
      <c r="H1090" s="1"/>
      <c r="L1090" s="1"/>
      <c r="M1090" s="1"/>
      <c r="N1090" s="1" t="s">
        <v>1529</v>
      </c>
      <c r="O1090" s="1" t="s">
        <v>3338</v>
      </c>
      <c r="P1090" s="2" t="s">
        <v>3344</v>
      </c>
    </row>
    <row r="1091" spans="1:16" ht="15" customHeight="1" x14ac:dyDescent="0.25">
      <c r="A1091" s="1" t="s">
        <v>1230</v>
      </c>
      <c r="B1091" s="2" t="s">
        <v>3256</v>
      </c>
      <c r="D1091" s="1"/>
      <c r="E1091" s="1"/>
      <c r="F1091" s="1"/>
      <c r="G1091" s="1"/>
      <c r="H1091" s="1"/>
      <c r="L1091" s="1"/>
      <c r="M1091" s="1"/>
      <c r="N1091" s="1" t="s">
        <v>1529</v>
      </c>
      <c r="O1091" s="1" t="s">
        <v>3338</v>
      </c>
      <c r="P1091" s="2" t="s">
        <v>3344</v>
      </c>
    </row>
    <row r="1092" spans="1:16" ht="15" customHeight="1" x14ac:dyDescent="0.25">
      <c r="A1092" s="1" t="s">
        <v>1230</v>
      </c>
      <c r="B1092" s="2" t="s">
        <v>3256</v>
      </c>
      <c r="D1092" s="1"/>
      <c r="E1092" s="1"/>
      <c r="F1092" s="1"/>
      <c r="G1092" s="1"/>
      <c r="H1092" s="1"/>
      <c r="L1092" s="1"/>
      <c r="M1092" s="1"/>
      <c r="N1092" s="1" t="s">
        <v>1529</v>
      </c>
      <c r="O1092" s="1" t="s">
        <v>3338</v>
      </c>
      <c r="P1092" s="2" t="s">
        <v>3344</v>
      </c>
    </row>
    <row r="1093" spans="1:16" ht="15" customHeight="1" x14ac:dyDescent="0.25">
      <c r="A1093" s="1" t="s">
        <v>1230</v>
      </c>
      <c r="B1093" s="2" t="s">
        <v>3256</v>
      </c>
      <c r="D1093" s="1"/>
      <c r="E1093" s="1"/>
      <c r="F1093" s="1"/>
      <c r="G1093" s="1"/>
      <c r="H1093" s="1"/>
      <c r="L1093" s="1"/>
      <c r="M1093" s="1"/>
      <c r="N1093" s="1" t="s">
        <v>1529</v>
      </c>
      <c r="O1093" s="1" t="s">
        <v>3339</v>
      </c>
      <c r="P1093" s="2" t="s">
        <v>3344</v>
      </c>
    </row>
    <row r="1094" spans="1:16" ht="15" customHeight="1" x14ac:dyDescent="0.25">
      <c r="A1094" s="1" t="s">
        <v>1230</v>
      </c>
      <c r="B1094" s="2" t="s">
        <v>3256</v>
      </c>
      <c r="D1094" s="1"/>
      <c r="E1094" s="1"/>
      <c r="F1094" s="1"/>
      <c r="G1094" s="1"/>
      <c r="H1094" s="1"/>
      <c r="L1094" s="1"/>
      <c r="M1094" s="1"/>
      <c r="N1094" s="1" t="s">
        <v>1529</v>
      </c>
      <c r="O1094" s="1" t="s">
        <v>3339</v>
      </c>
      <c r="P1094" s="2" t="s">
        <v>3344</v>
      </c>
    </row>
    <row r="1095" spans="1:16" ht="15" customHeight="1" x14ac:dyDescent="0.25">
      <c r="A1095" s="1" t="s">
        <v>1230</v>
      </c>
      <c r="B1095" s="2" t="s">
        <v>3256</v>
      </c>
      <c r="D1095" s="1"/>
      <c r="E1095" s="1"/>
      <c r="F1095" s="1"/>
      <c r="G1095" s="1"/>
      <c r="H1095" s="1"/>
      <c r="L1095" s="1"/>
      <c r="M1095" s="1"/>
      <c r="N1095" s="1" t="s">
        <v>1529</v>
      </c>
      <c r="O1095" s="1" t="s">
        <v>3340</v>
      </c>
      <c r="P1095" s="2" t="s">
        <v>3344</v>
      </c>
    </row>
    <row r="1096" spans="1:16" ht="15" customHeight="1" x14ac:dyDescent="0.25">
      <c r="A1096" s="1" t="s">
        <v>1230</v>
      </c>
      <c r="B1096" s="2" t="s">
        <v>3256</v>
      </c>
      <c r="D1096" s="1"/>
      <c r="E1096" s="1"/>
      <c r="F1096" s="1"/>
      <c r="G1096" s="1"/>
      <c r="H1096" s="1"/>
      <c r="L1096" s="1"/>
      <c r="M1096" s="1"/>
      <c r="N1096" s="1" t="s">
        <v>1529</v>
      </c>
      <c r="O1096" s="1" t="s">
        <v>3340</v>
      </c>
      <c r="P1096" s="2" t="s">
        <v>3344</v>
      </c>
    </row>
    <row r="1097" spans="1:16" ht="15" customHeight="1" x14ac:dyDescent="0.25">
      <c r="A1097" s="1" t="s">
        <v>1230</v>
      </c>
      <c r="B1097" s="2" t="s">
        <v>3256</v>
      </c>
      <c r="D1097" s="1"/>
      <c r="E1097" s="1"/>
      <c r="F1097" s="1"/>
      <c r="G1097" s="1"/>
      <c r="H1097" s="1"/>
      <c r="L1097" s="1"/>
      <c r="M1097" s="1"/>
      <c r="N1097" s="1" t="s">
        <v>1529</v>
      </c>
      <c r="O1097" s="1" t="s">
        <v>3341</v>
      </c>
      <c r="P1097" s="2" t="s">
        <v>3344</v>
      </c>
    </row>
    <row r="1098" spans="1:16" ht="15" customHeight="1" x14ac:dyDescent="0.25">
      <c r="A1098" s="1" t="s">
        <v>1230</v>
      </c>
      <c r="B1098" s="2" t="s">
        <v>3256</v>
      </c>
      <c r="D1098" s="1"/>
      <c r="E1098" s="1"/>
      <c r="F1098" s="1"/>
      <c r="G1098" s="1"/>
      <c r="H1098" s="1"/>
      <c r="L1098" s="1"/>
      <c r="M1098" s="1"/>
      <c r="N1098" s="1" t="s">
        <v>1529</v>
      </c>
      <c r="O1098" s="1" t="s">
        <v>3341</v>
      </c>
      <c r="P1098" s="2" t="s">
        <v>3344</v>
      </c>
    </row>
    <row r="1099" spans="1:16" ht="15" customHeight="1" x14ac:dyDescent="0.25">
      <c r="A1099" s="1" t="s">
        <v>1230</v>
      </c>
      <c r="B1099" s="2" t="s">
        <v>3256</v>
      </c>
      <c r="D1099" s="1"/>
      <c r="E1099" s="1"/>
      <c r="F1099" s="1"/>
      <c r="G1099" s="1"/>
      <c r="H1099" s="1"/>
      <c r="L1099" s="1"/>
      <c r="M1099" s="1"/>
      <c r="N1099" s="1" t="s">
        <v>1529</v>
      </c>
      <c r="O1099" s="1" t="s">
        <v>3342</v>
      </c>
      <c r="P1099" s="2" t="s">
        <v>3344</v>
      </c>
    </row>
    <row r="1100" spans="1:16" ht="15" customHeight="1" x14ac:dyDescent="0.25">
      <c r="A1100" s="1" t="s">
        <v>1230</v>
      </c>
      <c r="B1100" s="2" t="s">
        <v>3256</v>
      </c>
      <c r="D1100" s="1"/>
      <c r="E1100" s="1"/>
      <c r="F1100" s="1"/>
      <c r="G1100" s="1"/>
      <c r="H1100" s="1"/>
      <c r="L1100" s="1"/>
      <c r="M1100" s="1"/>
      <c r="N1100" s="1" t="s">
        <v>1529</v>
      </c>
      <c r="O1100" s="1" t="s">
        <v>3342</v>
      </c>
      <c r="P1100" s="2" t="s">
        <v>3344</v>
      </c>
    </row>
    <row r="1101" spans="1:16" ht="15" customHeight="1" x14ac:dyDescent="0.25">
      <c r="A1101" s="1" t="s">
        <v>1230</v>
      </c>
      <c r="B1101" s="2" t="s">
        <v>3256</v>
      </c>
      <c r="D1101" s="1"/>
      <c r="E1101" s="1"/>
      <c r="F1101" s="1"/>
      <c r="G1101" s="1"/>
      <c r="H1101" s="1"/>
      <c r="L1101" s="1"/>
      <c r="M1101" s="1"/>
      <c r="N1101" s="1" t="s">
        <v>1529</v>
      </c>
      <c r="O1101" s="1" t="s">
        <v>3343</v>
      </c>
      <c r="P1101" s="2" t="s">
        <v>3344</v>
      </c>
    </row>
    <row r="1102" spans="1:16" ht="15" customHeight="1" x14ac:dyDescent="0.25">
      <c r="A1102" s="1" t="s">
        <v>1230</v>
      </c>
      <c r="B1102" s="2" t="s">
        <v>3256</v>
      </c>
      <c r="D1102" s="1"/>
      <c r="E1102" s="1"/>
      <c r="F1102" s="1"/>
      <c r="G1102" s="1"/>
      <c r="H1102" s="1"/>
      <c r="L1102" s="1"/>
      <c r="M1102" s="1"/>
      <c r="N1102" s="1" t="s">
        <v>1529</v>
      </c>
      <c r="O1102" s="1" t="s">
        <v>3343</v>
      </c>
      <c r="P1102" s="2" t="s">
        <v>3344</v>
      </c>
    </row>
    <row r="1103" spans="1:16" ht="15" customHeight="1" x14ac:dyDescent="0.25">
      <c r="A1103" s="1" t="s">
        <v>1230</v>
      </c>
      <c r="B1103" s="2" t="s">
        <v>3256</v>
      </c>
      <c r="D1103" s="1"/>
      <c r="E1103" s="1"/>
      <c r="F1103" s="1"/>
      <c r="G1103" s="1"/>
      <c r="H1103" s="1"/>
      <c r="L1103" s="1"/>
      <c r="M1103" s="1"/>
      <c r="N1103" s="1" t="s">
        <v>1529</v>
      </c>
      <c r="O1103" s="1" t="s">
        <v>3343</v>
      </c>
      <c r="P1103" s="2" t="s">
        <v>3344</v>
      </c>
    </row>
    <row r="1104" spans="1:16" ht="15" customHeight="1" x14ac:dyDescent="0.25">
      <c r="A1104" s="1" t="s">
        <v>1230</v>
      </c>
      <c r="B1104" s="2" t="s">
        <v>3256</v>
      </c>
      <c r="D1104" s="1"/>
      <c r="E1104" s="1"/>
      <c r="F1104" s="1"/>
      <c r="G1104" s="1"/>
      <c r="H1104" s="1"/>
      <c r="L1104" s="1"/>
      <c r="M1104" s="1"/>
      <c r="N1104" s="1" t="s">
        <v>1529</v>
      </c>
      <c r="O1104" s="1" t="s">
        <v>3343</v>
      </c>
      <c r="P1104" s="2" t="s">
        <v>3344</v>
      </c>
    </row>
    <row r="1105" spans="1:16" ht="15" customHeight="1" x14ac:dyDescent="0.25">
      <c r="A1105" s="1" t="s">
        <v>1230</v>
      </c>
      <c r="B1105" s="2" t="s">
        <v>3256</v>
      </c>
      <c r="D1105" s="1"/>
      <c r="E1105" s="1"/>
      <c r="F1105" s="1"/>
      <c r="G1105" s="1"/>
      <c r="H1105" s="1"/>
      <c r="L1105" s="1"/>
      <c r="M1105" s="1"/>
      <c r="N1105" s="1" t="s">
        <v>1529</v>
      </c>
      <c r="O1105" s="1" t="s">
        <v>3343</v>
      </c>
      <c r="P1105" s="2" t="s">
        <v>3344</v>
      </c>
    </row>
    <row r="1106" spans="1:16" ht="15" customHeight="1" x14ac:dyDescent="0.25">
      <c r="A1106" s="1" t="s">
        <v>1230</v>
      </c>
      <c r="B1106" s="2" t="s">
        <v>3256</v>
      </c>
      <c r="D1106" s="1"/>
      <c r="E1106" s="1"/>
      <c r="F1106" s="1"/>
      <c r="G1106" s="1"/>
      <c r="H1106" s="1"/>
      <c r="L1106" s="1"/>
      <c r="M1106" s="1"/>
      <c r="N1106" s="1" t="s">
        <v>1529</v>
      </c>
      <c r="O1106" s="1" t="s">
        <v>3343</v>
      </c>
      <c r="P1106" s="2" t="s">
        <v>3344</v>
      </c>
    </row>
    <row r="1107" spans="1:16" ht="15" customHeight="1" x14ac:dyDescent="0.25">
      <c r="A1107" s="1" t="s">
        <v>1230</v>
      </c>
      <c r="B1107" s="2" t="s">
        <v>3256</v>
      </c>
      <c r="D1107" s="1"/>
      <c r="E1107" s="1"/>
      <c r="F1107" s="1"/>
      <c r="G1107" s="1"/>
      <c r="H1107" s="1"/>
      <c r="L1107" s="1"/>
      <c r="M1107" s="1"/>
      <c r="N1107" s="1" t="s">
        <v>1529</v>
      </c>
      <c r="O1107" s="1" t="s">
        <v>3343</v>
      </c>
      <c r="P1107" s="2" t="s">
        <v>3344</v>
      </c>
    </row>
    <row r="1108" spans="1:16" ht="15" customHeight="1" x14ac:dyDescent="0.25">
      <c r="A1108" s="1" t="s">
        <v>1230</v>
      </c>
      <c r="B1108" s="2" t="s">
        <v>3256</v>
      </c>
      <c r="D1108" s="1"/>
      <c r="E1108" s="1"/>
      <c r="F1108" s="1"/>
      <c r="G1108" s="1"/>
      <c r="H1108" s="1"/>
      <c r="L1108" s="1"/>
      <c r="M1108" s="1"/>
      <c r="N1108" s="1" t="s">
        <v>1529</v>
      </c>
      <c r="O1108" s="1" t="s">
        <v>3343</v>
      </c>
      <c r="P1108" s="2" t="s">
        <v>3344</v>
      </c>
    </row>
    <row r="1109" spans="1:16" ht="15" customHeight="1" x14ac:dyDescent="0.25">
      <c r="A1109" s="1" t="s">
        <v>1230</v>
      </c>
      <c r="B1109" s="2" t="s">
        <v>3256</v>
      </c>
      <c r="D1109" s="1"/>
      <c r="E1109" s="1"/>
      <c r="F1109" s="1"/>
      <c r="G1109" s="1"/>
      <c r="H1109" s="1"/>
      <c r="L1109" s="1"/>
      <c r="M1109" s="1"/>
      <c r="N1109" s="1" t="s">
        <v>1529</v>
      </c>
      <c r="O1109" s="1" t="s">
        <v>3343</v>
      </c>
      <c r="P1109" s="2" t="s">
        <v>3344</v>
      </c>
    </row>
    <row r="1110" spans="1:16" ht="15" customHeight="1" x14ac:dyDescent="0.25">
      <c r="A1110" s="1" t="s">
        <v>1232</v>
      </c>
      <c r="B1110" s="2" t="s">
        <v>3345</v>
      </c>
      <c r="C1110" t="b">
        <v>0</v>
      </c>
      <c r="D1110" s="1" t="s">
        <v>16</v>
      </c>
      <c r="E1110" s="1" t="s">
        <v>2682</v>
      </c>
      <c r="F1110" s="1" t="s">
        <v>2702</v>
      </c>
      <c r="G1110" s="1" t="s">
        <v>2722</v>
      </c>
      <c r="H1110" s="1" t="s">
        <v>5</v>
      </c>
      <c r="I1110">
        <v>10</v>
      </c>
      <c r="L1110" s="1"/>
      <c r="M1110" s="1"/>
      <c r="N1110" s="1"/>
      <c r="O1110" s="1"/>
      <c r="P1110" s="2" t="s">
        <v>3366</v>
      </c>
    </row>
    <row r="1111" spans="1:16" ht="15" customHeight="1" x14ac:dyDescent="0.25">
      <c r="A1111" s="1" t="s">
        <v>1232</v>
      </c>
      <c r="B1111" s="2" t="s">
        <v>3345</v>
      </c>
      <c r="C1111" t="b">
        <v>1</v>
      </c>
      <c r="D1111" s="1" t="s">
        <v>1454</v>
      </c>
      <c r="E1111" s="1" t="s">
        <v>2683</v>
      </c>
      <c r="F1111" s="1" t="s">
        <v>2703</v>
      </c>
      <c r="G1111" s="1" t="s">
        <v>2723</v>
      </c>
      <c r="H1111" s="1" t="s">
        <v>5</v>
      </c>
      <c r="I1111">
        <v>4</v>
      </c>
      <c r="L1111" s="1"/>
      <c r="M1111" s="1"/>
      <c r="N1111" s="1"/>
      <c r="O1111" s="1"/>
      <c r="P1111" s="2" t="s">
        <v>3366</v>
      </c>
    </row>
    <row r="1112" spans="1:16" ht="15" customHeight="1" x14ac:dyDescent="0.25">
      <c r="A1112" s="1" t="s">
        <v>1232</v>
      </c>
      <c r="B1112" s="2" t="s">
        <v>3345</v>
      </c>
      <c r="C1112" t="b">
        <v>1</v>
      </c>
      <c r="D1112" s="1" t="s">
        <v>1390</v>
      </c>
      <c r="E1112" s="1" t="s">
        <v>2684</v>
      </c>
      <c r="F1112" s="1" t="s">
        <v>2704</v>
      </c>
      <c r="G1112" s="1" t="s">
        <v>1390</v>
      </c>
      <c r="H1112" s="1" t="s">
        <v>5</v>
      </c>
      <c r="I1112">
        <v>35</v>
      </c>
      <c r="L1112" s="1"/>
      <c r="M1112" s="1"/>
      <c r="N1112" s="1"/>
      <c r="O1112" s="1"/>
      <c r="P1112" s="2" t="s">
        <v>3366</v>
      </c>
    </row>
    <row r="1113" spans="1:16" ht="15" customHeight="1" x14ac:dyDescent="0.25">
      <c r="A1113" s="1" t="s">
        <v>1232</v>
      </c>
      <c r="B1113" s="2" t="s">
        <v>3345</v>
      </c>
      <c r="C1113" t="b">
        <v>1</v>
      </c>
      <c r="D1113" s="1" t="s">
        <v>1203</v>
      </c>
      <c r="E1113" s="1" t="s">
        <v>2685</v>
      </c>
      <c r="F1113" s="1" t="s">
        <v>2705</v>
      </c>
      <c r="G1113" s="1" t="s">
        <v>1203</v>
      </c>
      <c r="H1113" s="1" t="s">
        <v>5</v>
      </c>
      <c r="I1113">
        <v>35</v>
      </c>
      <c r="L1113" s="1"/>
      <c r="M1113" s="1"/>
      <c r="N1113" s="1"/>
      <c r="O1113" s="1"/>
      <c r="P1113" s="2" t="s">
        <v>3366</v>
      </c>
    </row>
    <row r="1114" spans="1:16" ht="15" customHeight="1" x14ac:dyDescent="0.25">
      <c r="A1114" s="1" t="s">
        <v>1232</v>
      </c>
      <c r="B1114" s="2" t="s">
        <v>3345</v>
      </c>
      <c r="C1114" t="b">
        <v>0</v>
      </c>
      <c r="D1114" s="1" t="s">
        <v>1236</v>
      </c>
      <c r="E1114" s="1" t="s">
        <v>3269</v>
      </c>
      <c r="F1114" s="1" t="s">
        <v>2434</v>
      </c>
      <c r="G1114" s="1" t="s">
        <v>2448</v>
      </c>
      <c r="H1114" s="1" t="s">
        <v>5</v>
      </c>
      <c r="I1114">
        <v>4</v>
      </c>
      <c r="L1114" s="1"/>
      <c r="M1114" s="1"/>
      <c r="N1114" s="1"/>
      <c r="O1114" s="1"/>
      <c r="P1114" s="2" t="s">
        <v>3366</v>
      </c>
    </row>
    <row r="1115" spans="1:16" ht="15" customHeight="1" x14ac:dyDescent="0.25">
      <c r="A1115" s="1" t="s">
        <v>1232</v>
      </c>
      <c r="B1115" s="2" t="s">
        <v>3345</v>
      </c>
      <c r="C1115" t="b">
        <v>1</v>
      </c>
      <c r="D1115" s="1" t="s">
        <v>3257</v>
      </c>
      <c r="E1115" s="1" t="s">
        <v>3270</v>
      </c>
      <c r="F1115" s="1" t="s">
        <v>2995</v>
      </c>
      <c r="G1115" s="1" t="s">
        <v>2981</v>
      </c>
      <c r="H1115" s="1" t="s">
        <v>5</v>
      </c>
      <c r="I1115">
        <v>20</v>
      </c>
      <c r="L1115" s="1"/>
      <c r="M1115" s="1"/>
      <c r="N1115" s="1"/>
      <c r="O1115" s="1"/>
      <c r="P1115" s="2" t="s">
        <v>3366</v>
      </c>
    </row>
    <row r="1116" spans="1:16" ht="15" customHeight="1" x14ac:dyDescent="0.25">
      <c r="A1116" s="1" t="s">
        <v>1232</v>
      </c>
      <c r="B1116" s="2" t="s">
        <v>3345</v>
      </c>
      <c r="C1116" t="b">
        <v>0</v>
      </c>
      <c r="D1116" s="1" t="s">
        <v>1233</v>
      </c>
      <c r="E1116" s="1" t="s">
        <v>3271</v>
      </c>
      <c r="F1116" s="1" t="s">
        <v>2435</v>
      </c>
      <c r="G1116" s="1" t="s">
        <v>2449</v>
      </c>
      <c r="H1116" s="1" t="s">
        <v>5</v>
      </c>
      <c r="I1116">
        <v>2</v>
      </c>
      <c r="L1116" s="1"/>
      <c r="M1116" s="1"/>
      <c r="N1116" s="1"/>
      <c r="O1116" s="1"/>
      <c r="P1116" s="2" t="s">
        <v>3366</v>
      </c>
    </row>
    <row r="1117" spans="1:16" ht="15" customHeight="1" x14ac:dyDescent="0.25">
      <c r="A1117" s="1" t="s">
        <v>1232</v>
      </c>
      <c r="B1117" s="2" t="s">
        <v>3345</v>
      </c>
      <c r="C1117" t="b">
        <v>1</v>
      </c>
      <c r="D1117" s="1" t="s">
        <v>3258</v>
      </c>
      <c r="E1117" s="1" t="s">
        <v>3272</v>
      </c>
      <c r="F1117" s="1" t="s">
        <v>2995</v>
      </c>
      <c r="G1117" s="1" t="s">
        <v>2981</v>
      </c>
      <c r="H1117" s="1" t="s">
        <v>5</v>
      </c>
      <c r="I1117">
        <v>20</v>
      </c>
      <c r="L1117" s="1"/>
      <c r="M1117" s="1"/>
      <c r="N1117" s="1"/>
      <c r="O1117" s="1"/>
      <c r="P1117" s="2" t="s">
        <v>3366</v>
      </c>
    </row>
    <row r="1118" spans="1:16" ht="15" customHeight="1" x14ac:dyDescent="0.25">
      <c r="A1118" s="1" t="s">
        <v>1232</v>
      </c>
      <c r="B1118" s="2" t="s">
        <v>3345</v>
      </c>
      <c r="C1118" t="b">
        <v>0</v>
      </c>
      <c r="D1118" s="1" t="s">
        <v>1234</v>
      </c>
      <c r="E1118" s="1" t="s">
        <v>3273</v>
      </c>
      <c r="F1118" s="1" t="s">
        <v>1498</v>
      </c>
      <c r="G1118" s="1" t="s">
        <v>1234</v>
      </c>
      <c r="H1118" s="1" t="s">
        <v>5</v>
      </c>
      <c r="I1118">
        <v>2</v>
      </c>
      <c r="L1118" s="1"/>
      <c r="M1118" s="1"/>
      <c r="N1118" s="1"/>
      <c r="O1118" s="1"/>
      <c r="P1118" s="2" t="s">
        <v>3366</v>
      </c>
    </row>
    <row r="1119" spans="1:16" ht="15" customHeight="1" x14ac:dyDescent="0.25">
      <c r="A1119" s="1" t="s">
        <v>1232</v>
      </c>
      <c r="B1119" s="2" t="s">
        <v>3345</v>
      </c>
      <c r="C1119" t="b">
        <v>1</v>
      </c>
      <c r="D1119" s="1" t="s">
        <v>3259</v>
      </c>
      <c r="E1119" s="1" t="s">
        <v>3274</v>
      </c>
      <c r="F1119" s="1" t="s">
        <v>2995</v>
      </c>
      <c r="G1119" s="1" t="s">
        <v>2981</v>
      </c>
      <c r="H1119" s="1" t="s">
        <v>5</v>
      </c>
      <c r="I1119">
        <v>20</v>
      </c>
      <c r="L1119" s="1"/>
      <c r="M1119" s="1"/>
      <c r="N1119" s="1"/>
      <c r="O1119" s="1"/>
      <c r="P1119" s="2" t="s">
        <v>3366</v>
      </c>
    </row>
    <row r="1120" spans="1:16" ht="15" customHeight="1" x14ac:dyDescent="0.25">
      <c r="A1120" s="1" t="s">
        <v>1232</v>
      </c>
      <c r="B1120" s="2" t="s">
        <v>3345</v>
      </c>
      <c r="C1120" t="b">
        <v>0</v>
      </c>
      <c r="D1120" s="1" t="s">
        <v>1231</v>
      </c>
      <c r="E1120" s="1" t="s">
        <v>3349</v>
      </c>
      <c r="F1120" s="1" t="s">
        <v>3353</v>
      </c>
      <c r="G1120" s="1" t="s">
        <v>1231</v>
      </c>
      <c r="H1120" s="1" t="s">
        <v>5</v>
      </c>
      <c r="I1120">
        <v>2</v>
      </c>
      <c r="L1120" s="1"/>
      <c r="M1120" s="1"/>
      <c r="N1120" s="1"/>
      <c r="O1120" s="1"/>
      <c r="P1120" s="2" t="s">
        <v>3366</v>
      </c>
    </row>
    <row r="1121" spans="1:16" ht="15" customHeight="1" x14ac:dyDescent="0.25">
      <c r="A1121" s="1" t="s">
        <v>1232</v>
      </c>
      <c r="B1121" s="2" t="s">
        <v>3345</v>
      </c>
      <c r="C1121" t="b">
        <v>0</v>
      </c>
      <c r="D1121" s="1" t="s">
        <v>3346</v>
      </c>
      <c r="E1121" s="1" t="s">
        <v>3350</v>
      </c>
      <c r="F1121" s="1" t="s">
        <v>2995</v>
      </c>
      <c r="G1121" s="1" t="s">
        <v>2981</v>
      </c>
      <c r="H1121" s="1" t="s">
        <v>5</v>
      </c>
      <c r="I1121">
        <v>20</v>
      </c>
      <c r="L1121" s="1"/>
      <c r="M1121" s="1"/>
      <c r="N1121" s="1"/>
      <c r="O1121" s="1"/>
      <c r="P1121" s="2" t="s">
        <v>3366</v>
      </c>
    </row>
    <row r="1122" spans="1:16" ht="15" customHeight="1" x14ac:dyDescent="0.25">
      <c r="A1122" s="1" t="s">
        <v>1232</v>
      </c>
      <c r="B1122" s="2" t="s">
        <v>3345</v>
      </c>
      <c r="C1122" t="b">
        <v>1</v>
      </c>
      <c r="D1122" s="1" t="s">
        <v>3347</v>
      </c>
      <c r="E1122" s="1" t="s">
        <v>3351</v>
      </c>
      <c r="F1122" s="1" t="s">
        <v>3354</v>
      </c>
      <c r="G1122" s="1" t="s">
        <v>3356</v>
      </c>
      <c r="H1122" s="1" t="s">
        <v>5</v>
      </c>
      <c r="I1122">
        <v>30</v>
      </c>
      <c r="L1122" s="1"/>
      <c r="M1122" s="1"/>
      <c r="N1122" s="1"/>
      <c r="O1122" s="1"/>
      <c r="P1122" s="2" t="s">
        <v>3366</v>
      </c>
    </row>
    <row r="1123" spans="1:16" ht="15" customHeight="1" x14ac:dyDescent="0.25">
      <c r="A1123" s="1" t="s">
        <v>1232</v>
      </c>
      <c r="B1123" s="2" t="s">
        <v>3345</v>
      </c>
      <c r="C1123" t="b">
        <v>1</v>
      </c>
      <c r="D1123" s="1" t="s">
        <v>3348</v>
      </c>
      <c r="E1123" s="1" t="s">
        <v>3352</v>
      </c>
      <c r="F1123" s="1" t="s">
        <v>3355</v>
      </c>
      <c r="G1123" s="1" t="s">
        <v>3357</v>
      </c>
      <c r="H1123" s="1" t="s">
        <v>5</v>
      </c>
      <c r="I1123">
        <v>1</v>
      </c>
      <c r="L1123" s="1"/>
      <c r="M1123" s="1"/>
      <c r="N1123" s="1"/>
      <c r="O1123" s="1"/>
      <c r="P1123" s="2" t="s">
        <v>3366</v>
      </c>
    </row>
    <row r="1124" spans="1:16" ht="15" customHeight="1" x14ac:dyDescent="0.25">
      <c r="A1124" s="1" t="s">
        <v>1232</v>
      </c>
      <c r="B1124" s="2" t="s">
        <v>3345</v>
      </c>
      <c r="D1124" s="1"/>
      <c r="E1124" s="1"/>
      <c r="F1124" s="1"/>
      <c r="G1124" s="1"/>
      <c r="H1124" s="1"/>
      <c r="L1124" s="1" t="s">
        <v>1524</v>
      </c>
      <c r="M1124" s="1" t="s">
        <v>3326</v>
      </c>
      <c r="N1124" s="1"/>
      <c r="O1124" s="1"/>
      <c r="P1124" s="2" t="s">
        <v>3366</v>
      </c>
    </row>
    <row r="1125" spans="1:16" ht="15" customHeight="1" x14ac:dyDescent="0.25">
      <c r="A1125" s="1" t="s">
        <v>1232</v>
      </c>
      <c r="B1125" s="2" t="s">
        <v>3345</v>
      </c>
      <c r="D1125" s="1"/>
      <c r="E1125" s="1"/>
      <c r="F1125" s="1"/>
      <c r="G1125" s="1"/>
      <c r="H1125" s="1"/>
      <c r="L1125" s="1" t="s">
        <v>1524</v>
      </c>
      <c r="M1125" s="1" t="s">
        <v>3358</v>
      </c>
      <c r="N1125" s="1"/>
      <c r="O1125" s="1"/>
      <c r="P1125" s="2" t="s">
        <v>3366</v>
      </c>
    </row>
    <row r="1126" spans="1:16" ht="15" customHeight="1" x14ac:dyDescent="0.25">
      <c r="A1126" s="1" t="s">
        <v>1232</v>
      </c>
      <c r="B1126" s="2" t="s">
        <v>3345</v>
      </c>
      <c r="D1126" s="1"/>
      <c r="E1126" s="1"/>
      <c r="F1126" s="1"/>
      <c r="G1126" s="1"/>
      <c r="H1126" s="1"/>
      <c r="L1126" s="1" t="s">
        <v>1524</v>
      </c>
      <c r="M1126" s="1" t="s">
        <v>3329</v>
      </c>
      <c r="N1126" s="1"/>
      <c r="O1126" s="1"/>
      <c r="P1126" s="2" t="s">
        <v>3366</v>
      </c>
    </row>
    <row r="1127" spans="1:16" ht="15" customHeight="1" x14ac:dyDescent="0.25">
      <c r="A1127" s="1" t="s">
        <v>1232</v>
      </c>
      <c r="B1127" s="2" t="s">
        <v>3345</v>
      </c>
      <c r="D1127" s="1"/>
      <c r="E1127" s="1"/>
      <c r="F1127" s="1"/>
      <c r="G1127" s="1"/>
      <c r="H1127" s="1"/>
      <c r="L1127" s="1" t="s">
        <v>1524</v>
      </c>
      <c r="M1127" s="1" t="s">
        <v>3359</v>
      </c>
      <c r="N1127" s="1"/>
      <c r="O1127" s="1"/>
      <c r="P1127" s="2" t="s">
        <v>3366</v>
      </c>
    </row>
    <row r="1128" spans="1:16" ht="15" customHeight="1" x14ac:dyDescent="0.25">
      <c r="A1128" s="1" t="s">
        <v>1232</v>
      </c>
      <c r="B1128" s="2" t="s">
        <v>3345</v>
      </c>
      <c r="D1128" s="1"/>
      <c r="E1128" s="1"/>
      <c r="F1128" s="1"/>
      <c r="G1128" s="1"/>
      <c r="H1128" s="1"/>
      <c r="L1128" s="1" t="s">
        <v>1524</v>
      </c>
      <c r="M1128" s="1" t="s">
        <v>3330</v>
      </c>
      <c r="N1128" s="1"/>
      <c r="O1128" s="1"/>
      <c r="P1128" s="2" t="s">
        <v>3366</v>
      </c>
    </row>
    <row r="1129" spans="1:16" ht="15" customHeight="1" x14ac:dyDescent="0.25">
      <c r="A1129" s="1" t="s">
        <v>1232</v>
      </c>
      <c r="B1129" s="2" t="s">
        <v>3345</v>
      </c>
      <c r="D1129" s="1"/>
      <c r="E1129" s="1"/>
      <c r="F1129" s="1"/>
      <c r="G1129" s="1"/>
      <c r="H1129" s="1"/>
      <c r="L1129" s="1" t="s">
        <v>1524</v>
      </c>
      <c r="M1129" s="1" t="s">
        <v>2741</v>
      </c>
      <c r="N1129" s="1"/>
      <c r="O1129" s="1"/>
      <c r="P1129" s="2" t="s">
        <v>3366</v>
      </c>
    </row>
    <row r="1130" spans="1:16" ht="15" customHeight="1" x14ac:dyDescent="0.25">
      <c r="A1130" s="1" t="s">
        <v>1232</v>
      </c>
      <c r="B1130" s="2" t="s">
        <v>3345</v>
      </c>
      <c r="D1130" s="1"/>
      <c r="E1130" s="1"/>
      <c r="F1130" s="1"/>
      <c r="G1130" s="1"/>
      <c r="H1130" s="1"/>
      <c r="L1130" s="1" t="s">
        <v>1524</v>
      </c>
      <c r="M1130" s="1" t="s">
        <v>3334</v>
      </c>
      <c r="N1130" s="1"/>
      <c r="O1130" s="1"/>
      <c r="P1130" s="2" t="s">
        <v>3366</v>
      </c>
    </row>
    <row r="1131" spans="1:16" ht="15" customHeight="1" x14ac:dyDescent="0.25">
      <c r="A1131" s="1" t="s">
        <v>1232</v>
      </c>
      <c r="B1131" s="2" t="s">
        <v>3345</v>
      </c>
      <c r="D1131" s="1"/>
      <c r="E1131" s="1"/>
      <c r="F1131" s="1"/>
      <c r="G1131" s="1"/>
      <c r="H1131" s="1"/>
      <c r="L1131" s="1"/>
      <c r="M1131" s="1"/>
      <c r="N1131" s="1" t="s">
        <v>1529</v>
      </c>
      <c r="O1131" s="1" t="s">
        <v>3360</v>
      </c>
      <c r="P1131" s="2" t="s">
        <v>3366</v>
      </c>
    </row>
    <row r="1132" spans="1:16" ht="15" customHeight="1" x14ac:dyDescent="0.25">
      <c r="A1132" s="1" t="s">
        <v>1232</v>
      </c>
      <c r="B1132" s="2" t="s">
        <v>3345</v>
      </c>
      <c r="D1132" s="1"/>
      <c r="E1132" s="1"/>
      <c r="F1132" s="1"/>
      <c r="G1132" s="1"/>
      <c r="H1132" s="1"/>
      <c r="L1132" s="1"/>
      <c r="M1132" s="1"/>
      <c r="N1132" s="1" t="s">
        <v>1529</v>
      </c>
      <c r="O1132" s="1" t="s">
        <v>3360</v>
      </c>
      <c r="P1132" s="2" t="s">
        <v>3366</v>
      </c>
    </row>
    <row r="1133" spans="1:16" ht="15" customHeight="1" x14ac:dyDescent="0.25">
      <c r="A1133" s="1" t="s">
        <v>1232</v>
      </c>
      <c r="B1133" s="2" t="s">
        <v>3345</v>
      </c>
      <c r="D1133" s="1"/>
      <c r="E1133" s="1"/>
      <c r="F1133" s="1"/>
      <c r="G1133" s="1"/>
      <c r="H1133" s="1"/>
      <c r="L1133" s="1"/>
      <c r="M1133" s="1"/>
      <c r="N1133" s="1" t="s">
        <v>1529</v>
      </c>
      <c r="O1133" s="1" t="s">
        <v>3361</v>
      </c>
      <c r="P1133" s="2" t="s">
        <v>3366</v>
      </c>
    </row>
    <row r="1134" spans="1:16" ht="15" customHeight="1" x14ac:dyDescent="0.25">
      <c r="A1134" s="1" t="s">
        <v>1232</v>
      </c>
      <c r="B1134" s="2" t="s">
        <v>3345</v>
      </c>
      <c r="D1134" s="1"/>
      <c r="E1134" s="1"/>
      <c r="F1134" s="1"/>
      <c r="G1134" s="1"/>
      <c r="H1134" s="1"/>
      <c r="L1134" s="1"/>
      <c r="M1134" s="1"/>
      <c r="N1134" s="1" t="s">
        <v>1529</v>
      </c>
      <c r="O1134" s="1" t="s">
        <v>3361</v>
      </c>
      <c r="P1134" s="2" t="s">
        <v>3366</v>
      </c>
    </row>
    <row r="1135" spans="1:16" ht="15" customHeight="1" x14ac:dyDescent="0.25">
      <c r="A1135" s="1" t="s">
        <v>1232</v>
      </c>
      <c r="B1135" s="2" t="s">
        <v>3345</v>
      </c>
      <c r="D1135" s="1"/>
      <c r="E1135" s="1"/>
      <c r="F1135" s="1"/>
      <c r="G1135" s="1"/>
      <c r="H1135" s="1"/>
      <c r="L1135" s="1"/>
      <c r="M1135" s="1"/>
      <c r="N1135" s="1" t="s">
        <v>1529</v>
      </c>
      <c r="O1135" s="1" t="s">
        <v>3361</v>
      </c>
      <c r="P1135" s="2" t="s">
        <v>3366</v>
      </c>
    </row>
    <row r="1136" spans="1:16" ht="15" customHeight="1" x14ac:dyDescent="0.25">
      <c r="A1136" s="1" t="s">
        <v>1232</v>
      </c>
      <c r="B1136" s="2" t="s">
        <v>3345</v>
      </c>
      <c r="D1136" s="1"/>
      <c r="E1136" s="1"/>
      <c r="F1136" s="1"/>
      <c r="G1136" s="1"/>
      <c r="H1136" s="1"/>
      <c r="L1136" s="1"/>
      <c r="M1136" s="1"/>
      <c r="N1136" s="1" t="s">
        <v>1529</v>
      </c>
      <c r="O1136" s="1" t="s">
        <v>3361</v>
      </c>
      <c r="P1136" s="2" t="s">
        <v>3366</v>
      </c>
    </row>
    <row r="1137" spans="1:16" ht="15" customHeight="1" x14ac:dyDescent="0.25">
      <c r="A1137" s="1" t="s">
        <v>1232</v>
      </c>
      <c r="B1137" s="2" t="s">
        <v>3345</v>
      </c>
      <c r="D1137" s="1"/>
      <c r="E1137" s="1"/>
      <c r="F1137" s="1"/>
      <c r="G1137" s="1"/>
      <c r="H1137" s="1"/>
      <c r="L1137" s="1"/>
      <c r="M1137" s="1"/>
      <c r="N1137" s="1" t="s">
        <v>1529</v>
      </c>
      <c r="O1137" s="1" t="s">
        <v>3361</v>
      </c>
      <c r="P1137" s="2" t="s">
        <v>3366</v>
      </c>
    </row>
    <row r="1138" spans="1:16" ht="15" customHeight="1" x14ac:dyDescent="0.25">
      <c r="A1138" s="1" t="s">
        <v>1232</v>
      </c>
      <c r="B1138" s="2" t="s">
        <v>3345</v>
      </c>
      <c r="D1138" s="1"/>
      <c r="E1138" s="1"/>
      <c r="F1138" s="1"/>
      <c r="G1138" s="1"/>
      <c r="H1138" s="1"/>
      <c r="L1138" s="1"/>
      <c r="M1138" s="1"/>
      <c r="N1138" s="1" t="s">
        <v>1529</v>
      </c>
      <c r="O1138" s="1" t="s">
        <v>3361</v>
      </c>
      <c r="P1138" s="2" t="s">
        <v>3366</v>
      </c>
    </row>
    <row r="1139" spans="1:16" ht="15" customHeight="1" x14ac:dyDescent="0.25">
      <c r="A1139" s="1" t="s">
        <v>1232</v>
      </c>
      <c r="B1139" s="2" t="s">
        <v>3345</v>
      </c>
      <c r="D1139" s="1"/>
      <c r="E1139" s="1"/>
      <c r="F1139" s="1"/>
      <c r="G1139" s="1"/>
      <c r="H1139" s="1"/>
      <c r="L1139" s="1"/>
      <c r="M1139" s="1"/>
      <c r="N1139" s="1" t="s">
        <v>1529</v>
      </c>
      <c r="O1139" s="1" t="s">
        <v>3361</v>
      </c>
      <c r="P1139" s="2" t="s">
        <v>3366</v>
      </c>
    </row>
    <row r="1140" spans="1:16" ht="15" customHeight="1" x14ac:dyDescent="0.25">
      <c r="A1140" s="1" t="s">
        <v>1232</v>
      </c>
      <c r="B1140" s="2" t="s">
        <v>3345</v>
      </c>
      <c r="D1140" s="1"/>
      <c r="E1140" s="1"/>
      <c r="F1140" s="1"/>
      <c r="G1140" s="1"/>
      <c r="H1140" s="1"/>
      <c r="L1140" s="1"/>
      <c r="M1140" s="1"/>
      <c r="N1140" s="1" t="s">
        <v>1529</v>
      </c>
      <c r="O1140" s="1" t="s">
        <v>3361</v>
      </c>
      <c r="P1140" s="2" t="s">
        <v>3366</v>
      </c>
    </row>
    <row r="1141" spans="1:16" ht="15" customHeight="1" x14ac:dyDescent="0.25">
      <c r="A1141" s="1" t="s">
        <v>1232</v>
      </c>
      <c r="B1141" s="2" t="s">
        <v>3345</v>
      </c>
      <c r="D1141" s="1"/>
      <c r="E1141" s="1"/>
      <c r="F1141" s="1"/>
      <c r="G1141" s="1"/>
      <c r="H1141" s="1"/>
      <c r="L1141" s="1"/>
      <c r="M1141" s="1"/>
      <c r="N1141" s="1" t="s">
        <v>1529</v>
      </c>
      <c r="O1141" s="1" t="s">
        <v>3361</v>
      </c>
      <c r="P1141" s="2" t="s">
        <v>3366</v>
      </c>
    </row>
    <row r="1142" spans="1:16" ht="15" customHeight="1" x14ac:dyDescent="0.25">
      <c r="A1142" s="1" t="s">
        <v>1232</v>
      </c>
      <c r="B1142" s="2" t="s">
        <v>3345</v>
      </c>
      <c r="D1142" s="1"/>
      <c r="E1142" s="1"/>
      <c r="F1142" s="1"/>
      <c r="G1142" s="1"/>
      <c r="H1142" s="1"/>
      <c r="L1142" s="1"/>
      <c r="M1142" s="1"/>
      <c r="N1142" s="1" t="s">
        <v>1529</v>
      </c>
      <c r="O1142" s="1" t="s">
        <v>3362</v>
      </c>
      <c r="P1142" s="2" t="s">
        <v>3366</v>
      </c>
    </row>
    <row r="1143" spans="1:16" ht="15" customHeight="1" x14ac:dyDescent="0.25">
      <c r="A1143" s="1" t="s">
        <v>1232</v>
      </c>
      <c r="B1143" s="2" t="s">
        <v>3345</v>
      </c>
      <c r="D1143" s="1"/>
      <c r="E1143" s="1"/>
      <c r="F1143" s="1"/>
      <c r="G1143" s="1"/>
      <c r="H1143" s="1"/>
      <c r="L1143" s="1"/>
      <c r="M1143" s="1"/>
      <c r="N1143" s="1" t="s">
        <v>1529</v>
      </c>
      <c r="O1143" s="1" t="s">
        <v>3362</v>
      </c>
      <c r="P1143" s="2" t="s">
        <v>3366</v>
      </c>
    </row>
    <row r="1144" spans="1:16" ht="15" customHeight="1" x14ac:dyDescent="0.25">
      <c r="A1144" s="1" t="s">
        <v>1232</v>
      </c>
      <c r="B1144" s="2" t="s">
        <v>3345</v>
      </c>
      <c r="D1144" s="1"/>
      <c r="E1144" s="1"/>
      <c r="F1144" s="1"/>
      <c r="G1144" s="1"/>
      <c r="H1144" s="1"/>
      <c r="L1144" s="1"/>
      <c r="M1144" s="1"/>
      <c r="N1144" s="1" t="s">
        <v>1529</v>
      </c>
      <c r="O1144" s="1" t="s">
        <v>3363</v>
      </c>
      <c r="P1144" s="2" t="s">
        <v>3366</v>
      </c>
    </row>
    <row r="1145" spans="1:16" ht="15" customHeight="1" x14ac:dyDescent="0.25">
      <c r="A1145" s="1" t="s">
        <v>1232</v>
      </c>
      <c r="B1145" s="2" t="s">
        <v>3345</v>
      </c>
      <c r="D1145" s="1"/>
      <c r="E1145" s="1"/>
      <c r="F1145" s="1"/>
      <c r="G1145" s="1"/>
      <c r="H1145" s="1"/>
      <c r="L1145" s="1"/>
      <c r="M1145" s="1"/>
      <c r="N1145" s="1" t="s">
        <v>1529</v>
      </c>
      <c r="O1145" s="1" t="s">
        <v>3363</v>
      </c>
      <c r="P1145" s="2" t="s">
        <v>3366</v>
      </c>
    </row>
    <row r="1146" spans="1:16" ht="15" customHeight="1" x14ac:dyDescent="0.25">
      <c r="A1146" s="1" t="s">
        <v>1232</v>
      </c>
      <c r="B1146" s="2" t="s">
        <v>3345</v>
      </c>
      <c r="D1146" s="1"/>
      <c r="E1146" s="1"/>
      <c r="F1146" s="1"/>
      <c r="G1146" s="1"/>
      <c r="H1146" s="1"/>
      <c r="L1146" s="1"/>
      <c r="M1146" s="1"/>
      <c r="N1146" s="1" t="s">
        <v>1529</v>
      </c>
      <c r="O1146" s="1" t="s">
        <v>3363</v>
      </c>
      <c r="P1146" s="2" t="s">
        <v>3366</v>
      </c>
    </row>
    <row r="1147" spans="1:16" ht="15" customHeight="1" x14ac:dyDescent="0.25">
      <c r="A1147" s="1" t="s">
        <v>1232</v>
      </c>
      <c r="B1147" s="2" t="s">
        <v>3345</v>
      </c>
      <c r="D1147" s="1"/>
      <c r="E1147" s="1"/>
      <c r="F1147" s="1"/>
      <c r="G1147" s="1"/>
      <c r="H1147" s="1"/>
      <c r="L1147" s="1"/>
      <c r="M1147" s="1"/>
      <c r="N1147" s="1" t="s">
        <v>1529</v>
      </c>
      <c r="O1147" s="1" t="s">
        <v>3364</v>
      </c>
      <c r="P1147" s="2" t="s">
        <v>3366</v>
      </c>
    </row>
    <row r="1148" spans="1:16" ht="15" customHeight="1" x14ac:dyDescent="0.25">
      <c r="A1148" s="1" t="s">
        <v>1232</v>
      </c>
      <c r="B1148" s="2" t="s">
        <v>3345</v>
      </c>
      <c r="D1148" s="1"/>
      <c r="E1148" s="1"/>
      <c r="F1148" s="1"/>
      <c r="G1148" s="1"/>
      <c r="H1148" s="1"/>
      <c r="L1148" s="1"/>
      <c r="M1148" s="1"/>
      <c r="N1148" s="1" t="s">
        <v>1529</v>
      </c>
      <c r="O1148" s="1" t="s">
        <v>3364</v>
      </c>
      <c r="P1148" s="2" t="s">
        <v>3366</v>
      </c>
    </row>
    <row r="1149" spans="1:16" ht="15" customHeight="1" x14ac:dyDescent="0.25">
      <c r="A1149" s="1" t="s">
        <v>1232</v>
      </c>
      <c r="B1149" s="2" t="s">
        <v>3345</v>
      </c>
      <c r="D1149" s="1"/>
      <c r="E1149" s="1"/>
      <c r="F1149" s="1"/>
      <c r="G1149" s="1"/>
      <c r="H1149" s="1"/>
      <c r="L1149" s="1"/>
      <c r="M1149" s="1"/>
      <c r="N1149" s="1" t="s">
        <v>1529</v>
      </c>
      <c r="O1149" s="1" t="s">
        <v>3364</v>
      </c>
      <c r="P1149" s="2" t="s">
        <v>3366</v>
      </c>
    </row>
    <row r="1150" spans="1:16" ht="15" customHeight="1" x14ac:dyDescent="0.25">
      <c r="A1150" s="1" t="s">
        <v>1232</v>
      </c>
      <c r="B1150" s="2" t="s">
        <v>3345</v>
      </c>
      <c r="D1150" s="1"/>
      <c r="E1150" s="1"/>
      <c r="F1150" s="1"/>
      <c r="G1150" s="1"/>
      <c r="H1150" s="1"/>
      <c r="L1150" s="1"/>
      <c r="M1150" s="1"/>
      <c r="N1150" s="1" t="s">
        <v>1529</v>
      </c>
      <c r="O1150" s="1" t="s">
        <v>3365</v>
      </c>
      <c r="P1150" s="2" t="s">
        <v>3366</v>
      </c>
    </row>
    <row r="1151" spans="1:16" ht="15" customHeight="1" x14ac:dyDescent="0.25">
      <c r="A1151" s="1" t="s">
        <v>1232</v>
      </c>
      <c r="B1151" s="2" t="s">
        <v>3345</v>
      </c>
      <c r="D1151" s="1"/>
      <c r="E1151" s="1"/>
      <c r="F1151" s="1"/>
      <c r="G1151" s="1"/>
      <c r="H1151" s="1"/>
      <c r="L1151" s="1"/>
      <c r="M1151" s="1"/>
      <c r="N1151" s="1" t="s">
        <v>1529</v>
      </c>
      <c r="O1151" s="1" t="s">
        <v>3365</v>
      </c>
      <c r="P1151" s="2" t="s">
        <v>3366</v>
      </c>
    </row>
    <row r="1152" spans="1:16" ht="15" customHeight="1" x14ac:dyDescent="0.25">
      <c r="A1152" s="1" t="s">
        <v>1232</v>
      </c>
      <c r="B1152" s="2" t="s">
        <v>3345</v>
      </c>
      <c r="D1152" s="1"/>
      <c r="E1152" s="1"/>
      <c r="F1152" s="1"/>
      <c r="G1152" s="1"/>
      <c r="H1152" s="1"/>
      <c r="L1152" s="1"/>
      <c r="M1152" s="1"/>
      <c r="N1152" s="1" t="s">
        <v>1529</v>
      </c>
      <c r="O1152" s="1" t="s">
        <v>3365</v>
      </c>
      <c r="P1152" s="2" t="s">
        <v>3366</v>
      </c>
    </row>
    <row r="1153" spans="1:16" ht="15" customHeight="1" x14ac:dyDescent="0.25">
      <c r="A1153" s="1" t="s">
        <v>1247</v>
      </c>
      <c r="B1153" s="2" t="s">
        <v>3367</v>
      </c>
      <c r="C1153" t="b">
        <v>0</v>
      </c>
      <c r="D1153" s="1" t="s">
        <v>16</v>
      </c>
      <c r="E1153" s="1" t="s">
        <v>2682</v>
      </c>
      <c r="F1153" s="1" t="s">
        <v>2702</v>
      </c>
      <c r="G1153" s="1" t="s">
        <v>2722</v>
      </c>
      <c r="H1153" s="1" t="s">
        <v>5</v>
      </c>
      <c r="I1153">
        <v>10</v>
      </c>
      <c r="L1153" s="1"/>
      <c r="M1153" s="1"/>
      <c r="N1153" s="1"/>
      <c r="O1153" s="1"/>
      <c r="P1153" s="2" t="s">
        <v>3432</v>
      </c>
    </row>
    <row r="1154" spans="1:16" ht="15" customHeight="1" x14ac:dyDescent="0.25">
      <c r="A1154" s="1" t="s">
        <v>1247</v>
      </c>
      <c r="B1154" s="2" t="s">
        <v>3367</v>
      </c>
      <c r="C1154" t="b">
        <v>1</v>
      </c>
      <c r="D1154" s="1" t="s">
        <v>1454</v>
      </c>
      <c r="E1154" s="1" t="s">
        <v>2683</v>
      </c>
      <c r="F1154" s="1" t="s">
        <v>2703</v>
      </c>
      <c r="G1154" s="1" t="s">
        <v>2723</v>
      </c>
      <c r="H1154" s="1" t="s">
        <v>5</v>
      </c>
      <c r="I1154">
        <v>4</v>
      </c>
      <c r="L1154" s="1"/>
      <c r="M1154" s="1"/>
      <c r="N1154" s="1"/>
      <c r="O1154" s="1"/>
      <c r="P1154" s="2" t="s">
        <v>3432</v>
      </c>
    </row>
    <row r="1155" spans="1:16" ht="15" customHeight="1" x14ac:dyDescent="0.25">
      <c r="A1155" s="1" t="s">
        <v>1247</v>
      </c>
      <c r="B1155" s="2" t="s">
        <v>3367</v>
      </c>
      <c r="C1155" t="b">
        <v>1</v>
      </c>
      <c r="D1155" s="1" t="s">
        <v>1390</v>
      </c>
      <c r="E1155" s="1" t="s">
        <v>2684</v>
      </c>
      <c r="F1155" s="1" t="s">
        <v>2704</v>
      </c>
      <c r="G1155" s="1" t="s">
        <v>1390</v>
      </c>
      <c r="H1155" s="1" t="s">
        <v>5</v>
      </c>
      <c r="I1155">
        <v>35</v>
      </c>
      <c r="L1155" s="1"/>
      <c r="M1155" s="1"/>
      <c r="N1155" s="1"/>
      <c r="O1155" s="1"/>
      <c r="P1155" s="2" t="s">
        <v>3432</v>
      </c>
    </row>
    <row r="1156" spans="1:16" ht="15" customHeight="1" x14ac:dyDescent="0.25">
      <c r="A1156" s="1" t="s">
        <v>1247</v>
      </c>
      <c r="B1156" s="2" t="s">
        <v>3367</v>
      </c>
      <c r="C1156" t="b">
        <v>1</v>
      </c>
      <c r="D1156" s="1" t="s">
        <v>1203</v>
      </c>
      <c r="E1156" s="1" t="s">
        <v>2685</v>
      </c>
      <c r="F1156" s="1" t="s">
        <v>2705</v>
      </c>
      <c r="G1156" s="1" t="s">
        <v>1203</v>
      </c>
      <c r="H1156" s="1" t="s">
        <v>5</v>
      </c>
      <c r="I1156">
        <v>35</v>
      </c>
      <c r="L1156" s="1"/>
      <c r="M1156" s="1"/>
      <c r="N1156" s="1"/>
      <c r="O1156" s="1"/>
      <c r="P1156" s="2" t="s">
        <v>3432</v>
      </c>
    </row>
    <row r="1157" spans="1:16" ht="15" customHeight="1" x14ac:dyDescent="0.25">
      <c r="A1157" s="1" t="s">
        <v>1247</v>
      </c>
      <c r="B1157" s="2" t="s">
        <v>3367</v>
      </c>
      <c r="C1157" t="b">
        <v>0</v>
      </c>
      <c r="D1157" s="1" t="s">
        <v>1236</v>
      </c>
      <c r="E1157" s="1" t="s">
        <v>3269</v>
      </c>
      <c r="F1157" s="1" t="s">
        <v>2434</v>
      </c>
      <c r="G1157" s="1" t="s">
        <v>2448</v>
      </c>
      <c r="H1157" s="1" t="s">
        <v>5</v>
      </c>
      <c r="I1157">
        <v>4</v>
      </c>
      <c r="L1157" s="1"/>
      <c r="M1157" s="1"/>
      <c r="N1157" s="1"/>
      <c r="O1157" s="1"/>
      <c r="P1157" s="2" t="s">
        <v>3432</v>
      </c>
    </row>
    <row r="1158" spans="1:16" ht="15" customHeight="1" x14ac:dyDescent="0.25">
      <c r="A1158" s="1" t="s">
        <v>1247</v>
      </c>
      <c r="B1158" s="2" t="s">
        <v>3367</v>
      </c>
      <c r="C1158" t="b">
        <v>1</v>
      </c>
      <c r="D1158" s="1" t="s">
        <v>3257</v>
      </c>
      <c r="E1158" s="1" t="s">
        <v>3270</v>
      </c>
      <c r="F1158" s="1" t="s">
        <v>2995</v>
      </c>
      <c r="G1158" s="1" t="s">
        <v>2981</v>
      </c>
      <c r="H1158" s="1" t="s">
        <v>5</v>
      </c>
      <c r="I1158">
        <v>20</v>
      </c>
      <c r="L1158" s="1"/>
      <c r="M1158" s="1"/>
      <c r="N1158" s="1"/>
      <c r="O1158" s="1"/>
      <c r="P1158" s="2" t="s">
        <v>3432</v>
      </c>
    </row>
    <row r="1159" spans="1:16" ht="15" customHeight="1" x14ac:dyDescent="0.25">
      <c r="A1159" s="1" t="s">
        <v>1247</v>
      </c>
      <c r="B1159" s="2" t="s">
        <v>3367</v>
      </c>
      <c r="C1159" t="b">
        <v>0</v>
      </c>
      <c r="D1159" s="1" t="s">
        <v>1233</v>
      </c>
      <c r="E1159" s="1" t="s">
        <v>3271</v>
      </c>
      <c r="F1159" s="1" t="s">
        <v>2435</v>
      </c>
      <c r="G1159" s="1" t="s">
        <v>2449</v>
      </c>
      <c r="H1159" s="1" t="s">
        <v>5</v>
      </c>
      <c r="I1159">
        <v>2</v>
      </c>
      <c r="L1159" s="1"/>
      <c r="M1159" s="1"/>
      <c r="N1159" s="1"/>
      <c r="O1159" s="1"/>
      <c r="P1159" s="2" t="s">
        <v>3432</v>
      </c>
    </row>
    <row r="1160" spans="1:16" ht="15" customHeight="1" x14ac:dyDescent="0.25">
      <c r="A1160" s="1" t="s">
        <v>1247</v>
      </c>
      <c r="B1160" s="2" t="s">
        <v>3367</v>
      </c>
      <c r="C1160" t="b">
        <v>1</v>
      </c>
      <c r="D1160" s="1" t="s">
        <v>3258</v>
      </c>
      <c r="E1160" s="1" t="s">
        <v>3272</v>
      </c>
      <c r="F1160" s="1" t="s">
        <v>2995</v>
      </c>
      <c r="G1160" s="1" t="s">
        <v>2981</v>
      </c>
      <c r="H1160" s="1" t="s">
        <v>5</v>
      </c>
      <c r="I1160">
        <v>20</v>
      </c>
      <c r="L1160" s="1"/>
      <c r="M1160" s="1"/>
      <c r="N1160" s="1"/>
      <c r="O1160" s="1"/>
      <c r="P1160" s="2" t="s">
        <v>3432</v>
      </c>
    </row>
    <row r="1161" spans="1:16" ht="15" customHeight="1" x14ac:dyDescent="0.25">
      <c r="A1161" s="1" t="s">
        <v>1247</v>
      </c>
      <c r="B1161" s="2" t="s">
        <v>3367</v>
      </c>
      <c r="C1161" t="b">
        <v>0</v>
      </c>
      <c r="D1161" s="1" t="s">
        <v>1234</v>
      </c>
      <c r="E1161" s="1" t="s">
        <v>3273</v>
      </c>
      <c r="F1161" s="1" t="s">
        <v>1498</v>
      </c>
      <c r="G1161" s="1" t="s">
        <v>1234</v>
      </c>
      <c r="H1161" s="1" t="s">
        <v>5</v>
      </c>
      <c r="I1161">
        <v>2</v>
      </c>
      <c r="L1161" s="1"/>
      <c r="M1161" s="1"/>
      <c r="N1161" s="1"/>
      <c r="O1161" s="1"/>
      <c r="P1161" s="2" t="s">
        <v>3432</v>
      </c>
    </row>
    <row r="1162" spans="1:16" ht="15" customHeight="1" x14ac:dyDescent="0.25">
      <c r="A1162" s="1" t="s">
        <v>1247</v>
      </c>
      <c r="B1162" s="2" t="s">
        <v>3367</v>
      </c>
      <c r="C1162" t="b">
        <v>1</v>
      </c>
      <c r="D1162" s="1" t="s">
        <v>3259</v>
      </c>
      <c r="E1162" s="1" t="s">
        <v>3274</v>
      </c>
      <c r="F1162" s="1" t="s">
        <v>2995</v>
      </c>
      <c r="G1162" s="1" t="s">
        <v>2981</v>
      </c>
      <c r="H1162" s="1" t="s">
        <v>5</v>
      </c>
      <c r="I1162">
        <v>20</v>
      </c>
      <c r="L1162" s="1"/>
      <c r="M1162" s="1"/>
      <c r="N1162" s="1"/>
      <c r="O1162" s="1"/>
      <c r="P1162" s="2" t="s">
        <v>3432</v>
      </c>
    </row>
    <row r="1163" spans="1:16" ht="15" customHeight="1" x14ac:dyDescent="0.25">
      <c r="A1163" s="1" t="s">
        <v>1247</v>
      </c>
      <c r="B1163" s="2" t="s">
        <v>3367</v>
      </c>
      <c r="C1163" t="b">
        <v>1</v>
      </c>
      <c r="D1163" s="1" t="s">
        <v>1242</v>
      </c>
      <c r="E1163" s="1" t="s">
        <v>3375</v>
      </c>
      <c r="F1163" s="1" t="s">
        <v>3404</v>
      </c>
      <c r="G1163" s="1" t="s">
        <v>3418</v>
      </c>
      <c r="H1163" s="1" t="s">
        <v>5</v>
      </c>
      <c r="I1163">
        <v>6</v>
      </c>
      <c r="L1163" s="1"/>
      <c r="M1163" s="1"/>
      <c r="N1163" s="1"/>
      <c r="O1163" s="1"/>
      <c r="P1163" s="2" t="s">
        <v>3432</v>
      </c>
    </row>
    <row r="1164" spans="1:16" ht="15" customHeight="1" x14ac:dyDescent="0.25">
      <c r="A1164" s="1" t="s">
        <v>1247</v>
      </c>
      <c r="B1164" s="2" t="s">
        <v>3367</v>
      </c>
      <c r="C1164" t="b">
        <v>1</v>
      </c>
      <c r="D1164" s="1" t="s">
        <v>3368</v>
      </c>
      <c r="E1164" s="1" t="s">
        <v>3376</v>
      </c>
      <c r="F1164" s="1" t="s">
        <v>3405</v>
      </c>
      <c r="G1164" s="1" t="s">
        <v>3419</v>
      </c>
      <c r="H1164" s="1" t="s">
        <v>1576</v>
      </c>
      <c r="J1164">
        <v>3</v>
      </c>
      <c r="K1164">
        <v>0</v>
      </c>
      <c r="L1164" s="1"/>
      <c r="M1164" s="1"/>
      <c r="N1164" s="1"/>
      <c r="O1164" s="1"/>
      <c r="P1164" s="2" t="s">
        <v>3432</v>
      </c>
    </row>
    <row r="1165" spans="1:16" ht="15" customHeight="1" x14ac:dyDescent="0.25">
      <c r="A1165" s="1" t="s">
        <v>1247</v>
      </c>
      <c r="B1165" s="2" t="s">
        <v>3367</v>
      </c>
      <c r="C1165" t="b">
        <v>1</v>
      </c>
      <c r="D1165" s="1" t="s">
        <v>1244</v>
      </c>
      <c r="E1165" s="1" t="s">
        <v>3377</v>
      </c>
      <c r="F1165" s="1" t="s">
        <v>3406</v>
      </c>
      <c r="G1165" s="1" t="s">
        <v>1244</v>
      </c>
      <c r="H1165" s="1" t="s">
        <v>5</v>
      </c>
      <c r="I1165">
        <v>4</v>
      </c>
      <c r="L1165" s="1"/>
      <c r="M1165" s="1"/>
      <c r="N1165" s="1"/>
      <c r="O1165" s="1"/>
      <c r="P1165" s="2" t="s">
        <v>3432</v>
      </c>
    </row>
    <row r="1166" spans="1:16" ht="15" customHeight="1" x14ac:dyDescent="0.25">
      <c r="A1166" s="1" t="s">
        <v>1247</v>
      </c>
      <c r="B1166" s="2" t="s">
        <v>3367</v>
      </c>
      <c r="C1166" t="b">
        <v>1</v>
      </c>
      <c r="D1166" s="1" t="s">
        <v>3369</v>
      </c>
      <c r="E1166" s="1" t="s">
        <v>2692</v>
      </c>
      <c r="F1166" s="1" t="s">
        <v>2712</v>
      </c>
      <c r="G1166" s="1" t="s">
        <v>2729</v>
      </c>
      <c r="H1166" s="1" t="s">
        <v>5</v>
      </c>
      <c r="I1166">
        <v>4</v>
      </c>
      <c r="L1166" s="1"/>
      <c r="M1166" s="1"/>
      <c r="N1166" s="1"/>
      <c r="O1166" s="1"/>
      <c r="P1166" s="2" t="s">
        <v>3432</v>
      </c>
    </row>
    <row r="1167" spans="1:16" ht="15" customHeight="1" x14ac:dyDescent="0.25">
      <c r="A1167" s="1" t="s">
        <v>1247</v>
      </c>
      <c r="B1167" s="2" t="s">
        <v>3367</v>
      </c>
      <c r="C1167" t="b">
        <v>1</v>
      </c>
      <c r="D1167" s="1" t="s">
        <v>1243</v>
      </c>
      <c r="E1167" s="1" t="s">
        <v>3378</v>
      </c>
      <c r="F1167" s="1" t="s">
        <v>3407</v>
      </c>
      <c r="G1167" s="1" t="s">
        <v>1243</v>
      </c>
      <c r="H1167" s="1" t="s">
        <v>5</v>
      </c>
      <c r="I1167">
        <v>3</v>
      </c>
      <c r="L1167" s="1"/>
      <c r="M1167" s="1"/>
      <c r="N1167" s="1"/>
      <c r="O1167" s="1"/>
      <c r="P1167" s="2" t="s">
        <v>3432</v>
      </c>
    </row>
    <row r="1168" spans="1:16" ht="15" customHeight="1" x14ac:dyDescent="0.25">
      <c r="A1168" s="1" t="s">
        <v>1247</v>
      </c>
      <c r="B1168" s="2" t="s">
        <v>3367</v>
      </c>
      <c r="C1168" t="b">
        <v>1</v>
      </c>
      <c r="D1168" s="1" t="s">
        <v>3370</v>
      </c>
      <c r="E1168" s="1" t="s">
        <v>3379</v>
      </c>
      <c r="F1168" s="1" t="s">
        <v>3408</v>
      </c>
      <c r="G1168" s="1" t="s">
        <v>3370</v>
      </c>
      <c r="H1168" s="1" t="s">
        <v>5</v>
      </c>
      <c r="I1168">
        <v>10</v>
      </c>
      <c r="L1168" s="1"/>
      <c r="M1168" s="1"/>
      <c r="N1168" s="1"/>
      <c r="O1168" s="1"/>
      <c r="P1168" s="2" t="s">
        <v>3432</v>
      </c>
    </row>
    <row r="1169" spans="1:16" ht="15" customHeight="1" x14ac:dyDescent="0.25">
      <c r="A1169" s="1" t="s">
        <v>1247</v>
      </c>
      <c r="B1169" s="2" t="s">
        <v>3367</v>
      </c>
      <c r="C1169" t="b">
        <v>1</v>
      </c>
      <c r="D1169" s="1" t="s">
        <v>1237</v>
      </c>
      <c r="E1169" s="1" t="s">
        <v>3380</v>
      </c>
      <c r="F1169" s="1" t="s">
        <v>3409</v>
      </c>
      <c r="G1169" s="1" t="s">
        <v>1237</v>
      </c>
      <c r="H1169" s="1" t="s">
        <v>5</v>
      </c>
      <c r="I1169">
        <v>2</v>
      </c>
      <c r="L1169" s="1"/>
      <c r="M1169" s="1"/>
      <c r="N1169" s="1"/>
      <c r="O1169" s="1"/>
      <c r="P1169" s="2" t="s">
        <v>3432</v>
      </c>
    </row>
    <row r="1170" spans="1:16" ht="15" customHeight="1" x14ac:dyDescent="0.25">
      <c r="A1170" s="1" t="s">
        <v>1247</v>
      </c>
      <c r="B1170" s="2" t="s">
        <v>3367</v>
      </c>
      <c r="C1170" t="b">
        <v>1</v>
      </c>
      <c r="D1170" s="1" t="s">
        <v>2750</v>
      </c>
      <c r="E1170" s="1" t="s">
        <v>3381</v>
      </c>
      <c r="F1170" s="1" t="s">
        <v>2795</v>
      </c>
      <c r="G1170" s="1" t="s">
        <v>3420</v>
      </c>
      <c r="H1170" s="1" t="s">
        <v>5</v>
      </c>
      <c r="I1170">
        <v>12</v>
      </c>
      <c r="L1170" s="1"/>
      <c r="M1170" s="1"/>
      <c r="N1170" s="1"/>
      <c r="O1170" s="1"/>
      <c r="P1170" s="2" t="s">
        <v>3432</v>
      </c>
    </row>
    <row r="1171" spans="1:16" ht="15" customHeight="1" x14ac:dyDescent="0.25">
      <c r="A1171" s="1" t="s">
        <v>1247</v>
      </c>
      <c r="B1171" s="2" t="s">
        <v>3367</v>
      </c>
      <c r="C1171" t="b">
        <v>1</v>
      </c>
      <c r="D1171" s="1" t="s">
        <v>3371</v>
      </c>
      <c r="E1171" s="1" t="s">
        <v>3382</v>
      </c>
      <c r="F1171" s="1" t="s">
        <v>3410</v>
      </c>
      <c r="G1171" s="1" t="s">
        <v>3421</v>
      </c>
      <c r="H1171" s="1" t="s">
        <v>5</v>
      </c>
      <c r="I1171">
        <v>2</v>
      </c>
      <c r="L1171" s="1"/>
      <c r="M1171" s="1"/>
      <c r="N1171" s="1"/>
      <c r="O1171" s="1"/>
      <c r="P1171" s="2" t="s">
        <v>3432</v>
      </c>
    </row>
    <row r="1172" spans="1:16" ht="15" customHeight="1" x14ac:dyDescent="0.25">
      <c r="A1172" s="1" t="s">
        <v>1247</v>
      </c>
      <c r="B1172" s="2" t="s">
        <v>3367</v>
      </c>
      <c r="C1172" t="b">
        <v>1</v>
      </c>
      <c r="D1172" s="1" t="s">
        <v>1246</v>
      </c>
      <c r="E1172" s="1" t="s">
        <v>3383</v>
      </c>
      <c r="F1172" s="1" t="s">
        <v>2063</v>
      </c>
      <c r="G1172" s="1" t="s">
        <v>2072</v>
      </c>
      <c r="H1172" s="1" t="s">
        <v>5</v>
      </c>
      <c r="I1172">
        <v>4</v>
      </c>
      <c r="L1172" s="1"/>
      <c r="M1172" s="1"/>
      <c r="N1172" s="1"/>
      <c r="O1172" s="1"/>
      <c r="P1172" s="2" t="s">
        <v>3432</v>
      </c>
    </row>
    <row r="1173" spans="1:16" ht="15" customHeight="1" x14ac:dyDescent="0.25">
      <c r="A1173" s="1" t="s">
        <v>1247</v>
      </c>
      <c r="B1173" s="2" t="s">
        <v>3367</v>
      </c>
      <c r="C1173" t="b">
        <v>1</v>
      </c>
      <c r="D1173" s="1" t="s">
        <v>23</v>
      </c>
      <c r="E1173" s="1" t="s">
        <v>3384</v>
      </c>
      <c r="F1173" s="1" t="s">
        <v>2850</v>
      </c>
      <c r="G1173" s="1" t="s">
        <v>23</v>
      </c>
      <c r="H1173" s="1" t="s">
        <v>5</v>
      </c>
      <c r="I1173">
        <v>5</v>
      </c>
      <c r="L1173" s="1"/>
      <c r="M1173" s="1"/>
      <c r="N1173" s="1"/>
      <c r="O1173" s="1"/>
      <c r="P1173" s="2" t="s">
        <v>3432</v>
      </c>
    </row>
    <row r="1174" spans="1:16" ht="15" customHeight="1" x14ac:dyDescent="0.25">
      <c r="A1174" s="1" t="s">
        <v>1247</v>
      </c>
      <c r="B1174" s="2" t="s">
        <v>3367</v>
      </c>
      <c r="C1174" t="b">
        <v>1</v>
      </c>
      <c r="D1174" s="1" t="s">
        <v>1238</v>
      </c>
      <c r="E1174" s="1" t="s">
        <v>3385</v>
      </c>
      <c r="F1174" s="1" t="s">
        <v>3411</v>
      </c>
      <c r="G1174" s="1" t="s">
        <v>3422</v>
      </c>
      <c r="H1174" s="1" t="s">
        <v>5</v>
      </c>
      <c r="I1174">
        <v>4</v>
      </c>
      <c r="L1174" s="1"/>
      <c r="M1174" s="1"/>
      <c r="N1174" s="1"/>
      <c r="O1174" s="1"/>
      <c r="P1174" s="2" t="s">
        <v>3432</v>
      </c>
    </row>
    <row r="1175" spans="1:16" ht="15" customHeight="1" x14ac:dyDescent="0.25">
      <c r="A1175" s="1" t="s">
        <v>1247</v>
      </c>
      <c r="B1175" s="2" t="s">
        <v>3367</v>
      </c>
      <c r="C1175" t="b">
        <v>1</v>
      </c>
      <c r="D1175" s="1" t="s">
        <v>3372</v>
      </c>
      <c r="E1175" s="1" t="s">
        <v>3386</v>
      </c>
      <c r="F1175" s="1" t="s">
        <v>3412</v>
      </c>
      <c r="G1175" s="1" t="s">
        <v>3423</v>
      </c>
      <c r="H1175" s="1" t="s">
        <v>5</v>
      </c>
      <c r="I1175">
        <v>1</v>
      </c>
      <c r="L1175" s="1"/>
      <c r="M1175" s="1"/>
      <c r="N1175" s="1"/>
      <c r="O1175" s="1"/>
      <c r="P1175" s="2" t="s">
        <v>3432</v>
      </c>
    </row>
    <row r="1176" spans="1:16" ht="15" customHeight="1" x14ac:dyDescent="0.25">
      <c r="A1176" s="1" t="s">
        <v>1247</v>
      </c>
      <c r="B1176" s="2" t="s">
        <v>3367</v>
      </c>
      <c r="C1176" t="b">
        <v>1</v>
      </c>
      <c r="D1176" s="1" t="s">
        <v>1241</v>
      </c>
      <c r="E1176" s="1" t="s">
        <v>3387</v>
      </c>
      <c r="F1176" s="1" t="s">
        <v>3413</v>
      </c>
      <c r="G1176" s="1" t="s">
        <v>3424</v>
      </c>
      <c r="H1176" s="1" t="s">
        <v>5</v>
      </c>
      <c r="I1176">
        <v>2</v>
      </c>
      <c r="L1176" s="1"/>
      <c r="M1176" s="1"/>
      <c r="N1176" s="1"/>
      <c r="O1176" s="1"/>
      <c r="P1176" s="2" t="s">
        <v>3432</v>
      </c>
    </row>
    <row r="1177" spans="1:16" ht="15" customHeight="1" x14ac:dyDescent="0.25">
      <c r="A1177" s="1" t="s">
        <v>1247</v>
      </c>
      <c r="B1177" s="2" t="s">
        <v>3367</v>
      </c>
      <c r="C1177" t="b">
        <v>1</v>
      </c>
      <c r="D1177" s="1" t="s">
        <v>2532</v>
      </c>
      <c r="E1177" s="1" t="s">
        <v>3388</v>
      </c>
      <c r="F1177" s="1" t="s">
        <v>2512</v>
      </c>
      <c r="G1177" s="1" t="s">
        <v>2532</v>
      </c>
      <c r="H1177" s="1" t="s">
        <v>5</v>
      </c>
      <c r="I1177">
        <v>1</v>
      </c>
      <c r="L1177" s="1"/>
      <c r="M1177" s="1"/>
      <c r="N1177" s="1"/>
      <c r="O1177" s="1"/>
      <c r="P1177" s="2" t="s">
        <v>3432</v>
      </c>
    </row>
    <row r="1178" spans="1:16" ht="15" customHeight="1" x14ac:dyDescent="0.25">
      <c r="A1178" s="1" t="s">
        <v>1247</v>
      </c>
      <c r="B1178" s="2" t="s">
        <v>3367</v>
      </c>
      <c r="C1178" t="b">
        <v>1</v>
      </c>
      <c r="D1178" s="1" t="s">
        <v>2533</v>
      </c>
      <c r="E1178" s="1" t="s">
        <v>3389</v>
      </c>
      <c r="F1178" s="1" t="s">
        <v>2513</v>
      </c>
      <c r="G1178" s="1" t="s">
        <v>2533</v>
      </c>
      <c r="H1178" s="1" t="s">
        <v>5</v>
      </c>
      <c r="I1178">
        <v>1</v>
      </c>
      <c r="L1178" s="1"/>
      <c r="M1178" s="1"/>
      <c r="N1178" s="1"/>
      <c r="O1178" s="1"/>
      <c r="P1178" s="2" t="s">
        <v>3432</v>
      </c>
    </row>
    <row r="1179" spans="1:16" ht="15" customHeight="1" x14ac:dyDescent="0.25">
      <c r="A1179" s="1" t="s">
        <v>1247</v>
      </c>
      <c r="B1179" s="2" t="s">
        <v>3367</v>
      </c>
      <c r="C1179" t="b">
        <v>1</v>
      </c>
      <c r="D1179" s="1" t="s">
        <v>2534</v>
      </c>
      <c r="E1179" s="1" t="s">
        <v>3390</v>
      </c>
      <c r="F1179" s="1" t="s">
        <v>2514</v>
      </c>
      <c r="G1179" s="1" t="s">
        <v>2534</v>
      </c>
      <c r="H1179" s="1" t="s">
        <v>5</v>
      </c>
      <c r="I1179">
        <v>1</v>
      </c>
      <c r="L1179" s="1"/>
      <c r="M1179" s="1"/>
      <c r="N1179" s="1"/>
      <c r="O1179" s="1"/>
      <c r="P1179" s="2" t="s">
        <v>3432</v>
      </c>
    </row>
    <row r="1180" spans="1:16" ht="15" customHeight="1" x14ac:dyDescent="0.25">
      <c r="A1180" s="1" t="s">
        <v>1247</v>
      </c>
      <c r="B1180" s="2" t="s">
        <v>3367</v>
      </c>
      <c r="C1180" t="b">
        <v>1</v>
      </c>
      <c r="D1180" s="1" t="s">
        <v>2535</v>
      </c>
      <c r="E1180" s="1" t="s">
        <v>3391</v>
      </c>
      <c r="F1180" s="1" t="s">
        <v>2515</v>
      </c>
      <c r="G1180" s="1" t="s">
        <v>2535</v>
      </c>
      <c r="H1180" s="1" t="s">
        <v>5</v>
      </c>
      <c r="I1180">
        <v>1</v>
      </c>
      <c r="L1180" s="1"/>
      <c r="M1180" s="1"/>
      <c r="N1180" s="1"/>
      <c r="O1180" s="1"/>
      <c r="P1180" s="2" t="s">
        <v>3432</v>
      </c>
    </row>
    <row r="1181" spans="1:16" ht="15" customHeight="1" x14ac:dyDescent="0.25">
      <c r="A1181" s="1" t="s">
        <v>1247</v>
      </c>
      <c r="B1181" s="2" t="s">
        <v>3367</v>
      </c>
      <c r="C1181" t="b">
        <v>1</v>
      </c>
      <c r="D1181" s="1" t="s">
        <v>2536</v>
      </c>
      <c r="E1181" s="1" t="s">
        <v>3392</v>
      </c>
      <c r="F1181" s="1" t="s">
        <v>2516</v>
      </c>
      <c r="G1181" s="1" t="s">
        <v>2536</v>
      </c>
      <c r="H1181" s="1" t="s">
        <v>5</v>
      </c>
      <c r="I1181">
        <v>1</v>
      </c>
      <c r="L1181" s="1"/>
      <c r="M1181" s="1"/>
      <c r="N1181" s="1"/>
      <c r="O1181" s="1"/>
      <c r="P1181" s="2" t="s">
        <v>3432</v>
      </c>
    </row>
    <row r="1182" spans="1:16" ht="15" customHeight="1" x14ac:dyDescent="0.25">
      <c r="A1182" s="1" t="s">
        <v>1247</v>
      </c>
      <c r="B1182" s="2" t="s">
        <v>3367</v>
      </c>
      <c r="C1182" t="b">
        <v>1</v>
      </c>
      <c r="D1182" s="1" t="s">
        <v>2537</v>
      </c>
      <c r="E1182" s="1" t="s">
        <v>3393</v>
      </c>
      <c r="F1182" s="1" t="s">
        <v>2517</v>
      </c>
      <c r="G1182" s="1" t="s">
        <v>2537</v>
      </c>
      <c r="H1182" s="1" t="s">
        <v>5</v>
      </c>
      <c r="I1182">
        <v>1</v>
      </c>
      <c r="L1182" s="1"/>
      <c r="M1182" s="1"/>
      <c r="N1182" s="1"/>
      <c r="O1182" s="1"/>
      <c r="P1182" s="2" t="s">
        <v>3432</v>
      </c>
    </row>
    <row r="1183" spans="1:16" ht="15" customHeight="1" x14ac:dyDescent="0.25">
      <c r="A1183" s="1" t="s">
        <v>1247</v>
      </c>
      <c r="B1183" s="2" t="s">
        <v>3367</v>
      </c>
      <c r="C1183" t="b">
        <v>1</v>
      </c>
      <c r="D1183" s="1" t="s">
        <v>2538</v>
      </c>
      <c r="E1183" s="1" t="s">
        <v>3394</v>
      </c>
      <c r="F1183" s="1" t="s">
        <v>2518</v>
      </c>
      <c r="G1183" s="1" t="s">
        <v>2538</v>
      </c>
      <c r="H1183" s="1" t="s">
        <v>5</v>
      </c>
      <c r="I1183">
        <v>1</v>
      </c>
      <c r="L1183" s="1"/>
      <c r="M1183" s="1"/>
      <c r="N1183" s="1"/>
      <c r="O1183" s="1"/>
      <c r="P1183" s="2" t="s">
        <v>3432</v>
      </c>
    </row>
    <row r="1184" spans="1:16" ht="15" customHeight="1" x14ac:dyDescent="0.25">
      <c r="A1184" s="1" t="s">
        <v>1247</v>
      </c>
      <c r="B1184" s="2" t="s">
        <v>3367</v>
      </c>
      <c r="C1184" t="b">
        <v>1</v>
      </c>
      <c r="D1184" s="1" t="s">
        <v>2539</v>
      </c>
      <c r="E1184" s="1" t="s">
        <v>3395</v>
      </c>
      <c r="F1184" s="1" t="s">
        <v>2519</v>
      </c>
      <c r="G1184" s="1" t="s">
        <v>2539</v>
      </c>
      <c r="H1184" s="1" t="s">
        <v>5</v>
      </c>
      <c r="I1184">
        <v>1</v>
      </c>
      <c r="L1184" s="1"/>
      <c r="M1184" s="1"/>
      <c r="N1184" s="1"/>
      <c r="O1184" s="1"/>
      <c r="P1184" s="2" t="s">
        <v>3432</v>
      </c>
    </row>
    <row r="1185" spans="1:16" ht="15" customHeight="1" x14ac:dyDescent="0.25">
      <c r="A1185" s="1" t="s">
        <v>1247</v>
      </c>
      <c r="B1185" s="2" t="s">
        <v>3367</v>
      </c>
      <c r="C1185" t="b">
        <v>1</v>
      </c>
      <c r="D1185" s="1" t="s">
        <v>2540</v>
      </c>
      <c r="E1185" s="1" t="s">
        <v>3396</v>
      </c>
      <c r="F1185" s="1" t="s">
        <v>2520</v>
      </c>
      <c r="G1185" s="1" t="s">
        <v>2540</v>
      </c>
      <c r="H1185" s="1" t="s">
        <v>5</v>
      </c>
      <c r="I1185">
        <v>1</v>
      </c>
      <c r="L1185" s="1"/>
      <c r="M1185" s="1"/>
      <c r="N1185" s="1"/>
      <c r="O1185" s="1"/>
      <c r="P1185" s="2" t="s">
        <v>3432</v>
      </c>
    </row>
    <row r="1186" spans="1:16" ht="15" customHeight="1" x14ac:dyDescent="0.25">
      <c r="A1186" s="1" t="s">
        <v>1247</v>
      </c>
      <c r="B1186" s="2" t="s">
        <v>3367</v>
      </c>
      <c r="C1186" t="b">
        <v>1</v>
      </c>
      <c r="D1186" s="1" t="s">
        <v>2541</v>
      </c>
      <c r="E1186" s="1" t="s">
        <v>3397</v>
      </c>
      <c r="F1186" s="1" t="s">
        <v>2521</v>
      </c>
      <c r="G1186" s="1" t="s">
        <v>2541</v>
      </c>
      <c r="H1186" s="1" t="s">
        <v>5</v>
      </c>
      <c r="I1186">
        <v>1</v>
      </c>
      <c r="L1186" s="1"/>
      <c r="M1186" s="1"/>
      <c r="N1186" s="1"/>
      <c r="O1186" s="1"/>
      <c r="P1186" s="2" t="s">
        <v>3432</v>
      </c>
    </row>
    <row r="1187" spans="1:16" ht="15" customHeight="1" x14ac:dyDescent="0.25">
      <c r="A1187" s="1" t="s">
        <v>1247</v>
      </c>
      <c r="B1187" s="2" t="s">
        <v>3367</v>
      </c>
      <c r="C1187" t="b">
        <v>1</v>
      </c>
      <c r="D1187" s="1" t="s">
        <v>1239</v>
      </c>
      <c r="E1187" s="1" t="s">
        <v>3398</v>
      </c>
      <c r="F1187" s="1" t="s">
        <v>3414</v>
      </c>
      <c r="G1187" s="1" t="s">
        <v>3425</v>
      </c>
      <c r="H1187" s="1" t="s">
        <v>5</v>
      </c>
      <c r="I1187">
        <v>2</v>
      </c>
      <c r="L1187" s="1"/>
      <c r="M1187" s="1"/>
      <c r="N1187" s="1"/>
      <c r="O1187" s="1"/>
      <c r="P1187" s="2" t="s">
        <v>3432</v>
      </c>
    </row>
    <row r="1188" spans="1:16" ht="15" customHeight="1" x14ac:dyDescent="0.25">
      <c r="A1188" s="1" t="s">
        <v>1247</v>
      </c>
      <c r="B1188" s="2" t="s">
        <v>3367</v>
      </c>
      <c r="C1188" t="b">
        <v>1</v>
      </c>
      <c r="D1188" s="1" t="s">
        <v>1235</v>
      </c>
      <c r="E1188" s="1" t="s">
        <v>3399</v>
      </c>
      <c r="F1188" s="1" t="s">
        <v>3415</v>
      </c>
      <c r="G1188" s="1" t="s">
        <v>3426</v>
      </c>
      <c r="H1188" s="1" t="s">
        <v>5</v>
      </c>
      <c r="I1188">
        <v>1</v>
      </c>
      <c r="L1188" s="1"/>
      <c r="M1188" s="1"/>
      <c r="N1188" s="1"/>
      <c r="O1188" s="1"/>
      <c r="P1188" s="2" t="s">
        <v>3432</v>
      </c>
    </row>
    <row r="1189" spans="1:16" ht="15" customHeight="1" x14ac:dyDescent="0.25">
      <c r="A1189" s="1" t="s">
        <v>1247</v>
      </c>
      <c r="B1189" s="2" t="s">
        <v>3367</v>
      </c>
      <c r="C1189" t="b">
        <v>0</v>
      </c>
      <c r="D1189" s="1" t="s">
        <v>3373</v>
      </c>
      <c r="E1189" s="1" t="s">
        <v>3400</v>
      </c>
      <c r="F1189" s="1" t="s">
        <v>2995</v>
      </c>
      <c r="G1189" s="1" t="s">
        <v>1370</v>
      </c>
      <c r="H1189" s="1" t="s">
        <v>5</v>
      </c>
      <c r="I1189">
        <v>20</v>
      </c>
      <c r="L1189" s="1"/>
      <c r="M1189" s="1"/>
      <c r="N1189" s="1"/>
      <c r="O1189" s="1"/>
      <c r="P1189" s="2" t="s">
        <v>3432</v>
      </c>
    </row>
    <row r="1190" spans="1:16" ht="15" customHeight="1" x14ac:dyDescent="0.25">
      <c r="A1190" s="1" t="s">
        <v>1247</v>
      </c>
      <c r="B1190" s="2" t="s">
        <v>3367</v>
      </c>
      <c r="C1190" t="b">
        <v>1</v>
      </c>
      <c r="D1190" s="1" t="s">
        <v>1240</v>
      </c>
      <c r="E1190" s="1" t="s">
        <v>3401</v>
      </c>
      <c r="F1190" s="1" t="s">
        <v>3416</v>
      </c>
      <c r="G1190" s="1" t="s">
        <v>3427</v>
      </c>
      <c r="H1190" s="1" t="s">
        <v>5</v>
      </c>
      <c r="I1190">
        <v>2</v>
      </c>
      <c r="L1190" s="1"/>
      <c r="M1190" s="1"/>
      <c r="N1190" s="1"/>
      <c r="O1190" s="1"/>
      <c r="P1190" s="2" t="s">
        <v>3432</v>
      </c>
    </row>
    <row r="1191" spans="1:16" ht="15" customHeight="1" x14ac:dyDescent="0.25">
      <c r="A1191" s="1" t="s">
        <v>1247</v>
      </c>
      <c r="B1191" s="2" t="s">
        <v>3367</v>
      </c>
      <c r="C1191" t="b">
        <v>1</v>
      </c>
      <c r="D1191" s="1" t="s">
        <v>1245</v>
      </c>
      <c r="E1191" s="1" t="s">
        <v>3402</v>
      </c>
      <c r="F1191" s="1" t="s">
        <v>2499</v>
      </c>
      <c r="G1191" s="1" t="s">
        <v>3428</v>
      </c>
      <c r="H1191" s="1" t="s">
        <v>5</v>
      </c>
      <c r="I1191">
        <v>1</v>
      </c>
      <c r="L1191" s="1"/>
      <c r="M1191" s="1"/>
      <c r="N1191" s="1"/>
      <c r="O1191" s="1"/>
      <c r="P1191" s="2" t="s">
        <v>3432</v>
      </c>
    </row>
    <row r="1192" spans="1:16" ht="15" customHeight="1" x14ac:dyDescent="0.25">
      <c r="A1192" s="1" t="s">
        <v>1247</v>
      </c>
      <c r="B1192" s="2" t="s">
        <v>3367</v>
      </c>
      <c r="C1192" t="b">
        <v>1</v>
      </c>
      <c r="D1192" s="1" t="s">
        <v>3374</v>
      </c>
      <c r="E1192" s="1" t="s">
        <v>3403</v>
      </c>
      <c r="F1192" s="1" t="s">
        <v>3417</v>
      </c>
      <c r="G1192" s="1" t="s">
        <v>3429</v>
      </c>
      <c r="H1192" s="1" t="s">
        <v>5</v>
      </c>
      <c r="I1192">
        <v>1</v>
      </c>
      <c r="L1192" s="1"/>
      <c r="M1192" s="1"/>
      <c r="N1192" s="1"/>
      <c r="O1192" s="1"/>
      <c r="P1192" s="2" t="s">
        <v>3432</v>
      </c>
    </row>
    <row r="1193" spans="1:16" ht="15" customHeight="1" x14ac:dyDescent="0.25">
      <c r="A1193" s="1" t="s">
        <v>1247</v>
      </c>
      <c r="B1193" s="2" t="s">
        <v>3367</v>
      </c>
      <c r="D1193" s="1"/>
      <c r="E1193" s="1"/>
      <c r="F1193" s="1"/>
      <c r="G1193" s="1"/>
      <c r="H1193" s="1"/>
      <c r="L1193" s="1" t="s">
        <v>1524</v>
      </c>
      <c r="M1193" s="1" t="s">
        <v>3326</v>
      </c>
      <c r="N1193" s="1"/>
      <c r="O1193" s="1"/>
      <c r="P1193" s="2" t="s">
        <v>3432</v>
      </c>
    </row>
    <row r="1194" spans="1:16" ht="15" customHeight="1" x14ac:dyDescent="0.25">
      <c r="A1194" s="1" t="s">
        <v>1247</v>
      </c>
      <c r="B1194" s="2" t="s">
        <v>3367</v>
      </c>
      <c r="D1194" s="1"/>
      <c r="E1194" s="1"/>
      <c r="F1194" s="1"/>
      <c r="G1194" s="1"/>
      <c r="H1194" s="1"/>
      <c r="L1194" s="1" t="s">
        <v>1524</v>
      </c>
      <c r="M1194" s="1" t="s">
        <v>3330</v>
      </c>
      <c r="N1194" s="1"/>
      <c r="O1194" s="1"/>
      <c r="P1194" s="2" t="s">
        <v>3432</v>
      </c>
    </row>
    <row r="1195" spans="1:16" ht="15" customHeight="1" x14ac:dyDescent="0.25">
      <c r="A1195" s="1" t="s">
        <v>1247</v>
      </c>
      <c r="B1195" s="2" t="s">
        <v>3367</v>
      </c>
      <c r="D1195" s="1"/>
      <c r="E1195" s="1"/>
      <c r="F1195" s="1"/>
      <c r="G1195" s="1"/>
      <c r="H1195" s="1"/>
      <c r="L1195" s="1" t="s">
        <v>1524</v>
      </c>
      <c r="M1195" s="1" t="s">
        <v>2741</v>
      </c>
      <c r="N1195" s="1"/>
      <c r="O1195" s="1"/>
      <c r="P1195" s="2" t="s">
        <v>3432</v>
      </c>
    </row>
    <row r="1196" spans="1:16" ht="15" customHeight="1" x14ac:dyDescent="0.25">
      <c r="A1196" s="1" t="s">
        <v>1247</v>
      </c>
      <c r="B1196" s="2" t="s">
        <v>3367</v>
      </c>
      <c r="D1196" s="1"/>
      <c r="E1196" s="1"/>
      <c r="F1196" s="1"/>
      <c r="G1196" s="1"/>
      <c r="H1196" s="1"/>
      <c r="L1196" s="1" t="s">
        <v>1524</v>
      </c>
      <c r="M1196" s="1" t="s">
        <v>3430</v>
      </c>
      <c r="N1196" s="1"/>
      <c r="O1196" s="1"/>
      <c r="P1196" s="2" t="s">
        <v>3432</v>
      </c>
    </row>
    <row r="1197" spans="1:16" ht="15" customHeight="1" x14ac:dyDescent="0.25">
      <c r="A1197" s="1" t="s">
        <v>1247</v>
      </c>
      <c r="B1197" s="2" t="s">
        <v>3367</v>
      </c>
      <c r="D1197" s="1"/>
      <c r="E1197" s="1"/>
      <c r="F1197" s="1"/>
      <c r="G1197" s="1"/>
      <c r="H1197" s="1"/>
      <c r="L1197" s="1" t="s">
        <v>1524</v>
      </c>
      <c r="M1197" s="1" t="s">
        <v>3329</v>
      </c>
      <c r="N1197" s="1"/>
      <c r="O1197" s="1"/>
      <c r="P1197" s="2" t="s">
        <v>3432</v>
      </c>
    </row>
    <row r="1198" spans="1:16" ht="15" customHeight="1" x14ac:dyDescent="0.25">
      <c r="A1198" s="1" t="s">
        <v>1247</v>
      </c>
      <c r="B1198" s="2" t="s">
        <v>3367</v>
      </c>
      <c r="D1198" s="1"/>
      <c r="E1198" s="1"/>
      <c r="F1198" s="1"/>
      <c r="G1198" s="1"/>
      <c r="H1198" s="1"/>
      <c r="L1198" s="1" t="s">
        <v>1524</v>
      </c>
      <c r="M1198" s="1" t="s">
        <v>3334</v>
      </c>
      <c r="N1198" s="1"/>
      <c r="O1198" s="1"/>
      <c r="P1198" s="2" t="s">
        <v>3432</v>
      </c>
    </row>
    <row r="1199" spans="1:16" ht="15" customHeight="1" x14ac:dyDescent="0.25">
      <c r="A1199" s="1" t="s">
        <v>1247</v>
      </c>
      <c r="B1199" s="2" t="s">
        <v>3367</v>
      </c>
      <c r="D1199" s="1"/>
      <c r="E1199" s="1"/>
      <c r="F1199" s="1"/>
      <c r="G1199" s="1"/>
      <c r="H1199" s="1"/>
      <c r="L1199" s="1"/>
      <c r="M1199" s="1"/>
      <c r="N1199" s="1" t="s">
        <v>1529</v>
      </c>
      <c r="O1199" s="1" t="s">
        <v>3360</v>
      </c>
      <c r="P1199" s="2" t="s">
        <v>3432</v>
      </c>
    </row>
    <row r="1200" spans="1:16" ht="15" customHeight="1" x14ac:dyDescent="0.25">
      <c r="A1200" s="1" t="s">
        <v>1247</v>
      </c>
      <c r="B1200" s="2" t="s">
        <v>3367</v>
      </c>
      <c r="D1200" s="1"/>
      <c r="E1200" s="1"/>
      <c r="F1200" s="1"/>
      <c r="G1200" s="1"/>
      <c r="H1200" s="1"/>
      <c r="L1200" s="1"/>
      <c r="M1200" s="1"/>
      <c r="N1200" s="1" t="s">
        <v>1529</v>
      </c>
      <c r="O1200" s="1" t="s">
        <v>3360</v>
      </c>
      <c r="P1200" s="2" t="s">
        <v>3432</v>
      </c>
    </row>
    <row r="1201" spans="1:16" ht="15" customHeight="1" x14ac:dyDescent="0.25">
      <c r="A1201" s="1" t="s">
        <v>1247</v>
      </c>
      <c r="B1201" s="2" t="s">
        <v>3367</v>
      </c>
      <c r="D1201" s="1"/>
      <c r="E1201" s="1"/>
      <c r="F1201" s="1"/>
      <c r="G1201" s="1"/>
      <c r="H1201" s="1"/>
      <c r="L1201" s="1"/>
      <c r="M1201" s="1"/>
      <c r="N1201" s="1" t="s">
        <v>1529</v>
      </c>
      <c r="O1201" s="1" t="s">
        <v>3339</v>
      </c>
      <c r="P1201" s="2" t="s">
        <v>3432</v>
      </c>
    </row>
    <row r="1202" spans="1:16" ht="15" customHeight="1" x14ac:dyDescent="0.25">
      <c r="A1202" s="1" t="s">
        <v>1247</v>
      </c>
      <c r="B1202" s="2" t="s">
        <v>3367</v>
      </c>
      <c r="D1202" s="1"/>
      <c r="E1202" s="1"/>
      <c r="F1202" s="1"/>
      <c r="G1202" s="1"/>
      <c r="H1202" s="1"/>
      <c r="L1202" s="1"/>
      <c r="M1202" s="1"/>
      <c r="N1202" s="1" t="s">
        <v>1529</v>
      </c>
      <c r="O1202" s="1" t="s">
        <v>3339</v>
      </c>
      <c r="P1202" s="2" t="s">
        <v>3432</v>
      </c>
    </row>
    <row r="1203" spans="1:16" ht="15" customHeight="1" x14ac:dyDescent="0.25">
      <c r="A1203" s="1" t="s">
        <v>1247</v>
      </c>
      <c r="B1203" s="2" t="s">
        <v>3367</v>
      </c>
      <c r="D1203" s="1"/>
      <c r="E1203" s="1"/>
      <c r="F1203" s="1"/>
      <c r="G1203" s="1"/>
      <c r="H1203" s="1"/>
      <c r="L1203" s="1"/>
      <c r="M1203" s="1"/>
      <c r="N1203" s="1" t="s">
        <v>1529</v>
      </c>
      <c r="O1203" s="1" t="s">
        <v>3431</v>
      </c>
      <c r="P1203" s="2" t="s">
        <v>3432</v>
      </c>
    </row>
    <row r="1204" spans="1:16" ht="15" customHeight="1" x14ac:dyDescent="0.25">
      <c r="A1204" s="1" t="s">
        <v>1247</v>
      </c>
      <c r="B1204" s="2" t="s">
        <v>3367</v>
      </c>
      <c r="D1204" s="1"/>
      <c r="E1204" s="1"/>
      <c r="F1204" s="1"/>
      <c r="G1204" s="1"/>
      <c r="H1204" s="1"/>
      <c r="L1204" s="1"/>
      <c r="M1204" s="1"/>
      <c r="N1204" s="1" t="s">
        <v>1529</v>
      </c>
      <c r="O1204" s="1" t="s">
        <v>3431</v>
      </c>
      <c r="P1204" s="2" t="s">
        <v>3432</v>
      </c>
    </row>
    <row r="1205" spans="1:16" ht="15" customHeight="1" x14ac:dyDescent="0.25">
      <c r="A1205" s="1" t="s">
        <v>1247</v>
      </c>
      <c r="B1205" s="2" t="s">
        <v>3367</v>
      </c>
      <c r="D1205" s="1"/>
      <c r="E1205" s="1"/>
      <c r="F1205" s="1"/>
      <c r="G1205" s="1"/>
      <c r="H1205" s="1"/>
      <c r="L1205" s="1"/>
      <c r="M1205" s="1"/>
      <c r="N1205" s="1" t="s">
        <v>1529</v>
      </c>
      <c r="O1205" s="1" t="s">
        <v>3340</v>
      </c>
      <c r="P1205" s="2" t="s">
        <v>3432</v>
      </c>
    </row>
    <row r="1206" spans="1:16" ht="15" customHeight="1" x14ac:dyDescent="0.25">
      <c r="A1206" s="1" t="s">
        <v>1247</v>
      </c>
      <c r="B1206" s="2" t="s">
        <v>3367</v>
      </c>
      <c r="D1206" s="1"/>
      <c r="E1206" s="1"/>
      <c r="F1206" s="1"/>
      <c r="G1206" s="1"/>
      <c r="H1206" s="1"/>
      <c r="L1206" s="1"/>
      <c r="M1206" s="1"/>
      <c r="N1206" s="1" t="s">
        <v>1529</v>
      </c>
      <c r="O1206" s="1" t="s">
        <v>3340</v>
      </c>
      <c r="P1206" s="2" t="s">
        <v>3432</v>
      </c>
    </row>
    <row r="1207" spans="1:16" ht="15" customHeight="1" x14ac:dyDescent="0.25">
      <c r="A1207" s="1" t="s">
        <v>1247</v>
      </c>
      <c r="B1207" s="2" t="s">
        <v>3367</v>
      </c>
      <c r="D1207" s="1"/>
      <c r="E1207" s="1"/>
      <c r="F1207" s="1"/>
      <c r="G1207" s="1"/>
      <c r="H1207" s="1"/>
      <c r="L1207" s="1"/>
      <c r="M1207" s="1"/>
      <c r="N1207" s="1" t="s">
        <v>1529</v>
      </c>
      <c r="O1207" s="1" t="s">
        <v>3341</v>
      </c>
      <c r="P1207" s="2" t="s">
        <v>3432</v>
      </c>
    </row>
    <row r="1208" spans="1:16" ht="15" customHeight="1" x14ac:dyDescent="0.25">
      <c r="A1208" s="1" t="s">
        <v>1247</v>
      </c>
      <c r="B1208" s="2" t="s">
        <v>3367</v>
      </c>
      <c r="D1208" s="1"/>
      <c r="E1208" s="1"/>
      <c r="F1208" s="1"/>
      <c r="G1208" s="1"/>
      <c r="H1208" s="1"/>
      <c r="L1208" s="1"/>
      <c r="M1208" s="1"/>
      <c r="N1208" s="1" t="s">
        <v>1529</v>
      </c>
      <c r="O1208" s="1" t="s">
        <v>3341</v>
      </c>
      <c r="P1208" s="2" t="s">
        <v>3432</v>
      </c>
    </row>
    <row r="1209" spans="1:16" ht="15" customHeight="1" x14ac:dyDescent="0.25">
      <c r="A1209" s="1" t="s">
        <v>1251</v>
      </c>
      <c r="B1209" s="2" t="s">
        <v>3433</v>
      </c>
      <c r="C1209" t="b">
        <v>0</v>
      </c>
      <c r="D1209" s="1" t="s">
        <v>16</v>
      </c>
      <c r="E1209" s="1" t="s">
        <v>2682</v>
      </c>
      <c r="F1209" s="1" t="s">
        <v>2702</v>
      </c>
      <c r="G1209" s="1" t="s">
        <v>2722</v>
      </c>
      <c r="H1209" s="1" t="s">
        <v>5</v>
      </c>
      <c r="I1209">
        <v>10</v>
      </c>
      <c r="L1209" s="1"/>
      <c r="M1209" s="1"/>
      <c r="N1209" s="1"/>
      <c r="O1209" s="1"/>
      <c r="P1209" s="2" t="s">
        <v>3476</v>
      </c>
    </row>
    <row r="1210" spans="1:16" ht="15" customHeight="1" x14ac:dyDescent="0.25">
      <c r="A1210" s="1" t="s">
        <v>1251</v>
      </c>
      <c r="B1210" s="2" t="s">
        <v>3433</v>
      </c>
      <c r="C1210" t="b">
        <v>1</v>
      </c>
      <c r="D1210" s="1" t="s">
        <v>1454</v>
      </c>
      <c r="E1210" s="1" t="s">
        <v>2683</v>
      </c>
      <c r="F1210" s="1" t="s">
        <v>2703</v>
      </c>
      <c r="G1210" s="1" t="s">
        <v>2723</v>
      </c>
      <c r="H1210" s="1" t="s">
        <v>5</v>
      </c>
      <c r="I1210">
        <v>4</v>
      </c>
      <c r="L1210" s="1"/>
      <c r="M1210" s="1"/>
      <c r="N1210" s="1"/>
      <c r="O1210" s="1"/>
      <c r="P1210" s="2" t="s">
        <v>3476</v>
      </c>
    </row>
    <row r="1211" spans="1:16" ht="15" customHeight="1" x14ac:dyDescent="0.25">
      <c r="A1211" s="1" t="s">
        <v>1251</v>
      </c>
      <c r="B1211" s="2" t="s">
        <v>3433</v>
      </c>
      <c r="C1211" t="b">
        <v>1</v>
      </c>
      <c r="D1211" s="1" t="s">
        <v>1390</v>
      </c>
      <c r="E1211" s="1" t="s">
        <v>2684</v>
      </c>
      <c r="F1211" s="1" t="s">
        <v>2704</v>
      </c>
      <c r="G1211" s="1" t="s">
        <v>1390</v>
      </c>
      <c r="H1211" s="1" t="s">
        <v>5</v>
      </c>
      <c r="I1211">
        <v>35</v>
      </c>
      <c r="L1211" s="1"/>
      <c r="M1211" s="1"/>
      <c r="N1211" s="1"/>
      <c r="O1211" s="1"/>
      <c r="P1211" s="2" t="s">
        <v>3476</v>
      </c>
    </row>
    <row r="1212" spans="1:16" ht="15" customHeight="1" x14ac:dyDescent="0.25">
      <c r="A1212" s="1" t="s">
        <v>1251</v>
      </c>
      <c r="B1212" s="2" t="s">
        <v>3433</v>
      </c>
      <c r="C1212" t="b">
        <v>1</v>
      </c>
      <c r="D1212" s="1" t="s">
        <v>1203</v>
      </c>
      <c r="E1212" s="1" t="s">
        <v>2685</v>
      </c>
      <c r="F1212" s="1" t="s">
        <v>2705</v>
      </c>
      <c r="G1212" s="1" t="s">
        <v>1203</v>
      </c>
      <c r="H1212" s="1" t="s">
        <v>5</v>
      </c>
      <c r="I1212">
        <v>35</v>
      </c>
      <c r="L1212" s="1"/>
      <c r="M1212" s="1"/>
      <c r="N1212" s="1"/>
      <c r="O1212" s="1"/>
      <c r="P1212" s="2" t="s">
        <v>3476</v>
      </c>
    </row>
    <row r="1213" spans="1:16" ht="15" customHeight="1" x14ac:dyDescent="0.25">
      <c r="A1213" s="1" t="s">
        <v>1251</v>
      </c>
      <c r="B1213" s="2" t="s">
        <v>3433</v>
      </c>
      <c r="C1213" t="b">
        <v>0</v>
      </c>
      <c r="D1213" s="1" t="s">
        <v>1236</v>
      </c>
      <c r="E1213" s="1" t="s">
        <v>3269</v>
      </c>
      <c r="F1213" s="1" t="s">
        <v>2434</v>
      </c>
      <c r="G1213" s="1" t="s">
        <v>2448</v>
      </c>
      <c r="H1213" s="1" t="s">
        <v>5</v>
      </c>
      <c r="I1213">
        <v>4</v>
      </c>
      <c r="L1213" s="1"/>
      <c r="M1213" s="1"/>
      <c r="N1213" s="1"/>
      <c r="O1213" s="1"/>
      <c r="P1213" s="2" t="s">
        <v>3476</v>
      </c>
    </row>
    <row r="1214" spans="1:16" ht="15" customHeight="1" x14ac:dyDescent="0.25">
      <c r="A1214" s="1" t="s">
        <v>1251</v>
      </c>
      <c r="B1214" s="2" t="s">
        <v>3433</v>
      </c>
      <c r="C1214" t="b">
        <v>1</v>
      </c>
      <c r="D1214" s="1" t="s">
        <v>3257</v>
      </c>
      <c r="E1214" s="1" t="s">
        <v>3270</v>
      </c>
      <c r="F1214" s="1" t="s">
        <v>2995</v>
      </c>
      <c r="G1214" s="1" t="s">
        <v>2981</v>
      </c>
      <c r="H1214" s="1" t="s">
        <v>5</v>
      </c>
      <c r="I1214">
        <v>20</v>
      </c>
      <c r="L1214" s="1"/>
      <c r="M1214" s="1"/>
      <c r="N1214" s="1"/>
      <c r="O1214" s="1"/>
      <c r="P1214" s="2" t="s">
        <v>3476</v>
      </c>
    </row>
    <row r="1215" spans="1:16" ht="15" customHeight="1" x14ac:dyDescent="0.25">
      <c r="A1215" s="1" t="s">
        <v>1251</v>
      </c>
      <c r="B1215" s="2" t="s">
        <v>3433</v>
      </c>
      <c r="C1215" t="b">
        <v>0</v>
      </c>
      <c r="D1215" s="1" t="s">
        <v>1233</v>
      </c>
      <c r="E1215" s="1" t="s">
        <v>3271</v>
      </c>
      <c r="F1215" s="1" t="s">
        <v>2435</v>
      </c>
      <c r="G1215" s="1" t="s">
        <v>2449</v>
      </c>
      <c r="H1215" s="1" t="s">
        <v>5</v>
      </c>
      <c r="I1215">
        <v>2</v>
      </c>
      <c r="L1215" s="1"/>
      <c r="M1215" s="1"/>
      <c r="N1215" s="1"/>
      <c r="O1215" s="1"/>
      <c r="P1215" s="2" t="s">
        <v>3476</v>
      </c>
    </row>
    <row r="1216" spans="1:16" ht="15" customHeight="1" x14ac:dyDescent="0.25">
      <c r="A1216" s="1" t="s">
        <v>1251</v>
      </c>
      <c r="B1216" s="2" t="s">
        <v>3433</v>
      </c>
      <c r="C1216" t="b">
        <v>1</v>
      </c>
      <c r="D1216" s="1" t="s">
        <v>3258</v>
      </c>
      <c r="E1216" s="1" t="s">
        <v>3272</v>
      </c>
      <c r="F1216" s="1" t="s">
        <v>2995</v>
      </c>
      <c r="G1216" s="1" t="s">
        <v>2981</v>
      </c>
      <c r="H1216" s="1" t="s">
        <v>5</v>
      </c>
      <c r="I1216">
        <v>20</v>
      </c>
      <c r="L1216" s="1"/>
      <c r="M1216" s="1"/>
      <c r="N1216" s="1"/>
      <c r="O1216" s="1"/>
      <c r="P1216" s="2" t="s">
        <v>3476</v>
      </c>
    </row>
    <row r="1217" spans="1:16" ht="15" customHeight="1" x14ac:dyDescent="0.25">
      <c r="A1217" s="1" t="s">
        <v>1251</v>
      </c>
      <c r="B1217" s="2" t="s">
        <v>3433</v>
      </c>
      <c r="C1217" t="b">
        <v>0</v>
      </c>
      <c r="D1217" s="1" t="s">
        <v>1234</v>
      </c>
      <c r="E1217" s="1" t="s">
        <v>3273</v>
      </c>
      <c r="F1217" s="1" t="s">
        <v>1498</v>
      </c>
      <c r="G1217" s="1" t="s">
        <v>1234</v>
      </c>
      <c r="H1217" s="1" t="s">
        <v>5</v>
      </c>
      <c r="I1217">
        <v>2</v>
      </c>
      <c r="L1217" s="1"/>
      <c r="M1217" s="1"/>
      <c r="N1217" s="1"/>
      <c r="O1217" s="1"/>
      <c r="P1217" s="2" t="s">
        <v>3476</v>
      </c>
    </row>
    <row r="1218" spans="1:16" ht="15" customHeight="1" x14ac:dyDescent="0.25">
      <c r="A1218" s="1" t="s">
        <v>1251</v>
      </c>
      <c r="B1218" s="2" t="s">
        <v>3433</v>
      </c>
      <c r="C1218" t="b">
        <v>1</v>
      </c>
      <c r="D1218" s="1" t="s">
        <v>3259</v>
      </c>
      <c r="E1218" s="1" t="s">
        <v>3274</v>
      </c>
      <c r="F1218" s="1" t="s">
        <v>2995</v>
      </c>
      <c r="G1218" s="1" t="s">
        <v>2981</v>
      </c>
      <c r="H1218" s="1" t="s">
        <v>5</v>
      </c>
      <c r="I1218">
        <v>20</v>
      </c>
      <c r="L1218" s="1"/>
      <c r="M1218" s="1"/>
      <c r="N1218" s="1"/>
      <c r="O1218" s="1"/>
      <c r="P1218" s="2" t="s">
        <v>3476</v>
      </c>
    </row>
    <row r="1219" spans="1:16" ht="15" customHeight="1" x14ac:dyDescent="0.25">
      <c r="A1219" s="1" t="s">
        <v>1251</v>
      </c>
      <c r="B1219" s="2" t="s">
        <v>3433</v>
      </c>
      <c r="C1219" t="b">
        <v>1</v>
      </c>
      <c r="D1219" s="1" t="s">
        <v>3434</v>
      </c>
      <c r="E1219" s="1" t="s">
        <v>3442</v>
      </c>
      <c r="F1219" s="1" t="s">
        <v>3455</v>
      </c>
      <c r="G1219" s="1" t="s">
        <v>3464</v>
      </c>
      <c r="H1219" s="1" t="s">
        <v>1576</v>
      </c>
      <c r="J1219">
        <v>2</v>
      </c>
      <c r="K1219">
        <v>0</v>
      </c>
      <c r="L1219" s="1"/>
      <c r="M1219" s="1"/>
      <c r="N1219" s="1"/>
      <c r="O1219" s="1"/>
      <c r="P1219" s="2" t="s">
        <v>3476</v>
      </c>
    </row>
    <row r="1220" spans="1:16" ht="15" customHeight="1" x14ac:dyDescent="0.25">
      <c r="A1220" s="1" t="s">
        <v>1251</v>
      </c>
      <c r="B1220" s="2" t="s">
        <v>3433</v>
      </c>
      <c r="C1220" t="b">
        <v>1</v>
      </c>
      <c r="D1220" s="1" t="s">
        <v>3435</v>
      </c>
      <c r="E1220" s="1" t="s">
        <v>3443</v>
      </c>
      <c r="F1220" s="1" t="s">
        <v>3456</v>
      </c>
      <c r="G1220" s="1" t="s">
        <v>3465</v>
      </c>
      <c r="H1220" s="1" t="s">
        <v>5</v>
      </c>
      <c r="I1220">
        <v>1</v>
      </c>
      <c r="L1220" s="1"/>
      <c r="M1220" s="1"/>
      <c r="N1220" s="1"/>
      <c r="O1220" s="1"/>
      <c r="P1220" s="2" t="s">
        <v>3476</v>
      </c>
    </row>
    <row r="1221" spans="1:16" ht="15" customHeight="1" x14ac:dyDescent="0.25">
      <c r="A1221" s="1" t="s">
        <v>1251</v>
      </c>
      <c r="B1221" s="2" t="s">
        <v>3433</v>
      </c>
      <c r="C1221" t="b">
        <v>1</v>
      </c>
      <c r="D1221" s="1" t="s">
        <v>1248</v>
      </c>
      <c r="E1221" s="1" t="s">
        <v>3444</v>
      </c>
      <c r="F1221" s="1" t="s">
        <v>3457</v>
      </c>
      <c r="G1221" s="1" t="s">
        <v>3466</v>
      </c>
      <c r="H1221" s="1" t="s">
        <v>5</v>
      </c>
      <c r="I1221">
        <v>2</v>
      </c>
      <c r="L1221" s="1"/>
      <c r="M1221" s="1"/>
      <c r="N1221" s="1"/>
      <c r="O1221" s="1"/>
      <c r="P1221" s="2" t="s">
        <v>3476</v>
      </c>
    </row>
    <row r="1222" spans="1:16" ht="15" customHeight="1" x14ac:dyDescent="0.25">
      <c r="A1222" s="1" t="s">
        <v>1251</v>
      </c>
      <c r="B1222" s="2" t="s">
        <v>3433</v>
      </c>
      <c r="C1222" t="b">
        <v>0</v>
      </c>
      <c r="D1222" s="1" t="s">
        <v>3436</v>
      </c>
      <c r="E1222" s="1" t="s">
        <v>3445</v>
      </c>
      <c r="F1222" s="1" t="s">
        <v>2995</v>
      </c>
      <c r="G1222" s="1" t="s">
        <v>3467</v>
      </c>
      <c r="H1222" s="1" t="s">
        <v>5</v>
      </c>
      <c r="I1222">
        <v>20</v>
      </c>
      <c r="L1222" s="1"/>
      <c r="M1222" s="1"/>
      <c r="N1222" s="1"/>
      <c r="O1222" s="1"/>
      <c r="P1222" s="2" t="s">
        <v>3476</v>
      </c>
    </row>
    <row r="1223" spans="1:16" ht="15" customHeight="1" x14ac:dyDescent="0.25">
      <c r="A1223" s="1" t="s">
        <v>1251</v>
      </c>
      <c r="B1223" s="2" t="s">
        <v>3433</v>
      </c>
      <c r="C1223" t="b">
        <v>1</v>
      </c>
      <c r="D1223" s="1" t="s">
        <v>3437</v>
      </c>
      <c r="E1223" s="1" t="s">
        <v>3446</v>
      </c>
      <c r="F1223" s="1" t="s">
        <v>3458</v>
      </c>
      <c r="G1223" s="1" t="s">
        <v>2455</v>
      </c>
      <c r="H1223" s="1" t="s">
        <v>5</v>
      </c>
      <c r="I1223">
        <v>4</v>
      </c>
      <c r="L1223" s="1"/>
      <c r="M1223" s="1"/>
      <c r="N1223" s="1"/>
      <c r="O1223" s="1"/>
      <c r="P1223" s="2" t="s">
        <v>3476</v>
      </c>
    </row>
    <row r="1224" spans="1:16" ht="15" customHeight="1" x14ac:dyDescent="0.25">
      <c r="A1224" s="1" t="s">
        <v>1251</v>
      </c>
      <c r="B1224" s="2" t="s">
        <v>3433</v>
      </c>
      <c r="C1224" t="b">
        <v>1</v>
      </c>
      <c r="D1224" s="1" t="s">
        <v>1249</v>
      </c>
      <c r="E1224" s="1" t="s">
        <v>3447</v>
      </c>
      <c r="F1224" s="1" t="s">
        <v>3459</v>
      </c>
      <c r="G1224" s="1" t="s">
        <v>3468</v>
      </c>
      <c r="H1224" s="1" t="s">
        <v>5</v>
      </c>
      <c r="I1224">
        <v>1</v>
      </c>
      <c r="L1224" s="1"/>
      <c r="M1224" s="1"/>
      <c r="N1224" s="1"/>
      <c r="O1224" s="1"/>
      <c r="P1224" s="2" t="s">
        <v>3476</v>
      </c>
    </row>
    <row r="1225" spans="1:16" ht="15" customHeight="1" x14ac:dyDescent="0.25">
      <c r="A1225" s="1" t="s">
        <v>1251</v>
      </c>
      <c r="B1225" s="2" t="s">
        <v>3433</v>
      </c>
      <c r="C1225" t="b">
        <v>1</v>
      </c>
      <c r="D1225" s="1" t="s">
        <v>3438</v>
      </c>
      <c r="E1225" s="1" t="s">
        <v>3448</v>
      </c>
      <c r="F1225" s="1" t="s">
        <v>3460</v>
      </c>
      <c r="G1225" s="1" t="s">
        <v>3469</v>
      </c>
      <c r="H1225" s="1" t="s">
        <v>748</v>
      </c>
      <c r="J1225">
        <v>11</v>
      </c>
      <c r="K1225">
        <v>0</v>
      </c>
      <c r="L1225" s="1"/>
      <c r="M1225" s="1"/>
      <c r="N1225" s="1"/>
      <c r="O1225" s="1"/>
      <c r="P1225" s="2" t="s">
        <v>3476</v>
      </c>
    </row>
    <row r="1226" spans="1:16" ht="15" customHeight="1" x14ac:dyDescent="0.25">
      <c r="A1226" s="1" t="s">
        <v>1251</v>
      </c>
      <c r="B1226" s="2" t="s">
        <v>3433</v>
      </c>
      <c r="C1226" t="b">
        <v>1</v>
      </c>
      <c r="D1226" s="1" t="s">
        <v>3439</v>
      </c>
      <c r="E1226" s="1" t="s">
        <v>3449</v>
      </c>
      <c r="F1226" s="1" t="s">
        <v>3461</v>
      </c>
      <c r="G1226" s="1" t="s">
        <v>3470</v>
      </c>
      <c r="H1226" s="1" t="s">
        <v>5</v>
      </c>
      <c r="I1226">
        <v>1</v>
      </c>
      <c r="L1226" s="1"/>
      <c r="M1226" s="1"/>
      <c r="N1226" s="1"/>
      <c r="O1226" s="1"/>
      <c r="P1226" s="2" t="s">
        <v>3476</v>
      </c>
    </row>
    <row r="1227" spans="1:16" ht="15" customHeight="1" x14ac:dyDescent="0.25">
      <c r="A1227" s="1" t="s">
        <v>1251</v>
      </c>
      <c r="B1227" s="2" t="s">
        <v>3433</v>
      </c>
      <c r="C1227" t="b">
        <v>1</v>
      </c>
      <c r="D1227" s="1" t="s">
        <v>1250</v>
      </c>
      <c r="E1227" s="1" t="s">
        <v>3450</v>
      </c>
      <c r="F1227" s="1" t="s">
        <v>3462</v>
      </c>
      <c r="G1227" s="1" t="s">
        <v>3471</v>
      </c>
      <c r="H1227" s="1" t="s">
        <v>5</v>
      </c>
      <c r="I1227">
        <v>1</v>
      </c>
      <c r="L1227" s="1"/>
      <c r="M1227" s="1"/>
      <c r="N1227" s="1"/>
      <c r="O1227" s="1"/>
      <c r="P1227" s="2" t="s">
        <v>3476</v>
      </c>
    </row>
    <row r="1228" spans="1:16" ht="15" customHeight="1" x14ac:dyDescent="0.25">
      <c r="A1228" s="1" t="s">
        <v>1251</v>
      </c>
      <c r="B1228" s="2" t="s">
        <v>3433</v>
      </c>
      <c r="C1228" t="b">
        <v>1</v>
      </c>
      <c r="D1228" s="1" t="s">
        <v>3440</v>
      </c>
      <c r="E1228" s="1" t="s">
        <v>3451</v>
      </c>
      <c r="F1228" s="1" t="s">
        <v>3463</v>
      </c>
      <c r="G1228" s="1" t="s">
        <v>3472</v>
      </c>
      <c r="H1228" s="1" t="s">
        <v>748</v>
      </c>
      <c r="J1228">
        <v>1</v>
      </c>
      <c r="K1228">
        <v>0</v>
      </c>
      <c r="L1228" s="1"/>
      <c r="M1228" s="1"/>
      <c r="N1228" s="1"/>
      <c r="O1228" s="1"/>
      <c r="P1228" s="2" t="s">
        <v>3476</v>
      </c>
    </row>
    <row r="1229" spans="1:16" ht="15" customHeight="1" x14ac:dyDescent="0.25">
      <c r="A1229" s="1" t="s">
        <v>1251</v>
      </c>
      <c r="B1229" s="2" t="s">
        <v>3433</v>
      </c>
      <c r="C1229" t="b">
        <v>1</v>
      </c>
      <c r="D1229" s="1" t="s">
        <v>3441</v>
      </c>
      <c r="E1229" s="1" t="s">
        <v>3452</v>
      </c>
      <c r="F1229" s="1" t="s">
        <v>2311</v>
      </c>
      <c r="G1229" s="1" t="s">
        <v>3473</v>
      </c>
      <c r="H1229" s="1" t="s">
        <v>5</v>
      </c>
      <c r="I1229">
        <v>1</v>
      </c>
      <c r="L1229" s="1"/>
      <c r="M1229" s="1"/>
      <c r="N1229" s="1"/>
      <c r="O1229" s="1"/>
      <c r="P1229" s="2" t="s">
        <v>3476</v>
      </c>
    </row>
    <row r="1230" spans="1:16" ht="15" customHeight="1" x14ac:dyDescent="0.25">
      <c r="A1230" s="1" t="s">
        <v>1251</v>
      </c>
      <c r="B1230" s="2" t="s">
        <v>3433</v>
      </c>
      <c r="C1230" t="b">
        <v>1</v>
      </c>
      <c r="D1230" s="1" t="s">
        <v>2262</v>
      </c>
      <c r="E1230" s="1" t="s">
        <v>3453</v>
      </c>
      <c r="F1230" s="1" t="s">
        <v>2305</v>
      </c>
      <c r="G1230" s="1" t="s">
        <v>2330</v>
      </c>
      <c r="H1230" s="1" t="s">
        <v>748</v>
      </c>
      <c r="J1230">
        <v>3</v>
      </c>
      <c r="K1230">
        <v>1</v>
      </c>
      <c r="L1230" s="1"/>
      <c r="M1230" s="1"/>
      <c r="N1230" s="1"/>
      <c r="O1230" s="1"/>
      <c r="P1230" s="2" t="s">
        <v>3476</v>
      </c>
    </row>
    <row r="1231" spans="1:16" ht="15" customHeight="1" x14ac:dyDescent="0.25">
      <c r="A1231" s="1" t="s">
        <v>1251</v>
      </c>
      <c r="B1231" s="2" t="s">
        <v>3433</v>
      </c>
      <c r="C1231" t="b">
        <v>1</v>
      </c>
      <c r="D1231" s="1" t="s">
        <v>2264</v>
      </c>
      <c r="E1231" s="1" t="s">
        <v>3454</v>
      </c>
      <c r="F1231" s="1" t="s">
        <v>2307</v>
      </c>
      <c r="G1231" s="1" t="s">
        <v>2332</v>
      </c>
      <c r="H1231" s="1" t="s">
        <v>748</v>
      </c>
      <c r="J1231">
        <v>3</v>
      </c>
      <c r="K1231">
        <v>1</v>
      </c>
      <c r="L1231" s="1"/>
      <c r="M1231" s="1"/>
      <c r="N1231" s="1"/>
      <c r="O1231" s="1"/>
      <c r="P1231" s="2" t="s">
        <v>3476</v>
      </c>
    </row>
    <row r="1232" spans="1:16" ht="15" customHeight="1" x14ac:dyDescent="0.25">
      <c r="A1232" s="1" t="s">
        <v>1251</v>
      </c>
      <c r="B1232" s="2" t="s">
        <v>3433</v>
      </c>
      <c r="C1232" t="b">
        <v>1</v>
      </c>
      <c r="D1232" s="1" t="s">
        <v>1396</v>
      </c>
      <c r="E1232" s="1" t="s">
        <v>2944</v>
      </c>
      <c r="F1232" s="1" t="s">
        <v>2961</v>
      </c>
      <c r="G1232" s="1" t="s">
        <v>2971</v>
      </c>
      <c r="H1232" s="1" t="s">
        <v>5</v>
      </c>
      <c r="I1232">
        <v>10</v>
      </c>
      <c r="L1232" s="1"/>
      <c r="M1232" s="1"/>
      <c r="N1232" s="1"/>
      <c r="O1232" s="1"/>
      <c r="P1232" s="2" t="s">
        <v>3476</v>
      </c>
    </row>
    <row r="1233" spans="1:16" ht="15" customHeight="1" x14ac:dyDescent="0.25">
      <c r="A1233" s="1" t="s">
        <v>1251</v>
      </c>
      <c r="B1233" s="2" t="s">
        <v>3433</v>
      </c>
      <c r="D1233" s="1"/>
      <c r="E1233" s="1"/>
      <c r="F1233" s="1"/>
      <c r="G1233" s="1"/>
      <c r="H1233" s="1"/>
      <c r="L1233" s="1" t="s">
        <v>1524</v>
      </c>
      <c r="M1233" s="1" t="s">
        <v>3326</v>
      </c>
      <c r="N1233" s="1"/>
      <c r="O1233" s="1"/>
      <c r="P1233" s="2" t="s">
        <v>3476</v>
      </c>
    </row>
    <row r="1234" spans="1:16" ht="15" customHeight="1" x14ac:dyDescent="0.25">
      <c r="A1234" s="1" t="s">
        <v>1251</v>
      </c>
      <c r="B1234" s="2" t="s">
        <v>3433</v>
      </c>
      <c r="D1234" s="1"/>
      <c r="E1234" s="1"/>
      <c r="F1234" s="1"/>
      <c r="G1234" s="1"/>
      <c r="H1234" s="1"/>
      <c r="L1234" s="1" t="s">
        <v>1524</v>
      </c>
      <c r="M1234" s="1" t="s">
        <v>3474</v>
      </c>
      <c r="N1234" s="1"/>
      <c r="O1234" s="1"/>
      <c r="P1234" s="2" t="s">
        <v>3476</v>
      </c>
    </row>
    <row r="1235" spans="1:16" ht="15" customHeight="1" x14ac:dyDescent="0.25">
      <c r="A1235" s="1" t="s">
        <v>1251</v>
      </c>
      <c r="B1235" s="2" t="s">
        <v>3433</v>
      </c>
      <c r="D1235" s="1"/>
      <c r="E1235" s="1"/>
      <c r="F1235" s="1"/>
      <c r="G1235" s="1"/>
      <c r="H1235" s="1"/>
      <c r="L1235" s="1" t="s">
        <v>1524</v>
      </c>
      <c r="M1235" s="1" t="s">
        <v>3330</v>
      </c>
      <c r="N1235" s="1"/>
      <c r="O1235" s="1"/>
      <c r="P1235" s="2" t="s">
        <v>3476</v>
      </c>
    </row>
    <row r="1236" spans="1:16" ht="15" customHeight="1" x14ac:dyDescent="0.25">
      <c r="A1236" s="1" t="s">
        <v>1251</v>
      </c>
      <c r="B1236" s="2" t="s">
        <v>3433</v>
      </c>
      <c r="D1236" s="1"/>
      <c r="E1236" s="1"/>
      <c r="F1236" s="1"/>
      <c r="G1236" s="1"/>
      <c r="H1236" s="1"/>
      <c r="L1236" s="1" t="s">
        <v>1524</v>
      </c>
      <c r="M1236" s="1" t="s">
        <v>2741</v>
      </c>
      <c r="N1236" s="1"/>
      <c r="O1236" s="1"/>
      <c r="P1236" s="2" t="s">
        <v>3476</v>
      </c>
    </row>
    <row r="1237" spans="1:16" ht="15" customHeight="1" x14ac:dyDescent="0.25">
      <c r="A1237" s="1" t="s">
        <v>1251</v>
      </c>
      <c r="B1237" s="2" t="s">
        <v>3433</v>
      </c>
      <c r="D1237" s="1"/>
      <c r="E1237" s="1"/>
      <c r="F1237" s="1"/>
      <c r="G1237" s="1"/>
      <c r="H1237" s="1"/>
      <c r="L1237" s="1" t="s">
        <v>1524</v>
      </c>
      <c r="M1237" s="1" t="s">
        <v>3329</v>
      </c>
      <c r="N1237" s="1"/>
      <c r="O1237" s="1"/>
      <c r="P1237" s="2" t="s">
        <v>3476</v>
      </c>
    </row>
    <row r="1238" spans="1:16" ht="15" customHeight="1" x14ac:dyDescent="0.25">
      <c r="A1238" s="1" t="s">
        <v>1251</v>
      </c>
      <c r="B1238" s="2" t="s">
        <v>3433</v>
      </c>
      <c r="D1238" s="1"/>
      <c r="E1238" s="1"/>
      <c r="F1238" s="1"/>
      <c r="G1238" s="1"/>
      <c r="H1238" s="1"/>
      <c r="L1238" s="1" t="s">
        <v>1524</v>
      </c>
      <c r="M1238" s="1" t="s">
        <v>3334</v>
      </c>
      <c r="N1238" s="1"/>
      <c r="O1238" s="1"/>
      <c r="P1238" s="2" t="s">
        <v>3476</v>
      </c>
    </row>
    <row r="1239" spans="1:16" ht="15" customHeight="1" x14ac:dyDescent="0.25">
      <c r="A1239" s="1" t="s">
        <v>1251</v>
      </c>
      <c r="B1239" s="2" t="s">
        <v>3433</v>
      </c>
      <c r="D1239" s="1"/>
      <c r="E1239" s="1"/>
      <c r="F1239" s="1"/>
      <c r="G1239" s="1"/>
      <c r="H1239" s="1"/>
      <c r="L1239" s="1"/>
      <c r="M1239" s="1"/>
      <c r="N1239" s="1" t="s">
        <v>1529</v>
      </c>
      <c r="O1239" s="1" t="s">
        <v>3360</v>
      </c>
      <c r="P1239" s="2" t="s">
        <v>3476</v>
      </c>
    </row>
    <row r="1240" spans="1:16" ht="15" customHeight="1" x14ac:dyDescent="0.25">
      <c r="A1240" s="1" t="s">
        <v>1251</v>
      </c>
      <c r="B1240" s="2" t="s">
        <v>3433</v>
      </c>
      <c r="D1240" s="1"/>
      <c r="E1240" s="1"/>
      <c r="F1240" s="1"/>
      <c r="G1240" s="1"/>
      <c r="H1240" s="1"/>
      <c r="L1240" s="1"/>
      <c r="M1240" s="1"/>
      <c r="N1240" s="1" t="s">
        <v>1529</v>
      </c>
      <c r="O1240" s="1" t="s">
        <v>3360</v>
      </c>
      <c r="P1240" s="2" t="s">
        <v>3476</v>
      </c>
    </row>
    <row r="1241" spans="1:16" ht="15" customHeight="1" x14ac:dyDescent="0.25">
      <c r="A1241" s="1" t="s">
        <v>1251</v>
      </c>
      <c r="B1241" s="2" t="s">
        <v>3433</v>
      </c>
      <c r="D1241" s="1"/>
      <c r="E1241" s="1"/>
      <c r="F1241" s="1"/>
      <c r="G1241" s="1"/>
      <c r="H1241" s="1"/>
      <c r="L1241" s="1"/>
      <c r="M1241" s="1"/>
      <c r="N1241" s="1" t="s">
        <v>1529</v>
      </c>
      <c r="O1241" s="1" t="s">
        <v>3339</v>
      </c>
      <c r="P1241" s="2" t="s">
        <v>3476</v>
      </c>
    </row>
    <row r="1242" spans="1:16" ht="15" customHeight="1" x14ac:dyDescent="0.25">
      <c r="A1242" s="1" t="s">
        <v>1251</v>
      </c>
      <c r="B1242" s="2" t="s">
        <v>3433</v>
      </c>
      <c r="D1242" s="1"/>
      <c r="E1242" s="1"/>
      <c r="F1242" s="1"/>
      <c r="G1242" s="1"/>
      <c r="H1242" s="1"/>
      <c r="L1242" s="1"/>
      <c r="M1242" s="1"/>
      <c r="N1242" s="1" t="s">
        <v>1529</v>
      </c>
      <c r="O1242" s="1" t="s">
        <v>3339</v>
      </c>
      <c r="P1242" s="2" t="s">
        <v>3476</v>
      </c>
    </row>
    <row r="1243" spans="1:16" ht="15" customHeight="1" x14ac:dyDescent="0.25">
      <c r="A1243" s="1" t="s">
        <v>1251</v>
      </c>
      <c r="B1243" s="2" t="s">
        <v>3433</v>
      </c>
      <c r="D1243" s="1"/>
      <c r="E1243" s="1"/>
      <c r="F1243" s="1"/>
      <c r="G1243" s="1"/>
      <c r="H1243" s="1"/>
      <c r="L1243" s="1"/>
      <c r="M1243" s="1"/>
      <c r="N1243" s="1" t="s">
        <v>1529</v>
      </c>
      <c r="O1243" s="1" t="s">
        <v>3340</v>
      </c>
      <c r="P1243" s="2" t="s">
        <v>3476</v>
      </c>
    </row>
    <row r="1244" spans="1:16" ht="15" customHeight="1" x14ac:dyDescent="0.25">
      <c r="A1244" s="1" t="s">
        <v>1251</v>
      </c>
      <c r="B1244" s="2" t="s">
        <v>3433</v>
      </c>
      <c r="D1244" s="1"/>
      <c r="E1244" s="1"/>
      <c r="F1244" s="1"/>
      <c r="G1244" s="1"/>
      <c r="H1244" s="1"/>
      <c r="L1244" s="1"/>
      <c r="M1244" s="1"/>
      <c r="N1244" s="1" t="s">
        <v>1529</v>
      </c>
      <c r="O1244" s="1" t="s">
        <v>3340</v>
      </c>
      <c r="P1244" s="2" t="s">
        <v>3476</v>
      </c>
    </row>
    <row r="1245" spans="1:16" ht="15" customHeight="1" x14ac:dyDescent="0.25">
      <c r="A1245" s="1" t="s">
        <v>1251</v>
      </c>
      <c r="B1245" s="2" t="s">
        <v>3433</v>
      </c>
      <c r="D1245" s="1"/>
      <c r="E1245" s="1"/>
      <c r="F1245" s="1"/>
      <c r="G1245" s="1"/>
      <c r="H1245" s="1"/>
      <c r="L1245" s="1"/>
      <c r="M1245" s="1"/>
      <c r="N1245" s="1" t="s">
        <v>1529</v>
      </c>
      <c r="O1245" s="1" t="s">
        <v>3475</v>
      </c>
      <c r="P1245" s="2" t="s">
        <v>3476</v>
      </c>
    </row>
    <row r="1246" spans="1:16" ht="15" customHeight="1" x14ac:dyDescent="0.25">
      <c r="A1246" s="1" t="s">
        <v>1251</v>
      </c>
      <c r="B1246" s="2" t="s">
        <v>3433</v>
      </c>
      <c r="D1246" s="1"/>
      <c r="E1246" s="1"/>
      <c r="F1246" s="1"/>
      <c r="G1246" s="1"/>
      <c r="H1246" s="1"/>
      <c r="L1246" s="1"/>
      <c r="M1246" s="1"/>
      <c r="N1246" s="1" t="s">
        <v>1529</v>
      </c>
      <c r="O1246" s="1" t="s">
        <v>3475</v>
      </c>
      <c r="P1246" s="2" t="s">
        <v>3476</v>
      </c>
    </row>
    <row r="1247" spans="1:16" ht="15" customHeight="1" x14ac:dyDescent="0.25">
      <c r="A1247" s="1" t="s">
        <v>1251</v>
      </c>
      <c r="B1247" s="2" t="s">
        <v>3433</v>
      </c>
      <c r="D1247" s="1"/>
      <c r="E1247" s="1"/>
      <c r="F1247" s="1"/>
      <c r="G1247" s="1"/>
      <c r="H1247" s="1"/>
      <c r="L1247" s="1"/>
      <c r="M1247" s="1"/>
      <c r="N1247" s="1" t="s">
        <v>1529</v>
      </c>
      <c r="O1247" s="1" t="s">
        <v>3341</v>
      </c>
      <c r="P1247" s="2" t="s">
        <v>3476</v>
      </c>
    </row>
    <row r="1248" spans="1:16" ht="15" customHeight="1" x14ac:dyDescent="0.25">
      <c r="A1248" s="1" t="s">
        <v>1251</v>
      </c>
      <c r="B1248" s="2" t="s">
        <v>3433</v>
      </c>
      <c r="D1248" s="1"/>
      <c r="E1248" s="1"/>
      <c r="F1248" s="1"/>
      <c r="G1248" s="1"/>
      <c r="H1248" s="1"/>
      <c r="L1248" s="1"/>
      <c r="M1248" s="1"/>
      <c r="N1248" s="1" t="s">
        <v>1529</v>
      </c>
      <c r="O1248" s="1" t="s">
        <v>3341</v>
      </c>
      <c r="P1248" s="2" t="s">
        <v>3476</v>
      </c>
    </row>
    <row r="1249" spans="1:16" ht="15" customHeight="1" x14ac:dyDescent="0.25">
      <c r="A1249" s="1" t="s">
        <v>1383</v>
      </c>
      <c r="B1249" s="2" t="s">
        <v>3477</v>
      </c>
      <c r="C1249" t="b">
        <v>0</v>
      </c>
      <c r="D1249" s="1" t="s">
        <v>1207</v>
      </c>
      <c r="E1249" s="1" t="s">
        <v>3488</v>
      </c>
      <c r="F1249" s="1" t="s">
        <v>3045</v>
      </c>
      <c r="G1249" s="1" t="s">
        <v>3064</v>
      </c>
      <c r="H1249" s="1" t="s">
        <v>5</v>
      </c>
      <c r="I1249">
        <v>10</v>
      </c>
      <c r="L1249" s="1"/>
      <c r="M1249" s="1"/>
      <c r="N1249" s="1"/>
      <c r="O1249" s="1"/>
      <c r="P1249" s="1"/>
    </row>
    <row r="1250" spans="1:16" ht="15" customHeight="1" x14ac:dyDescent="0.25">
      <c r="A1250" s="1" t="s">
        <v>1383</v>
      </c>
      <c r="B1250" s="2" t="s">
        <v>3477</v>
      </c>
      <c r="C1250" t="b">
        <v>1</v>
      </c>
      <c r="D1250" s="1" t="s">
        <v>1397</v>
      </c>
      <c r="E1250" s="1" t="s">
        <v>3489</v>
      </c>
      <c r="F1250" s="1" t="s">
        <v>3516</v>
      </c>
      <c r="G1250" s="1" t="s">
        <v>3529</v>
      </c>
      <c r="H1250" s="1" t="s">
        <v>5</v>
      </c>
      <c r="I1250">
        <v>4</v>
      </c>
      <c r="L1250" s="1"/>
      <c r="M1250" s="1"/>
      <c r="N1250" s="1"/>
      <c r="O1250" s="1"/>
      <c r="P1250" s="1"/>
    </row>
    <row r="1251" spans="1:16" ht="15" customHeight="1" x14ac:dyDescent="0.25">
      <c r="A1251" s="1" t="s">
        <v>1383</v>
      </c>
      <c r="B1251" s="2" t="s">
        <v>3477</v>
      </c>
      <c r="C1251" t="b">
        <v>1</v>
      </c>
      <c r="D1251" s="1" t="s">
        <v>1390</v>
      </c>
      <c r="E1251" s="1" t="s">
        <v>3490</v>
      </c>
      <c r="F1251" s="1" t="s">
        <v>2704</v>
      </c>
      <c r="G1251" s="1" t="s">
        <v>1390</v>
      </c>
      <c r="H1251" s="1" t="s">
        <v>5</v>
      </c>
      <c r="I1251">
        <v>35</v>
      </c>
      <c r="L1251" s="1"/>
      <c r="M1251" s="1"/>
      <c r="N1251" s="1"/>
      <c r="O1251" s="1"/>
      <c r="P1251" s="1"/>
    </row>
    <row r="1252" spans="1:16" ht="15" customHeight="1" x14ac:dyDescent="0.25">
      <c r="A1252" s="1" t="s">
        <v>1383</v>
      </c>
      <c r="B1252" s="2" t="s">
        <v>3477</v>
      </c>
      <c r="C1252" t="b">
        <v>1</v>
      </c>
      <c r="D1252" s="1" t="s">
        <v>1203</v>
      </c>
      <c r="E1252" s="1" t="s">
        <v>3491</v>
      </c>
      <c r="F1252" s="1" t="s">
        <v>2705</v>
      </c>
      <c r="G1252" s="1" t="s">
        <v>1203</v>
      </c>
      <c r="H1252" s="1" t="s">
        <v>5</v>
      </c>
      <c r="I1252">
        <v>35</v>
      </c>
      <c r="L1252" s="1"/>
      <c r="M1252" s="1"/>
      <c r="N1252" s="1"/>
      <c r="O1252" s="1"/>
      <c r="P1252" s="1"/>
    </row>
    <row r="1253" spans="1:16" ht="15" customHeight="1" x14ac:dyDescent="0.25">
      <c r="A1253" s="1" t="s">
        <v>1383</v>
      </c>
      <c r="B1253" s="2" t="s">
        <v>3477</v>
      </c>
      <c r="C1253" t="b">
        <v>0</v>
      </c>
      <c r="D1253" s="1" t="s">
        <v>1190</v>
      </c>
      <c r="E1253" s="1" t="s">
        <v>3492</v>
      </c>
      <c r="F1253" s="1" t="s">
        <v>2706</v>
      </c>
      <c r="G1253" s="1" t="s">
        <v>1190</v>
      </c>
      <c r="H1253" s="1" t="s">
        <v>5</v>
      </c>
      <c r="I1253">
        <v>4</v>
      </c>
      <c r="L1253" s="1"/>
      <c r="M1253" s="1"/>
      <c r="N1253" s="1"/>
      <c r="O1253" s="1"/>
      <c r="P1253" s="1"/>
    </row>
    <row r="1254" spans="1:16" ht="15" customHeight="1" x14ac:dyDescent="0.25">
      <c r="A1254" s="1" t="s">
        <v>1383</v>
      </c>
      <c r="B1254" s="2" t="s">
        <v>3477</v>
      </c>
      <c r="C1254" t="b">
        <v>1</v>
      </c>
      <c r="D1254" s="1" t="s">
        <v>3478</v>
      </c>
      <c r="E1254" s="1" t="s">
        <v>2687</v>
      </c>
      <c r="F1254" s="1" t="s">
        <v>2707</v>
      </c>
      <c r="G1254" s="1" t="s">
        <v>2724</v>
      </c>
      <c r="H1254" s="1" t="s">
        <v>5</v>
      </c>
      <c r="I1254">
        <v>25</v>
      </c>
      <c r="L1254" s="1"/>
      <c r="M1254" s="1"/>
      <c r="N1254" s="1"/>
      <c r="O1254" s="1"/>
      <c r="P1254" s="1"/>
    </row>
    <row r="1255" spans="1:16" ht="15" customHeight="1" x14ac:dyDescent="0.25">
      <c r="A1255" s="1" t="s">
        <v>1383</v>
      </c>
      <c r="B1255" s="2" t="s">
        <v>3477</v>
      </c>
      <c r="C1255" t="b">
        <v>1</v>
      </c>
      <c r="D1255" s="1" t="s">
        <v>1357</v>
      </c>
      <c r="E1255" s="1" t="s">
        <v>3493</v>
      </c>
      <c r="F1255" s="1" t="s">
        <v>2708</v>
      </c>
      <c r="G1255" s="1" t="s">
        <v>2725</v>
      </c>
      <c r="H1255" s="1" t="s">
        <v>5</v>
      </c>
      <c r="I1255">
        <v>10</v>
      </c>
      <c r="L1255" s="1"/>
      <c r="M1255" s="1"/>
      <c r="N1255" s="1"/>
      <c r="O1255" s="1"/>
      <c r="P1255" s="1"/>
    </row>
    <row r="1256" spans="1:16" ht="15" customHeight="1" x14ac:dyDescent="0.25">
      <c r="A1256" s="1" t="s">
        <v>1383</v>
      </c>
      <c r="B1256" s="2" t="s">
        <v>3477</v>
      </c>
      <c r="C1256" t="b">
        <v>1</v>
      </c>
      <c r="D1256" s="1" t="s">
        <v>1359</v>
      </c>
      <c r="E1256" s="1" t="s">
        <v>3494</v>
      </c>
      <c r="F1256" s="1" t="s">
        <v>2709</v>
      </c>
      <c r="G1256" s="1" t="s">
        <v>2726</v>
      </c>
      <c r="H1256" s="1" t="s">
        <v>5</v>
      </c>
      <c r="I1256">
        <v>3</v>
      </c>
      <c r="L1256" s="1"/>
      <c r="M1256" s="1"/>
      <c r="N1256" s="1"/>
      <c r="O1256" s="1"/>
      <c r="P1256" s="1"/>
    </row>
    <row r="1257" spans="1:16" ht="15" customHeight="1" x14ac:dyDescent="0.25">
      <c r="A1257" s="1" t="s">
        <v>1383</v>
      </c>
      <c r="B1257" s="2" t="s">
        <v>3477</v>
      </c>
      <c r="C1257" t="b">
        <v>1</v>
      </c>
      <c r="D1257" s="1" t="s">
        <v>2674</v>
      </c>
      <c r="E1257" s="1" t="s">
        <v>3495</v>
      </c>
      <c r="F1257" s="1" t="s">
        <v>3517</v>
      </c>
      <c r="G1257" s="1" t="s">
        <v>3530</v>
      </c>
      <c r="H1257" s="1" t="s">
        <v>5</v>
      </c>
      <c r="I1257">
        <v>10</v>
      </c>
      <c r="L1257" s="1"/>
      <c r="M1257" s="1"/>
      <c r="N1257" s="1"/>
      <c r="O1257" s="1"/>
      <c r="P1257" s="1"/>
    </row>
    <row r="1258" spans="1:16" ht="15" customHeight="1" x14ac:dyDescent="0.25">
      <c r="A1258" s="1" t="s">
        <v>1383</v>
      </c>
      <c r="B1258" s="2" t="s">
        <v>3477</v>
      </c>
      <c r="C1258" t="b">
        <v>1</v>
      </c>
      <c r="D1258" s="1" t="s">
        <v>3479</v>
      </c>
      <c r="E1258" s="1" t="s">
        <v>3496</v>
      </c>
      <c r="F1258" s="1" t="s">
        <v>2711</v>
      </c>
      <c r="G1258" s="1" t="s">
        <v>2728</v>
      </c>
      <c r="H1258" s="1" t="s">
        <v>5</v>
      </c>
      <c r="I1258">
        <v>2</v>
      </c>
      <c r="L1258" s="1"/>
      <c r="M1258" s="1"/>
      <c r="N1258" s="1"/>
      <c r="O1258" s="1"/>
      <c r="P1258" s="1"/>
    </row>
    <row r="1259" spans="1:16" ht="15" customHeight="1" x14ac:dyDescent="0.25">
      <c r="A1259" s="1" t="s">
        <v>1383</v>
      </c>
      <c r="B1259" s="2" t="s">
        <v>3477</v>
      </c>
      <c r="C1259" t="b">
        <v>1</v>
      </c>
      <c r="D1259" s="1" t="s">
        <v>2676</v>
      </c>
      <c r="E1259" s="1" t="s">
        <v>3497</v>
      </c>
      <c r="F1259" s="1" t="s">
        <v>2712</v>
      </c>
      <c r="G1259" s="1" t="s">
        <v>2729</v>
      </c>
      <c r="H1259" s="1" t="s">
        <v>5</v>
      </c>
      <c r="I1259">
        <v>4</v>
      </c>
      <c r="L1259" s="1"/>
      <c r="M1259" s="1"/>
      <c r="N1259" s="1"/>
      <c r="O1259" s="1"/>
      <c r="P1259" s="1"/>
    </row>
    <row r="1260" spans="1:16" ht="15" customHeight="1" x14ac:dyDescent="0.25">
      <c r="A1260" s="1" t="s">
        <v>1383</v>
      </c>
      <c r="B1260" s="2" t="s">
        <v>3477</v>
      </c>
      <c r="C1260" t="b">
        <v>1</v>
      </c>
      <c r="D1260" s="1" t="s">
        <v>1356</v>
      </c>
      <c r="E1260" s="1" t="s">
        <v>3498</v>
      </c>
      <c r="F1260" s="1" t="s">
        <v>2713</v>
      </c>
      <c r="G1260" s="1" t="s">
        <v>2730</v>
      </c>
      <c r="H1260" s="1" t="s">
        <v>5</v>
      </c>
      <c r="I1260">
        <v>10</v>
      </c>
      <c r="L1260" s="1"/>
      <c r="M1260" s="1"/>
      <c r="N1260" s="1"/>
      <c r="O1260" s="1"/>
      <c r="P1260" s="1"/>
    </row>
    <row r="1261" spans="1:16" ht="15" customHeight="1" x14ac:dyDescent="0.25">
      <c r="A1261" s="1" t="s">
        <v>1383</v>
      </c>
      <c r="B1261" s="2" t="s">
        <v>3477</v>
      </c>
      <c r="C1261" t="b">
        <v>1</v>
      </c>
      <c r="D1261" s="1" t="s">
        <v>1381</v>
      </c>
      <c r="E1261" s="1" t="s">
        <v>3499</v>
      </c>
      <c r="F1261" s="1" t="s">
        <v>3518</v>
      </c>
      <c r="G1261" s="1" t="s">
        <v>3531</v>
      </c>
      <c r="H1261" s="1" t="s">
        <v>5</v>
      </c>
      <c r="I1261">
        <v>4</v>
      </c>
      <c r="L1261" s="1"/>
      <c r="M1261" s="1"/>
      <c r="N1261" s="1"/>
      <c r="O1261" s="1"/>
      <c r="P1261" s="1"/>
    </row>
    <row r="1262" spans="1:16" ht="15" customHeight="1" x14ac:dyDescent="0.25">
      <c r="A1262" s="1" t="s">
        <v>1383</v>
      </c>
      <c r="B1262" s="2" t="s">
        <v>3477</v>
      </c>
      <c r="C1262" t="b">
        <v>1</v>
      </c>
      <c r="D1262" s="1" t="s">
        <v>3480</v>
      </c>
      <c r="E1262" s="1" t="s">
        <v>3500</v>
      </c>
      <c r="F1262" s="1" t="s">
        <v>3519</v>
      </c>
      <c r="G1262" s="1" t="s">
        <v>3532</v>
      </c>
      <c r="H1262" s="1" t="s">
        <v>5</v>
      </c>
      <c r="I1262">
        <v>3</v>
      </c>
      <c r="L1262" s="1"/>
      <c r="M1262" s="1"/>
      <c r="N1262" s="1"/>
      <c r="O1262" s="1"/>
      <c r="P1262" s="1"/>
    </row>
    <row r="1263" spans="1:16" ht="15" customHeight="1" x14ac:dyDescent="0.25">
      <c r="A1263" s="1" t="s">
        <v>1383</v>
      </c>
      <c r="B1263" s="2" t="s">
        <v>3477</v>
      </c>
      <c r="C1263" t="b">
        <v>1</v>
      </c>
      <c r="D1263" s="1" t="s">
        <v>3481</v>
      </c>
      <c r="E1263" s="1" t="s">
        <v>3501</v>
      </c>
      <c r="F1263" s="1" t="s">
        <v>3520</v>
      </c>
      <c r="G1263" s="1" t="s">
        <v>3533</v>
      </c>
      <c r="H1263" s="1" t="s">
        <v>28</v>
      </c>
      <c r="L1263" s="1"/>
      <c r="M1263" s="1"/>
      <c r="N1263" s="1"/>
      <c r="O1263" s="1"/>
      <c r="P1263" s="1"/>
    </row>
    <row r="1264" spans="1:16" ht="15" customHeight="1" x14ac:dyDescent="0.25">
      <c r="A1264" s="1" t="s">
        <v>1383</v>
      </c>
      <c r="B1264" s="2" t="s">
        <v>3477</v>
      </c>
      <c r="C1264" t="b">
        <v>1</v>
      </c>
      <c r="D1264" s="1" t="s">
        <v>1358</v>
      </c>
      <c r="E1264" s="1" t="s">
        <v>3502</v>
      </c>
      <c r="F1264" s="1" t="s">
        <v>2715</v>
      </c>
      <c r="G1264" s="1" t="s">
        <v>2732</v>
      </c>
      <c r="H1264" s="1" t="s">
        <v>5</v>
      </c>
      <c r="I1264">
        <v>2</v>
      </c>
      <c r="L1264" s="1"/>
      <c r="M1264" s="1"/>
      <c r="N1264" s="1"/>
      <c r="O1264" s="1"/>
      <c r="P1264" s="1"/>
    </row>
    <row r="1265" spans="1:16" ht="15" customHeight="1" x14ac:dyDescent="0.25">
      <c r="A1265" s="1" t="s">
        <v>1383</v>
      </c>
      <c r="B1265" s="2" t="s">
        <v>3477</v>
      </c>
      <c r="C1265" t="b">
        <v>1</v>
      </c>
      <c r="D1265" s="1" t="s">
        <v>2677</v>
      </c>
      <c r="E1265" s="1" t="s">
        <v>3503</v>
      </c>
      <c r="F1265" s="1" t="s">
        <v>2716</v>
      </c>
      <c r="G1265" s="1" t="s">
        <v>2733</v>
      </c>
      <c r="H1265" s="1" t="s">
        <v>28</v>
      </c>
      <c r="L1265" s="1"/>
      <c r="M1265" s="1"/>
      <c r="N1265" s="1"/>
      <c r="O1265" s="1"/>
      <c r="P1265" s="1"/>
    </row>
    <row r="1266" spans="1:16" ht="15" customHeight="1" x14ac:dyDescent="0.25">
      <c r="A1266" s="1" t="s">
        <v>1383</v>
      </c>
      <c r="B1266" s="2" t="s">
        <v>3477</v>
      </c>
      <c r="C1266" t="b">
        <v>1</v>
      </c>
      <c r="D1266" s="1" t="s">
        <v>1361</v>
      </c>
      <c r="E1266" s="1" t="s">
        <v>3504</v>
      </c>
      <c r="F1266" s="1" t="s">
        <v>2717</v>
      </c>
      <c r="G1266" s="1" t="s">
        <v>2734</v>
      </c>
      <c r="H1266" s="1" t="s">
        <v>1576</v>
      </c>
      <c r="J1266">
        <v>2</v>
      </c>
      <c r="K1266">
        <v>0</v>
      </c>
      <c r="L1266" s="1"/>
      <c r="M1266" s="1"/>
      <c r="N1266" s="1"/>
      <c r="O1266" s="1"/>
      <c r="P1266" s="1"/>
    </row>
    <row r="1267" spans="1:16" ht="15" customHeight="1" x14ac:dyDescent="0.25">
      <c r="A1267" s="1" t="s">
        <v>1383</v>
      </c>
      <c r="B1267" s="2" t="s">
        <v>3477</v>
      </c>
      <c r="C1267" t="b">
        <v>1</v>
      </c>
      <c r="D1267" s="1" t="s">
        <v>2678</v>
      </c>
      <c r="E1267" s="1" t="s">
        <v>3505</v>
      </c>
      <c r="F1267" s="1" t="s">
        <v>2718</v>
      </c>
      <c r="G1267" s="1" t="s">
        <v>2735</v>
      </c>
      <c r="H1267" s="1" t="s">
        <v>28</v>
      </c>
      <c r="L1267" s="1"/>
      <c r="M1267" s="1"/>
      <c r="N1267" s="1"/>
      <c r="O1267" s="1"/>
      <c r="P1267" s="1"/>
    </row>
    <row r="1268" spans="1:16" ht="15" customHeight="1" x14ac:dyDescent="0.25">
      <c r="A1268" s="1" t="s">
        <v>1383</v>
      </c>
      <c r="B1268" s="2" t="s">
        <v>3477</v>
      </c>
      <c r="C1268" t="b">
        <v>1</v>
      </c>
      <c r="D1268" s="1" t="s">
        <v>1382</v>
      </c>
      <c r="E1268" s="1" t="s">
        <v>3506</v>
      </c>
      <c r="F1268" s="1" t="s">
        <v>3521</v>
      </c>
      <c r="G1268" s="1" t="s">
        <v>3534</v>
      </c>
      <c r="H1268" s="1" t="s">
        <v>5</v>
      </c>
      <c r="I1268">
        <v>2</v>
      </c>
      <c r="L1268" s="1"/>
      <c r="M1268" s="1"/>
      <c r="N1268" s="1"/>
      <c r="O1268" s="1"/>
      <c r="P1268" s="1"/>
    </row>
    <row r="1269" spans="1:16" ht="15" customHeight="1" x14ac:dyDescent="0.25">
      <c r="A1269" s="1" t="s">
        <v>1383</v>
      </c>
      <c r="B1269" s="2" t="s">
        <v>3477</v>
      </c>
      <c r="C1269" t="b">
        <v>1</v>
      </c>
      <c r="D1269" s="1" t="s">
        <v>3482</v>
      </c>
      <c r="E1269" s="1" t="s">
        <v>3507</v>
      </c>
      <c r="F1269" s="1" t="s">
        <v>3522</v>
      </c>
      <c r="G1269" s="1" t="s">
        <v>3535</v>
      </c>
      <c r="H1269" s="1" t="s">
        <v>5</v>
      </c>
      <c r="I1269">
        <v>10</v>
      </c>
      <c r="L1269" s="1"/>
      <c r="M1269" s="1"/>
      <c r="N1269" s="1"/>
      <c r="O1269" s="1"/>
      <c r="P1269" s="1"/>
    </row>
    <row r="1270" spans="1:16" ht="15" customHeight="1" x14ac:dyDescent="0.25">
      <c r="A1270" s="1" t="s">
        <v>1383</v>
      </c>
      <c r="B1270" s="2" t="s">
        <v>3477</v>
      </c>
      <c r="C1270" t="b">
        <v>1</v>
      </c>
      <c r="D1270" s="1" t="s">
        <v>3483</v>
      </c>
      <c r="E1270" s="1" t="s">
        <v>3508</v>
      </c>
      <c r="F1270" s="1" t="s">
        <v>3523</v>
      </c>
      <c r="G1270" s="1" t="s">
        <v>3536</v>
      </c>
      <c r="H1270" s="1" t="s">
        <v>5</v>
      </c>
      <c r="I1270">
        <v>3</v>
      </c>
      <c r="L1270" s="1"/>
      <c r="M1270" s="1"/>
      <c r="N1270" s="1"/>
      <c r="O1270" s="1"/>
      <c r="P1270" s="1"/>
    </row>
    <row r="1271" spans="1:16" ht="15" customHeight="1" x14ac:dyDescent="0.25">
      <c r="A1271" s="1" t="s">
        <v>1383</v>
      </c>
      <c r="B1271" s="2" t="s">
        <v>3477</v>
      </c>
      <c r="C1271" t="b">
        <v>1</v>
      </c>
      <c r="D1271" s="1" t="s">
        <v>3484</v>
      </c>
      <c r="E1271" s="1" t="s">
        <v>3509</v>
      </c>
      <c r="F1271" s="1" t="s">
        <v>3524</v>
      </c>
      <c r="G1271" s="1" t="s">
        <v>3537</v>
      </c>
      <c r="H1271" s="1" t="s">
        <v>28</v>
      </c>
      <c r="L1271" s="1"/>
      <c r="M1271" s="1"/>
      <c r="N1271" s="1"/>
      <c r="O1271" s="1"/>
      <c r="P1271" s="1"/>
    </row>
    <row r="1272" spans="1:16" ht="15" customHeight="1" x14ac:dyDescent="0.25">
      <c r="A1272" s="1" t="s">
        <v>1383</v>
      </c>
      <c r="B1272" s="2" t="s">
        <v>3477</v>
      </c>
      <c r="C1272" t="b">
        <v>1</v>
      </c>
      <c r="D1272" s="1" t="s">
        <v>3485</v>
      </c>
      <c r="E1272" s="1" t="s">
        <v>3510</v>
      </c>
      <c r="F1272" s="1" t="s">
        <v>3525</v>
      </c>
      <c r="G1272" s="1" t="s">
        <v>3538</v>
      </c>
      <c r="H1272" s="1" t="s">
        <v>5</v>
      </c>
      <c r="I1272">
        <v>2</v>
      </c>
      <c r="L1272" s="1"/>
      <c r="M1272" s="1"/>
      <c r="N1272" s="1"/>
      <c r="O1272" s="1"/>
      <c r="P1272" s="1"/>
    </row>
    <row r="1273" spans="1:16" ht="15" customHeight="1" x14ac:dyDescent="0.25">
      <c r="A1273" s="1" t="s">
        <v>1383</v>
      </c>
      <c r="B1273" s="2" t="s">
        <v>3477</v>
      </c>
      <c r="C1273" t="b">
        <v>1</v>
      </c>
      <c r="D1273" s="1" t="s">
        <v>1380</v>
      </c>
      <c r="E1273" s="1" t="s">
        <v>3511</v>
      </c>
      <c r="F1273" s="1" t="s">
        <v>3526</v>
      </c>
      <c r="G1273" s="1" t="s">
        <v>3539</v>
      </c>
      <c r="H1273" s="1" t="s">
        <v>5</v>
      </c>
      <c r="I1273">
        <v>1</v>
      </c>
      <c r="L1273" s="1"/>
      <c r="M1273" s="1"/>
      <c r="N1273" s="1"/>
      <c r="O1273" s="1"/>
      <c r="P1273" s="1"/>
    </row>
    <row r="1274" spans="1:16" ht="15" customHeight="1" x14ac:dyDescent="0.25">
      <c r="A1274" s="1" t="s">
        <v>1383</v>
      </c>
      <c r="B1274" s="2" t="s">
        <v>3477</v>
      </c>
      <c r="C1274" t="b">
        <v>1</v>
      </c>
      <c r="D1274" s="1" t="s">
        <v>2679</v>
      </c>
      <c r="E1274" s="1" t="s">
        <v>3512</v>
      </c>
      <c r="F1274" s="1" t="s">
        <v>2719</v>
      </c>
      <c r="G1274" s="1" t="s">
        <v>2736</v>
      </c>
      <c r="H1274" s="1" t="s">
        <v>5</v>
      </c>
      <c r="I1274">
        <v>10</v>
      </c>
      <c r="L1274" s="1"/>
      <c r="M1274" s="1"/>
      <c r="N1274" s="1"/>
      <c r="O1274" s="1"/>
      <c r="P1274" s="1"/>
    </row>
    <row r="1275" spans="1:16" ht="15" customHeight="1" x14ac:dyDescent="0.25">
      <c r="A1275" s="1" t="s">
        <v>1383</v>
      </c>
      <c r="B1275" s="2" t="s">
        <v>3477</v>
      </c>
      <c r="C1275" t="b">
        <v>1</v>
      </c>
      <c r="D1275" s="1" t="s">
        <v>2680</v>
      </c>
      <c r="E1275" s="1" t="s">
        <v>3513</v>
      </c>
      <c r="F1275" s="1" t="s">
        <v>2720</v>
      </c>
      <c r="G1275" s="1" t="s">
        <v>2737</v>
      </c>
      <c r="H1275" s="1" t="s">
        <v>1576</v>
      </c>
      <c r="J1275">
        <v>8</v>
      </c>
      <c r="K1275">
        <v>0</v>
      </c>
      <c r="L1275" s="1"/>
      <c r="M1275" s="1"/>
      <c r="N1275" s="1"/>
      <c r="O1275" s="1"/>
      <c r="P1275" s="1"/>
    </row>
    <row r="1276" spans="1:16" ht="15" customHeight="1" x14ac:dyDescent="0.25">
      <c r="A1276" s="1" t="s">
        <v>1383</v>
      </c>
      <c r="B1276" s="2" t="s">
        <v>3477</v>
      </c>
      <c r="C1276" t="b">
        <v>1</v>
      </c>
      <c r="D1276" s="1" t="s">
        <v>3486</v>
      </c>
      <c r="E1276" s="1" t="s">
        <v>3514</v>
      </c>
      <c r="F1276" s="1" t="s">
        <v>3527</v>
      </c>
      <c r="G1276" s="1" t="s">
        <v>3540</v>
      </c>
      <c r="H1276" s="1" t="s">
        <v>5</v>
      </c>
      <c r="I1276">
        <v>2</v>
      </c>
      <c r="L1276" s="1"/>
      <c r="M1276" s="1"/>
      <c r="N1276" s="1"/>
      <c r="O1276" s="1"/>
      <c r="P1276" s="1"/>
    </row>
    <row r="1277" spans="1:16" ht="15" customHeight="1" x14ac:dyDescent="0.25">
      <c r="A1277" s="1" t="s">
        <v>1383</v>
      </c>
      <c r="B1277" s="2" t="s">
        <v>3477</v>
      </c>
      <c r="C1277" t="b">
        <v>1</v>
      </c>
      <c r="D1277" s="1" t="s">
        <v>3487</v>
      </c>
      <c r="E1277" s="1" t="s">
        <v>3515</v>
      </c>
      <c r="F1277" s="1" t="s">
        <v>3528</v>
      </c>
      <c r="G1277" s="1" t="s">
        <v>3541</v>
      </c>
      <c r="H1277" s="1" t="s">
        <v>5</v>
      </c>
      <c r="I1277">
        <v>2</v>
      </c>
      <c r="L1277" s="1"/>
      <c r="M1277" s="1"/>
      <c r="N1277" s="1"/>
      <c r="O1277" s="1"/>
      <c r="P1277" s="1"/>
    </row>
    <row r="1278" spans="1:16" ht="15" customHeight="1" x14ac:dyDescent="0.25">
      <c r="A1278" s="1" t="s">
        <v>1383</v>
      </c>
      <c r="B1278" s="2" t="s">
        <v>3477</v>
      </c>
      <c r="D1278" s="1"/>
      <c r="E1278" s="1"/>
      <c r="F1278" s="1"/>
      <c r="G1278" s="1"/>
      <c r="H1278" s="1"/>
      <c r="L1278" s="1" t="s">
        <v>1524</v>
      </c>
      <c r="M1278" s="1" t="s">
        <v>3542</v>
      </c>
      <c r="N1278" s="1"/>
      <c r="O1278" s="1"/>
      <c r="P1278" s="1"/>
    </row>
    <row r="1279" spans="1:16" ht="15" customHeight="1" x14ac:dyDescent="0.25">
      <c r="A1279" s="1" t="s">
        <v>1383</v>
      </c>
      <c r="B1279" s="2" t="s">
        <v>3477</v>
      </c>
      <c r="D1279" s="1"/>
      <c r="E1279" s="1"/>
      <c r="F1279" s="1"/>
      <c r="G1279" s="1"/>
      <c r="H1279" s="1"/>
      <c r="L1279" s="1" t="s">
        <v>1524</v>
      </c>
      <c r="M1279" s="1" t="s">
        <v>3543</v>
      </c>
      <c r="N1279" s="1"/>
      <c r="O1279" s="1"/>
      <c r="P1279" s="1"/>
    </row>
    <row r="1280" spans="1:16" ht="15" customHeight="1" x14ac:dyDescent="0.25">
      <c r="A1280" s="1" t="s">
        <v>1383</v>
      </c>
      <c r="B1280" s="2" t="s">
        <v>3477</v>
      </c>
      <c r="D1280" s="1"/>
      <c r="E1280" s="1"/>
      <c r="F1280" s="1"/>
      <c r="G1280" s="1"/>
      <c r="H1280" s="1"/>
      <c r="L1280" s="1" t="s">
        <v>1524</v>
      </c>
      <c r="M1280" s="1" t="s">
        <v>2739</v>
      </c>
      <c r="N1280" s="1"/>
      <c r="O1280" s="1"/>
      <c r="P1280" s="1"/>
    </row>
    <row r="1281" spans="1:16" ht="15" customHeight="1" x14ac:dyDescent="0.25">
      <c r="A1281" s="1" t="s">
        <v>1383</v>
      </c>
      <c r="B1281" s="2" t="s">
        <v>3477</v>
      </c>
      <c r="D1281" s="1"/>
      <c r="E1281" s="1"/>
      <c r="F1281" s="1"/>
      <c r="G1281" s="1"/>
      <c r="H1281" s="1"/>
      <c r="L1281" s="1"/>
      <c r="M1281" s="1"/>
      <c r="N1281" s="1" t="s">
        <v>1529</v>
      </c>
      <c r="O1281" s="1" t="s">
        <v>3544</v>
      </c>
      <c r="P1281" s="1"/>
    </row>
    <row r="1282" spans="1:16" ht="15" customHeight="1" x14ac:dyDescent="0.25">
      <c r="A1282" s="1" t="s">
        <v>1383</v>
      </c>
      <c r="B1282" s="2" t="s">
        <v>3477</v>
      </c>
      <c r="D1282" s="1"/>
      <c r="E1282" s="1"/>
      <c r="F1282" s="1"/>
      <c r="G1282" s="1"/>
      <c r="H1282" s="1"/>
      <c r="L1282" s="1"/>
      <c r="M1282" s="1"/>
      <c r="N1282" s="1" t="s">
        <v>1529</v>
      </c>
      <c r="O1282" s="1" t="s">
        <v>3544</v>
      </c>
      <c r="P1282" s="1"/>
    </row>
    <row r="1283" spans="1:16" ht="15" customHeight="1" x14ac:dyDescent="0.25">
      <c r="A1283" s="1" t="s">
        <v>1383</v>
      </c>
      <c r="B1283" s="2" t="s">
        <v>3477</v>
      </c>
      <c r="D1283" s="1"/>
      <c r="E1283" s="1"/>
      <c r="F1283" s="1"/>
      <c r="G1283" s="1"/>
      <c r="H1283" s="1"/>
      <c r="L1283" s="1"/>
      <c r="M1283" s="1"/>
      <c r="N1283" s="1" t="s">
        <v>1529</v>
      </c>
      <c r="O1283" s="1" t="s">
        <v>3545</v>
      </c>
      <c r="P1283" s="1"/>
    </row>
    <row r="1284" spans="1:16" ht="15" customHeight="1" x14ac:dyDescent="0.25">
      <c r="A1284" s="1" t="s">
        <v>1383</v>
      </c>
      <c r="B1284" s="2" t="s">
        <v>3477</v>
      </c>
      <c r="D1284" s="1"/>
      <c r="E1284" s="1"/>
      <c r="F1284" s="1"/>
      <c r="G1284" s="1"/>
      <c r="H1284" s="1"/>
      <c r="L1284" s="1"/>
      <c r="M1284" s="1"/>
      <c r="N1284" s="1" t="s">
        <v>1529</v>
      </c>
      <c r="O1284" s="1" t="s">
        <v>3545</v>
      </c>
      <c r="P1284" s="1"/>
    </row>
    <row r="1285" spans="1:16" ht="15" customHeight="1" x14ac:dyDescent="0.25">
      <c r="A1285" s="1" t="s">
        <v>1386</v>
      </c>
      <c r="B1285" s="2" t="s">
        <v>3546</v>
      </c>
      <c r="C1285" t="b">
        <v>0</v>
      </c>
      <c r="D1285" s="1" t="s">
        <v>1207</v>
      </c>
      <c r="E1285" s="1" t="s">
        <v>3488</v>
      </c>
      <c r="F1285" s="1" t="s">
        <v>3045</v>
      </c>
      <c r="G1285" s="1" t="s">
        <v>3064</v>
      </c>
      <c r="H1285" s="1" t="s">
        <v>5</v>
      </c>
      <c r="I1285">
        <v>10</v>
      </c>
      <c r="L1285" s="1"/>
      <c r="M1285" s="1"/>
      <c r="N1285" s="1"/>
      <c r="O1285" s="1"/>
      <c r="P1285" s="1"/>
    </row>
    <row r="1286" spans="1:16" ht="15" customHeight="1" x14ac:dyDescent="0.25">
      <c r="A1286" s="1" t="s">
        <v>1386</v>
      </c>
      <c r="B1286" s="2" t="s">
        <v>3546</v>
      </c>
      <c r="C1286" t="b">
        <v>1</v>
      </c>
      <c r="D1286" s="1" t="s">
        <v>1454</v>
      </c>
      <c r="E1286" s="1" t="s">
        <v>3489</v>
      </c>
      <c r="F1286" s="1" t="s">
        <v>3516</v>
      </c>
      <c r="G1286" s="1" t="s">
        <v>3529</v>
      </c>
      <c r="H1286" s="1" t="s">
        <v>5</v>
      </c>
      <c r="I1286">
        <v>4</v>
      </c>
      <c r="L1286" s="1"/>
      <c r="M1286" s="1"/>
      <c r="N1286" s="1"/>
      <c r="O1286" s="1"/>
      <c r="P1286" s="1"/>
    </row>
    <row r="1287" spans="1:16" ht="15" customHeight="1" x14ac:dyDescent="0.25">
      <c r="A1287" s="1" t="s">
        <v>1386</v>
      </c>
      <c r="B1287" s="2" t="s">
        <v>3546</v>
      </c>
      <c r="C1287" t="b">
        <v>1</v>
      </c>
      <c r="D1287" s="1" t="s">
        <v>1390</v>
      </c>
      <c r="E1287" s="1" t="s">
        <v>3490</v>
      </c>
      <c r="F1287" s="1" t="s">
        <v>2704</v>
      </c>
      <c r="G1287" s="1" t="s">
        <v>1390</v>
      </c>
      <c r="H1287" s="1" t="s">
        <v>5</v>
      </c>
      <c r="I1287">
        <v>35</v>
      </c>
      <c r="L1287" s="1"/>
      <c r="M1287" s="1"/>
      <c r="N1287" s="1"/>
      <c r="O1287" s="1"/>
      <c r="P1287" s="1"/>
    </row>
    <row r="1288" spans="1:16" ht="15" customHeight="1" x14ac:dyDescent="0.25">
      <c r="A1288" s="1" t="s">
        <v>1386</v>
      </c>
      <c r="B1288" s="2" t="s">
        <v>3546</v>
      </c>
      <c r="C1288" t="b">
        <v>1</v>
      </c>
      <c r="D1288" s="1" t="s">
        <v>1203</v>
      </c>
      <c r="E1288" s="1" t="s">
        <v>3491</v>
      </c>
      <c r="F1288" s="1" t="s">
        <v>2705</v>
      </c>
      <c r="G1288" s="1" t="s">
        <v>1203</v>
      </c>
      <c r="H1288" s="1" t="s">
        <v>5</v>
      </c>
      <c r="I1288">
        <v>35</v>
      </c>
      <c r="L1288" s="1"/>
      <c r="M1288" s="1"/>
      <c r="N1288" s="1"/>
      <c r="O1288" s="1"/>
      <c r="P1288" s="1"/>
    </row>
    <row r="1289" spans="1:16" ht="15" customHeight="1" x14ac:dyDescent="0.25">
      <c r="A1289" s="1" t="s">
        <v>1386</v>
      </c>
      <c r="B1289" s="2" t="s">
        <v>3546</v>
      </c>
      <c r="C1289" t="b">
        <v>0</v>
      </c>
      <c r="D1289" s="1" t="s">
        <v>1190</v>
      </c>
      <c r="E1289" s="1" t="s">
        <v>3492</v>
      </c>
      <c r="F1289" s="1" t="s">
        <v>2706</v>
      </c>
      <c r="G1289" s="1" t="s">
        <v>1190</v>
      </c>
      <c r="H1289" s="1" t="s">
        <v>5</v>
      </c>
      <c r="I1289">
        <v>4</v>
      </c>
      <c r="L1289" s="1"/>
      <c r="M1289" s="1"/>
      <c r="N1289" s="1"/>
      <c r="O1289" s="1"/>
      <c r="P1289" s="1"/>
    </row>
    <row r="1290" spans="1:16" ht="15" customHeight="1" x14ac:dyDescent="0.25">
      <c r="A1290" s="1" t="s">
        <v>1386</v>
      </c>
      <c r="B1290" s="2" t="s">
        <v>3546</v>
      </c>
      <c r="C1290" t="b">
        <v>1</v>
      </c>
      <c r="D1290" s="1" t="s">
        <v>2673</v>
      </c>
      <c r="E1290" s="1" t="s">
        <v>2687</v>
      </c>
      <c r="F1290" s="1" t="s">
        <v>2707</v>
      </c>
      <c r="G1290" s="1" t="s">
        <v>2724</v>
      </c>
      <c r="H1290" s="1" t="s">
        <v>5</v>
      </c>
      <c r="I1290">
        <v>25</v>
      </c>
      <c r="L1290" s="1"/>
      <c r="M1290" s="1"/>
      <c r="N1290" s="1"/>
      <c r="O1290" s="1"/>
      <c r="P1290" s="1"/>
    </row>
    <row r="1291" spans="1:16" ht="15" customHeight="1" x14ac:dyDescent="0.25">
      <c r="A1291" s="1" t="s">
        <v>1386</v>
      </c>
      <c r="B1291" s="2" t="s">
        <v>3546</v>
      </c>
      <c r="C1291" t="b">
        <v>1</v>
      </c>
      <c r="D1291" s="1" t="s">
        <v>1186</v>
      </c>
      <c r="E1291" s="1" t="s">
        <v>3552</v>
      </c>
      <c r="F1291" s="1" t="s">
        <v>2786</v>
      </c>
      <c r="G1291" s="1" t="s">
        <v>2807</v>
      </c>
      <c r="H1291" s="1" t="s">
        <v>5</v>
      </c>
      <c r="I1291">
        <v>4</v>
      </c>
      <c r="L1291" s="1"/>
      <c r="M1291" s="1"/>
      <c r="N1291" s="1"/>
      <c r="O1291" s="1"/>
      <c r="P1291" s="1"/>
    </row>
    <row r="1292" spans="1:16" ht="15" customHeight="1" x14ac:dyDescent="0.25">
      <c r="A1292" s="1" t="s">
        <v>1386</v>
      </c>
      <c r="B1292" s="2" t="s">
        <v>3546</v>
      </c>
      <c r="C1292" t="b">
        <v>1</v>
      </c>
      <c r="D1292" s="1" t="s">
        <v>1183</v>
      </c>
      <c r="E1292" s="1" t="s">
        <v>3553</v>
      </c>
      <c r="F1292" s="1" t="s">
        <v>2787</v>
      </c>
      <c r="G1292" s="1" t="s">
        <v>1183</v>
      </c>
      <c r="H1292" s="1" t="s">
        <v>5</v>
      </c>
      <c r="I1292">
        <v>1</v>
      </c>
      <c r="L1292" s="1"/>
      <c r="M1292" s="1"/>
      <c r="N1292" s="1"/>
      <c r="O1292" s="1"/>
      <c r="P1292" s="1"/>
    </row>
    <row r="1293" spans="1:16" ht="15" customHeight="1" x14ac:dyDescent="0.25">
      <c r="A1293" s="1" t="s">
        <v>1386</v>
      </c>
      <c r="B1293" s="2" t="s">
        <v>3546</v>
      </c>
      <c r="C1293" t="b">
        <v>1</v>
      </c>
      <c r="D1293" s="1" t="s">
        <v>1385</v>
      </c>
      <c r="E1293" s="1" t="s">
        <v>3554</v>
      </c>
      <c r="F1293" s="1" t="s">
        <v>3570</v>
      </c>
      <c r="G1293" s="1" t="s">
        <v>2808</v>
      </c>
      <c r="H1293" s="1" t="s">
        <v>5</v>
      </c>
      <c r="I1293">
        <v>10</v>
      </c>
      <c r="L1293" s="1"/>
      <c r="M1293" s="1"/>
      <c r="N1293" s="1"/>
      <c r="O1293" s="1"/>
      <c r="P1293" s="1"/>
    </row>
    <row r="1294" spans="1:16" ht="15" customHeight="1" x14ac:dyDescent="0.25">
      <c r="A1294" s="1" t="s">
        <v>1386</v>
      </c>
      <c r="B1294" s="2" t="s">
        <v>3546</v>
      </c>
      <c r="C1294" t="b">
        <v>1</v>
      </c>
      <c r="D1294" s="1" t="s">
        <v>2747</v>
      </c>
      <c r="E1294" s="1" t="s">
        <v>3555</v>
      </c>
      <c r="F1294" s="1" t="s">
        <v>2789</v>
      </c>
      <c r="G1294" s="1" t="s">
        <v>2809</v>
      </c>
      <c r="H1294" s="1" t="s">
        <v>28</v>
      </c>
      <c r="L1294" s="1"/>
      <c r="M1294" s="1"/>
      <c r="N1294" s="1"/>
      <c r="O1294" s="1"/>
      <c r="P1294" s="1"/>
    </row>
    <row r="1295" spans="1:16" ht="15" customHeight="1" x14ac:dyDescent="0.25">
      <c r="A1295" s="1" t="s">
        <v>1386</v>
      </c>
      <c r="B1295" s="2" t="s">
        <v>3546</v>
      </c>
      <c r="C1295" t="b">
        <v>1</v>
      </c>
      <c r="D1295" s="1" t="s">
        <v>2748</v>
      </c>
      <c r="E1295" s="1" t="s">
        <v>3556</v>
      </c>
      <c r="F1295" s="1" t="s">
        <v>2790</v>
      </c>
      <c r="G1295" s="1" t="s">
        <v>2810</v>
      </c>
      <c r="H1295" s="1" t="s">
        <v>28</v>
      </c>
      <c r="L1295" s="1"/>
      <c r="M1295" s="1"/>
      <c r="N1295" s="1"/>
      <c r="O1295" s="1"/>
      <c r="P1295" s="1"/>
    </row>
    <row r="1296" spans="1:16" ht="15" customHeight="1" x14ac:dyDescent="0.25">
      <c r="A1296" s="1" t="s">
        <v>1386</v>
      </c>
      <c r="B1296" s="2" t="s">
        <v>3546</v>
      </c>
      <c r="C1296" t="b">
        <v>1</v>
      </c>
      <c r="D1296" s="1" t="s">
        <v>2749</v>
      </c>
      <c r="E1296" s="1" t="s">
        <v>3557</v>
      </c>
      <c r="F1296" s="1" t="s">
        <v>2791</v>
      </c>
      <c r="G1296" s="1" t="s">
        <v>2749</v>
      </c>
      <c r="H1296" s="1" t="s">
        <v>1576</v>
      </c>
      <c r="J1296">
        <v>1</v>
      </c>
      <c r="K1296">
        <v>0</v>
      </c>
      <c r="L1296" s="1"/>
      <c r="M1296" s="1"/>
      <c r="N1296" s="1"/>
      <c r="O1296" s="1"/>
      <c r="P1296" s="1"/>
    </row>
    <row r="1297" spans="1:16" ht="15" customHeight="1" x14ac:dyDescent="0.25">
      <c r="A1297" s="1" t="s">
        <v>1386</v>
      </c>
      <c r="B1297" s="2" t="s">
        <v>3546</v>
      </c>
      <c r="C1297" t="b">
        <v>1</v>
      </c>
      <c r="D1297" s="1" t="s">
        <v>1184</v>
      </c>
      <c r="E1297" s="1" t="s">
        <v>3558</v>
      </c>
      <c r="F1297" s="1" t="s">
        <v>2792</v>
      </c>
      <c r="G1297" s="1" t="s">
        <v>1184</v>
      </c>
      <c r="H1297" s="1" t="s">
        <v>5</v>
      </c>
      <c r="I1297">
        <v>2</v>
      </c>
      <c r="L1297" s="1"/>
      <c r="M1297" s="1"/>
      <c r="N1297" s="1"/>
      <c r="O1297" s="1"/>
      <c r="P1297" s="1"/>
    </row>
    <row r="1298" spans="1:16" ht="15" customHeight="1" x14ac:dyDescent="0.25">
      <c r="A1298" s="1" t="s">
        <v>1386</v>
      </c>
      <c r="B1298" s="2" t="s">
        <v>3546</v>
      </c>
      <c r="C1298" t="b">
        <v>1</v>
      </c>
      <c r="D1298" s="1" t="s">
        <v>1185</v>
      </c>
      <c r="E1298" s="1" t="s">
        <v>3559</v>
      </c>
      <c r="F1298" s="1" t="s">
        <v>2793</v>
      </c>
      <c r="G1298" s="1" t="s">
        <v>2811</v>
      </c>
      <c r="H1298" s="1" t="s">
        <v>5</v>
      </c>
      <c r="I1298">
        <v>2</v>
      </c>
      <c r="L1298" s="1"/>
      <c r="M1298" s="1"/>
      <c r="N1298" s="1"/>
      <c r="O1298" s="1"/>
      <c r="P1298" s="1"/>
    </row>
    <row r="1299" spans="1:16" ht="15" customHeight="1" x14ac:dyDescent="0.25">
      <c r="A1299" s="1" t="s">
        <v>1386</v>
      </c>
      <c r="B1299" s="2" t="s">
        <v>3546</v>
      </c>
      <c r="C1299" t="b">
        <v>0</v>
      </c>
      <c r="D1299" s="1" t="s">
        <v>3547</v>
      </c>
      <c r="E1299" s="1" t="s">
        <v>3560</v>
      </c>
      <c r="F1299" s="1" t="s">
        <v>3571</v>
      </c>
      <c r="G1299" s="1" t="s">
        <v>3572</v>
      </c>
      <c r="H1299" s="1" t="s">
        <v>5</v>
      </c>
      <c r="I1299">
        <v>2</v>
      </c>
      <c r="L1299" s="1"/>
      <c r="M1299" s="1"/>
      <c r="N1299" s="1"/>
      <c r="O1299" s="1"/>
      <c r="P1299" s="1"/>
    </row>
    <row r="1300" spans="1:16" ht="15" customHeight="1" x14ac:dyDescent="0.25">
      <c r="A1300" s="1" t="s">
        <v>1386</v>
      </c>
      <c r="B1300" s="2" t="s">
        <v>3546</v>
      </c>
      <c r="C1300" t="b">
        <v>1</v>
      </c>
      <c r="D1300" s="1" t="s">
        <v>3548</v>
      </c>
      <c r="E1300" s="1" t="s">
        <v>3561</v>
      </c>
      <c r="F1300" s="1" t="s">
        <v>2797</v>
      </c>
      <c r="G1300" s="1" t="s">
        <v>2817</v>
      </c>
      <c r="H1300" s="1" t="s">
        <v>5</v>
      </c>
      <c r="I1300">
        <v>1</v>
      </c>
      <c r="L1300" s="1"/>
      <c r="M1300" s="1"/>
      <c r="N1300" s="1"/>
      <c r="O1300" s="1"/>
      <c r="P1300" s="1"/>
    </row>
    <row r="1301" spans="1:16" ht="15" customHeight="1" x14ac:dyDescent="0.25">
      <c r="A1301" s="1" t="s">
        <v>1386</v>
      </c>
      <c r="B1301" s="2" t="s">
        <v>3546</v>
      </c>
      <c r="C1301" t="b">
        <v>1</v>
      </c>
      <c r="D1301" s="1" t="s">
        <v>1181</v>
      </c>
      <c r="E1301" s="1" t="s">
        <v>3562</v>
      </c>
      <c r="F1301" s="1" t="s">
        <v>2792</v>
      </c>
      <c r="G1301" s="1" t="s">
        <v>2812</v>
      </c>
      <c r="H1301" s="1" t="s">
        <v>5</v>
      </c>
      <c r="I1301">
        <v>2</v>
      </c>
      <c r="L1301" s="1"/>
      <c r="M1301" s="1"/>
      <c r="N1301" s="1"/>
      <c r="O1301" s="1"/>
      <c r="P1301" s="1"/>
    </row>
    <row r="1302" spans="1:16" ht="15" customHeight="1" x14ac:dyDescent="0.25">
      <c r="A1302" s="1" t="s">
        <v>1386</v>
      </c>
      <c r="B1302" s="2" t="s">
        <v>3546</v>
      </c>
      <c r="C1302" t="b">
        <v>1</v>
      </c>
      <c r="D1302" s="1" t="s">
        <v>1384</v>
      </c>
      <c r="E1302" s="1" t="s">
        <v>3563</v>
      </c>
      <c r="F1302" s="1" t="s">
        <v>2794</v>
      </c>
      <c r="G1302" s="1" t="s">
        <v>2813</v>
      </c>
      <c r="H1302" s="1" t="s">
        <v>5</v>
      </c>
      <c r="I1302">
        <v>1</v>
      </c>
      <c r="L1302" s="1"/>
      <c r="M1302" s="1"/>
      <c r="N1302" s="1"/>
      <c r="O1302" s="1"/>
      <c r="P1302" s="1"/>
    </row>
    <row r="1303" spans="1:16" ht="15" customHeight="1" x14ac:dyDescent="0.25">
      <c r="A1303" s="1" t="s">
        <v>1386</v>
      </c>
      <c r="B1303" s="2" t="s">
        <v>3546</v>
      </c>
      <c r="C1303" t="b">
        <v>1</v>
      </c>
      <c r="D1303" s="1" t="s">
        <v>3549</v>
      </c>
      <c r="E1303" s="1" t="s">
        <v>3564</v>
      </c>
      <c r="F1303" s="1" t="s">
        <v>2795</v>
      </c>
      <c r="G1303" s="1" t="s">
        <v>3573</v>
      </c>
      <c r="H1303" s="1" t="s">
        <v>5</v>
      </c>
      <c r="I1303">
        <v>12</v>
      </c>
      <c r="L1303" s="1"/>
      <c r="M1303" s="1"/>
      <c r="N1303" s="1"/>
      <c r="O1303" s="1"/>
      <c r="P1303" s="1"/>
    </row>
    <row r="1304" spans="1:16" ht="15" customHeight="1" x14ac:dyDescent="0.25">
      <c r="A1304" s="1" t="s">
        <v>1386</v>
      </c>
      <c r="B1304" s="2" t="s">
        <v>3546</v>
      </c>
      <c r="C1304" t="b">
        <v>1</v>
      </c>
      <c r="D1304" s="1" t="s">
        <v>3550</v>
      </c>
      <c r="E1304" s="1" t="s">
        <v>3565</v>
      </c>
      <c r="F1304" s="1" t="s">
        <v>2796</v>
      </c>
      <c r="G1304" s="1" t="s">
        <v>3550</v>
      </c>
      <c r="H1304" s="1" t="s">
        <v>5</v>
      </c>
      <c r="I1304">
        <v>15</v>
      </c>
      <c r="L1304" s="1"/>
      <c r="M1304" s="1"/>
      <c r="N1304" s="1"/>
      <c r="O1304" s="1"/>
      <c r="P1304" s="1"/>
    </row>
    <row r="1305" spans="1:16" ht="15" customHeight="1" x14ac:dyDescent="0.25">
      <c r="A1305" s="1" t="s">
        <v>1386</v>
      </c>
      <c r="B1305" s="2" t="s">
        <v>3546</v>
      </c>
      <c r="C1305" t="b">
        <v>1</v>
      </c>
      <c r="D1305" s="1" t="s">
        <v>2754</v>
      </c>
      <c r="E1305" s="1" t="s">
        <v>3566</v>
      </c>
      <c r="F1305" s="1" t="s">
        <v>2798</v>
      </c>
      <c r="G1305" s="1" t="s">
        <v>2818</v>
      </c>
      <c r="H1305" s="1" t="s">
        <v>5</v>
      </c>
      <c r="I1305">
        <v>30</v>
      </c>
      <c r="L1305" s="1"/>
      <c r="M1305" s="1"/>
      <c r="N1305" s="1"/>
      <c r="O1305" s="1"/>
      <c r="P1305" s="1"/>
    </row>
    <row r="1306" spans="1:16" ht="15" customHeight="1" x14ac:dyDescent="0.25">
      <c r="A1306" s="1" t="s">
        <v>1386</v>
      </c>
      <c r="B1306" s="2" t="s">
        <v>3546</v>
      </c>
      <c r="C1306" t="b">
        <v>1</v>
      </c>
      <c r="D1306" s="1" t="s">
        <v>3551</v>
      </c>
      <c r="E1306" s="1" t="s">
        <v>3567</v>
      </c>
      <c r="F1306" s="1" t="s">
        <v>2799</v>
      </c>
      <c r="G1306" s="1" t="s">
        <v>2819</v>
      </c>
      <c r="H1306" s="1" t="s">
        <v>5</v>
      </c>
      <c r="I1306">
        <v>31</v>
      </c>
      <c r="L1306" s="1"/>
      <c r="M1306" s="1"/>
      <c r="N1306" s="1"/>
      <c r="O1306" s="1"/>
      <c r="P1306" s="1"/>
    </row>
    <row r="1307" spans="1:16" ht="15" customHeight="1" x14ac:dyDescent="0.25">
      <c r="A1307" s="1" t="s">
        <v>1386</v>
      </c>
      <c r="B1307" s="2" t="s">
        <v>3546</v>
      </c>
      <c r="C1307" t="b">
        <v>1</v>
      </c>
      <c r="D1307" s="1" t="s">
        <v>2756</v>
      </c>
      <c r="E1307" s="1" t="s">
        <v>3568</v>
      </c>
      <c r="F1307" s="1" t="s">
        <v>2800</v>
      </c>
      <c r="G1307" s="1" t="s">
        <v>2820</v>
      </c>
      <c r="H1307" s="1" t="s">
        <v>5</v>
      </c>
      <c r="I1307">
        <v>130</v>
      </c>
      <c r="L1307" s="1"/>
      <c r="M1307" s="1"/>
      <c r="N1307" s="1"/>
      <c r="O1307" s="1"/>
      <c r="P1307" s="1"/>
    </row>
    <row r="1308" spans="1:16" ht="15" customHeight="1" x14ac:dyDescent="0.25">
      <c r="A1308" s="1" t="s">
        <v>1386</v>
      </c>
      <c r="B1308" s="2" t="s">
        <v>3546</v>
      </c>
      <c r="C1308" t="b">
        <v>1</v>
      </c>
      <c r="D1308" s="1" t="s">
        <v>2757</v>
      </c>
      <c r="E1308" s="1" t="s">
        <v>3569</v>
      </c>
      <c r="F1308" s="1" t="s">
        <v>2801</v>
      </c>
      <c r="G1308" s="1" t="s">
        <v>2821</v>
      </c>
      <c r="H1308" s="1" t="s">
        <v>5</v>
      </c>
      <c r="I1308">
        <v>30</v>
      </c>
      <c r="L1308" s="1"/>
      <c r="M1308" s="1"/>
      <c r="N1308" s="1"/>
      <c r="O1308" s="1"/>
      <c r="P1308" s="1"/>
    </row>
    <row r="1309" spans="1:16" ht="15" customHeight="1" x14ac:dyDescent="0.25">
      <c r="A1309" s="1" t="s">
        <v>1386</v>
      </c>
      <c r="B1309" s="2" t="s">
        <v>3546</v>
      </c>
      <c r="D1309" s="1"/>
      <c r="E1309" s="1"/>
      <c r="F1309" s="1"/>
      <c r="G1309" s="1"/>
      <c r="H1309" s="1"/>
      <c r="L1309" s="1" t="s">
        <v>1524</v>
      </c>
      <c r="M1309" s="1" t="s">
        <v>3543</v>
      </c>
      <c r="N1309" s="1"/>
      <c r="O1309" s="1"/>
      <c r="P1309" s="1"/>
    </row>
    <row r="1310" spans="1:16" ht="15" customHeight="1" x14ac:dyDescent="0.25">
      <c r="A1310" s="1" t="s">
        <v>1386</v>
      </c>
      <c r="B1310" s="2" t="s">
        <v>3546</v>
      </c>
      <c r="D1310" s="1"/>
      <c r="E1310" s="1"/>
      <c r="F1310" s="1"/>
      <c r="G1310" s="1"/>
      <c r="H1310" s="1"/>
      <c r="L1310" s="1" t="s">
        <v>1524</v>
      </c>
      <c r="M1310" s="1" t="s">
        <v>3574</v>
      </c>
      <c r="N1310" s="1"/>
      <c r="O1310" s="1"/>
      <c r="P1310" s="1"/>
    </row>
    <row r="1311" spans="1:16" ht="15" customHeight="1" x14ac:dyDescent="0.25">
      <c r="A1311" s="1" t="s">
        <v>1386</v>
      </c>
      <c r="B1311" s="2" t="s">
        <v>3546</v>
      </c>
      <c r="D1311" s="1"/>
      <c r="E1311" s="1"/>
      <c r="F1311" s="1"/>
      <c r="G1311" s="1"/>
      <c r="H1311" s="1"/>
      <c r="L1311" s="1" t="s">
        <v>1524</v>
      </c>
      <c r="M1311" s="1" t="s">
        <v>2739</v>
      </c>
      <c r="N1311" s="1"/>
      <c r="O1311" s="1"/>
      <c r="P1311" s="1"/>
    </row>
    <row r="1312" spans="1:16" ht="15" customHeight="1" x14ac:dyDescent="0.25">
      <c r="A1312" s="1" t="s">
        <v>1386</v>
      </c>
      <c r="B1312" s="2" t="s">
        <v>3546</v>
      </c>
      <c r="D1312" s="1"/>
      <c r="E1312" s="1"/>
      <c r="F1312" s="1"/>
      <c r="G1312" s="1"/>
      <c r="H1312" s="1"/>
      <c r="L1312" s="1" t="s">
        <v>1524</v>
      </c>
      <c r="M1312" s="1" t="s">
        <v>3542</v>
      </c>
      <c r="N1312" s="1"/>
      <c r="O1312" s="1"/>
      <c r="P1312" s="1"/>
    </row>
    <row r="1313" spans="1:16" ht="15" customHeight="1" x14ac:dyDescent="0.25">
      <c r="A1313" s="1" t="s">
        <v>1386</v>
      </c>
      <c r="B1313" s="2" t="s">
        <v>3546</v>
      </c>
      <c r="D1313" s="1"/>
      <c r="E1313" s="1"/>
      <c r="F1313" s="1"/>
      <c r="G1313" s="1"/>
      <c r="H1313" s="1"/>
      <c r="L1313" s="1"/>
      <c r="M1313" s="1"/>
      <c r="N1313" s="1" t="s">
        <v>1529</v>
      </c>
      <c r="O1313" s="1" t="s">
        <v>3575</v>
      </c>
      <c r="P1313" s="1"/>
    </row>
    <row r="1314" spans="1:16" ht="15" customHeight="1" x14ac:dyDescent="0.25">
      <c r="A1314" s="1" t="s">
        <v>1386</v>
      </c>
      <c r="B1314" s="2" t="s">
        <v>3546</v>
      </c>
      <c r="D1314" s="1"/>
      <c r="E1314" s="1"/>
      <c r="F1314" s="1"/>
      <c r="G1314" s="1"/>
      <c r="H1314" s="1"/>
      <c r="L1314" s="1"/>
      <c r="M1314" s="1"/>
      <c r="N1314" s="1" t="s">
        <v>1529</v>
      </c>
      <c r="O1314" s="1" t="s">
        <v>3575</v>
      </c>
      <c r="P1314" s="1"/>
    </row>
    <row r="1315" spans="1:16" ht="15" customHeight="1" x14ac:dyDescent="0.25">
      <c r="A1315" s="1" t="s">
        <v>1386</v>
      </c>
      <c r="B1315" s="2" t="s">
        <v>3546</v>
      </c>
      <c r="D1315" s="1"/>
      <c r="E1315" s="1"/>
      <c r="F1315" s="1"/>
      <c r="G1315" s="1"/>
      <c r="H1315" s="1"/>
      <c r="L1315" s="1"/>
      <c r="M1315" s="1"/>
      <c r="N1315" s="1" t="s">
        <v>1529</v>
      </c>
      <c r="O1315" s="1" t="s">
        <v>3576</v>
      </c>
      <c r="P1315" s="1"/>
    </row>
    <row r="1316" spans="1:16" ht="15" customHeight="1" x14ac:dyDescent="0.25">
      <c r="A1316" s="1" t="s">
        <v>1386</v>
      </c>
      <c r="B1316" s="2" t="s">
        <v>3546</v>
      </c>
      <c r="D1316" s="1"/>
      <c r="E1316" s="1"/>
      <c r="F1316" s="1"/>
      <c r="G1316" s="1"/>
      <c r="H1316" s="1"/>
      <c r="L1316" s="1"/>
      <c r="M1316" s="1"/>
      <c r="N1316" s="1" t="s">
        <v>1529</v>
      </c>
      <c r="O1316" s="1" t="s">
        <v>3576</v>
      </c>
      <c r="P1316" s="1"/>
    </row>
    <row r="1317" spans="1:16" ht="15" customHeight="1" x14ac:dyDescent="0.25">
      <c r="A1317" s="1" t="s">
        <v>1386</v>
      </c>
      <c r="B1317" s="2" t="s">
        <v>3546</v>
      </c>
      <c r="D1317" s="1"/>
      <c r="E1317" s="1"/>
      <c r="F1317" s="1"/>
      <c r="G1317" s="1"/>
      <c r="H1317" s="1"/>
      <c r="L1317" s="1"/>
      <c r="M1317" s="1"/>
      <c r="N1317" s="1" t="s">
        <v>1529</v>
      </c>
      <c r="O1317" s="1" t="s">
        <v>3576</v>
      </c>
      <c r="P1317" s="1"/>
    </row>
    <row r="1318" spans="1:16" ht="15" customHeight="1" x14ac:dyDescent="0.25">
      <c r="A1318" s="1" t="s">
        <v>1386</v>
      </c>
      <c r="B1318" s="2" t="s">
        <v>3546</v>
      </c>
      <c r="D1318" s="1"/>
      <c r="E1318" s="1"/>
      <c r="F1318" s="1"/>
      <c r="G1318" s="1"/>
      <c r="H1318" s="1"/>
      <c r="L1318" s="1"/>
      <c r="M1318" s="1"/>
      <c r="N1318" s="1" t="s">
        <v>1529</v>
      </c>
      <c r="O1318" s="1" t="s">
        <v>3576</v>
      </c>
      <c r="P1318" s="1"/>
    </row>
    <row r="1319" spans="1:16" ht="15" customHeight="1" x14ac:dyDescent="0.25">
      <c r="A1319" s="1" t="s">
        <v>1386</v>
      </c>
      <c r="B1319" s="2" t="s">
        <v>3546</v>
      </c>
      <c r="D1319" s="1"/>
      <c r="E1319" s="1"/>
      <c r="F1319" s="1"/>
      <c r="G1319" s="1"/>
      <c r="H1319" s="1"/>
      <c r="L1319" s="1"/>
      <c r="M1319" s="1"/>
      <c r="N1319" s="1" t="s">
        <v>1529</v>
      </c>
      <c r="O1319" s="1" t="s">
        <v>3576</v>
      </c>
      <c r="P1319" s="1"/>
    </row>
    <row r="1320" spans="1:16" ht="15" customHeight="1" x14ac:dyDescent="0.25">
      <c r="A1320" s="1" t="s">
        <v>1386</v>
      </c>
      <c r="B1320" s="2" t="s">
        <v>3546</v>
      </c>
      <c r="D1320" s="1"/>
      <c r="E1320" s="1"/>
      <c r="F1320" s="1"/>
      <c r="G1320" s="1"/>
      <c r="H1320" s="1"/>
      <c r="L1320" s="1"/>
      <c r="M1320" s="1"/>
      <c r="N1320" s="1" t="s">
        <v>1529</v>
      </c>
      <c r="O1320" s="1" t="s">
        <v>3577</v>
      </c>
      <c r="P1320" s="1"/>
    </row>
    <row r="1321" spans="1:16" ht="15" customHeight="1" x14ac:dyDescent="0.25">
      <c r="A1321" s="1" t="s">
        <v>1386</v>
      </c>
      <c r="B1321" s="2" t="s">
        <v>3546</v>
      </c>
      <c r="D1321" s="1"/>
      <c r="E1321" s="1"/>
      <c r="F1321" s="1"/>
      <c r="G1321" s="1"/>
      <c r="H1321" s="1"/>
      <c r="L1321" s="1"/>
      <c r="M1321" s="1"/>
      <c r="N1321" s="1" t="s">
        <v>1529</v>
      </c>
      <c r="O1321" s="1" t="s">
        <v>3577</v>
      </c>
      <c r="P1321" s="1"/>
    </row>
    <row r="1322" spans="1:16" ht="15" customHeight="1" x14ac:dyDescent="0.25">
      <c r="A1322" s="1" t="s">
        <v>1386</v>
      </c>
      <c r="B1322" s="2" t="s">
        <v>3546</v>
      </c>
      <c r="D1322" s="1"/>
      <c r="E1322" s="1"/>
      <c r="F1322" s="1"/>
      <c r="G1322" s="1"/>
      <c r="H1322" s="1"/>
      <c r="L1322" s="1"/>
      <c r="M1322" s="1"/>
      <c r="N1322" s="1" t="s">
        <v>1529</v>
      </c>
      <c r="O1322" s="1" t="s">
        <v>3577</v>
      </c>
      <c r="P1322" s="1"/>
    </row>
    <row r="1323" spans="1:16" ht="15" customHeight="1" x14ac:dyDescent="0.25">
      <c r="A1323" s="1" t="s">
        <v>1388</v>
      </c>
      <c r="B1323" s="2" t="s">
        <v>3578</v>
      </c>
      <c r="C1323" t="b">
        <v>0</v>
      </c>
      <c r="D1323" s="1" t="s">
        <v>1207</v>
      </c>
      <c r="E1323" s="1" t="s">
        <v>3488</v>
      </c>
      <c r="F1323" s="1" t="s">
        <v>3045</v>
      </c>
      <c r="G1323" s="1" t="s">
        <v>3064</v>
      </c>
      <c r="H1323" s="1" t="s">
        <v>5</v>
      </c>
      <c r="I1323">
        <v>10</v>
      </c>
      <c r="L1323" s="1"/>
      <c r="M1323" s="1"/>
      <c r="N1323" s="1"/>
      <c r="O1323" s="1"/>
      <c r="P1323" s="1"/>
    </row>
    <row r="1324" spans="1:16" ht="15" customHeight="1" x14ac:dyDescent="0.25">
      <c r="A1324" s="1" t="s">
        <v>1388</v>
      </c>
      <c r="B1324" s="2" t="s">
        <v>3578</v>
      </c>
      <c r="C1324" t="b">
        <v>1</v>
      </c>
      <c r="D1324" s="1" t="s">
        <v>1397</v>
      </c>
      <c r="E1324" s="1" t="s">
        <v>3489</v>
      </c>
      <c r="F1324" s="1" t="s">
        <v>3516</v>
      </c>
      <c r="G1324" s="1" t="s">
        <v>3529</v>
      </c>
      <c r="H1324" s="1" t="s">
        <v>5</v>
      </c>
      <c r="I1324">
        <v>4</v>
      </c>
      <c r="L1324" s="1"/>
      <c r="M1324" s="1"/>
      <c r="N1324" s="1"/>
      <c r="O1324" s="1"/>
      <c r="P1324" s="1"/>
    </row>
    <row r="1325" spans="1:16" ht="15" customHeight="1" x14ac:dyDescent="0.25">
      <c r="A1325" s="1" t="s">
        <v>1388</v>
      </c>
      <c r="B1325" s="2" t="s">
        <v>3578</v>
      </c>
      <c r="C1325" t="b">
        <v>1</v>
      </c>
      <c r="D1325" s="1" t="s">
        <v>1390</v>
      </c>
      <c r="E1325" s="1" t="s">
        <v>3490</v>
      </c>
      <c r="F1325" s="1" t="s">
        <v>2704</v>
      </c>
      <c r="G1325" s="1" t="s">
        <v>1390</v>
      </c>
      <c r="H1325" s="1" t="s">
        <v>5</v>
      </c>
      <c r="I1325">
        <v>35</v>
      </c>
      <c r="L1325" s="1"/>
      <c r="M1325" s="1"/>
      <c r="N1325" s="1"/>
      <c r="O1325" s="1"/>
      <c r="P1325" s="1"/>
    </row>
    <row r="1326" spans="1:16" ht="15" customHeight="1" x14ac:dyDescent="0.25">
      <c r="A1326" s="1" t="s">
        <v>1388</v>
      </c>
      <c r="B1326" s="2" t="s">
        <v>3578</v>
      </c>
      <c r="C1326" t="b">
        <v>1</v>
      </c>
      <c r="D1326" s="1" t="s">
        <v>1203</v>
      </c>
      <c r="E1326" s="1" t="s">
        <v>3491</v>
      </c>
      <c r="F1326" s="1" t="s">
        <v>2705</v>
      </c>
      <c r="G1326" s="1" t="s">
        <v>1203</v>
      </c>
      <c r="H1326" s="1" t="s">
        <v>5</v>
      </c>
      <c r="I1326">
        <v>35</v>
      </c>
      <c r="L1326" s="1"/>
      <c r="M1326" s="1"/>
      <c r="N1326" s="1"/>
      <c r="O1326" s="1"/>
      <c r="P1326" s="1"/>
    </row>
    <row r="1327" spans="1:16" ht="15" customHeight="1" x14ac:dyDescent="0.25">
      <c r="A1327" s="1" t="s">
        <v>1388</v>
      </c>
      <c r="B1327" s="2" t="s">
        <v>3578</v>
      </c>
      <c r="C1327" t="b">
        <v>0</v>
      </c>
      <c r="D1327" s="1" t="s">
        <v>1190</v>
      </c>
      <c r="E1327" s="1" t="s">
        <v>3492</v>
      </c>
      <c r="F1327" s="1" t="s">
        <v>2706</v>
      </c>
      <c r="G1327" s="1" t="s">
        <v>1190</v>
      </c>
      <c r="H1327" s="1" t="s">
        <v>5</v>
      </c>
      <c r="I1327">
        <v>4</v>
      </c>
      <c r="L1327" s="1"/>
      <c r="M1327" s="1"/>
      <c r="N1327" s="1"/>
      <c r="O1327" s="1"/>
      <c r="P1327" s="1"/>
    </row>
    <row r="1328" spans="1:16" ht="15" customHeight="1" x14ac:dyDescent="0.25">
      <c r="A1328" s="1" t="s">
        <v>1388</v>
      </c>
      <c r="B1328" s="2" t="s">
        <v>3578</v>
      </c>
      <c r="C1328" t="b">
        <v>1</v>
      </c>
      <c r="D1328" s="1" t="s">
        <v>2673</v>
      </c>
      <c r="E1328" s="1" t="s">
        <v>2687</v>
      </c>
      <c r="F1328" s="1" t="s">
        <v>2707</v>
      </c>
      <c r="G1328" s="1" t="s">
        <v>2724</v>
      </c>
      <c r="H1328" s="1" t="s">
        <v>5</v>
      </c>
      <c r="I1328">
        <v>25</v>
      </c>
      <c r="L1328" s="1"/>
      <c r="M1328" s="1"/>
      <c r="N1328" s="1"/>
      <c r="O1328" s="1"/>
      <c r="P1328" s="1"/>
    </row>
    <row r="1329" spans="1:16" ht="15" customHeight="1" x14ac:dyDescent="0.25">
      <c r="A1329" s="1" t="s">
        <v>1388</v>
      </c>
      <c r="B1329" s="2" t="s">
        <v>3578</v>
      </c>
      <c r="C1329" t="b">
        <v>1</v>
      </c>
      <c r="D1329" s="1" t="s">
        <v>1189</v>
      </c>
      <c r="E1329" s="1" t="s">
        <v>3587</v>
      </c>
      <c r="F1329" s="1" t="s">
        <v>2888</v>
      </c>
      <c r="G1329" s="1" t="s">
        <v>2907</v>
      </c>
      <c r="H1329" s="1" t="s">
        <v>5</v>
      </c>
      <c r="I1329">
        <v>4</v>
      </c>
      <c r="L1329" s="1"/>
      <c r="M1329" s="1"/>
      <c r="N1329" s="1"/>
      <c r="O1329" s="1"/>
      <c r="P1329" s="1"/>
    </row>
    <row r="1330" spans="1:16" ht="15" customHeight="1" x14ac:dyDescent="0.25">
      <c r="A1330" s="1" t="s">
        <v>1388</v>
      </c>
      <c r="B1330" s="2" t="s">
        <v>3578</v>
      </c>
      <c r="C1330" t="b">
        <v>1</v>
      </c>
      <c r="D1330" s="1" t="s">
        <v>1199</v>
      </c>
      <c r="E1330" s="1" t="s">
        <v>3588</v>
      </c>
      <c r="F1330" s="1" t="s">
        <v>2889</v>
      </c>
      <c r="G1330" s="1" t="s">
        <v>2908</v>
      </c>
      <c r="H1330" s="1" t="s">
        <v>5</v>
      </c>
      <c r="I1330">
        <v>4</v>
      </c>
      <c r="L1330" s="1"/>
      <c r="M1330" s="1"/>
      <c r="N1330" s="1"/>
      <c r="O1330" s="1"/>
      <c r="P1330" s="1"/>
    </row>
    <row r="1331" spans="1:16" ht="15" customHeight="1" x14ac:dyDescent="0.25">
      <c r="A1331" s="1" t="s">
        <v>1388</v>
      </c>
      <c r="B1331" s="2" t="s">
        <v>3578</v>
      </c>
      <c r="C1331" t="b">
        <v>1</v>
      </c>
      <c r="D1331" s="1" t="s">
        <v>3579</v>
      </c>
      <c r="E1331" s="1" t="s">
        <v>3589</v>
      </c>
      <c r="F1331" s="1" t="s">
        <v>3603</v>
      </c>
      <c r="G1331" s="1" t="s">
        <v>3609</v>
      </c>
      <c r="H1331" s="1" t="s">
        <v>5</v>
      </c>
      <c r="I1331">
        <v>4</v>
      </c>
      <c r="L1331" s="1"/>
      <c r="M1331" s="1"/>
      <c r="N1331" s="1"/>
      <c r="O1331" s="1"/>
      <c r="P1331" s="1"/>
    </row>
    <row r="1332" spans="1:16" ht="15" customHeight="1" x14ac:dyDescent="0.25">
      <c r="A1332" s="1" t="s">
        <v>1388</v>
      </c>
      <c r="B1332" s="2" t="s">
        <v>3578</v>
      </c>
      <c r="C1332" t="b">
        <v>1</v>
      </c>
      <c r="D1332" s="1" t="s">
        <v>3580</v>
      </c>
      <c r="E1332" s="1" t="s">
        <v>3590</v>
      </c>
      <c r="F1332" s="1" t="s">
        <v>3604</v>
      </c>
      <c r="G1332" s="1" t="s">
        <v>3610</v>
      </c>
      <c r="H1332" s="1" t="s">
        <v>5</v>
      </c>
      <c r="I1332">
        <v>1</v>
      </c>
      <c r="L1332" s="1"/>
      <c r="M1332" s="1"/>
      <c r="N1332" s="1"/>
      <c r="O1332" s="1"/>
      <c r="P1332" s="1"/>
    </row>
    <row r="1333" spans="1:16" ht="15" customHeight="1" x14ac:dyDescent="0.25">
      <c r="A1333" s="1" t="s">
        <v>1388</v>
      </c>
      <c r="B1333" s="2" t="s">
        <v>3578</v>
      </c>
      <c r="C1333" t="b">
        <v>1</v>
      </c>
      <c r="D1333" s="1" t="s">
        <v>3581</v>
      </c>
      <c r="E1333" s="1" t="s">
        <v>3591</v>
      </c>
      <c r="F1333" s="1" t="s">
        <v>2892</v>
      </c>
      <c r="G1333" s="1" t="s">
        <v>2911</v>
      </c>
      <c r="H1333" s="1" t="s">
        <v>748</v>
      </c>
      <c r="J1333">
        <v>3</v>
      </c>
      <c r="K1333">
        <v>0</v>
      </c>
      <c r="L1333" s="1"/>
      <c r="M1333" s="1"/>
      <c r="N1333" s="1"/>
      <c r="O1333" s="1"/>
      <c r="P1333" s="1"/>
    </row>
    <row r="1334" spans="1:16" ht="15" customHeight="1" x14ac:dyDescent="0.25">
      <c r="A1334" s="1" t="s">
        <v>1388</v>
      </c>
      <c r="B1334" s="2" t="s">
        <v>3578</v>
      </c>
      <c r="C1334" t="b">
        <v>1</v>
      </c>
      <c r="D1334" s="1" t="s">
        <v>1196</v>
      </c>
      <c r="E1334" s="1" t="s">
        <v>3592</v>
      </c>
      <c r="F1334" s="1" t="s">
        <v>2894</v>
      </c>
      <c r="G1334" s="1" t="s">
        <v>2913</v>
      </c>
      <c r="H1334" s="1" t="s">
        <v>5</v>
      </c>
      <c r="I1334">
        <v>10</v>
      </c>
      <c r="L1334" s="1"/>
      <c r="M1334" s="1"/>
      <c r="N1334" s="1"/>
      <c r="O1334" s="1"/>
      <c r="P1334" s="1"/>
    </row>
    <row r="1335" spans="1:16" ht="15" customHeight="1" x14ac:dyDescent="0.25">
      <c r="A1335" s="1" t="s">
        <v>1388</v>
      </c>
      <c r="B1335" s="2" t="s">
        <v>3578</v>
      </c>
      <c r="C1335" t="b">
        <v>1</v>
      </c>
      <c r="D1335" s="1" t="s">
        <v>1195</v>
      </c>
      <c r="E1335" s="1" t="s">
        <v>3593</v>
      </c>
      <c r="F1335" s="1" t="s">
        <v>2895</v>
      </c>
      <c r="G1335" s="1" t="s">
        <v>2914</v>
      </c>
      <c r="H1335" s="1" t="s">
        <v>5</v>
      </c>
      <c r="I1335">
        <v>1</v>
      </c>
      <c r="L1335" s="1"/>
      <c r="M1335" s="1"/>
      <c r="N1335" s="1"/>
      <c r="O1335" s="1"/>
      <c r="P1335" s="1"/>
    </row>
    <row r="1336" spans="1:16" ht="15" customHeight="1" x14ac:dyDescent="0.25">
      <c r="A1336" s="1" t="s">
        <v>1388</v>
      </c>
      <c r="B1336" s="2" t="s">
        <v>3578</v>
      </c>
      <c r="C1336" t="b">
        <v>1</v>
      </c>
      <c r="D1336" s="1" t="s">
        <v>3582</v>
      </c>
      <c r="E1336" s="1" t="s">
        <v>3594</v>
      </c>
      <c r="F1336" s="1" t="s">
        <v>3605</v>
      </c>
      <c r="G1336" s="1" t="s">
        <v>3611</v>
      </c>
      <c r="H1336" s="1" t="s">
        <v>5</v>
      </c>
      <c r="I1336">
        <v>10</v>
      </c>
      <c r="L1336" s="1"/>
      <c r="M1336" s="1"/>
      <c r="N1336" s="1"/>
      <c r="O1336" s="1"/>
      <c r="P1336" s="1"/>
    </row>
    <row r="1337" spans="1:16" ht="15" customHeight="1" x14ac:dyDescent="0.25">
      <c r="A1337" s="1" t="s">
        <v>1388</v>
      </c>
      <c r="B1337" s="2" t="s">
        <v>3578</v>
      </c>
      <c r="C1337" t="b">
        <v>1</v>
      </c>
      <c r="D1337" s="1" t="s">
        <v>1387</v>
      </c>
      <c r="E1337" s="1" t="s">
        <v>3595</v>
      </c>
      <c r="F1337" s="1" t="s">
        <v>2897</v>
      </c>
      <c r="G1337" s="1" t="s">
        <v>2916</v>
      </c>
      <c r="H1337" s="1" t="s">
        <v>5</v>
      </c>
      <c r="I1337">
        <v>5</v>
      </c>
      <c r="L1337" s="1"/>
      <c r="M1337" s="1"/>
      <c r="N1337" s="1"/>
      <c r="O1337" s="1"/>
      <c r="P1337" s="1"/>
    </row>
    <row r="1338" spans="1:16" ht="15" customHeight="1" x14ac:dyDescent="0.25">
      <c r="A1338" s="1" t="s">
        <v>1388</v>
      </c>
      <c r="B1338" s="2" t="s">
        <v>3578</v>
      </c>
      <c r="C1338" t="b">
        <v>1</v>
      </c>
      <c r="D1338" s="1" t="s">
        <v>3583</v>
      </c>
      <c r="E1338" s="1" t="s">
        <v>3596</v>
      </c>
      <c r="F1338" s="1" t="s">
        <v>2898</v>
      </c>
      <c r="G1338" s="1" t="s">
        <v>2917</v>
      </c>
      <c r="H1338" s="1" t="s">
        <v>748</v>
      </c>
      <c r="J1338">
        <v>13</v>
      </c>
      <c r="K1338">
        <v>2</v>
      </c>
      <c r="L1338" s="1"/>
      <c r="M1338" s="1"/>
      <c r="N1338" s="1"/>
      <c r="O1338" s="1"/>
      <c r="P1338" s="1"/>
    </row>
    <row r="1339" spans="1:16" ht="15" customHeight="1" x14ac:dyDescent="0.25">
      <c r="A1339" s="1" t="s">
        <v>1388</v>
      </c>
      <c r="B1339" s="2" t="s">
        <v>3578</v>
      </c>
      <c r="C1339" t="b">
        <v>1</v>
      </c>
      <c r="D1339" s="1" t="s">
        <v>1185</v>
      </c>
      <c r="E1339" s="1" t="s">
        <v>3597</v>
      </c>
      <c r="F1339" s="1" t="s">
        <v>2899</v>
      </c>
      <c r="G1339" s="1" t="s">
        <v>2918</v>
      </c>
      <c r="H1339" s="1" t="s">
        <v>5</v>
      </c>
      <c r="I1339">
        <v>2</v>
      </c>
      <c r="L1339" s="1"/>
      <c r="M1339" s="1"/>
      <c r="N1339" s="1"/>
      <c r="O1339" s="1"/>
      <c r="P1339" s="1"/>
    </row>
    <row r="1340" spans="1:16" ht="15" customHeight="1" x14ac:dyDescent="0.25">
      <c r="A1340" s="1" t="s">
        <v>1388</v>
      </c>
      <c r="B1340" s="2" t="s">
        <v>3578</v>
      </c>
      <c r="C1340" t="b">
        <v>1</v>
      </c>
      <c r="D1340" s="1" t="s">
        <v>3584</v>
      </c>
      <c r="E1340" s="1" t="s">
        <v>3598</v>
      </c>
      <c r="F1340" s="1" t="s">
        <v>2900</v>
      </c>
      <c r="G1340" s="1" t="s">
        <v>2919</v>
      </c>
      <c r="H1340" s="1" t="s">
        <v>5</v>
      </c>
      <c r="I1340">
        <v>1</v>
      </c>
      <c r="L1340" s="1"/>
      <c r="M1340" s="1"/>
      <c r="N1340" s="1"/>
      <c r="O1340" s="1"/>
      <c r="P1340" s="1"/>
    </row>
    <row r="1341" spans="1:16" ht="15" customHeight="1" x14ac:dyDescent="0.25">
      <c r="A1341" s="1" t="s">
        <v>1388</v>
      </c>
      <c r="B1341" s="2" t="s">
        <v>3578</v>
      </c>
      <c r="C1341" t="b">
        <v>1</v>
      </c>
      <c r="D1341" s="1" t="s">
        <v>2867</v>
      </c>
      <c r="E1341" s="1" t="s">
        <v>3599</v>
      </c>
      <c r="F1341" s="1" t="s">
        <v>2902</v>
      </c>
      <c r="G1341" s="1" t="s">
        <v>2920</v>
      </c>
      <c r="H1341" s="1" t="s">
        <v>5</v>
      </c>
      <c r="I1341">
        <v>1</v>
      </c>
      <c r="L1341" s="1"/>
      <c r="M1341" s="1"/>
      <c r="N1341" s="1"/>
      <c r="O1341" s="1"/>
      <c r="P1341" s="1"/>
    </row>
    <row r="1342" spans="1:16" ht="15" customHeight="1" x14ac:dyDescent="0.25">
      <c r="A1342" s="1" t="s">
        <v>1388</v>
      </c>
      <c r="B1342" s="2" t="s">
        <v>3578</v>
      </c>
      <c r="C1342" t="b">
        <v>1</v>
      </c>
      <c r="D1342" s="1" t="s">
        <v>3585</v>
      </c>
      <c r="E1342" s="1" t="s">
        <v>3600</v>
      </c>
      <c r="F1342" s="1" t="s">
        <v>3606</v>
      </c>
      <c r="G1342" s="1" t="s">
        <v>3612</v>
      </c>
      <c r="H1342" s="1" t="s">
        <v>5</v>
      </c>
      <c r="I1342">
        <v>1</v>
      </c>
      <c r="L1342" s="1"/>
      <c r="M1342" s="1"/>
      <c r="N1342" s="1"/>
      <c r="O1342" s="1"/>
      <c r="P1342" s="1"/>
    </row>
    <row r="1343" spans="1:16" ht="15" customHeight="1" x14ac:dyDescent="0.25">
      <c r="A1343" s="1" t="s">
        <v>1388</v>
      </c>
      <c r="B1343" s="2" t="s">
        <v>3578</v>
      </c>
      <c r="C1343" t="b">
        <v>0</v>
      </c>
      <c r="D1343" s="1" t="s">
        <v>1420</v>
      </c>
      <c r="E1343" s="1" t="s">
        <v>3601</v>
      </c>
      <c r="F1343" s="1" t="s">
        <v>3607</v>
      </c>
      <c r="G1343" s="1" t="s">
        <v>3613</v>
      </c>
      <c r="H1343" s="1" t="s">
        <v>5</v>
      </c>
      <c r="I1343">
        <v>10</v>
      </c>
      <c r="L1343" s="1"/>
      <c r="M1343" s="1"/>
      <c r="N1343" s="1"/>
      <c r="O1343" s="1"/>
      <c r="P1343" s="1"/>
    </row>
    <row r="1344" spans="1:16" ht="15" customHeight="1" x14ac:dyDescent="0.25">
      <c r="A1344" s="1" t="s">
        <v>1388</v>
      </c>
      <c r="B1344" s="2" t="s">
        <v>3578</v>
      </c>
      <c r="C1344" t="b">
        <v>1</v>
      </c>
      <c r="D1344" s="1" t="s">
        <v>3586</v>
      </c>
      <c r="E1344" s="1" t="s">
        <v>3602</v>
      </c>
      <c r="F1344" s="1" t="s">
        <v>3608</v>
      </c>
      <c r="G1344" s="1" t="s">
        <v>3614</v>
      </c>
      <c r="H1344" s="1" t="s">
        <v>5</v>
      </c>
      <c r="I1344">
        <v>4</v>
      </c>
      <c r="L1344" s="1"/>
      <c r="M1344" s="1"/>
      <c r="N1344" s="1"/>
      <c r="O1344" s="1"/>
      <c r="P1344" s="1"/>
    </row>
    <row r="1345" spans="1:16" ht="15" customHeight="1" x14ac:dyDescent="0.25">
      <c r="A1345" s="1" t="s">
        <v>1388</v>
      </c>
      <c r="B1345" s="2" t="s">
        <v>3578</v>
      </c>
      <c r="D1345" s="1"/>
      <c r="E1345" s="1"/>
      <c r="F1345" s="1"/>
      <c r="G1345" s="1"/>
      <c r="H1345" s="1"/>
      <c r="L1345" s="1" t="s">
        <v>1524</v>
      </c>
      <c r="M1345" s="1" t="s">
        <v>3543</v>
      </c>
      <c r="N1345" s="1"/>
      <c r="O1345" s="1"/>
      <c r="P1345" s="1"/>
    </row>
    <row r="1346" spans="1:16" ht="15" customHeight="1" x14ac:dyDescent="0.25">
      <c r="A1346" s="1" t="s">
        <v>1388</v>
      </c>
      <c r="B1346" s="2" t="s">
        <v>3578</v>
      </c>
      <c r="D1346" s="1"/>
      <c r="E1346" s="1"/>
      <c r="F1346" s="1"/>
      <c r="G1346" s="1"/>
      <c r="H1346" s="1"/>
      <c r="L1346" s="1" t="s">
        <v>1524</v>
      </c>
      <c r="M1346" s="1" t="s">
        <v>2739</v>
      </c>
      <c r="N1346" s="1"/>
      <c r="O1346" s="1"/>
      <c r="P1346" s="1"/>
    </row>
    <row r="1347" spans="1:16" ht="15" customHeight="1" x14ac:dyDescent="0.25">
      <c r="A1347" s="1" t="s">
        <v>1388</v>
      </c>
      <c r="B1347" s="2" t="s">
        <v>3578</v>
      </c>
      <c r="D1347" s="1"/>
      <c r="E1347" s="1"/>
      <c r="F1347" s="1"/>
      <c r="G1347" s="1"/>
      <c r="H1347" s="1"/>
      <c r="L1347" s="1" t="s">
        <v>1524</v>
      </c>
      <c r="M1347" s="1" t="s">
        <v>3542</v>
      </c>
      <c r="N1347" s="1"/>
      <c r="O1347" s="1"/>
      <c r="P1347" s="1"/>
    </row>
    <row r="1348" spans="1:16" ht="15" customHeight="1" x14ac:dyDescent="0.25">
      <c r="A1348" s="1" t="s">
        <v>1388</v>
      </c>
      <c r="B1348" s="2" t="s">
        <v>3578</v>
      </c>
      <c r="D1348" s="1"/>
      <c r="E1348" s="1"/>
      <c r="F1348" s="1"/>
      <c r="G1348" s="1"/>
      <c r="H1348" s="1"/>
      <c r="L1348" s="1" t="s">
        <v>1524</v>
      </c>
      <c r="M1348" s="1" t="s">
        <v>3615</v>
      </c>
      <c r="N1348" s="1"/>
      <c r="O1348" s="1"/>
      <c r="P1348" s="1"/>
    </row>
    <row r="1349" spans="1:16" ht="15" customHeight="1" x14ac:dyDescent="0.25">
      <c r="A1349" s="1" t="s">
        <v>1388</v>
      </c>
      <c r="B1349" s="2" t="s">
        <v>3578</v>
      </c>
      <c r="D1349" s="1"/>
      <c r="E1349" s="1"/>
      <c r="F1349" s="1"/>
      <c r="G1349" s="1"/>
      <c r="H1349" s="1"/>
      <c r="L1349" s="1"/>
      <c r="M1349" s="1"/>
      <c r="N1349" s="1" t="s">
        <v>1529</v>
      </c>
      <c r="O1349" s="1" t="s">
        <v>3544</v>
      </c>
      <c r="P1349" s="1"/>
    </row>
    <row r="1350" spans="1:16" ht="15" customHeight="1" x14ac:dyDescent="0.25">
      <c r="A1350" s="1" t="s">
        <v>1388</v>
      </c>
      <c r="B1350" s="2" t="s">
        <v>3578</v>
      </c>
      <c r="D1350" s="1"/>
      <c r="E1350" s="1"/>
      <c r="F1350" s="1"/>
      <c r="G1350" s="1"/>
      <c r="H1350" s="1"/>
      <c r="L1350" s="1"/>
      <c r="M1350" s="1"/>
      <c r="N1350" s="1" t="s">
        <v>1529</v>
      </c>
      <c r="O1350" s="1" t="s">
        <v>3544</v>
      </c>
      <c r="P1350" s="1"/>
    </row>
    <row r="1351" spans="1:16" ht="15" customHeight="1" x14ac:dyDescent="0.25">
      <c r="A1351" s="1" t="s">
        <v>1388</v>
      </c>
      <c r="B1351" s="2" t="s">
        <v>3578</v>
      </c>
      <c r="D1351" s="1"/>
      <c r="E1351" s="1"/>
      <c r="F1351" s="1"/>
      <c r="G1351" s="1"/>
      <c r="H1351" s="1"/>
      <c r="L1351" s="1"/>
      <c r="M1351" s="1"/>
      <c r="N1351" s="1" t="s">
        <v>1529</v>
      </c>
      <c r="O1351" s="1" t="s">
        <v>3616</v>
      </c>
      <c r="P1351" s="1"/>
    </row>
    <row r="1352" spans="1:16" ht="15" customHeight="1" x14ac:dyDescent="0.25">
      <c r="A1352" s="1" t="s">
        <v>1388</v>
      </c>
      <c r="B1352" s="2" t="s">
        <v>3578</v>
      </c>
      <c r="D1352" s="1"/>
      <c r="E1352" s="1"/>
      <c r="F1352" s="1"/>
      <c r="G1352" s="1"/>
      <c r="H1352" s="1"/>
      <c r="L1352" s="1"/>
      <c r="M1352" s="1"/>
      <c r="N1352" s="1" t="s">
        <v>1529</v>
      </c>
      <c r="O1352" s="1" t="s">
        <v>3616</v>
      </c>
      <c r="P1352" s="1"/>
    </row>
    <row r="1353" spans="1:16" ht="15" customHeight="1" x14ac:dyDescent="0.25">
      <c r="A1353" s="1" t="s">
        <v>1388</v>
      </c>
      <c r="B1353" s="2" t="s">
        <v>3578</v>
      </c>
      <c r="D1353" s="1"/>
      <c r="E1353" s="1"/>
      <c r="F1353" s="1"/>
      <c r="G1353" s="1"/>
      <c r="H1353" s="1"/>
      <c r="L1353" s="1"/>
      <c r="M1353" s="1"/>
      <c r="N1353" s="1" t="s">
        <v>1529</v>
      </c>
      <c r="O1353" s="1" t="s">
        <v>3616</v>
      </c>
      <c r="P1353" s="1"/>
    </row>
    <row r="1354" spans="1:16" ht="15" customHeight="1" x14ac:dyDescent="0.25">
      <c r="A1354" s="1" t="s">
        <v>1388</v>
      </c>
      <c r="B1354" s="2" t="s">
        <v>3578</v>
      </c>
      <c r="D1354" s="1"/>
      <c r="E1354" s="1"/>
      <c r="F1354" s="1"/>
      <c r="G1354" s="1"/>
      <c r="H1354" s="1"/>
      <c r="L1354" s="1"/>
      <c r="M1354" s="1"/>
      <c r="N1354" s="1" t="s">
        <v>1529</v>
      </c>
      <c r="O1354" s="1" t="s">
        <v>3616</v>
      </c>
      <c r="P1354" s="1"/>
    </row>
    <row r="1355" spans="1:16" ht="15" customHeight="1" x14ac:dyDescent="0.25">
      <c r="A1355" s="1" t="s">
        <v>1388</v>
      </c>
      <c r="B1355" s="2" t="s">
        <v>3578</v>
      </c>
      <c r="D1355" s="1"/>
      <c r="E1355" s="1"/>
      <c r="F1355" s="1"/>
      <c r="G1355" s="1"/>
      <c r="H1355" s="1"/>
      <c r="L1355" s="1"/>
      <c r="M1355" s="1"/>
      <c r="N1355" s="1" t="s">
        <v>1529</v>
      </c>
      <c r="O1355" s="1" t="s">
        <v>3616</v>
      </c>
      <c r="P1355" s="1"/>
    </row>
    <row r="1356" spans="1:16" ht="15" customHeight="1" x14ac:dyDescent="0.25">
      <c r="A1356" s="1" t="s">
        <v>1388</v>
      </c>
      <c r="B1356" s="2" t="s">
        <v>3578</v>
      </c>
      <c r="D1356" s="1"/>
      <c r="E1356" s="1"/>
      <c r="F1356" s="1"/>
      <c r="G1356" s="1"/>
      <c r="H1356" s="1"/>
      <c r="L1356" s="1"/>
      <c r="M1356" s="1"/>
      <c r="N1356" s="1" t="s">
        <v>1529</v>
      </c>
      <c r="O1356" s="1" t="s">
        <v>3617</v>
      </c>
      <c r="P1356" s="1"/>
    </row>
    <row r="1357" spans="1:16" ht="15" customHeight="1" x14ac:dyDescent="0.25">
      <c r="A1357" s="1" t="s">
        <v>1388</v>
      </c>
      <c r="B1357" s="2" t="s">
        <v>3578</v>
      </c>
      <c r="D1357" s="1"/>
      <c r="E1357" s="1"/>
      <c r="F1357" s="1"/>
      <c r="G1357" s="1"/>
      <c r="H1357" s="1"/>
      <c r="L1357" s="1"/>
      <c r="M1357" s="1"/>
      <c r="N1357" s="1" t="s">
        <v>1529</v>
      </c>
      <c r="O1357" s="1" t="s">
        <v>3617</v>
      </c>
      <c r="P1357" s="1"/>
    </row>
    <row r="1358" spans="1:16" ht="15" customHeight="1" x14ac:dyDescent="0.25">
      <c r="A1358" s="1" t="s">
        <v>1388</v>
      </c>
      <c r="B1358" s="2" t="s">
        <v>3578</v>
      </c>
      <c r="D1358" s="1"/>
      <c r="E1358" s="1"/>
      <c r="F1358" s="1"/>
      <c r="G1358" s="1"/>
      <c r="H1358" s="1"/>
      <c r="L1358" s="1"/>
      <c r="M1358" s="1"/>
      <c r="N1358" s="1" t="s">
        <v>1529</v>
      </c>
      <c r="O1358" s="1" t="s">
        <v>3617</v>
      </c>
      <c r="P1358" s="1"/>
    </row>
    <row r="1359" spans="1:16" ht="15" customHeight="1" x14ac:dyDescent="0.25">
      <c r="A1359" s="1" t="s">
        <v>1399</v>
      </c>
      <c r="B1359" s="2" t="s">
        <v>3618</v>
      </c>
      <c r="C1359" t="b">
        <v>0</v>
      </c>
      <c r="D1359" s="1" t="s">
        <v>1207</v>
      </c>
      <c r="E1359" s="1" t="s">
        <v>3488</v>
      </c>
      <c r="F1359" s="1" t="s">
        <v>3045</v>
      </c>
      <c r="G1359" s="1" t="s">
        <v>3064</v>
      </c>
      <c r="H1359" s="1" t="s">
        <v>5</v>
      </c>
      <c r="I1359">
        <v>10</v>
      </c>
      <c r="L1359" s="1"/>
      <c r="M1359" s="1"/>
      <c r="N1359" s="1"/>
      <c r="O1359" s="1"/>
      <c r="P1359" s="1"/>
    </row>
    <row r="1360" spans="1:16" ht="15" customHeight="1" x14ac:dyDescent="0.25">
      <c r="A1360" s="1" t="s">
        <v>1399</v>
      </c>
      <c r="B1360" s="2" t="s">
        <v>3618</v>
      </c>
      <c r="C1360" t="b">
        <v>1</v>
      </c>
      <c r="D1360" s="1" t="s">
        <v>1397</v>
      </c>
      <c r="E1360" s="1" t="s">
        <v>3489</v>
      </c>
      <c r="F1360" s="1" t="s">
        <v>3516</v>
      </c>
      <c r="G1360" s="1" t="s">
        <v>3529</v>
      </c>
      <c r="H1360" s="1" t="s">
        <v>5</v>
      </c>
      <c r="I1360">
        <v>4</v>
      </c>
      <c r="L1360" s="1"/>
      <c r="M1360" s="1"/>
      <c r="N1360" s="1"/>
      <c r="O1360" s="1"/>
      <c r="P1360" s="1"/>
    </row>
    <row r="1361" spans="1:16" ht="15" customHeight="1" x14ac:dyDescent="0.25">
      <c r="A1361" s="1" t="s">
        <v>1399</v>
      </c>
      <c r="B1361" s="2" t="s">
        <v>3618</v>
      </c>
      <c r="C1361" t="b">
        <v>1</v>
      </c>
      <c r="D1361" s="1" t="s">
        <v>1398</v>
      </c>
      <c r="E1361" s="1" t="s">
        <v>3624</v>
      </c>
      <c r="F1361" s="1" t="s">
        <v>2953</v>
      </c>
      <c r="G1361" s="1" t="s">
        <v>1398</v>
      </c>
      <c r="H1361" s="1" t="s">
        <v>5</v>
      </c>
      <c r="I1361">
        <v>15</v>
      </c>
      <c r="L1361" s="1"/>
      <c r="M1361" s="1"/>
      <c r="N1361" s="1"/>
      <c r="O1361" s="1"/>
      <c r="P1361" s="1"/>
    </row>
    <row r="1362" spans="1:16" ht="15" customHeight="1" x14ac:dyDescent="0.25">
      <c r="A1362" s="1" t="s">
        <v>1399</v>
      </c>
      <c r="B1362" s="2" t="s">
        <v>3618</v>
      </c>
      <c r="C1362" t="b">
        <v>1</v>
      </c>
      <c r="D1362" s="1" t="s">
        <v>1390</v>
      </c>
      <c r="E1362" s="1" t="s">
        <v>3490</v>
      </c>
      <c r="F1362" s="1" t="s">
        <v>2704</v>
      </c>
      <c r="G1362" s="1" t="s">
        <v>1390</v>
      </c>
      <c r="H1362" s="1" t="s">
        <v>5</v>
      </c>
      <c r="I1362">
        <v>35</v>
      </c>
      <c r="L1362" s="1"/>
      <c r="M1362" s="1"/>
      <c r="N1362" s="1"/>
      <c r="O1362" s="1"/>
      <c r="P1362" s="1"/>
    </row>
    <row r="1363" spans="1:16" ht="15" customHeight="1" x14ac:dyDescent="0.25">
      <c r="A1363" s="1" t="s">
        <v>1399</v>
      </c>
      <c r="B1363" s="2" t="s">
        <v>3618</v>
      </c>
      <c r="C1363" t="b">
        <v>1</v>
      </c>
      <c r="D1363" s="1" t="s">
        <v>2929</v>
      </c>
      <c r="E1363" s="1" t="s">
        <v>3625</v>
      </c>
      <c r="F1363" s="1" t="s">
        <v>2954</v>
      </c>
      <c r="G1363" s="1" t="s">
        <v>2929</v>
      </c>
      <c r="H1363" s="1" t="s">
        <v>5</v>
      </c>
      <c r="I1363">
        <v>35</v>
      </c>
      <c r="L1363" s="1"/>
      <c r="M1363" s="1"/>
      <c r="N1363" s="1"/>
      <c r="O1363" s="1"/>
      <c r="P1363" s="1"/>
    </row>
    <row r="1364" spans="1:16" ht="15" customHeight="1" x14ac:dyDescent="0.25">
      <c r="A1364" s="1" t="s">
        <v>1399</v>
      </c>
      <c r="B1364" s="2" t="s">
        <v>3618</v>
      </c>
      <c r="C1364" t="b">
        <v>1</v>
      </c>
      <c r="D1364" s="1" t="s">
        <v>3619</v>
      </c>
      <c r="E1364" s="1" t="s">
        <v>3626</v>
      </c>
      <c r="F1364" s="1" t="s">
        <v>3645</v>
      </c>
      <c r="G1364" s="1" t="s">
        <v>3619</v>
      </c>
      <c r="H1364" s="1" t="s">
        <v>5</v>
      </c>
      <c r="I1364">
        <v>35</v>
      </c>
      <c r="L1364" s="1"/>
      <c r="M1364" s="1"/>
      <c r="N1364" s="1"/>
      <c r="O1364" s="1"/>
      <c r="P1364" s="1"/>
    </row>
    <row r="1365" spans="1:16" ht="15" customHeight="1" x14ac:dyDescent="0.25">
      <c r="A1365" s="1" t="s">
        <v>1399</v>
      </c>
      <c r="B1365" s="2" t="s">
        <v>3618</v>
      </c>
      <c r="C1365" t="b">
        <v>1</v>
      </c>
      <c r="D1365" s="1" t="s">
        <v>3620</v>
      </c>
      <c r="E1365" s="1" t="s">
        <v>3627</v>
      </c>
      <c r="F1365" s="1" t="s">
        <v>3646</v>
      </c>
      <c r="G1365" s="1" t="s">
        <v>3620</v>
      </c>
      <c r="H1365" s="1" t="s">
        <v>5</v>
      </c>
      <c r="I1365">
        <v>35</v>
      </c>
      <c r="L1365" s="1"/>
      <c r="M1365" s="1"/>
      <c r="N1365" s="1"/>
      <c r="O1365" s="1"/>
      <c r="P1365" s="1"/>
    </row>
    <row r="1366" spans="1:16" ht="15" customHeight="1" x14ac:dyDescent="0.25">
      <c r="A1366" s="1" t="s">
        <v>1399</v>
      </c>
      <c r="B1366" s="2" t="s">
        <v>3618</v>
      </c>
      <c r="C1366" t="b">
        <v>1</v>
      </c>
      <c r="D1366" s="1" t="s">
        <v>1392</v>
      </c>
      <c r="E1366" s="1" t="s">
        <v>3628</v>
      </c>
      <c r="F1366" s="1" t="s">
        <v>3647</v>
      </c>
      <c r="G1366" s="1" t="s">
        <v>3650</v>
      </c>
      <c r="H1366" s="1" t="s">
        <v>5</v>
      </c>
      <c r="I1366">
        <v>25</v>
      </c>
      <c r="L1366" s="1"/>
      <c r="M1366" s="1"/>
      <c r="N1366" s="1"/>
      <c r="O1366" s="1"/>
      <c r="P1366" s="1"/>
    </row>
    <row r="1367" spans="1:16" ht="15" customHeight="1" x14ac:dyDescent="0.25">
      <c r="A1367" s="1" t="s">
        <v>1399</v>
      </c>
      <c r="B1367" s="2" t="s">
        <v>3618</v>
      </c>
      <c r="C1367" t="b">
        <v>1</v>
      </c>
      <c r="D1367" s="1" t="s">
        <v>3621</v>
      </c>
      <c r="E1367" s="1" t="s">
        <v>3629</v>
      </c>
      <c r="F1367" s="1" t="s">
        <v>3648</v>
      </c>
      <c r="G1367" s="1" t="s">
        <v>3650</v>
      </c>
      <c r="H1367" s="1" t="s">
        <v>5</v>
      </c>
      <c r="I1367">
        <v>25</v>
      </c>
      <c r="L1367" s="1"/>
      <c r="M1367" s="1"/>
      <c r="N1367" s="1"/>
      <c r="O1367" s="1"/>
      <c r="P1367" s="1"/>
    </row>
    <row r="1368" spans="1:16" ht="15" customHeight="1" x14ac:dyDescent="0.25">
      <c r="A1368" s="1" t="s">
        <v>1399</v>
      </c>
      <c r="B1368" s="2" t="s">
        <v>3618</v>
      </c>
      <c r="C1368" t="b">
        <v>1</v>
      </c>
      <c r="D1368" s="1" t="s">
        <v>1391</v>
      </c>
      <c r="E1368" s="1" t="s">
        <v>3630</v>
      </c>
      <c r="F1368" s="1" t="s">
        <v>2955</v>
      </c>
      <c r="G1368" s="1" t="s">
        <v>1391</v>
      </c>
      <c r="H1368" s="1" t="s">
        <v>5</v>
      </c>
      <c r="I1368">
        <v>35</v>
      </c>
      <c r="L1368" s="1"/>
      <c r="M1368" s="1"/>
      <c r="N1368" s="1"/>
      <c r="O1368" s="1"/>
      <c r="P1368" s="1"/>
    </row>
    <row r="1369" spans="1:16" ht="15" customHeight="1" x14ac:dyDescent="0.25">
      <c r="A1369" s="1" t="s">
        <v>1399</v>
      </c>
      <c r="B1369" s="2" t="s">
        <v>3618</v>
      </c>
      <c r="C1369" t="b">
        <v>1</v>
      </c>
      <c r="D1369" s="1" t="s">
        <v>2930</v>
      </c>
      <c r="E1369" s="1" t="s">
        <v>3631</v>
      </c>
      <c r="F1369" s="1" t="s">
        <v>2956</v>
      </c>
      <c r="G1369" s="1" t="s">
        <v>2930</v>
      </c>
      <c r="H1369" s="1" t="s">
        <v>5</v>
      </c>
      <c r="I1369">
        <v>35</v>
      </c>
      <c r="L1369" s="1"/>
      <c r="M1369" s="1"/>
      <c r="N1369" s="1"/>
      <c r="O1369" s="1"/>
      <c r="P1369" s="1"/>
    </row>
    <row r="1370" spans="1:16" ht="15" customHeight="1" x14ac:dyDescent="0.25">
      <c r="A1370" s="1" t="s">
        <v>1399</v>
      </c>
      <c r="B1370" s="2" t="s">
        <v>3618</v>
      </c>
      <c r="C1370" t="b">
        <v>1</v>
      </c>
      <c r="D1370" s="1" t="s">
        <v>1394</v>
      </c>
      <c r="E1370" s="1" t="s">
        <v>3632</v>
      </c>
      <c r="F1370" s="1" t="s">
        <v>2957</v>
      </c>
      <c r="G1370" s="1" t="s">
        <v>1394</v>
      </c>
      <c r="H1370" s="1" t="s">
        <v>5</v>
      </c>
      <c r="I1370">
        <v>10</v>
      </c>
      <c r="L1370" s="1"/>
      <c r="M1370" s="1"/>
      <c r="N1370" s="1"/>
      <c r="O1370" s="1"/>
      <c r="P1370" s="1"/>
    </row>
    <row r="1371" spans="1:16" ht="15" customHeight="1" x14ac:dyDescent="0.25">
      <c r="A1371" s="1" t="s">
        <v>1399</v>
      </c>
      <c r="B1371" s="2" t="s">
        <v>3618</v>
      </c>
      <c r="C1371" t="b">
        <v>1</v>
      </c>
      <c r="D1371" s="1" t="s">
        <v>1203</v>
      </c>
      <c r="E1371" s="1" t="s">
        <v>3491</v>
      </c>
      <c r="F1371" s="1" t="s">
        <v>2705</v>
      </c>
      <c r="G1371" s="1" t="s">
        <v>1203</v>
      </c>
      <c r="H1371" s="1" t="s">
        <v>5</v>
      </c>
      <c r="I1371">
        <v>35</v>
      </c>
      <c r="L1371" s="1"/>
      <c r="M1371" s="1"/>
      <c r="N1371" s="1"/>
      <c r="O1371" s="1"/>
      <c r="P1371" s="1"/>
    </row>
    <row r="1372" spans="1:16" ht="15" customHeight="1" x14ac:dyDescent="0.25">
      <c r="A1372" s="1" t="s">
        <v>1399</v>
      </c>
      <c r="B1372" s="2" t="s">
        <v>3618</v>
      </c>
      <c r="C1372" t="b">
        <v>1</v>
      </c>
      <c r="D1372" s="1" t="s">
        <v>1223</v>
      </c>
      <c r="E1372" s="1" t="s">
        <v>3633</v>
      </c>
      <c r="F1372" s="1" t="s">
        <v>2958</v>
      </c>
      <c r="G1372" s="1" t="s">
        <v>2969</v>
      </c>
      <c r="H1372" s="1" t="s">
        <v>5</v>
      </c>
      <c r="I1372">
        <v>3</v>
      </c>
      <c r="L1372" s="1"/>
      <c r="M1372" s="1"/>
      <c r="N1372" s="1"/>
      <c r="O1372" s="1"/>
      <c r="P1372" s="1"/>
    </row>
    <row r="1373" spans="1:16" ht="15" customHeight="1" x14ac:dyDescent="0.25">
      <c r="A1373" s="1" t="s">
        <v>1399</v>
      </c>
      <c r="B1373" s="2" t="s">
        <v>3618</v>
      </c>
      <c r="C1373" t="b">
        <v>1</v>
      </c>
      <c r="D1373" s="1" t="s">
        <v>1395</v>
      </c>
      <c r="E1373" s="1" t="s">
        <v>3634</v>
      </c>
      <c r="F1373" s="1" t="s">
        <v>2959</v>
      </c>
      <c r="G1373" s="1" t="s">
        <v>2970</v>
      </c>
      <c r="H1373" s="1" t="s">
        <v>5</v>
      </c>
      <c r="I1373">
        <v>3</v>
      </c>
      <c r="L1373" s="1"/>
      <c r="M1373" s="1"/>
      <c r="N1373" s="1"/>
      <c r="O1373" s="1"/>
      <c r="P1373" s="1"/>
    </row>
    <row r="1374" spans="1:16" ht="15" customHeight="1" x14ac:dyDescent="0.25">
      <c r="A1374" s="1" t="s">
        <v>1399</v>
      </c>
      <c r="B1374" s="2" t="s">
        <v>3618</v>
      </c>
      <c r="C1374" t="b">
        <v>1</v>
      </c>
      <c r="D1374" s="1" t="s">
        <v>1396</v>
      </c>
      <c r="E1374" s="1" t="s">
        <v>3635</v>
      </c>
      <c r="F1374" s="1" t="s">
        <v>2961</v>
      </c>
      <c r="G1374" s="1" t="s">
        <v>2971</v>
      </c>
      <c r="H1374" s="1" t="s">
        <v>5</v>
      </c>
      <c r="I1374">
        <v>10</v>
      </c>
      <c r="L1374" s="1"/>
      <c r="M1374" s="1"/>
      <c r="N1374" s="1"/>
      <c r="O1374" s="1"/>
      <c r="P1374" s="1"/>
    </row>
    <row r="1375" spans="1:16" ht="15" customHeight="1" x14ac:dyDescent="0.25">
      <c r="A1375" s="1" t="s">
        <v>1399</v>
      </c>
      <c r="B1375" s="2" t="s">
        <v>3618</v>
      </c>
      <c r="C1375" t="b">
        <v>1</v>
      </c>
      <c r="D1375" s="1" t="s">
        <v>183</v>
      </c>
      <c r="E1375" s="1" t="s">
        <v>3636</v>
      </c>
      <c r="F1375" s="1" t="s">
        <v>2962</v>
      </c>
      <c r="G1375" s="1" t="s">
        <v>2972</v>
      </c>
      <c r="H1375" s="1" t="s">
        <v>5</v>
      </c>
      <c r="I1375">
        <v>15</v>
      </c>
      <c r="L1375" s="1"/>
      <c r="M1375" s="1"/>
      <c r="N1375" s="1"/>
      <c r="O1375" s="1"/>
      <c r="P1375" s="1"/>
    </row>
    <row r="1376" spans="1:16" ht="15" customHeight="1" x14ac:dyDescent="0.25">
      <c r="A1376" s="1" t="s">
        <v>1399</v>
      </c>
      <c r="B1376" s="2" t="s">
        <v>3618</v>
      </c>
      <c r="C1376" t="b">
        <v>1</v>
      </c>
      <c r="D1376" s="1" t="s">
        <v>2932</v>
      </c>
      <c r="E1376" s="1" t="s">
        <v>3637</v>
      </c>
      <c r="F1376" s="1" t="s">
        <v>2963</v>
      </c>
      <c r="G1376" s="1" t="s">
        <v>2932</v>
      </c>
      <c r="H1376" s="1" t="s">
        <v>5</v>
      </c>
      <c r="I1376">
        <v>10</v>
      </c>
      <c r="L1376" s="1"/>
      <c r="M1376" s="1"/>
      <c r="N1376" s="1"/>
      <c r="O1376" s="1"/>
      <c r="P1376" s="1"/>
    </row>
    <row r="1377" spans="1:16" ht="15" customHeight="1" x14ac:dyDescent="0.25">
      <c r="A1377" s="1" t="s">
        <v>1399</v>
      </c>
      <c r="B1377" s="2" t="s">
        <v>3618</v>
      </c>
      <c r="C1377" t="b">
        <v>1</v>
      </c>
      <c r="D1377" s="1" t="s">
        <v>1393</v>
      </c>
      <c r="E1377" s="1" t="s">
        <v>3638</v>
      </c>
      <c r="F1377" s="1" t="s">
        <v>2964</v>
      </c>
      <c r="G1377" s="1" t="s">
        <v>2973</v>
      </c>
      <c r="H1377" s="1" t="s">
        <v>5</v>
      </c>
      <c r="I1377">
        <v>10</v>
      </c>
      <c r="L1377" s="1"/>
      <c r="M1377" s="1"/>
      <c r="N1377" s="1"/>
      <c r="O1377" s="1"/>
      <c r="P1377" s="1"/>
    </row>
    <row r="1378" spans="1:16" ht="15" customHeight="1" x14ac:dyDescent="0.25">
      <c r="A1378" s="1" t="s">
        <v>1399</v>
      </c>
      <c r="B1378" s="2" t="s">
        <v>3618</v>
      </c>
      <c r="C1378" t="b">
        <v>1</v>
      </c>
      <c r="D1378" s="1" t="s">
        <v>3622</v>
      </c>
      <c r="E1378" s="1" t="s">
        <v>3639</v>
      </c>
      <c r="F1378" s="1" t="s">
        <v>3649</v>
      </c>
      <c r="G1378" s="1" t="s">
        <v>3651</v>
      </c>
      <c r="H1378" s="1" t="s">
        <v>5</v>
      </c>
      <c r="I1378">
        <v>35</v>
      </c>
      <c r="L1378" s="1"/>
      <c r="M1378" s="1"/>
      <c r="N1378" s="1"/>
      <c r="O1378" s="1"/>
      <c r="P1378" s="1"/>
    </row>
    <row r="1379" spans="1:16" ht="15" customHeight="1" x14ac:dyDescent="0.25">
      <c r="A1379" s="1" t="s">
        <v>1399</v>
      </c>
      <c r="B1379" s="2" t="s">
        <v>3618</v>
      </c>
      <c r="C1379" t="b">
        <v>1</v>
      </c>
      <c r="D1379" s="1" t="s">
        <v>1389</v>
      </c>
      <c r="E1379" s="1" t="s">
        <v>3640</v>
      </c>
      <c r="F1379" s="1" t="s">
        <v>1534</v>
      </c>
      <c r="G1379" s="1" t="s">
        <v>2974</v>
      </c>
      <c r="H1379" s="1" t="s">
        <v>5</v>
      </c>
      <c r="I1379">
        <v>1</v>
      </c>
      <c r="L1379" s="1"/>
      <c r="M1379" s="1"/>
      <c r="N1379" s="1"/>
      <c r="O1379" s="1"/>
      <c r="P1379" s="1"/>
    </row>
    <row r="1380" spans="1:16" ht="15" customHeight="1" x14ac:dyDescent="0.25">
      <c r="A1380" s="1" t="s">
        <v>1399</v>
      </c>
      <c r="B1380" s="2" t="s">
        <v>3618</v>
      </c>
      <c r="C1380" t="b">
        <v>1</v>
      </c>
      <c r="D1380" s="1" t="s">
        <v>1456</v>
      </c>
      <c r="E1380" s="1" t="s">
        <v>3641</v>
      </c>
      <c r="F1380" s="1" t="s">
        <v>2965</v>
      </c>
      <c r="G1380" s="1" t="s">
        <v>2975</v>
      </c>
      <c r="H1380" s="1" t="s">
        <v>5</v>
      </c>
      <c r="I1380">
        <v>16</v>
      </c>
      <c r="L1380" s="1"/>
      <c r="M1380" s="1"/>
      <c r="N1380" s="1"/>
      <c r="O1380" s="1"/>
      <c r="P1380" s="1"/>
    </row>
    <row r="1381" spans="1:16" ht="15" customHeight="1" x14ac:dyDescent="0.25">
      <c r="A1381" s="1" t="s">
        <v>1399</v>
      </c>
      <c r="B1381" s="2" t="s">
        <v>3618</v>
      </c>
      <c r="C1381" t="b">
        <v>1</v>
      </c>
      <c r="D1381" s="1" t="s">
        <v>2933</v>
      </c>
      <c r="E1381" s="1" t="s">
        <v>3642</v>
      </c>
      <c r="F1381" s="1" t="s">
        <v>2966</v>
      </c>
      <c r="G1381" s="1" t="s">
        <v>2976</v>
      </c>
      <c r="H1381" s="1" t="s">
        <v>5</v>
      </c>
      <c r="I1381">
        <v>31</v>
      </c>
      <c r="L1381" s="1"/>
      <c r="M1381" s="1"/>
      <c r="N1381" s="1"/>
      <c r="O1381" s="1"/>
      <c r="P1381" s="1"/>
    </row>
    <row r="1382" spans="1:16" ht="15" customHeight="1" x14ac:dyDescent="0.25">
      <c r="A1382" s="1" t="s">
        <v>1399</v>
      </c>
      <c r="B1382" s="2" t="s">
        <v>3618</v>
      </c>
      <c r="C1382" t="b">
        <v>1</v>
      </c>
      <c r="D1382" s="1" t="s">
        <v>3623</v>
      </c>
      <c r="E1382" s="1" t="s">
        <v>3643</v>
      </c>
      <c r="F1382" s="1" t="s">
        <v>2967</v>
      </c>
      <c r="G1382" s="1" t="s">
        <v>2977</v>
      </c>
      <c r="H1382" s="1" t="s">
        <v>5</v>
      </c>
      <c r="I1382">
        <v>14</v>
      </c>
      <c r="L1382" s="1"/>
      <c r="M1382" s="1"/>
      <c r="N1382" s="1"/>
      <c r="O1382" s="1"/>
      <c r="P1382" s="1"/>
    </row>
    <row r="1383" spans="1:16" ht="15" customHeight="1" x14ac:dyDescent="0.25">
      <c r="A1383" s="1" t="s">
        <v>1399</v>
      </c>
      <c r="B1383" s="2" t="s">
        <v>3618</v>
      </c>
      <c r="C1383" t="b">
        <v>1</v>
      </c>
      <c r="D1383" s="1" t="s">
        <v>2935</v>
      </c>
      <c r="E1383" s="1" t="s">
        <v>3644</v>
      </c>
      <c r="F1383" s="1" t="s">
        <v>2968</v>
      </c>
      <c r="G1383" s="1" t="s">
        <v>2978</v>
      </c>
      <c r="H1383" s="1" t="s">
        <v>5</v>
      </c>
      <c r="I1383">
        <v>15</v>
      </c>
      <c r="L1383" s="1"/>
      <c r="M1383" s="1"/>
      <c r="N1383" s="1"/>
      <c r="O1383" s="1"/>
      <c r="P1383" s="1"/>
    </row>
    <row r="1384" spans="1:16" ht="15" customHeight="1" x14ac:dyDescent="0.25">
      <c r="A1384" s="1" t="s">
        <v>1399</v>
      </c>
      <c r="B1384" s="2" t="s">
        <v>3618</v>
      </c>
      <c r="D1384" s="1"/>
      <c r="E1384" s="1"/>
      <c r="F1384" s="1"/>
      <c r="G1384" s="1"/>
      <c r="H1384" s="1"/>
      <c r="L1384" s="1" t="s">
        <v>1524</v>
      </c>
      <c r="M1384" s="1" t="s">
        <v>3542</v>
      </c>
      <c r="N1384" s="1"/>
      <c r="O1384" s="1"/>
      <c r="P1384" s="1"/>
    </row>
    <row r="1385" spans="1:16" ht="15" customHeight="1" x14ac:dyDescent="0.25">
      <c r="A1385" s="1" t="s">
        <v>1406</v>
      </c>
      <c r="B1385" s="2" t="s">
        <v>3652</v>
      </c>
      <c r="C1385" t="b">
        <v>0</v>
      </c>
      <c r="D1385" s="1" t="s">
        <v>1207</v>
      </c>
      <c r="E1385" s="1" t="s">
        <v>3488</v>
      </c>
      <c r="F1385" s="1" t="s">
        <v>3045</v>
      </c>
      <c r="G1385" s="1" t="s">
        <v>3064</v>
      </c>
      <c r="H1385" s="1" t="s">
        <v>5</v>
      </c>
      <c r="I1385">
        <v>10</v>
      </c>
      <c r="L1385" s="1"/>
      <c r="M1385" s="1"/>
      <c r="N1385" s="1"/>
      <c r="O1385" s="1"/>
      <c r="P1385" s="1"/>
    </row>
    <row r="1386" spans="1:16" ht="15" customHeight="1" x14ac:dyDescent="0.25">
      <c r="A1386" s="1" t="s">
        <v>1406</v>
      </c>
      <c r="B1386" s="2" t="s">
        <v>3652</v>
      </c>
      <c r="C1386" t="b">
        <v>1</v>
      </c>
      <c r="D1386" s="1" t="s">
        <v>1397</v>
      </c>
      <c r="E1386" s="1" t="s">
        <v>3489</v>
      </c>
      <c r="F1386" s="1" t="s">
        <v>3516</v>
      </c>
      <c r="G1386" s="1" t="s">
        <v>3529</v>
      </c>
      <c r="H1386" s="1" t="s">
        <v>5</v>
      </c>
      <c r="I1386">
        <v>4</v>
      </c>
      <c r="L1386" s="1"/>
      <c r="M1386" s="1"/>
      <c r="N1386" s="1"/>
      <c r="O1386" s="1"/>
      <c r="P1386" s="1"/>
    </row>
    <row r="1387" spans="1:16" ht="15" customHeight="1" x14ac:dyDescent="0.25">
      <c r="A1387" s="1" t="s">
        <v>1406</v>
      </c>
      <c r="B1387" s="2" t="s">
        <v>3652</v>
      </c>
      <c r="C1387" t="b">
        <v>1</v>
      </c>
      <c r="D1387" s="1" t="s">
        <v>1390</v>
      </c>
      <c r="E1387" s="1" t="s">
        <v>3490</v>
      </c>
      <c r="F1387" s="1" t="s">
        <v>2704</v>
      </c>
      <c r="G1387" s="1" t="s">
        <v>1390</v>
      </c>
      <c r="H1387" s="1" t="s">
        <v>5</v>
      </c>
      <c r="I1387">
        <v>35</v>
      </c>
      <c r="L1387" s="1"/>
      <c r="M1387" s="1"/>
      <c r="N1387" s="1"/>
      <c r="O1387" s="1"/>
      <c r="P1387" s="1"/>
    </row>
    <row r="1388" spans="1:16" ht="15" customHeight="1" x14ac:dyDescent="0.25">
      <c r="A1388" s="1" t="s">
        <v>1406</v>
      </c>
      <c r="B1388" s="2" t="s">
        <v>3652</v>
      </c>
      <c r="C1388" t="b">
        <v>1</v>
      </c>
      <c r="D1388" s="1" t="s">
        <v>1203</v>
      </c>
      <c r="E1388" s="1" t="s">
        <v>3491</v>
      </c>
      <c r="F1388" s="1" t="s">
        <v>2705</v>
      </c>
      <c r="G1388" s="1" t="s">
        <v>1203</v>
      </c>
      <c r="H1388" s="1" t="s">
        <v>5</v>
      </c>
      <c r="I1388">
        <v>35</v>
      </c>
      <c r="L1388" s="1"/>
      <c r="M1388" s="1"/>
      <c r="N1388" s="1"/>
      <c r="O1388" s="1"/>
      <c r="P1388" s="1"/>
    </row>
    <row r="1389" spans="1:16" ht="15" customHeight="1" x14ac:dyDescent="0.25">
      <c r="A1389" s="1" t="s">
        <v>1406</v>
      </c>
      <c r="B1389" s="2" t="s">
        <v>3652</v>
      </c>
      <c r="C1389" t="b">
        <v>1</v>
      </c>
      <c r="D1389" s="1" t="s">
        <v>2980</v>
      </c>
      <c r="E1389" s="1" t="s">
        <v>3657</v>
      </c>
      <c r="F1389" s="1" t="s">
        <v>2953</v>
      </c>
      <c r="G1389" s="1" t="s">
        <v>3676</v>
      </c>
      <c r="H1389" s="1" t="s">
        <v>5</v>
      </c>
      <c r="I1389">
        <v>30</v>
      </c>
      <c r="L1389" s="1"/>
      <c r="M1389" s="1"/>
      <c r="N1389" s="1"/>
      <c r="O1389" s="1"/>
      <c r="P1389" s="1"/>
    </row>
    <row r="1390" spans="1:16" ht="15" customHeight="1" x14ac:dyDescent="0.25">
      <c r="A1390" s="1" t="s">
        <v>1406</v>
      </c>
      <c r="B1390" s="2" t="s">
        <v>3652</v>
      </c>
      <c r="C1390" t="b">
        <v>1</v>
      </c>
      <c r="D1390" s="1" t="s">
        <v>3653</v>
      </c>
      <c r="E1390" s="1" t="s">
        <v>2986</v>
      </c>
      <c r="F1390" s="1" t="s">
        <v>2704</v>
      </c>
      <c r="G1390" s="1" t="s">
        <v>1390</v>
      </c>
      <c r="H1390" s="1" t="s">
        <v>5</v>
      </c>
      <c r="I1390">
        <v>35</v>
      </c>
      <c r="L1390" s="1"/>
      <c r="M1390" s="1"/>
      <c r="N1390" s="1"/>
      <c r="O1390" s="1"/>
      <c r="P1390" s="1"/>
    </row>
    <row r="1391" spans="1:16" ht="15" customHeight="1" x14ac:dyDescent="0.25">
      <c r="A1391" s="1" t="s">
        <v>1406</v>
      </c>
      <c r="B1391" s="2" t="s">
        <v>3652</v>
      </c>
      <c r="C1391" t="b">
        <v>1</v>
      </c>
      <c r="D1391" s="1" t="s">
        <v>2997</v>
      </c>
      <c r="E1391" s="1" t="s">
        <v>2987</v>
      </c>
      <c r="F1391" s="1" t="s">
        <v>2993</v>
      </c>
      <c r="G1391" s="1" t="s">
        <v>2997</v>
      </c>
      <c r="H1391" s="1" t="s">
        <v>5</v>
      </c>
      <c r="I1391">
        <v>35</v>
      </c>
      <c r="L1391" s="1"/>
      <c r="M1391" s="1"/>
      <c r="N1391" s="1"/>
      <c r="O1391" s="1"/>
      <c r="P1391" s="1"/>
    </row>
    <row r="1392" spans="1:16" ht="15" customHeight="1" x14ac:dyDescent="0.25">
      <c r="A1392" s="1" t="s">
        <v>1406</v>
      </c>
      <c r="B1392" s="2" t="s">
        <v>3652</v>
      </c>
      <c r="C1392" t="b">
        <v>1</v>
      </c>
      <c r="D1392" s="1" t="s">
        <v>2983</v>
      </c>
      <c r="E1392" s="1" t="s">
        <v>2988</v>
      </c>
      <c r="F1392" s="1" t="s">
        <v>2965</v>
      </c>
      <c r="G1392" s="1" t="s">
        <v>2975</v>
      </c>
      <c r="H1392" s="1" t="s">
        <v>5</v>
      </c>
      <c r="I1392">
        <v>16</v>
      </c>
      <c r="L1392" s="1"/>
      <c r="M1392" s="1"/>
      <c r="N1392" s="1"/>
      <c r="O1392" s="1"/>
      <c r="P1392" s="1"/>
    </row>
    <row r="1393" spans="1:16" ht="15" customHeight="1" x14ac:dyDescent="0.25">
      <c r="A1393" s="1" t="s">
        <v>1406</v>
      </c>
      <c r="B1393" s="2" t="s">
        <v>3652</v>
      </c>
      <c r="C1393" t="b">
        <v>1</v>
      </c>
      <c r="D1393" s="1" t="s">
        <v>481</v>
      </c>
      <c r="E1393" s="1" t="s">
        <v>2989</v>
      </c>
      <c r="F1393" s="1" t="s">
        <v>2994</v>
      </c>
      <c r="G1393" s="1" t="s">
        <v>2998</v>
      </c>
      <c r="H1393" s="1" t="s">
        <v>5</v>
      </c>
      <c r="I1393">
        <v>4</v>
      </c>
      <c r="L1393" s="1"/>
      <c r="M1393" s="1"/>
      <c r="N1393" s="1"/>
      <c r="O1393" s="1"/>
      <c r="P1393" s="1"/>
    </row>
    <row r="1394" spans="1:16" ht="15" customHeight="1" x14ac:dyDescent="0.25">
      <c r="A1394" s="1" t="s">
        <v>1406</v>
      </c>
      <c r="B1394" s="2" t="s">
        <v>3652</v>
      </c>
      <c r="C1394" t="b">
        <v>1</v>
      </c>
      <c r="D1394" s="1" t="s">
        <v>2984</v>
      </c>
      <c r="E1394" s="1" t="s">
        <v>2990</v>
      </c>
      <c r="F1394" s="1" t="s">
        <v>2995</v>
      </c>
      <c r="G1394" s="1" t="s">
        <v>1370</v>
      </c>
      <c r="H1394" s="1" t="s">
        <v>5</v>
      </c>
      <c r="I1394">
        <v>20</v>
      </c>
      <c r="L1394" s="1"/>
      <c r="M1394" s="1"/>
      <c r="N1394" s="1"/>
      <c r="O1394" s="1"/>
      <c r="P1394" s="1"/>
    </row>
    <row r="1395" spans="1:16" ht="15" customHeight="1" x14ac:dyDescent="0.25">
      <c r="A1395" s="1" t="s">
        <v>1406</v>
      </c>
      <c r="B1395" s="2" t="s">
        <v>3652</v>
      </c>
      <c r="C1395" t="b">
        <v>1</v>
      </c>
      <c r="D1395" s="1" t="s">
        <v>1011</v>
      </c>
      <c r="E1395" s="1" t="s">
        <v>2991</v>
      </c>
      <c r="F1395" s="1" t="s">
        <v>2996</v>
      </c>
      <c r="G1395" s="1" t="s">
        <v>2999</v>
      </c>
      <c r="H1395" s="1" t="s">
        <v>5</v>
      </c>
      <c r="I1395">
        <v>2</v>
      </c>
      <c r="L1395" s="1"/>
      <c r="M1395" s="1"/>
      <c r="N1395" s="1"/>
      <c r="O1395" s="1"/>
      <c r="P1395" s="1"/>
    </row>
    <row r="1396" spans="1:16" ht="15" customHeight="1" x14ac:dyDescent="0.25">
      <c r="A1396" s="1" t="s">
        <v>1406</v>
      </c>
      <c r="B1396" s="2" t="s">
        <v>3652</v>
      </c>
      <c r="C1396" t="b">
        <v>0</v>
      </c>
      <c r="D1396" s="1" t="s">
        <v>2985</v>
      </c>
      <c r="E1396" s="1" t="s">
        <v>2992</v>
      </c>
      <c r="F1396" s="1" t="s">
        <v>2995</v>
      </c>
      <c r="G1396" s="1" t="s">
        <v>1370</v>
      </c>
      <c r="H1396" s="1" t="s">
        <v>5</v>
      </c>
      <c r="I1396">
        <v>20</v>
      </c>
      <c r="L1396" s="1"/>
      <c r="M1396" s="1"/>
      <c r="N1396" s="1"/>
      <c r="O1396" s="1"/>
      <c r="P1396" s="1"/>
    </row>
    <row r="1397" spans="1:16" ht="15" customHeight="1" x14ac:dyDescent="0.25">
      <c r="A1397" s="1" t="s">
        <v>1406</v>
      </c>
      <c r="B1397" s="2" t="s">
        <v>3652</v>
      </c>
      <c r="C1397" t="b">
        <v>0</v>
      </c>
      <c r="D1397" s="1" t="s">
        <v>3654</v>
      </c>
      <c r="E1397" s="1" t="s">
        <v>3658</v>
      </c>
      <c r="F1397" s="1" t="s">
        <v>3667</v>
      </c>
      <c r="G1397" s="1" t="s">
        <v>3677</v>
      </c>
      <c r="H1397" s="1" t="s">
        <v>1576</v>
      </c>
      <c r="J1397">
        <v>10</v>
      </c>
      <c r="K1397">
        <v>0</v>
      </c>
      <c r="L1397" s="1"/>
      <c r="M1397" s="1"/>
      <c r="N1397" s="1"/>
      <c r="O1397" s="1"/>
      <c r="P1397" s="1"/>
    </row>
    <row r="1398" spans="1:16" ht="15" customHeight="1" x14ac:dyDescent="0.25">
      <c r="A1398" s="1" t="s">
        <v>1406</v>
      </c>
      <c r="B1398" s="2" t="s">
        <v>3652</v>
      </c>
      <c r="C1398" t="b">
        <v>1</v>
      </c>
      <c r="D1398" s="1" t="s">
        <v>1405</v>
      </c>
      <c r="E1398" s="1" t="s">
        <v>3659</v>
      </c>
      <c r="F1398" s="1" t="s">
        <v>3668</v>
      </c>
      <c r="G1398" s="1" t="s">
        <v>3678</v>
      </c>
      <c r="H1398" s="1" t="s">
        <v>5</v>
      </c>
      <c r="I1398">
        <v>1</v>
      </c>
      <c r="L1398" s="1"/>
      <c r="M1398" s="1"/>
      <c r="N1398" s="1"/>
      <c r="O1398" s="1"/>
      <c r="P1398" s="1"/>
    </row>
    <row r="1399" spans="1:16" ht="15" customHeight="1" x14ac:dyDescent="0.25">
      <c r="A1399" s="1" t="s">
        <v>1406</v>
      </c>
      <c r="B1399" s="2" t="s">
        <v>3652</v>
      </c>
      <c r="C1399" t="b">
        <v>1</v>
      </c>
      <c r="D1399" s="1" t="s">
        <v>1403</v>
      </c>
      <c r="E1399" s="1" t="s">
        <v>3660</v>
      </c>
      <c r="F1399" s="1" t="s">
        <v>3669</v>
      </c>
      <c r="G1399" s="1" t="s">
        <v>3679</v>
      </c>
      <c r="H1399" s="1" t="s">
        <v>5</v>
      </c>
      <c r="I1399">
        <v>1</v>
      </c>
      <c r="L1399" s="1"/>
      <c r="M1399" s="1"/>
      <c r="N1399" s="1"/>
      <c r="O1399" s="1"/>
      <c r="P1399" s="1"/>
    </row>
    <row r="1400" spans="1:16" ht="15" customHeight="1" x14ac:dyDescent="0.25">
      <c r="A1400" s="1" t="s">
        <v>1406</v>
      </c>
      <c r="B1400" s="2" t="s">
        <v>3652</v>
      </c>
      <c r="C1400" t="b">
        <v>1</v>
      </c>
      <c r="D1400" s="1" t="s">
        <v>1404</v>
      </c>
      <c r="E1400" s="1" t="s">
        <v>3661</v>
      </c>
      <c r="F1400" s="1" t="s">
        <v>3670</v>
      </c>
      <c r="G1400" s="1" t="s">
        <v>3680</v>
      </c>
      <c r="H1400" s="1" t="s">
        <v>5</v>
      </c>
      <c r="I1400">
        <v>1</v>
      </c>
      <c r="L1400" s="1"/>
      <c r="M1400" s="1"/>
      <c r="N1400" s="1"/>
      <c r="O1400" s="1"/>
      <c r="P1400" s="1"/>
    </row>
    <row r="1401" spans="1:16" ht="15" customHeight="1" x14ac:dyDescent="0.25">
      <c r="A1401" s="1" t="s">
        <v>1406</v>
      </c>
      <c r="B1401" s="2" t="s">
        <v>3652</v>
      </c>
      <c r="C1401" t="b">
        <v>1</v>
      </c>
      <c r="D1401" s="1" t="s">
        <v>3655</v>
      </c>
      <c r="E1401" s="1" t="s">
        <v>3662</v>
      </c>
      <c r="F1401" s="1" t="s">
        <v>3671</v>
      </c>
      <c r="G1401" s="1" t="s">
        <v>3681</v>
      </c>
      <c r="H1401" s="1" t="s">
        <v>28</v>
      </c>
      <c r="L1401" s="1"/>
      <c r="M1401" s="1"/>
      <c r="N1401" s="1"/>
      <c r="O1401" s="1"/>
      <c r="P1401" s="1"/>
    </row>
    <row r="1402" spans="1:16" ht="15" customHeight="1" x14ac:dyDescent="0.25">
      <c r="A1402" s="1" t="s">
        <v>1406</v>
      </c>
      <c r="B1402" s="2" t="s">
        <v>3652</v>
      </c>
      <c r="C1402" t="b">
        <v>1</v>
      </c>
      <c r="D1402" s="1" t="s">
        <v>1400</v>
      </c>
      <c r="E1402" s="1" t="s">
        <v>3663</v>
      </c>
      <c r="F1402" s="1" t="s">
        <v>3672</v>
      </c>
      <c r="G1402" s="1" t="s">
        <v>3682</v>
      </c>
      <c r="H1402" s="1" t="s">
        <v>5</v>
      </c>
      <c r="I1402">
        <v>1</v>
      </c>
      <c r="L1402" s="1"/>
      <c r="M1402" s="1"/>
      <c r="N1402" s="1"/>
      <c r="O1402" s="1"/>
      <c r="P1402" s="1"/>
    </row>
    <row r="1403" spans="1:16" ht="15" customHeight="1" x14ac:dyDescent="0.25">
      <c r="A1403" s="1" t="s">
        <v>1406</v>
      </c>
      <c r="B1403" s="2" t="s">
        <v>3652</v>
      </c>
      <c r="C1403" t="b">
        <v>1</v>
      </c>
      <c r="D1403" s="1" t="s">
        <v>1402</v>
      </c>
      <c r="E1403" s="1" t="s">
        <v>3664</v>
      </c>
      <c r="F1403" s="1" t="s">
        <v>3673</v>
      </c>
      <c r="G1403" s="1" t="s">
        <v>1402</v>
      </c>
      <c r="H1403" s="1" t="s">
        <v>5</v>
      </c>
      <c r="I1403">
        <v>4</v>
      </c>
      <c r="L1403" s="1"/>
      <c r="M1403" s="1"/>
      <c r="N1403" s="1"/>
      <c r="O1403" s="1"/>
      <c r="P1403" s="1"/>
    </row>
    <row r="1404" spans="1:16" ht="15" customHeight="1" x14ac:dyDescent="0.25">
      <c r="A1404" s="1" t="s">
        <v>1406</v>
      </c>
      <c r="B1404" s="2" t="s">
        <v>3652</v>
      </c>
      <c r="C1404" t="b">
        <v>1</v>
      </c>
      <c r="D1404" s="1" t="s">
        <v>1401</v>
      </c>
      <c r="E1404" s="1" t="s">
        <v>3665</v>
      </c>
      <c r="F1404" s="1" t="s">
        <v>3674</v>
      </c>
      <c r="G1404" s="1" t="s">
        <v>1401</v>
      </c>
      <c r="H1404" s="1" t="s">
        <v>5</v>
      </c>
      <c r="I1404">
        <v>2</v>
      </c>
      <c r="L1404" s="1"/>
      <c r="M1404" s="1"/>
      <c r="N1404" s="1"/>
      <c r="O1404" s="1"/>
      <c r="P1404" s="1"/>
    </row>
    <row r="1405" spans="1:16" ht="15" customHeight="1" x14ac:dyDescent="0.25">
      <c r="A1405" s="1" t="s">
        <v>1406</v>
      </c>
      <c r="B1405" s="2" t="s">
        <v>3652</v>
      </c>
      <c r="C1405" t="b">
        <v>1</v>
      </c>
      <c r="D1405" s="1" t="s">
        <v>3656</v>
      </c>
      <c r="E1405" s="1" t="s">
        <v>3666</v>
      </c>
      <c r="F1405" s="1" t="s">
        <v>3675</v>
      </c>
      <c r="G1405" s="1" t="s">
        <v>3683</v>
      </c>
      <c r="H1405" s="1" t="s">
        <v>5</v>
      </c>
      <c r="I1405">
        <v>40</v>
      </c>
      <c r="L1405" s="1"/>
      <c r="M1405" s="1"/>
      <c r="N1405" s="1"/>
      <c r="O1405" s="1"/>
      <c r="P1405" s="1"/>
    </row>
    <row r="1406" spans="1:16" ht="15" customHeight="1" x14ac:dyDescent="0.25">
      <c r="A1406" s="1" t="s">
        <v>1406</v>
      </c>
      <c r="B1406" s="2" t="s">
        <v>3652</v>
      </c>
      <c r="D1406" s="1"/>
      <c r="E1406" s="1"/>
      <c r="F1406" s="1"/>
      <c r="G1406" s="1"/>
      <c r="H1406" s="1"/>
      <c r="L1406" s="1" t="s">
        <v>1524</v>
      </c>
      <c r="M1406" s="1" t="s">
        <v>3002</v>
      </c>
      <c r="N1406" s="1"/>
      <c r="O1406" s="1"/>
      <c r="P1406" s="1"/>
    </row>
    <row r="1407" spans="1:16" ht="15" customHeight="1" x14ac:dyDescent="0.25">
      <c r="A1407" s="1" t="s">
        <v>1406</v>
      </c>
      <c r="B1407" s="2" t="s">
        <v>3652</v>
      </c>
      <c r="D1407" s="1"/>
      <c r="E1407" s="1"/>
      <c r="F1407" s="1"/>
      <c r="G1407" s="1"/>
      <c r="H1407" s="1"/>
      <c r="L1407" s="1" t="s">
        <v>1524</v>
      </c>
      <c r="M1407" s="1" t="s">
        <v>3001</v>
      </c>
      <c r="N1407" s="1"/>
      <c r="O1407" s="1"/>
      <c r="P1407" s="1"/>
    </row>
    <row r="1408" spans="1:16" ht="15" customHeight="1" x14ac:dyDescent="0.25">
      <c r="A1408" s="1" t="s">
        <v>1406</v>
      </c>
      <c r="B1408" s="2" t="s">
        <v>3652</v>
      </c>
      <c r="D1408" s="1"/>
      <c r="E1408" s="1"/>
      <c r="F1408" s="1"/>
      <c r="G1408" s="1"/>
      <c r="H1408" s="1"/>
      <c r="L1408" s="1" t="s">
        <v>1524</v>
      </c>
      <c r="M1408" s="1" t="s">
        <v>3542</v>
      </c>
      <c r="N1408" s="1"/>
      <c r="O1408" s="1"/>
      <c r="P1408" s="1"/>
    </row>
    <row r="1409" spans="1:16" ht="15" customHeight="1" x14ac:dyDescent="0.25">
      <c r="A1409" s="1" t="s">
        <v>1406</v>
      </c>
      <c r="B1409" s="2" t="s">
        <v>3652</v>
      </c>
      <c r="D1409" s="1"/>
      <c r="E1409" s="1"/>
      <c r="F1409" s="1"/>
      <c r="G1409" s="1"/>
      <c r="H1409" s="1"/>
      <c r="L1409" s="1" t="s">
        <v>1524</v>
      </c>
      <c r="M1409" s="1" t="s">
        <v>3000</v>
      </c>
      <c r="N1409" s="1"/>
      <c r="O1409" s="1"/>
      <c r="P1409" s="1"/>
    </row>
    <row r="1410" spans="1:16" ht="15" customHeight="1" x14ac:dyDescent="0.25">
      <c r="A1410" s="1" t="s">
        <v>1406</v>
      </c>
      <c r="B1410" s="2" t="s">
        <v>3652</v>
      </c>
      <c r="D1410" s="1"/>
      <c r="E1410" s="1"/>
      <c r="F1410" s="1"/>
      <c r="G1410" s="1"/>
      <c r="H1410" s="1"/>
      <c r="L1410" s="1"/>
      <c r="M1410" s="1"/>
      <c r="N1410" s="1" t="s">
        <v>1529</v>
      </c>
      <c r="O1410" s="1" t="s">
        <v>3684</v>
      </c>
      <c r="P1410" s="1"/>
    </row>
    <row r="1411" spans="1:16" ht="15" customHeight="1" x14ac:dyDescent="0.25">
      <c r="A1411" s="1" t="s">
        <v>1406</v>
      </c>
      <c r="B1411" s="2" t="s">
        <v>3652</v>
      </c>
      <c r="D1411" s="1"/>
      <c r="E1411" s="1"/>
      <c r="F1411" s="1"/>
      <c r="G1411" s="1"/>
      <c r="H1411" s="1"/>
      <c r="L1411" s="1"/>
      <c r="M1411" s="1"/>
      <c r="N1411" s="1" t="s">
        <v>1529</v>
      </c>
      <c r="O1411" s="1" t="s">
        <v>3684</v>
      </c>
      <c r="P1411" s="1"/>
    </row>
    <row r="1412" spans="1:16" ht="15" customHeight="1" x14ac:dyDescent="0.25">
      <c r="A1412" s="1" t="s">
        <v>1406</v>
      </c>
      <c r="B1412" s="2" t="s">
        <v>3652</v>
      </c>
      <c r="D1412" s="1"/>
      <c r="E1412" s="1"/>
      <c r="F1412" s="1"/>
      <c r="G1412" s="1"/>
      <c r="H1412" s="1"/>
      <c r="L1412" s="1"/>
      <c r="M1412" s="1"/>
      <c r="N1412" s="1" t="s">
        <v>1529</v>
      </c>
      <c r="O1412" s="1" t="s">
        <v>3685</v>
      </c>
      <c r="P1412" s="1"/>
    </row>
    <row r="1413" spans="1:16" ht="15" customHeight="1" x14ac:dyDescent="0.25">
      <c r="A1413" s="1" t="s">
        <v>1406</v>
      </c>
      <c r="B1413" s="2" t="s">
        <v>3652</v>
      </c>
      <c r="D1413" s="1"/>
      <c r="E1413" s="1"/>
      <c r="F1413" s="1"/>
      <c r="G1413" s="1"/>
      <c r="H1413" s="1"/>
      <c r="L1413" s="1"/>
      <c r="M1413" s="1"/>
      <c r="N1413" s="1" t="s">
        <v>1529</v>
      </c>
      <c r="O1413" s="1" t="s">
        <v>3685</v>
      </c>
      <c r="P1413" s="1"/>
    </row>
    <row r="1414" spans="1:16" ht="15" customHeight="1" x14ac:dyDescent="0.25">
      <c r="A1414" s="1" t="s">
        <v>1406</v>
      </c>
      <c r="B1414" s="2" t="s">
        <v>3652</v>
      </c>
      <c r="D1414" s="1"/>
      <c r="E1414" s="1"/>
      <c r="F1414" s="1"/>
      <c r="G1414" s="1"/>
      <c r="H1414" s="1"/>
      <c r="L1414" s="1"/>
      <c r="M1414" s="1"/>
      <c r="N1414" s="1" t="s">
        <v>1529</v>
      </c>
      <c r="O1414" s="1" t="s">
        <v>3005</v>
      </c>
      <c r="P1414" s="1"/>
    </row>
    <row r="1415" spans="1:16" ht="15" customHeight="1" x14ac:dyDescent="0.25">
      <c r="A1415" s="1" t="s">
        <v>1406</v>
      </c>
      <c r="B1415" s="2" t="s">
        <v>3652</v>
      </c>
      <c r="D1415" s="1"/>
      <c r="E1415" s="1"/>
      <c r="F1415" s="1"/>
      <c r="G1415" s="1"/>
      <c r="H1415" s="1"/>
      <c r="L1415" s="1"/>
      <c r="M1415" s="1"/>
      <c r="N1415" s="1" t="s">
        <v>1529</v>
      </c>
      <c r="O1415" s="1" t="s">
        <v>3005</v>
      </c>
      <c r="P1415" s="1"/>
    </row>
    <row r="1416" spans="1:16" ht="15" customHeight="1" x14ac:dyDescent="0.25">
      <c r="A1416" s="1" t="s">
        <v>1414</v>
      </c>
      <c r="B1416" s="2" t="s">
        <v>3686</v>
      </c>
      <c r="C1416" t="b">
        <v>0</v>
      </c>
      <c r="D1416" s="1" t="s">
        <v>1207</v>
      </c>
      <c r="E1416" s="1" t="s">
        <v>3488</v>
      </c>
      <c r="F1416" s="1" t="s">
        <v>3045</v>
      </c>
      <c r="G1416" s="1" t="s">
        <v>3064</v>
      </c>
      <c r="H1416" s="1" t="s">
        <v>5</v>
      </c>
      <c r="I1416">
        <v>10</v>
      </c>
      <c r="L1416" s="1"/>
      <c r="M1416" s="1"/>
      <c r="N1416" s="1"/>
      <c r="O1416" s="1"/>
      <c r="P1416" s="1"/>
    </row>
    <row r="1417" spans="1:16" ht="15" customHeight="1" x14ac:dyDescent="0.25">
      <c r="A1417" s="1" t="s">
        <v>1414</v>
      </c>
      <c r="B1417" s="2" t="s">
        <v>3686</v>
      </c>
      <c r="C1417" t="b">
        <v>1</v>
      </c>
      <c r="D1417" s="1" t="s">
        <v>1454</v>
      </c>
      <c r="E1417" s="1" t="s">
        <v>3489</v>
      </c>
      <c r="F1417" s="1" t="s">
        <v>3516</v>
      </c>
      <c r="G1417" s="1" t="s">
        <v>3529</v>
      </c>
      <c r="H1417" s="1" t="s">
        <v>5</v>
      </c>
      <c r="I1417">
        <v>4</v>
      </c>
      <c r="L1417" s="1"/>
      <c r="M1417" s="1"/>
      <c r="N1417" s="1"/>
      <c r="O1417" s="1"/>
      <c r="P1417" s="1"/>
    </row>
    <row r="1418" spans="1:16" ht="15" customHeight="1" x14ac:dyDescent="0.25">
      <c r="A1418" s="1" t="s">
        <v>1414</v>
      </c>
      <c r="B1418" s="2" t="s">
        <v>3686</v>
      </c>
      <c r="C1418" t="b">
        <v>1</v>
      </c>
      <c r="D1418" s="1" t="s">
        <v>1390</v>
      </c>
      <c r="E1418" s="1" t="s">
        <v>3490</v>
      </c>
      <c r="F1418" s="1" t="s">
        <v>2704</v>
      </c>
      <c r="G1418" s="1" t="s">
        <v>1390</v>
      </c>
      <c r="H1418" s="1" t="s">
        <v>5</v>
      </c>
      <c r="I1418">
        <v>35</v>
      </c>
      <c r="L1418" s="1"/>
      <c r="M1418" s="1"/>
      <c r="N1418" s="1"/>
      <c r="O1418" s="1"/>
      <c r="P1418" s="1"/>
    </row>
    <row r="1419" spans="1:16" ht="15" customHeight="1" x14ac:dyDescent="0.25">
      <c r="A1419" s="1" t="s">
        <v>1414</v>
      </c>
      <c r="B1419" s="2" t="s">
        <v>3686</v>
      </c>
      <c r="C1419" t="b">
        <v>1</v>
      </c>
      <c r="D1419" s="1" t="s">
        <v>1203</v>
      </c>
      <c r="E1419" s="1" t="s">
        <v>3491</v>
      </c>
      <c r="F1419" s="1" t="s">
        <v>2705</v>
      </c>
      <c r="G1419" s="1" t="s">
        <v>1203</v>
      </c>
      <c r="H1419" s="1" t="s">
        <v>5</v>
      </c>
      <c r="I1419">
        <v>35</v>
      </c>
      <c r="L1419" s="1"/>
      <c r="M1419" s="1"/>
      <c r="N1419" s="1"/>
      <c r="O1419" s="1"/>
      <c r="P1419" s="1"/>
    </row>
    <row r="1420" spans="1:16" ht="15" customHeight="1" x14ac:dyDescent="0.25">
      <c r="A1420" s="1" t="s">
        <v>1414</v>
      </c>
      <c r="B1420" s="2" t="s">
        <v>3686</v>
      </c>
      <c r="C1420" t="b">
        <v>1</v>
      </c>
      <c r="D1420" s="1" t="s">
        <v>16</v>
      </c>
      <c r="E1420" s="1" t="s">
        <v>3700</v>
      </c>
      <c r="F1420" s="1" t="s">
        <v>2702</v>
      </c>
      <c r="G1420" s="1" t="s">
        <v>2722</v>
      </c>
      <c r="H1420" s="1" t="s">
        <v>5</v>
      </c>
      <c r="I1420">
        <v>10</v>
      </c>
      <c r="L1420" s="1"/>
      <c r="M1420" s="1"/>
      <c r="N1420" s="1"/>
      <c r="O1420" s="1"/>
      <c r="P1420" s="1"/>
    </row>
    <row r="1421" spans="1:16" ht="15" customHeight="1" x14ac:dyDescent="0.25">
      <c r="A1421" s="1" t="s">
        <v>1414</v>
      </c>
      <c r="B1421" s="2" t="s">
        <v>3686</v>
      </c>
      <c r="C1421" t="b">
        <v>1</v>
      </c>
      <c r="D1421" s="1" t="s">
        <v>2676</v>
      </c>
      <c r="E1421" s="1" t="s">
        <v>3701</v>
      </c>
      <c r="F1421" s="1" t="s">
        <v>2712</v>
      </c>
      <c r="G1421" s="1" t="s">
        <v>2729</v>
      </c>
      <c r="H1421" s="1" t="s">
        <v>5</v>
      </c>
      <c r="I1421">
        <v>4</v>
      </c>
      <c r="L1421" s="1"/>
      <c r="M1421" s="1"/>
      <c r="N1421" s="1"/>
      <c r="O1421" s="1"/>
      <c r="P1421" s="1"/>
    </row>
    <row r="1422" spans="1:16" ht="15" customHeight="1" x14ac:dyDescent="0.25">
      <c r="A1422" s="1" t="s">
        <v>1414</v>
      </c>
      <c r="B1422" s="2" t="s">
        <v>3686</v>
      </c>
      <c r="C1422" t="b">
        <v>1</v>
      </c>
      <c r="D1422" s="1" t="s">
        <v>1206</v>
      </c>
      <c r="E1422" s="1" t="s">
        <v>3702</v>
      </c>
      <c r="F1422" s="1" t="s">
        <v>3046</v>
      </c>
      <c r="G1422" s="1" t="s">
        <v>3065</v>
      </c>
      <c r="H1422" s="1" t="s">
        <v>5</v>
      </c>
      <c r="I1422">
        <v>6</v>
      </c>
      <c r="L1422" s="1"/>
      <c r="M1422" s="1"/>
      <c r="N1422" s="1"/>
      <c r="O1422" s="1"/>
      <c r="P1422" s="1"/>
    </row>
    <row r="1423" spans="1:16" ht="15" customHeight="1" x14ac:dyDescent="0.25">
      <c r="A1423" s="1" t="s">
        <v>1414</v>
      </c>
      <c r="B1423" s="2" t="s">
        <v>3686</v>
      </c>
      <c r="C1423" t="b">
        <v>1</v>
      </c>
      <c r="D1423" s="1" t="s">
        <v>3008</v>
      </c>
      <c r="E1423" s="1" t="s">
        <v>3703</v>
      </c>
      <c r="F1423" s="1" t="s">
        <v>3047</v>
      </c>
      <c r="G1423" s="1" t="s">
        <v>3066</v>
      </c>
      <c r="H1423" s="1" t="s">
        <v>5</v>
      </c>
      <c r="I1423">
        <v>10</v>
      </c>
      <c r="L1423" s="1"/>
      <c r="M1423" s="1"/>
      <c r="N1423" s="1"/>
      <c r="O1423" s="1"/>
      <c r="P1423" s="1"/>
    </row>
    <row r="1424" spans="1:16" ht="15" customHeight="1" x14ac:dyDescent="0.25">
      <c r="A1424" s="1" t="s">
        <v>1414</v>
      </c>
      <c r="B1424" s="2" t="s">
        <v>3686</v>
      </c>
      <c r="C1424" t="b">
        <v>1</v>
      </c>
      <c r="D1424" s="1" t="s">
        <v>1412</v>
      </c>
      <c r="E1424" s="1" t="s">
        <v>3704</v>
      </c>
      <c r="F1424" s="1" t="s">
        <v>3055</v>
      </c>
      <c r="G1424" s="1" t="s">
        <v>1412</v>
      </c>
      <c r="H1424" s="1" t="s">
        <v>5</v>
      </c>
      <c r="I1424">
        <v>16</v>
      </c>
      <c r="L1424" s="1"/>
      <c r="M1424" s="1"/>
      <c r="N1424" s="1"/>
      <c r="O1424" s="1"/>
      <c r="P1424" s="1"/>
    </row>
    <row r="1425" spans="1:16" ht="15" customHeight="1" x14ac:dyDescent="0.25">
      <c r="A1425" s="1" t="s">
        <v>1414</v>
      </c>
      <c r="B1425" s="2" t="s">
        <v>3686</v>
      </c>
      <c r="C1425" t="b">
        <v>1</v>
      </c>
      <c r="D1425" s="1" t="s">
        <v>1413</v>
      </c>
      <c r="E1425" s="1" t="s">
        <v>3705</v>
      </c>
      <c r="F1425" s="1" t="s">
        <v>3734</v>
      </c>
      <c r="G1425" s="1" t="s">
        <v>3749</v>
      </c>
      <c r="H1425" s="1" t="s">
        <v>5</v>
      </c>
      <c r="I1425">
        <v>2</v>
      </c>
      <c r="L1425" s="1"/>
      <c r="M1425" s="1"/>
      <c r="N1425" s="1"/>
      <c r="O1425" s="1"/>
      <c r="P1425" s="1"/>
    </row>
    <row r="1426" spans="1:16" ht="15" customHeight="1" x14ac:dyDescent="0.25">
      <c r="A1426" s="1" t="s">
        <v>1414</v>
      </c>
      <c r="B1426" s="2" t="s">
        <v>3686</v>
      </c>
      <c r="C1426" t="b">
        <v>1</v>
      </c>
      <c r="D1426" s="1" t="s">
        <v>3016</v>
      </c>
      <c r="E1426" s="1" t="s">
        <v>3706</v>
      </c>
      <c r="F1426" s="1" t="s">
        <v>3057</v>
      </c>
      <c r="G1426" s="1" t="s">
        <v>3074</v>
      </c>
      <c r="H1426" s="1" t="s">
        <v>5</v>
      </c>
      <c r="I1426">
        <v>1</v>
      </c>
      <c r="L1426" s="1"/>
      <c r="M1426" s="1"/>
      <c r="N1426" s="1"/>
      <c r="O1426" s="1"/>
      <c r="P1426" s="1"/>
    </row>
    <row r="1427" spans="1:16" ht="15" customHeight="1" x14ac:dyDescent="0.25">
      <c r="A1427" s="1" t="s">
        <v>1414</v>
      </c>
      <c r="B1427" s="2" t="s">
        <v>3686</v>
      </c>
      <c r="C1427" t="b">
        <v>1</v>
      </c>
      <c r="D1427" s="1" t="s">
        <v>3015</v>
      </c>
      <c r="E1427" s="1" t="s">
        <v>3707</v>
      </c>
      <c r="F1427" s="1" t="s">
        <v>3056</v>
      </c>
      <c r="G1427" s="1" t="s">
        <v>3015</v>
      </c>
      <c r="H1427" s="1" t="s">
        <v>5</v>
      </c>
      <c r="I1427">
        <v>11</v>
      </c>
      <c r="L1427" s="1"/>
      <c r="M1427" s="1"/>
      <c r="N1427" s="1"/>
      <c r="O1427" s="1"/>
      <c r="P1427" s="1"/>
    </row>
    <row r="1428" spans="1:16" ht="15" customHeight="1" x14ac:dyDescent="0.25">
      <c r="A1428" s="1" t="s">
        <v>1414</v>
      </c>
      <c r="B1428" s="2" t="s">
        <v>3686</v>
      </c>
      <c r="C1428" t="b">
        <v>1</v>
      </c>
      <c r="D1428" s="1" t="s">
        <v>3687</v>
      </c>
      <c r="E1428" s="1" t="s">
        <v>3708</v>
      </c>
      <c r="F1428" s="1" t="s">
        <v>3735</v>
      </c>
      <c r="G1428" s="1" t="s">
        <v>3687</v>
      </c>
      <c r="H1428" s="1" t="s">
        <v>5</v>
      </c>
      <c r="I1428">
        <v>2</v>
      </c>
      <c r="L1428" s="1"/>
      <c r="M1428" s="1"/>
      <c r="N1428" s="1"/>
      <c r="O1428" s="1"/>
      <c r="P1428" s="1"/>
    </row>
    <row r="1429" spans="1:16" ht="15" customHeight="1" x14ac:dyDescent="0.25">
      <c r="A1429" s="1" t="s">
        <v>1414</v>
      </c>
      <c r="B1429" s="2" t="s">
        <v>3686</v>
      </c>
      <c r="C1429" t="b">
        <v>1</v>
      </c>
      <c r="D1429" s="1" t="s">
        <v>3688</v>
      </c>
      <c r="E1429" s="1" t="s">
        <v>3709</v>
      </c>
      <c r="F1429" s="1" t="s">
        <v>3058</v>
      </c>
      <c r="G1429" s="1" t="s">
        <v>3075</v>
      </c>
      <c r="H1429" s="1" t="s">
        <v>5</v>
      </c>
      <c r="I1429">
        <v>1</v>
      </c>
      <c r="L1429" s="1"/>
      <c r="M1429" s="1"/>
      <c r="N1429" s="1"/>
      <c r="O1429" s="1"/>
      <c r="P1429" s="1"/>
    </row>
    <row r="1430" spans="1:16" ht="15" customHeight="1" x14ac:dyDescent="0.25">
      <c r="A1430" s="1" t="s">
        <v>1414</v>
      </c>
      <c r="B1430" s="2" t="s">
        <v>3686</v>
      </c>
      <c r="C1430" t="b">
        <v>1</v>
      </c>
      <c r="D1430" s="1" t="s">
        <v>3689</v>
      </c>
      <c r="E1430" s="1" t="s">
        <v>3710</v>
      </c>
      <c r="F1430" s="1" t="s">
        <v>3736</v>
      </c>
      <c r="G1430" s="1" t="s">
        <v>3689</v>
      </c>
      <c r="H1430" s="1" t="s">
        <v>5</v>
      </c>
      <c r="I1430">
        <v>18</v>
      </c>
      <c r="L1430" s="1"/>
      <c r="M1430" s="1"/>
      <c r="N1430" s="1"/>
      <c r="O1430" s="1"/>
      <c r="P1430" s="1"/>
    </row>
    <row r="1431" spans="1:16" ht="15" customHeight="1" x14ac:dyDescent="0.25">
      <c r="A1431" s="1" t="s">
        <v>1414</v>
      </c>
      <c r="B1431" s="2" t="s">
        <v>3686</v>
      </c>
      <c r="C1431" t="b">
        <v>1</v>
      </c>
      <c r="D1431" s="1" t="s">
        <v>3690</v>
      </c>
      <c r="E1431" s="1" t="s">
        <v>3711</v>
      </c>
      <c r="F1431" s="1" t="s">
        <v>3059</v>
      </c>
      <c r="G1431" s="1" t="s">
        <v>3076</v>
      </c>
      <c r="H1431" s="1" t="s">
        <v>5</v>
      </c>
      <c r="I1431">
        <v>1</v>
      </c>
      <c r="L1431" s="1"/>
      <c r="M1431" s="1"/>
      <c r="N1431" s="1"/>
      <c r="O1431" s="1"/>
      <c r="P1431" s="1"/>
    </row>
    <row r="1432" spans="1:16" ht="15" customHeight="1" x14ac:dyDescent="0.25">
      <c r="A1432" s="1" t="s">
        <v>1414</v>
      </c>
      <c r="B1432" s="2" t="s">
        <v>3686</v>
      </c>
      <c r="C1432" t="b">
        <v>1</v>
      </c>
      <c r="D1432" s="1" t="s">
        <v>3691</v>
      </c>
      <c r="E1432" s="1" t="s">
        <v>3712</v>
      </c>
      <c r="F1432" s="1" t="s">
        <v>3737</v>
      </c>
      <c r="G1432" s="1" t="s">
        <v>3691</v>
      </c>
      <c r="H1432" s="1" t="s">
        <v>5</v>
      </c>
      <c r="I1432">
        <v>18</v>
      </c>
      <c r="L1432" s="1"/>
      <c r="M1432" s="1"/>
      <c r="N1432" s="1"/>
      <c r="O1432" s="1"/>
      <c r="P1432" s="1"/>
    </row>
    <row r="1433" spans="1:16" ht="15" customHeight="1" x14ac:dyDescent="0.25">
      <c r="A1433" s="1" t="s">
        <v>1414</v>
      </c>
      <c r="B1433" s="2" t="s">
        <v>3686</v>
      </c>
      <c r="C1433" t="b">
        <v>1</v>
      </c>
      <c r="D1433" s="1" t="s">
        <v>3692</v>
      </c>
      <c r="E1433" s="1" t="s">
        <v>3713</v>
      </c>
      <c r="F1433" s="1" t="s">
        <v>3738</v>
      </c>
      <c r="G1433" s="1" t="s">
        <v>3750</v>
      </c>
      <c r="H1433" s="1" t="s">
        <v>5</v>
      </c>
      <c r="I1433">
        <v>1</v>
      </c>
      <c r="L1433" s="1"/>
      <c r="M1433" s="1"/>
      <c r="N1433" s="1"/>
      <c r="O1433" s="1"/>
      <c r="P1433" s="1"/>
    </row>
    <row r="1434" spans="1:16" ht="15" customHeight="1" x14ac:dyDescent="0.25">
      <c r="A1434" s="1" t="s">
        <v>1414</v>
      </c>
      <c r="B1434" s="2" t="s">
        <v>3686</v>
      </c>
      <c r="C1434" t="b">
        <v>1</v>
      </c>
      <c r="D1434" s="1" t="s">
        <v>1208</v>
      </c>
      <c r="E1434" s="1" t="s">
        <v>3714</v>
      </c>
      <c r="F1434" s="1" t="s">
        <v>3060</v>
      </c>
      <c r="G1434" s="1" t="s">
        <v>3751</v>
      </c>
      <c r="H1434" s="1" t="s">
        <v>5</v>
      </c>
      <c r="I1434">
        <v>10</v>
      </c>
      <c r="L1434" s="1"/>
      <c r="M1434" s="1"/>
      <c r="N1434" s="1"/>
      <c r="O1434" s="1"/>
      <c r="P1434" s="1"/>
    </row>
    <row r="1435" spans="1:16" ht="15" customHeight="1" x14ac:dyDescent="0.25">
      <c r="A1435" s="1" t="s">
        <v>1414</v>
      </c>
      <c r="B1435" s="2" t="s">
        <v>3686</v>
      </c>
      <c r="C1435" t="b">
        <v>1</v>
      </c>
      <c r="D1435" s="1" t="s">
        <v>2972</v>
      </c>
      <c r="E1435" s="1" t="s">
        <v>3636</v>
      </c>
      <c r="F1435" s="1" t="s">
        <v>2962</v>
      </c>
      <c r="G1435" s="1" t="s">
        <v>2972</v>
      </c>
      <c r="H1435" s="1" t="s">
        <v>5</v>
      </c>
      <c r="I1435">
        <v>15</v>
      </c>
      <c r="L1435" s="1"/>
      <c r="M1435" s="1"/>
      <c r="N1435" s="1"/>
      <c r="O1435" s="1"/>
      <c r="P1435" s="1"/>
    </row>
    <row r="1436" spans="1:16" ht="15" customHeight="1" x14ac:dyDescent="0.25">
      <c r="A1436" s="1" t="s">
        <v>1414</v>
      </c>
      <c r="B1436" s="2" t="s">
        <v>3686</v>
      </c>
      <c r="C1436" t="b">
        <v>1</v>
      </c>
      <c r="D1436" s="1" t="s">
        <v>3019</v>
      </c>
      <c r="E1436" s="1" t="s">
        <v>3715</v>
      </c>
      <c r="F1436" s="1" t="s">
        <v>3062</v>
      </c>
      <c r="G1436" s="1" t="s">
        <v>708</v>
      </c>
      <c r="H1436" s="1" t="s">
        <v>5</v>
      </c>
      <c r="I1436">
        <v>20</v>
      </c>
      <c r="L1436" s="1"/>
      <c r="M1436" s="1"/>
      <c r="N1436" s="1"/>
      <c r="O1436" s="1"/>
      <c r="P1436" s="1"/>
    </row>
    <row r="1437" spans="1:16" ht="15" customHeight="1" x14ac:dyDescent="0.25">
      <c r="A1437" s="1" t="s">
        <v>1414</v>
      </c>
      <c r="B1437" s="2" t="s">
        <v>3686</v>
      </c>
      <c r="C1437" t="b">
        <v>1</v>
      </c>
      <c r="D1437" s="1" t="s">
        <v>3693</v>
      </c>
      <c r="E1437" s="1" t="s">
        <v>3716</v>
      </c>
      <c r="F1437" s="1" t="s">
        <v>3739</v>
      </c>
      <c r="G1437" s="1" t="s">
        <v>3752</v>
      </c>
      <c r="H1437" s="1" t="s">
        <v>5</v>
      </c>
      <c r="I1437">
        <v>10</v>
      </c>
      <c r="L1437" s="1"/>
      <c r="M1437" s="1"/>
      <c r="N1437" s="1"/>
      <c r="O1437" s="1"/>
      <c r="P1437" s="1"/>
    </row>
    <row r="1438" spans="1:16" ht="15" customHeight="1" x14ac:dyDescent="0.25">
      <c r="A1438" s="1" t="s">
        <v>1414</v>
      </c>
      <c r="B1438" s="2" t="s">
        <v>3686</v>
      </c>
      <c r="C1438" t="b">
        <v>1</v>
      </c>
      <c r="D1438" s="1" t="s">
        <v>3694</v>
      </c>
      <c r="E1438" s="1" t="s">
        <v>3717</v>
      </c>
      <c r="F1438" s="1" t="s">
        <v>3740</v>
      </c>
      <c r="G1438" s="1" t="s">
        <v>3753</v>
      </c>
      <c r="H1438" s="1" t="s">
        <v>5</v>
      </c>
      <c r="I1438">
        <v>18</v>
      </c>
      <c r="L1438" s="1"/>
      <c r="M1438" s="1"/>
      <c r="N1438" s="1"/>
      <c r="O1438" s="1"/>
      <c r="P1438" s="1"/>
    </row>
    <row r="1439" spans="1:16" ht="15" customHeight="1" x14ac:dyDescent="0.25">
      <c r="A1439" s="1" t="s">
        <v>1414</v>
      </c>
      <c r="B1439" s="2" t="s">
        <v>3686</v>
      </c>
      <c r="C1439" t="b">
        <v>0</v>
      </c>
      <c r="D1439" s="1" t="s">
        <v>1223</v>
      </c>
      <c r="E1439" s="1" t="s">
        <v>3718</v>
      </c>
      <c r="F1439" s="1" t="s">
        <v>2958</v>
      </c>
      <c r="G1439" s="1" t="s">
        <v>2969</v>
      </c>
      <c r="H1439" s="1" t="s">
        <v>5</v>
      </c>
      <c r="I1439">
        <v>3</v>
      </c>
      <c r="L1439" s="1"/>
      <c r="M1439" s="1"/>
      <c r="N1439" s="1"/>
      <c r="O1439" s="1"/>
      <c r="P1439" s="1"/>
    </row>
    <row r="1440" spans="1:16" ht="15" customHeight="1" x14ac:dyDescent="0.25">
      <c r="A1440" s="1" t="s">
        <v>1414</v>
      </c>
      <c r="B1440" s="2" t="s">
        <v>3686</v>
      </c>
      <c r="C1440" t="b">
        <v>1</v>
      </c>
      <c r="D1440" s="1" t="s">
        <v>3695</v>
      </c>
      <c r="E1440" s="1" t="s">
        <v>3719</v>
      </c>
      <c r="F1440" s="1" t="s">
        <v>3062</v>
      </c>
      <c r="G1440" s="1" t="s">
        <v>708</v>
      </c>
      <c r="H1440" s="1" t="s">
        <v>5</v>
      </c>
      <c r="I1440">
        <v>20</v>
      </c>
      <c r="L1440" s="1"/>
      <c r="M1440" s="1"/>
      <c r="N1440" s="1"/>
      <c r="O1440" s="1"/>
      <c r="P1440" s="1"/>
    </row>
    <row r="1441" spans="1:16" ht="15" customHeight="1" x14ac:dyDescent="0.25">
      <c r="A1441" s="1" t="s">
        <v>1414</v>
      </c>
      <c r="B1441" s="2" t="s">
        <v>3686</v>
      </c>
      <c r="C1441" t="b">
        <v>1</v>
      </c>
      <c r="D1441" s="1" t="s">
        <v>3009</v>
      </c>
      <c r="E1441" s="1" t="s">
        <v>3720</v>
      </c>
      <c r="F1441" s="1" t="s">
        <v>3048</v>
      </c>
      <c r="G1441" s="1" t="s">
        <v>3067</v>
      </c>
      <c r="H1441" s="1" t="s">
        <v>1576</v>
      </c>
      <c r="J1441">
        <v>7</v>
      </c>
      <c r="K1441">
        <v>0</v>
      </c>
      <c r="L1441" s="1"/>
      <c r="M1441" s="1"/>
      <c r="N1441" s="1"/>
      <c r="O1441" s="1"/>
      <c r="P1441" s="1"/>
    </row>
    <row r="1442" spans="1:16" ht="15" customHeight="1" x14ac:dyDescent="0.25">
      <c r="A1442" s="1" t="s">
        <v>1414</v>
      </c>
      <c r="B1442" s="2" t="s">
        <v>3686</v>
      </c>
      <c r="C1442" t="b">
        <v>1</v>
      </c>
      <c r="D1442" s="1" t="s">
        <v>3010</v>
      </c>
      <c r="E1442" s="1" t="s">
        <v>3721</v>
      </c>
      <c r="F1442" s="1" t="s">
        <v>3049</v>
      </c>
      <c r="G1442" s="1" t="s">
        <v>3068</v>
      </c>
      <c r="H1442" s="1" t="s">
        <v>1576</v>
      </c>
      <c r="J1442">
        <v>5</v>
      </c>
      <c r="K1442">
        <v>0</v>
      </c>
      <c r="L1442" s="1"/>
      <c r="M1442" s="1"/>
      <c r="N1442" s="1"/>
      <c r="O1442" s="1"/>
      <c r="P1442" s="1"/>
    </row>
    <row r="1443" spans="1:16" ht="15" customHeight="1" x14ac:dyDescent="0.25">
      <c r="A1443" s="1" t="s">
        <v>1414</v>
      </c>
      <c r="B1443" s="2" t="s">
        <v>3686</v>
      </c>
      <c r="C1443" t="b">
        <v>1</v>
      </c>
      <c r="D1443" s="1" t="s">
        <v>3011</v>
      </c>
      <c r="E1443" s="1" t="s">
        <v>3722</v>
      </c>
      <c r="F1443" s="1" t="s">
        <v>3050</v>
      </c>
      <c r="G1443" s="1" t="s">
        <v>3069</v>
      </c>
      <c r="H1443" s="1" t="s">
        <v>1576</v>
      </c>
      <c r="J1443">
        <v>1</v>
      </c>
      <c r="K1443">
        <v>0</v>
      </c>
      <c r="L1443" s="1"/>
      <c r="M1443" s="1"/>
      <c r="N1443" s="1"/>
      <c r="O1443" s="1"/>
      <c r="P1443" s="1"/>
    </row>
    <row r="1444" spans="1:16" ht="15" customHeight="1" x14ac:dyDescent="0.25">
      <c r="A1444" s="1" t="s">
        <v>1414</v>
      </c>
      <c r="B1444" s="2" t="s">
        <v>3686</v>
      </c>
      <c r="C1444" t="b">
        <v>1</v>
      </c>
      <c r="D1444" s="1" t="s">
        <v>1205</v>
      </c>
      <c r="E1444" s="1" t="s">
        <v>3723</v>
      </c>
      <c r="F1444" s="1" t="s">
        <v>3051</v>
      </c>
      <c r="G1444" s="1" t="s">
        <v>3070</v>
      </c>
      <c r="H1444" s="1" t="s">
        <v>5</v>
      </c>
      <c r="I1444">
        <v>4</v>
      </c>
      <c r="L1444" s="1"/>
      <c r="M1444" s="1"/>
      <c r="N1444" s="1"/>
      <c r="O1444" s="1"/>
      <c r="P1444" s="1"/>
    </row>
    <row r="1445" spans="1:16" ht="15" customHeight="1" x14ac:dyDescent="0.25">
      <c r="A1445" s="1" t="s">
        <v>1414</v>
      </c>
      <c r="B1445" s="2" t="s">
        <v>3686</v>
      </c>
      <c r="C1445" t="b">
        <v>1</v>
      </c>
      <c r="D1445" s="1" t="s">
        <v>3012</v>
      </c>
      <c r="E1445" s="1" t="s">
        <v>3724</v>
      </c>
      <c r="F1445" s="1" t="s">
        <v>3052</v>
      </c>
      <c r="G1445" s="1" t="s">
        <v>3071</v>
      </c>
      <c r="H1445" s="1" t="s">
        <v>5</v>
      </c>
      <c r="I1445">
        <v>25</v>
      </c>
      <c r="L1445" s="1"/>
      <c r="M1445" s="1"/>
      <c r="N1445" s="1"/>
      <c r="O1445" s="1"/>
      <c r="P1445" s="1"/>
    </row>
    <row r="1446" spans="1:16" ht="15" customHeight="1" x14ac:dyDescent="0.25">
      <c r="A1446" s="1" t="s">
        <v>1414</v>
      </c>
      <c r="B1446" s="2" t="s">
        <v>3686</v>
      </c>
      <c r="C1446" t="b">
        <v>1</v>
      </c>
      <c r="D1446" s="1" t="s">
        <v>3696</v>
      </c>
      <c r="E1446" s="1" t="s">
        <v>3725</v>
      </c>
      <c r="F1446" s="1" t="s">
        <v>3741</v>
      </c>
      <c r="G1446" s="1" t="s">
        <v>3754</v>
      </c>
      <c r="H1446" s="1" t="s">
        <v>5</v>
      </c>
      <c r="I1446">
        <v>4</v>
      </c>
      <c r="L1446" s="1"/>
      <c r="M1446" s="1"/>
      <c r="N1446" s="1"/>
      <c r="O1446" s="1"/>
      <c r="P1446" s="1"/>
    </row>
    <row r="1447" spans="1:16" ht="15" customHeight="1" x14ac:dyDescent="0.25">
      <c r="A1447" s="1" t="s">
        <v>1414</v>
      </c>
      <c r="B1447" s="2" t="s">
        <v>3686</v>
      </c>
      <c r="C1447" t="b">
        <v>1</v>
      </c>
      <c r="D1447" s="1" t="s">
        <v>1408</v>
      </c>
      <c r="E1447" s="1" t="s">
        <v>3726</v>
      </c>
      <c r="F1447" s="1" t="s">
        <v>3742</v>
      </c>
      <c r="G1447" s="1" t="s">
        <v>3755</v>
      </c>
      <c r="H1447" s="1" t="s">
        <v>5</v>
      </c>
      <c r="I1447">
        <v>4</v>
      </c>
      <c r="L1447" s="1"/>
      <c r="M1447" s="1"/>
      <c r="N1447" s="1"/>
      <c r="O1447" s="1"/>
      <c r="P1447" s="1"/>
    </row>
    <row r="1448" spans="1:16" ht="15" customHeight="1" x14ac:dyDescent="0.25">
      <c r="A1448" s="1" t="s">
        <v>1414</v>
      </c>
      <c r="B1448" s="2" t="s">
        <v>3686</v>
      </c>
      <c r="C1448" t="b">
        <v>1</v>
      </c>
      <c r="D1448" s="1" t="s">
        <v>1410</v>
      </c>
      <c r="E1448" s="1" t="s">
        <v>3727</v>
      </c>
      <c r="F1448" s="1" t="s">
        <v>3743</v>
      </c>
      <c r="G1448" s="1" t="s">
        <v>3756</v>
      </c>
      <c r="H1448" s="1" t="s">
        <v>5</v>
      </c>
      <c r="I1448">
        <v>4</v>
      </c>
      <c r="L1448" s="1"/>
      <c r="M1448" s="1"/>
      <c r="N1448" s="1"/>
      <c r="O1448" s="1"/>
      <c r="P1448" s="1"/>
    </row>
    <row r="1449" spans="1:16" ht="15" customHeight="1" x14ac:dyDescent="0.25">
      <c r="A1449" s="1" t="s">
        <v>1414</v>
      </c>
      <c r="B1449" s="2" t="s">
        <v>3686</v>
      </c>
      <c r="C1449" t="b">
        <v>1</v>
      </c>
      <c r="D1449" s="1" t="s">
        <v>1396</v>
      </c>
      <c r="E1449" s="1" t="s">
        <v>3635</v>
      </c>
      <c r="F1449" s="1" t="s">
        <v>2961</v>
      </c>
      <c r="G1449" s="1" t="s">
        <v>2971</v>
      </c>
      <c r="H1449" s="1" t="s">
        <v>5</v>
      </c>
      <c r="I1449">
        <v>10</v>
      </c>
      <c r="L1449" s="1"/>
      <c r="M1449" s="1"/>
      <c r="N1449" s="1"/>
      <c r="O1449" s="1"/>
      <c r="P1449" s="1"/>
    </row>
    <row r="1450" spans="1:16" ht="15" customHeight="1" x14ac:dyDescent="0.25">
      <c r="A1450" s="1" t="s">
        <v>1414</v>
      </c>
      <c r="B1450" s="2" t="s">
        <v>3686</v>
      </c>
      <c r="C1450" t="b">
        <v>1</v>
      </c>
      <c r="D1450" s="1" t="s">
        <v>1409</v>
      </c>
      <c r="E1450" s="1" t="s">
        <v>3728</v>
      </c>
      <c r="F1450" s="1" t="s">
        <v>3744</v>
      </c>
      <c r="G1450" s="1" t="s">
        <v>3757</v>
      </c>
      <c r="H1450" s="1" t="s">
        <v>5</v>
      </c>
      <c r="I1450">
        <v>1</v>
      </c>
      <c r="L1450" s="1"/>
      <c r="M1450" s="1"/>
      <c r="N1450" s="1"/>
      <c r="O1450" s="1"/>
      <c r="P1450" s="1"/>
    </row>
    <row r="1451" spans="1:16" ht="15" customHeight="1" x14ac:dyDescent="0.25">
      <c r="A1451" s="1" t="s">
        <v>1414</v>
      </c>
      <c r="B1451" s="2" t="s">
        <v>3686</v>
      </c>
      <c r="C1451" t="b">
        <v>1</v>
      </c>
      <c r="D1451" s="1" t="s">
        <v>1407</v>
      </c>
      <c r="E1451" s="1" t="s">
        <v>3729</v>
      </c>
      <c r="F1451" s="1" t="s">
        <v>2371</v>
      </c>
      <c r="G1451" s="1" t="s">
        <v>3758</v>
      </c>
      <c r="H1451" s="1" t="s">
        <v>5</v>
      </c>
      <c r="I1451">
        <v>4</v>
      </c>
      <c r="L1451" s="1"/>
      <c r="M1451" s="1"/>
      <c r="N1451" s="1"/>
      <c r="O1451" s="1"/>
      <c r="P1451" s="1"/>
    </row>
    <row r="1452" spans="1:16" ht="15" customHeight="1" x14ac:dyDescent="0.25">
      <c r="A1452" s="1" t="s">
        <v>1414</v>
      </c>
      <c r="B1452" s="2" t="s">
        <v>3686</v>
      </c>
      <c r="C1452" t="b">
        <v>1</v>
      </c>
      <c r="D1452" s="1" t="s">
        <v>3697</v>
      </c>
      <c r="E1452" s="1" t="s">
        <v>3730</v>
      </c>
      <c r="F1452" s="1" t="s">
        <v>3745</v>
      </c>
      <c r="G1452" s="1" t="s">
        <v>3759</v>
      </c>
      <c r="H1452" s="1" t="s">
        <v>28</v>
      </c>
      <c r="L1452" s="1"/>
      <c r="M1452" s="1"/>
      <c r="N1452" s="1"/>
      <c r="O1452" s="1"/>
      <c r="P1452" s="1"/>
    </row>
    <row r="1453" spans="1:16" ht="15" customHeight="1" x14ac:dyDescent="0.25">
      <c r="A1453" s="1" t="s">
        <v>1414</v>
      </c>
      <c r="B1453" s="2" t="s">
        <v>3686</v>
      </c>
      <c r="C1453" t="b">
        <v>1</v>
      </c>
      <c r="D1453" s="1" t="s">
        <v>3655</v>
      </c>
      <c r="E1453" s="1" t="s">
        <v>3662</v>
      </c>
      <c r="F1453" s="1" t="s">
        <v>3671</v>
      </c>
      <c r="G1453" s="1" t="s">
        <v>3681</v>
      </c>
      <c r="H1453" s="1" t="s">
        <v>28</v>
      </c>
      <c r="L1453" s="1"/>
      <c r="M1453" s="1"/>
      <c r="N1453" s="1"/>
      <c r="O1453" s="1"/>
      <c r="P1453" s="1"/>
    </row>
    <row r="1454" spans="1:16" ht="15" customHeight="1" x14ac:dyDescent="0.25">
      <c r="A1454" s="1" t="s">
        <v>1414</v>
      </c>
      <c r="B1454" s="2" t="s">
        <v>3686</v>
      </c>
      <c r="C1454" t="b">
        <v>1</v>
      </c>
      <c r="D1454" s="1" t="s">
        <v>3698</v>
      </c>
      <c r="E1454" s="1" t="s">
        <v>3731</v>
      </c>
      <c r="F1454" s="1" t="s">
        <v>3746</v>
      </c>
      <c r="G1454" s="1" t="s">
        <v>3760</v>
      </c>
      <c r="H1454" s="1" t="s">
        <v>5</v>
      </c>
      <c r="I1454">
        <v>25</v>
      </c>
      <c r="L1454" s="1"/>
      <c r="M1454" s="1"/>
      <c r="N1454" s="1"/>
      <c r="O1454" s="1"/>
      <c r="P1454" s="1"/>
    </row>
    <row r="1455" spans="1:16" ht="15" customHeight="1" x14ac:dyDescent="0.25">
      <c r="A1455" s="1" t="s">
        <v>1414</v>
      </c>
      <c r="B1455" s="2" t="s">
        <v>3686</v>
      </c>
      <c r="C1455" t="b">
        <v>1</v>
      </c>
      <c r="D1455" s="1" t="s">
        <v>1411</v>
      </c>
      <c r="E1455" s="1" t="s">
        <v>3732</v>
      </c>
      <c r="F1455" s="1" t="s">
        <v>3747</v>
      </c>
      <c r="G1455" s="1" t="s">
        <v>3761</v>
      </c>
      <c r="H1455" s="1" t="s">
        <v>5</v>
      </c>
      <c r="I1455">
        <v>1</v>
      </c>
      <c r="L1455" s="1"/>
      <c r="M1455" s="1"/>
      <c r="N1455" s="1"/>
      <c r="O1455" s="1"/>
      <c r="P1455" s="1"/>
    </row>
    <row r="1456" spans="1:16" ht="15" customHeight="1" x14ac:dyDescent="0.25">
      <c r="A1456" s="1" t="s">
        <v>1414</v>
      </c>
      <c r="B1456" s="2" t="s">
        <v>3686</v>
      </c>
      <c r="C1456" t="b">
        <v>1</v>
      </c>
      <c r="D1456" s="1" t="s">
        <v>3699</v>
      </c>
      <c r="E1456" s="1" t="s">
        <v>3733</v>
      </c>
      <c r="F1456" s="1" t="s">
        <v>3748</v>
      </c>
      <c r="G1456" s="1" t="s">
        <v>3699</v>
      </c>
      <c r="H1456" s="1" t="s">
        <v>5</v>
      </c>
      <c r="I1456">
        <v>30</v>
      </c>
      <c r="L1456" s="1"/>
      <c r="M1456" s="1"/>
      <c r="N1456" s="1"/>
      <c r="O1456" s="1"/>
      <c r="P1456" s="1"/>
    </row>
    <row r="1457" spans="1:16" ht="15" customHeight="1" x14ac:dyDescent="0.25">
      <c r="A1457" s="1" t="s">
        <v>1414</v>
      </c>
      <c r="B1457" s="2" t="s">
        <v>3686</v>
      </c>
      <c r="D1457" s="1"/>
      <c r="E1457" s="1"/>
      <c r="F1457" s="1"/>
      <c r="G1457" s="1"/>
      <c r="H1457" s="1"/>
      <c r="L1457" s="1" t="s">
        <v>1524</v>
      </c>
      <c r="M1457" s="1" t="s">
        <v>3542</v>
      </c>
      <c r="N1457" s="1"/>
      <c r="O1457" s="1"/>
      <c r="P1457" s="1"/>
    </row>
    <row r="1458" spans="1:16" ht="15" customHeight="1" x14ac:dyDescent="0.25">
      <c r="A1458" s="1" t="s">
        <v>1414</v>
      </c>
      <c r="B1458" s="2" t="s">
        <v>3686</v>
      </c>
      <c r="D1458" s="1"/>
      <c r="E1458" s="1"/>
      <c r="F1458" s="1"/>
      <c r="G1458" s="1"/>
      <c r="H1458" s="1"/>
      <c r="L1458" s="1" t="s">
        <v>1524</v>
      </c>
      <c r="M1458" s="1" t="s">
        <v>3762</v>
      </c>
      <c r="N1458" s="1"/>
      <c r="O1458" s="1"/>
      <c r="P1458" s="1"/>
    </row>
    <row r="1459" spans="1:16" ht="15" customHeight="1" x14ac:dyDescent="0.25">
      <c r="A1459" s="1" t="s">
        <v>1414</v>
      </c>
      <c r="B1459" s="2" t="s">
        <v>3686</v>
      </c>
      <c r="D1459" s="1"/>
      <c r="E1459" s="1"/>
      <c r="F1459" s="1"/>
      <c r="G1459" s="1"/>
      <c r="H1459" s="1"/>
      <c r="L1459" s="1"/>
      <c r="M1459" s="1"/>
      <c r="N1459" s="1" t="s">
        <v>1529</v>
      </c>
      <c r="O1459" s="1" t="s">
        <v>3763</v>
      </c>
      <c r="P1459" s="1"/>
    </row>
    <row r="1460" spans="1:16" ht="15" customHeight="1" x14ac:dyDescent="0.25">
      <c r="A1460" s="1" t="s">
        <v>1414</v>
      </c>
      <c r="B1460" s="2" t="s">
        <v>3686</v>
      </c>
      <c r="D1460" s="1"/>
      <c r="E1460" s="1"/>
      <c r="F1460" s="1"/>
      <c r="G1460" s="1"/>
      <c r="H1460" s="1"/>
      <c r="L1460" s="1"/>
      <c r="M1460" s="1"/>
      <c r="N1460" s="1" t="s">
        <v>1529</v>
      </c>
      <c r="O1460" s="1" t="s">
        <v>3763</v>
      </c>
      <c r="P1460" s="1"/>
    </row>
    <row r="1461" spans="1:16" ht="15" customHeight="1" x14ac:dyDescent="0.25">
      <c r="A1461" s="1" t="s">
        <v>1421</v>
      </c>
      <c r="B1461" s="2" t="s">
        <v>3764</v>
      </c>
      <c r="C1461" t="b">
        <v>0</v>
      </c>
      <c r="D1461" s="1" t="s">
        <v>1207</v>
      </c>
      <c r="E1461" s="1" t="s">
        <v>3488</v>
      </c>
      <c r="F1461" s="1" t="s">
        <v>3045</v>
      </c>
      <c r="G1461" s="1" t="s">
        <v>3064</v>
      </c>
      <c r="H1461" s="1" t="s">
        <v>5</v>
      </c>
      <c r="I1461">
        <v>10</v>
      </c>
      <c r="L1461" s="1"/>
      <c r="M1461" s="1"/>
      <c r="N1461" s="1"/>
      <c r="O1461" s="1"/>
      <c r="P1461" s="1"/>
    </row>
    <row r="1462" spans="1:16" ht="15" customHeight="1" x14ac:dyDescent="0.25">
      <c r="A1462" s="1" t="s">
        <v>1421</v>
      </c>
      <c r="B1462" s="2" t="s">
        <v>3764</v>
      </c>
      <c r="C1462" t="b">
        <v>1</v>
      </c>
      <c r="D1462" s="1" t="s">
        <v>1454</v>
      </c>
      <c r="E1462" s="1" t="s">
        <v>3489</v>
      </c>
      <c r="F1462" s="1" t="s">
        <v>3516</v>
      </c>
      <c r="G1462" s="1" t="s">
        <v>3529</v>
      </c>
      <c r="H1462" s="1" t="s">
        <v>5</v>
      </c>
      <c r="I1462">
        <v>4</v>
      </c>
      <c r="L1462" s="1"/>
      <c r="M1462" s="1"/>
      <c r="N1462" s="1"/>
      <c r="O1462" s="1"/>
      <c r="P1462" s="1"/>
    </row>
    <row r="1463" spans="1:16" ht="15" customHeight="1" x14ac:dyDescent="0.25">
      <c r="A1463" s="1" t="s">
        <v>1421</v>
      </c>
      <c r="B1463" s="2" t="s">
        <v>3764</v>
      </c>
      <c r="C1463" t="b">
        <v>1</v>
      </c>
      <c r="D1463" s="1" t="s">
        <v>1390</v>
      </c>
      <c r="E1463" s="1" t="s">
        <v>3490</v>
      </c>
      <c r="F1463" s="1" t="s">
        <v>2704</v>
      </c>
      <c r="G1463" s="1" t="s">
        <v>1390</v>
      </c>
      <c r="H1463" s="1" t="s">
        <v>5</v>
      </c>
      <c r="I1463">
        <v>35</v>
      </c>
      <c r="L1463" s="1"/>
      <c r="M1463" s="1"/>
      <c r="N1463" s="1"/>
      <c r="O1463" s="1"/>
      <c r="P1463" s="1"/>
    </row>
    <row r="1464" spans="1:16" ht="15" customHeight="1" x14ac:dyDescent="0.25">
      <c r="A1464" s="1" t="s">
        <v>1421</v>
      </c>
      <c r="B1464" s="2" t="s">
        <v>3764</v>
      </c>
      <c r="C1464" t="b">
        <v>1</v>
      </c>
      <c r="D1464" s="1" t="s">
        <v>1203</v>
      </c>
      <c r="E1464" s="1" t="s">
        <v>3491</v>
      </c>
      <c r="F1464" s="1" t="s">
        <v>2705</v>
      </c>
      <c r="G1464" s="1" t="s">
        <v>1203</v>
      </c>
      <c r="H1464" s="1" t="s">
        <v>5</v>
      </c>
      <c r="I1464">
        <v>35</v>
      </c>
      <c r="L1464" s="1"/>
      <c r="M1464" s="1"/>
      <c r="N1464" s="1"/>
      <c r="O1464" s="1"/>
      <c r="P1464" s="1"/>
    </row>
    <row r="1465" spans="1:16" ht="15" customHeight="1" x14ac:dyDescent="0.25">
      <c r="A1465" s="1" t="s">
        <v>1421</v>
      </c>
      <c r="B1465" s="2" t="s">
        <v>3764</v>
      </c>
      <c r="C1465" t="b">
        <v>0</v>
      </c>
      <c r="D1465" s="1" t="s">
        <v>1416</v>
      </c>
      <c r="E1465" s="1" t="s">
        <v>3775</v>
      </c>
      <c r="F1465" s="1" t="s">
        <v>3167</v>
      </c>
      <c r="G1465" s="1" t="s">
        <v>1416</v>
      </c>
      <c r="H1465" s="1" t="s">
        <v>5</v>
      </c>
      <c r="I1465">
        <v>3</v>
      </c>
      <c r="L1465" s="1"/>
      <c r="M1465" s="1"/>
      <c r="N1465" s="1"/>
      <c r="O1465" s="1"/>
      <c r="P1465" s="1"/>
    </row>
    <row r="1466" spans="1:16" ht="15" customHeight="1" x14ac:dyDescent="0.25">
      <c r="A1466" s="1" t="s">
        <v>1421</v>
      </c>
      <c r="B1466" s="2" t="s">
        <v>3764</v>
      </c>
      <c r="C1466" t="b">
        <v>0</v>
      </c>
      <c r="D1466" s="1" t="s">
        <v>1417</v>
      </c>
      <c r="E1466" s="1" t="s">
        <v>3776</v>
      </c>
      <c r="F1466" s="1" t="s">
        <v>3168</v>
      </c>
      <c r="G1466" s="1" t="s">
        <v>3185</v>
      </c>
      <c r="H1466" s="1" t="s">
        <v>5</v>
      </c>
      <c r="I1466">
        <v>15</v>
      </c>
      <c r="L1466" s="1"/>
      <c r="M1466" s="1"/>
      <c r="N1466" s="1"/>
      <c r="O1466" s="1"/>
      <c r="P1466" s="1"/>
    </row>
    <row r="1467" spans="1:16" ht="15" customHeight="1" x14ac:dyDescent="0.25">
      <c r="A1467" s="1" t="s">
        <v>1421</v>
      </c>
      <c r="B1467" s="2" t="s">
        <v>3764</v>
      </c>
      <c r="C1467" t="b">
        <v>0</v>
      </c>
      <c r="D1467" s="1" t="s">
        <v>1415</v>
      </c>
      <c r="E1467" s="1" t="s">
        <v>3777</v>
      </c>
      <c r="F1467" s="1" t="s">
        <v>3169</v>
      </c>
      <c r="G1467" s="1" t="s">
        <v>3186</v>
      </c>
      <c r="H1467" s="1" t="s">
        <v>5</v>
      </c>
      <c r="I1467">
        <v>18</v>
      </c>
      <c r="L1467" s="1"/>
      <c r="M1467" s="1"/>
      <c r="N1467" s="1"/>
      <c r="O1467" s="1"/>
      <c r="P1467" s="1"/>
    </row>
    <row r="1468" spans="1:16" ht="15" customHeight="1" x14ac:dyDescent="0.25">
      <c r="A1468" s="1" t="s">
        <v>1421</v>
      </c>
      <c r="B1468" s="2" t="s">
        <v>3764</v>
      </c>
      <c r="C1468" t="b">
        <v>1</v>
      </c>
      <c r="D1468" s="1" t="s">
        <v>3132</v>
      </c>
      <c r="E1468" s="1" t="s">
        <v>3778</v>
      </c>
      <c r="F1468" s="1" t="s">
        <v>3170</v>
      </c>
      <c r="G1468" s="1" t="s">
        <v>3187</v>
      </c>
      <c r="H1468" s="1" t="s">
        <v>5</v>
      </c>
      <c r="I1468">
        <v>60</v>
      </c>
      <c r="L1468" s="1"/>
      <c r="M1468" s="1"/>
      <c r="N1468" s="1"/>
      <c r="O1468" s="1"/>
      <c r="P1468" s="1"/>
    </row>
    <row r="1469" spans="1:16" ht="15" customHeight="1" x14ac:dyDescent="0.25">
      <c r="A1469" s="1" t="s">
        <v>1421</v>
      </c>
      <c r="B1469" s="2" t="s">
        <v>3764</v>
      </c>
      <c r="C1469" t="b">
        <v>1</v>
      </c>
      <c r="D1469" s="1" t="s">
        <v>3133</v>
      </c>
      <c r="E1469" s="1" t="s">
        <v>3779</v>
      </c>
      <c r="F1469" s="1" t="s">
        <v>3171</v>
      </c>
      <c r="G1469" s="1" t="s">
        <v>3188</v>
      </c>
      <c r="H1469" s="1" t="s">
        <v>5</v>
      </c>
      <c r="I1469">
        <v>2</v>
      </c>
      <c r="L1469" s="1"/>
      <c r="M1469" s="1"/>
      <c r="N1469" s="1"/>
      <c r="O1469" s="1"/>
      <c r="P1469" s="1"/>
    </row>
    <row r="1470" spans="1:16" ht="15" customHeight="1" x14ac:dyDescent="0.25">
      <c r="A1470" s="1" t="s">
        <v>1421</v>
      </c>
      <c r="B1470" s="2" t="s">
        <v>3764</v>
      </c>
      <c r="C1470" t="b">
        <v>1</v>
      </c>
      <c r="D1470" s="1" t="s">
        <v>3765</v>
      </c>
      <c r="E1470" s="1" t="s">
        <v>3780</v>
      </c>
      <c r="F1470" s="1" t="s">
        <v>3765</v>
      </c>
      <c r="G1470" s="1" t="s">
        <v>3795</v>
      </c>
      <c r="H1470" s="1" t="s">
        <v>5</v>
      </c>
      <c r="I1470">
        <v>34</v>
      </c>
      <c r="L1470" s="1"/>
      <c r="M1470" s="1"/>
      <c r="N1470" s="1"/>
      <c r="O1470" s="1"/>
      <c r="P1470" s="1"/>
    </row>
    <row r="1471" spans="1:16" ht="15" customHeight="1" x14ac:dyDescent="0.25">
      <c r="A1471" s="1" t="s">
        <v>1421</v>
      </c>
      <c r="B1471" s="2" t="s">
        <v>3764</v>
      </c>
      <c r="C1471" t="b">
        <v>1</v>
      </c>
      <c r="D1471" s="1" t="s">
        <v>3766</v>
      </c>
      <c r="E1471" s="1" t="s">
        <v>3781</v>
      </c>
      <c r="F1471" s="1" t="s">
        <v>3172</v>
      </c>
      <c r="G1471" s="1" t="s">
        <v>3189</v>
      </c>
      <c r="H1471" s="1" t="s">
        <v>5</v>
      </c>
      <c r="I1471">
        <v>4</v>
      </c>
      <c r="L1471" s="1"/>
      <c r="M1471" s="1"/>
      <c r="N1471" s="1"/>
      <c r="O1471" s="1"/>
      <c r="P1471" s="1"/>
    </row>
    <row r="1472" spans="1:16" ht="15" customHeight="1" x14ac:dyDescent="0.25">
      <c r="A1472" s="1" t="s">
        <v>1421</v>
      </c>
      <c r="B1472" s="2" t="s">
        <v>3764</v>
      </c>
      <c r="C1472" t="b">
        <v>1</v>
      </c>
      <c r="D1472" s="1" t="s">
        <v>3767</v>
      </c>
      <c r="E1472" s="1" t="s">
        <v>3782</v>
      </c>
      <c r="F1472" s="1" t="s">
        <v>3173</v>
      </c>
      <c r="G1472" s="1" t="s">
        <v>3190</v>
      </c>
      <c r="H1472" s="1" t="s">
        <v>5</v>
      </c>
      <c r="I1472">
        <v>20</v>
      </c>
      <c r="L1472" s="1"/>
      <c r="M1472" s="1"/>
      <c r="N1472" s="1"/>
      <c r="O1472" s="1"/>
      <c r="P1472" s="1"/>
    </row>
    <row r="1473" spans="1:16" ht="15" customHeight="1" x14ac:dyDescent="0.25">
      <c r="A1473" s="1" t="s">
        <v>1421</v>
      </c>
      <c r="B1473" s="2" t="s">
        <v>3764</v>
      </c>
      <c r="C1473" t="b">
        <v>1</v>
      </c>
      <c r="D1473" s="1" t="s">
        <v>3136</v>
      </c>
      <c r="E1473" s="1" t="s">
        <v>3783</v>
      </c>
      <c r="F1473" s="1" t="s">
        <v>3174</v>
      </c>
      <c r="G1473" s="1" t="s">
        <v>3191</v>
      </c>
      <c r="H1473" s="1" t="s">
        <v>5</v>
      </c>
      <c r="I1473">
        <v>1</v>
      </c>
      <c r="L1473" s="1"/>
      <c r="M1473" s="1"/>
      <c r="N1473" s="1"/>
      <c r="O1473" s="1"/>
      <c r="P1473" s="1"/>
    </row>
    <row r="1474" spans="1:16" ht="15" customHeight="1" x14ac:dyDescent="0.25">
      <c r="A1474" s="1" t="s">
        <v>1421</v>
      </c>
      <c r="B1474" s="2" t="s">
        <v>3764</v>
      </c>
      <c r="C1474" t="b">
        <v>1</v>
      </c>
      <c r="D1474" s="1" t="s">
        <v>3137</v>
      </c>
      <c r="E1474" s="1" t="s">
        <v>3155</v>
      </c>
      <c r="F1474" s="1" t="s">
        <v>3175</v>
      </c>
      <c r="G1474" s="1" t="s">
        <v>3192</v>
      </c>
      <c r="H1474" s="1" t="s">
        <v>5</v>
      </c>
      <c r="I1474">
        <v>60</v>
      </c>
      <c r="L1474" s="1"/>
      <c r="M1474" s="1"/>
      <c r="N1474" s="1"/>
      <c r="O1474" s="1"/>
      <c r="P1474" s="1"/>
    </row>
    <row r="1475" spans="1:16" ht="15" customHeight="1" x14ac:dyDescent="0.25">
      <c r="A1475" s="1" t="s">
        <v>1421</v>
      </c>
      <c r="B1475" s="2" t="s">
        <v>3764</v>
      </c>
      <c r="C1475" t="b">
        <v>1</v>
      </c>
      <c r="D1475" s="1" t="s">
        <v>1395</v>
      </c>
      <c r="E1475" s="1" t="s">
        <v>3156</v>
      </c>
      <c r="F1475" s="1" t="s">
        <v>3176</v>
      </c>
      <c r="G1475" s="1" t="s">
        <v>2970</v>
      </c>
      <c r="H1475" s="1" t="s">
        <v>5</v>
      </c>
      <c r="I1475">
        <v>3</v>
      </c>
      <c r="L1475" s="1"/>
      <c r="M1475" s="1"/>
      <c r="N1475" s="1"/>
      <c r="O1475" s="1"/>
      <c r="P1475" s="1"/>
    </row>
    <row r="1476" spans="1:16" ht="15" customHeight="1" x14ac:dyDescent="0.25">
      <c r="A1476" s="1" t="s">
        <v>1421</v>
      </c>
      <c r="B1476" s="2" t="s">
        <v>3764</v>
      </c>
      <c r="C1476" t="b">
        <v>1</v>
      </c>
      <c r="D1476" s="1" t="s">
        <v>3138</v>
      </c>
      <c r="E1476" s="1" t="s">
        <v>3157</v>
      </c>
      <c r="F1476" s="1" t="s">
        <v>2955</v>
      </c>
      <c r="G1476" s="1" t="s">
        <v>1391</v>
      </c>
      <c r="H1476" s="1" t="s">
        <v>5</v>
      </c>
      <c r="I1476">
        <v>35</v>
      </c>
      <c r="L1476" s="1"/>
      <c r="M1476" s="1"/>
      <c r="N1476" s="1"/>
      <c r="O1476" s="1"/>
      <c r="P1476" s="1"/>
    </row>
    <row r="1477" spans="1:16" ht="15" customHeight="1" x14ac:dyDescent="0.25">
      <c r="A1477" s="1" t="s">
        <v>1421</v>
      </c>
      <c r="B1477" s="2" t="s">
        <v>3764</v>
      </c>
      <c r="C1477" t="b">
        <v>1</v>
      </c>
      <c r="D1477" s="1" t="s">
        <v>3768</v>
      </c>
      <c r="E1477" s="1" t="s">
        <v>3158</v>
      </c>
      <c r="F1477" s="1" t="s">
        <v>2705</v>
      </c>
      <c r="G1477" s="1" t="s">
        <v>1203</v>
      </c>
      <c r="H1477" s="1" t="s">
        <v>5</v>
      </c>
      <c r="I1477">
        <v>35</v>
      </c>
      <c r="L1477" s="1"/>
      <c r="M1477" s="1"/>
      <c r="N1477" s="1"/>
      <c r="O1477" s="1"/>
      <c r="P1477" s="1"/>
    </row>
    <row r="1478" spans="1:16" ht="15" customHeight="1" x14ac:dyDescent="0.25">
      <c r="A1478" s="1" t="s">
        <v>1421</v>
      </c>
      <c r="B1478" s="2" t="s">
        <v>3764</v>
      </c>
      <c r="C1478" t="b">
        <v>1</v>
      </c>
      <c r="D1478" s="1" t="s">
        <v>3769</v>
      </c>
      <c r="E1478" s="1" t="s">
        <v>3159</v>
      </c>
      <c r="F1478" s="1" t="s">
        <v>3177</v>
      </c>
      <c r="G1478" s="1" t="s">
        <v>3140</v>
      </c>
      <c r="H1478" s="1" t="s">
        <v>5</v>
      </c>
      <c r="I1478">
        <v>40</v>
      </c>
      <c r="L1478" s="1"/>
      <c r="M1478" s="1"/>
      <c r="N1478" s="1"/>
      <c r="O1478" s="1"/>
      <c r="P1478" s="1"/>
    </row>
    <row r="1479" spans="1:16" ht="15" customHeight="1" x14ac:dyDescent="0.25">
      <c r="A1479" s="1" t="s">
        <v>1421</v>
      </c>
      <c r="B1479" s="2" t="s">
        <v>3764</v>
      </c>
      <c r="C1479" t="b">
        <v>1</v>
      </c>
      <c r="D1479" s="1" t="s">
        <v>3770</v>
      </c>
      <c r="E1479" s="1" t="s">
        <v>3160</v>
      </c>
      <c r="F1479" s="1" t="s">
        <v>3178</v>
      </c>
      <c r="G1479" s="1" t="s">
        <v>3193</v>
      </c>
      <c r="H1479" s="1" t="s">
        <v>5</v>
      </c>
      <c r="I1479">
        <v>11</v>
      </c>
      <c r="L1479" s="1"/>
      <c r="M1479" s="1"/>
      <c r="N1479" s="1"/>
      <c r="O1479" s="1"/>
      <c r="P1479" s="1"/>
    </row>
    <row r="1480" spans="1:16" ht="15" customHeight="1" x14ac:dyDescent="0.25">
      <c r="A1480" s="1" t="s">
        <v>1421</v>
      </c>
      <c r="B1480" s="2" t="s">
        <v>3764</v>
      </c>
      <c r="C1480" t="b">
        <v>1</v>
      </c>
      <c r="D1480" s="1" t="s">
        <v>3142</v>
      </c>
      <c r="E1480" s="1" t="s">
        <v>3161</v>
      </c>
      <c r="F1480" s="1" t="s">
        <v>3179</v>
      </c>
      <c r="G1480" s="1" t="s">
        <v>3194</v>
      </c>
      <c r="H1480" s="1" t="s">
        <v>5</v>
      </c>
      <c r="I1480">
        <v>2</v>
      </c>
      <c r="L1480" s="1"/>
      <c r="M1480" s="1"/>
      <c r="N1480" s="1"/>
      <c r="O1480" s="1"/>
      <c r="P1480" s="1"/>
    </row>
    <row r="1481" spans="1:16" ht="15" customHeight="1" x14ac:dyDescent="0.25">
      <c r="A1481" s="1" t="s">
        <v>1421</v>
      </c>
      <c r="B1481" s="2" t="s">
        <v>3764</v>
      </c>
      <c r="C1481" t="b">
        <v>1</v>
      </c>
      <c r="D1481" s="1" t="s">
        <v>3143</v>
      </c>
      <c r="E1481" s="1" t="s">
        <v>3162</v>
      </c>
      <c r="F1481" s="1" t="s">
        <v>3180</v>
      </c>
      <c r="G1481" s="1" t="s">
        <v>3195</v>
      </c>
      <c r="H1481" s="1" t="s">
        <v>5</v>
      </c>
      <c r="I1481">
        <v>1</v>
      </c>
      <c r="L1481" s="1"/>
      <c r="M1481" s="1"/>
      <c r="N1481" s="1"/>
      <c r="O1481" s="1"/>
      <c r="P1481" s="1"/>
    </row>
    <row r="1482" spans="1:16" ht="15" customHeight="1" x14ac:dyDescent="0.25">
      <c r="A1482" s="1" t="s">
        <v>1421</v>
      </c>
      <c r="B1482" s="2" t="s">
        <v>3764</v>
      </c>
      <c r="C1482" t="b">
        <v>1</v>
      </c>
      <c r="D1482" s="1" t="s">
        <v>3144</v>
      </c>
      <c r="E1482" s="1" t="s">
        <v>3163</v>
      </c>
      <c r="F1482" s="1" t="s">
        <v>3181</v>
      </c>
      <c r="G1482" s="1" t="s">
        <v>3144</v>
      </c>
      <c r="H1482" s="1" t="s">
        <v>5</v>
      </c>
      <c r="I1482">
        <v>15</v>
      </c>
      <c r="L1482" s="1"/>
      <c r="M1482" s="1"/>
      <c r="N1482" s="1"/>
      <c r="O1482" s="1"/>
      <c r="P1482" s="1"/>
    </row>
    <row r="1483" spans="1:16" ht="15" customHeight="1" x14ac:dyDescent="0.25">
      <c r="A1483" s="1" t="s">
        <v>1421</v>
      </c>
      <c r="B1483" s="2" t="s">
        <v>3764</v>
      </c>
      <c r="C1483" t="b">
        <v>1</v>
      </c>
      <c r="D1483" s="1" t="s">
        <v>3771</v>
      </c>
      <c r="E1483" s="1" t="s">
        <v>3784</v>
      </c>
      <c r="F1483" s="1" t="s">
        <v>3790</v>
      </c>
      <c r="G1483" s="1" t="s">
        <v>3796</v>
      </c>
      <c r="H1483" s="1" t="s">
        <v>5</v>
      </c>
      <c r="I1483">
        <v>10</v>
      </c>
      <c r="L1483" s="1"/>
      <c r="M1483" s="1"/>
      <c r="N1483" s="1"/>
      <c r="O1483" s="1"/>
      <c r="P1483" s="1"/>
    </row>
    <row r="1484" spans="1:16" ht="15" customHeight="1" x14ac:dyDescent="0.25">
      <c r="A1484" s="1" t="s">
        <v>1421</v>
      </c>
      <c r="B1484" s="2" t="s">
        <v>3764</v>
      </c>
      <c r="C1484" t="b">
        <v>1</v>
      </c>
      <c r="D1484" s="1" t="s">
        <v>1418</v>
      </c>
      <c r="E1484" s="1" t="s">
        <v>3785</v>
      </c>
      <c r="F1484" s="1" t="s">
        <v>3791</v>
      </c>
      <c r="G1484" s="1" t="s">
        <v>3797</v>
      </c>
      <c r="H1484" s="1" t="s">
        <v>5</v>
      </c>
      <c r="I1484">
        <v>1</v>
      </c>
      <c r="L1484" s="1"/>
      <c r="M1484" s="1"/>
      <c r="N1484" s="1"/>
      <c r="O1484" s="1"/>
      <c r="P1484" s="1"/>
    </row>
    <row r="1485" spans="1:16" ht="15" customHeight="1" x14ac:dyDescent="0.25">
      <c r="A1485" s="1" t="s">
        <v>1421</v>
      </c>
      <c r="B1485" s="2" t="s">
        <v>3764</v>
      </c>
      <c r="C1485" t="b">
        <v>1</v>
      </c>
      <c r="D1485" s="1" t="s">
        <v>1419</v>
      </c>
      <c r="E1485" s="1" t="s">
        <v>3786</v>
      </c>
      <c r="F1485" s="1" t="s">
        <v>3792</v>
      </c>
      <c r="G1485" s="1" t="s">
        <v>3798</v>
      </c>
      <c r="H1485" s="1" t="s">
        <v>5</v>
      </c>
      <c r="I1485">
        <v>2</v>
      </c>
      <c r="L1485" s="1"/>
      <c r="M1485" s="1"/>
      <c r="N1485" s="1"/>
      <c r="O1485" s="1"/>
      <c r="P1485" s="1"/>
    </row>
    <row r="1486" spans="1:16" ht="15" customHeight="1" x14ac:dyDescent="0.25">
      <c r="A1486" s="1" t="s">
        <v>1421</v>
      </c>
      <c r="B1486" s="2" t="s">
        <v>3764</v>
      </c>
      <c r="C1486" t="b">
        <v>1</v>
      </c>
      <c r="D1486" s="1" t="s">
        <v>3772</v>
      </c>
      <c r="E1486" s="1" t="s">
        <v>3787</v>
      </c>
      <c r="F1486" s="1" t="s">
        <v>3793</v>
      </c>
      <c r="G1486" s="1" t="s">
        <v>3799</v>
      </c>
      <c r="H1486" s="1" t="s">
        <v>5</v>
      </c>
      <c r="I1486">
        <v>11</v>
      </c>
      <c r="L1486" s="1"/>
      <c r="M1486" s="1"/>
      <c r="N1486" s="1"/>
      <c r="O1486" s="1"/>
      <c r="P1486" s="1"/>
    </row>
    <row r="1487" spans="1:16" ht="15" customHeight="1" x14ac:dyDescent="0.25">
      <c r="A1487" s="1" t="s">
        <v>1421</v>
      </c>
      <c r="B1487" s="2" t="s">
        <v>3764</v>
      </c>
      <c r="C1487" t="b">
        <v>1</v>
      </c>
      <c r="D1487" s="1" t="s">
        <v>3773</v>
      </c>
      <c r="E1487" s="1" t="s">
        <v>3788</v>
      </c>
      <c r="F1487" s="1" t="s">
        <v>3183</v>
      </c>
      <c r="G1487" s="1" t="s">
        <v>3800</v>
      </c>
      <c r="H1487" s="1" t="s">
        <v>5</v>
      </c>
      <c r="I1487">
        <v>1</v>
      </c>
      <c r="L1487" s="1"/>
      <c r="M1487" s="1"/>
      <c r="N1487" s="1"/>
      <c r="O1487" s="1"/>
      <c r="P1487" s="1"/>
    </row>
    <row r="1488" spans="1:16" ht="15" customHeight="1" x14ac:dyDescent="0.25">
      <c r="A1488" s="1" t="s">
        <v>1421</v>
      </c>
      <c r="B1488" s="2" t="s">
        <v>3764</v>
      </c>
      <c r="C1488" t="b">
        <v>1</v>
      </c>
      <c r="D1488" s="1" t="s">
        <v>3774</v>
      </c>
      <c r="E1488" s="1" t="s">
        <v>3789</v>
      </c>
      <c r="F1488" s="1" t="s">
        <v>3794</v>
      </c>
      <c r="G1488" s="1" t="s">
        <v>3612</v>
      </c>
      <c r="H1488" s="1" t="s">
        <v>5</v>
      </c>
      <c r="I1488">
        <v>1</v>
      </c>
      <c r="L1488" s="1"/>
      <c r="M1488" s="1"/>
      <c r="N1488" s="1"/>
      <c r="O1488" s="1"/>
      <c r="P1488" s="1"/>
    </row>
    <row r="1489" spans="1:16" ht="15" customHeight="1" x14ac:dyDescent="0.25">
      <c r="A1489" s="1" t="s">
        <v>1421</v>
      </c>
      <c r="B1489" s="2" t="s">
        <v>3764</v>
      </c>
      <c r="C1489" t="b">
        <v>0</v>
      </c>
      <c r="D1489" s="1" t="s">
        <v>1420</v>
      </c>
      <c r="E1489" s="1" t="s">
        <v>3601</v>
      </c>
      <c r="F1489" s="1" t="s">
        <v>3607</v>
      </c>
      <c r="G1489" s="1" t="s">
        <v>3613</v>
      </c>
      <c r="H1489" s="1" t="s">
        <v>5</v>
      </c>
      <c r="I1489">
        <v>10</v>
      </c>
      <c r="L1489" s="1"/>
      <c r="M1489" s="1"/>
      <c r="N1489" s="1"/>
      <c r="O1489" s="1"/>
      <c r="P1489" s="1"/>
    </row>
    <row r="1490" spans="1:16" ht="15" customHeight="1" x14ac:dyDescent="0.25">
      <c r="A1490" s="1" t="s">
        <v>1421</v>
      </c>
      <c r="B1490" s="2" t="s">
        <v>3764</v>
      </c>
      <c r="D1490" s="1"/>
      <c r="E1490" s="1"/>
      <c r="F1490" s="1"/>
      <c r="G1490" s="1"/>
      <c r="H1490" s="1"/>
      <c r="L1490" s="1" t="s">
        <v>1524</v>
      </c>
      <c r="M1490" s="1" t="s">
        <v>3199</v>
      </c>
      <c r="N1490" s="1"/>
      <c r="O1490" s="1"/>
      <c r="P1490" s="1"/>
    </row>
    <row r="1491" spans="1:16" ht="15" customHeight="1" x14ac:dyDescent="0.25">
      <c r="A1491" s="1" t="s">
        <v>1421</v>
      </c>
      <c r="B1491" s="2" t="s">
        <v>3764</v>
      </c>
      <c r="D1491" s="1"/>
      <c r="E1491" s="1"/>
      <c r="F1491" s="1"/>
      <c r="G1491" s="1"/>
      <c r="H1491" s="1"/>
      <c r="L1491" s="1" t="s">
        <v>1524</v>
      </c>
      <c r="M1491" s="1" t="s">
        <v>3801</v>
      </c>
      <c r="N1491" s="1"/>
      <c r="O1491" s="1"/>
      <c r="P1491" s="1"/>
    </row>
    <row r="1492" spans="1:16" ht="15" customHeight="1" x14ac:dyDescent="0.25">
      <c r="A1492" s="1" t="s">
        <v>1421</v>
      </c>
      <c r="B1492" s="2" t="s">
        <v>3764</v>
      </c>
      <c r="D1492" s="1"/>
      <c r="E1492" s="1"/>
      <c r="F1492" s="1"/>
      <c r="G1492" s="1"/>
      <c r="H1492" s="1"/>
      <c r="L1492" s="1" t="s">
        <v>1524</v>
      </c>
      <c r="M1492" s="1" t="s">
        <v>3542</v>
      </c>
      <c r="N1492" s="1"/>
      <c r="O1492" s="1"/>
      <c r="P1492" s="1"/>
    </row>
    <row r="1493" spans="1:16" ht="15" customHeight="1" x14ac:dyDescent="0.25">
      <c r="A1493" s="1" t="s">
        <v>1421</v>
      </c>
      <c r="B1493" s="2" t="s">
        <v>3764</v>
      </c>
      <c r="D1493" s="1"/>
      <c r="E1493" s="1"/>
      <c r="F1493" s="1"/>
      <c r="G1493" s="1"/>
      <c r="H1493" s="1"/>
      <c r="L1493" s="1" t="s">
        <v>1524</v>
      </c>
      <c r="M1493" s="1" t="s">
        <v>3802</v>
      </c>
      <c r="N1493" s="1"/>
      <c r="O1493" s="1"/>
      <c r="P1493" s="1"/>
    </row>
    <row r="1494" spans="1:16" ht="15" customHeight="1" x14ac:dyDescent="0.25">
      <c r="A1494" s="1" t="s">
        <v>1421</v>
      </c>
      <c r="B1494" s="2" t="s">
        <v>3764</v>
      </c>
      <c r="D1494" s="1"/>
      <c r="E1494" s="1"/>
      <c r="F1494" s="1"/>
      <c r="G1494" s="1"/>
      <c r="H1494" s="1"/>
      <c r="L1494" s="1" t="s">
        <v>1524</v>
      </c>
      <c r="M1494" s="1" t="s">
        <v>3615</v>
      </c>
      <c r="N1494" s="1"/>
      <c r="O1494" s="1"/>
      <c r="P1494" s="1"/>
    </row>
    <row r="1495" spans="1:16" ht="15" customHeight="1" x14ac:dyDescent="0.25">
      <c r="A1495" s="1" t="s">
        <v>1421</v>
      </c>
      <c r="B1495" s="2" t="s">
        <v>3764</v>
      </c>
      <c r="D1495" s="1"/>
      <c r="E1495" s="1"/>
      <c r="F1495" s="1"/>
      <c r="G1495" s="1"/>
      <c r="H1495" s="1"/>
      <c r="L1495" s="1"/>
      <c r="M1495" s="1"/>
      <c r="N1495" s="1" t="s">
        <v>1529</v>
      </c>
      <c r="O1495" s="1" t="s">
        <v>3803</v>
      </c>
      <c r="P1495" s="1"/>
    </row>
    <row r="1496" spans="1:16" ht="15" customHeight="1" x14ac:dyDescent="0.25">
      <c r="A1496" s="1" t="s">
        <v>1421</v>
      </c>
      <c r="B1496" s="2" t="s">
        <v>3764</v>
      </c>
      <c r="D1496" s="1"/>
      <c r="E1496" s="1"/>
      <c r="F1496" s="1"/>
      <c r="G1496" s="1"/>
      <c r="H1496" s="1"/>
      <c r="L1496" s="1"/>
      <c r="M1496" s="1"/>
      <c r="N1496" s="1" t="s">
        <v>1529</v>
      </c>
      <c r="O1496" s="1" t="s">
        <v>3803</v>
      </c>
      <c r="P1496" s="1"/>
    </row>
    <row r="1497" spans="1:16" ht="15" customHeight="1" x14ac:dyDescent="0.25">
      <c r="A1497" s="1" t="s">
        <v>1421</v>
      </c>
      <c r="B1497" s="2" t="s">
        <v>3764</v>
      </c>
      <c r="D1497" s="1"/>
      <c r="E1497" s="1"/>
      <c r="F1497" s="1"/>
      <c r="G1497" s="1"/>
      <c r="H1497" s="1"/>
      <c r="L1497" s="1"/>
      <c r="M1497" s="1"/>
      <c r="N1497" s="1" t="s">
        <v>1529</v>
      </c>
      <c r="O1497" s="1" t="s">
        <v>3803</v>
      </c>
      <c r="P1497" s="1"/>
    </row>
    <row r="1498" spans="1:16" ht="15" customHeight="1" x14ac:dyDescent="0.25">
      <c r="A1498" s="1" t="s">
        <v>1421</v>
      </c>
      <c r="B1498" s="2" t="s">
        <v>3764</v>
      </c>
      <c r="D1498" s="1"/>
      <c r="E1498" s="1"/>
      <c r="F1498" s="1"/>
      <c r="G1498" s="1"/>
      <c r="H1498" s="1"/>
      <c r="L1498" s="1"/>
      <c r="M1498" s="1"/>
      <c r="N1498" s="1" t="s">
        <v>1529</v>
      </c>
      <c r="O1498" s="1" t="s">
        <v>3803</v>
      </c>
      <c r="P1498" s="1"/>
    </row>
    <row r="1499" spans="1:16" ht="15" customHeight="1" x14ac:dyDescent="0.25">
      <c r="A1499" s="1" t="s">
        <v>1421</v>
      </c>
      <c r="B1499" s="2" t="s">
        <v>3764</v>
      </c>
      <c r="D1499" s="1"/>
      <c r="E1499" s="1"/>
      <c r="F1499" s="1"/>
      <c r="G1499" s="1"/>
      <c r="H1499" s="1"/>
      <c r="L1499" s="1"/>
      <c r="M1499" s="1"/>
      <c r="N1499" s="1" t="s">
        <v>1529</v>
      </c>
      <c r="O1499" s="1" t="s">
        <v>3803</v>
      </c>
      <c r="P1499" s="1"/>
    </row>
    <row r="1500" spans="1:16" ht="15" customHeight="1" x14ac:dyDescent="0.25">
      <c r="A1500" s="1" t="s">
        <v>1421</v>
      </c>
      <c r="B1500" s="2" t="s">
        <v>3764</v>
      </c>
      <c r="D1500" s="1"/>
      <c r="E1500" s="1"/>
      <c r="F1500" s="1"/>
      <c r="G1500" s="1"/>
      <c r="H1500" s="1"/>
      <c r="L1500" s="1"/>
      <c r="M1500" s="1"/>
      <c r="N1500" s="1" t="s">
        <v>1529</v>
      </c>
      <c r="O1500" s="1" t="s">
        <v>3803</v>
      </c>
      <c r="P1500" s="1"/>
    </row>
    <row r="1501" spans="1:16" ht="15" customHeight="1" x14ac:dyDescent="0.25">
      <c r="A1501" s="1" t="s">
        <v>1421</v>
      </c>
      <c r="B1501" s="2" t="s">
        <v>3764</v>
      </c>
      <c r="D1501" s="1"/>
      <c r="E1501" s="1"/>
      <c r="F1501" s="1"/>
      <c r="G1501" s="1"/>
      <c r="H1501" s="1"/>
      <c r="L1501" s="1"/>
      <c r="M1501" s="1"/>
      <c r="N1501" s="1" t="s">
        <v>1529</v>
      </c>
      <c r="O1501" s="1" t="s">
        <v>3804</v>
      </c>
      <c r="P1501" s="1"/>
    </row>
    <row r="1502" spans="1:16" ht="15" customHeight="1" x14ac:dyDescent="0.25">
      <c r="A1502" s="1" t="s">
        <v>1421</v>
      </c>
      <c r="B1502" s="2" t="s">
        <v>3764</v>
      </c>
      <c r="D1502" s="1"/>
      <c r="E1502" s="1"/>
      <c r="F1502" s="1"/>
      <c r="G1502" s="1"/>
      <c r="H1502" s="1"/>
      <c r="L1502" s="1"/>
      <c r="M1502" s="1"/>
      <c r="N1502" s="1" t="s">
        <v>1529</v>
      </c>
      <c r="O1502" s="1" t="s">
        <v>3804</v>
      </c>
      <c r="P1502" s="1"/>
    </row>
    <row r="1503" spans="1:16" ht="15" customHeight="1" x14ac:dyDescent="0.25">
      <c r="A1503" s="1" t="s">
        <v>1421</v>
      </c>
      <c r="B1503" s="2" t="s">
        <v>3764</v>
      </c>
      <c r="D1503" s="1"/>
      <c r="E1503" s="1"/>
      <c r="F1503" s="1"/>
      <c r="G1503" s="1"/>
      <c r="H1503" s="1"/>
      <c r="L1503" s="1"/>
      <c r="M1503" s="1"/>
      <c r="N1503" s="1" t="s">
        <v>1529</v>
      </c>
      <c r="O1503" s="1" t="s">
        <v>3804</v>
      </c>
      <c r="P1503" s="1"/>
    </row>
    <row r="1504" spans="1:16" ht="15" customHeight="1" x14ac:dyDescent="0.25">
      <c r="A1504" s="1" t="s">
        <v>1421</v>
      </c>
      <c r="B1504" s="2" t="s">
        <v>3764</v>
      </c>
      <c r="D1504" s="1"/>
      <c r="E1504" s="1"/>
      <c r="F1504" s="1"/>
      <c r="G1504" s="1"/>
      <c r="H1504" s="1"/>
      <c r="L1504" s="1"/>
      <c r="M1504" s="1"/>
      <c r="N1504" s="1" t="s">
        <v>1529</v>
      </c>
      <c r="O1504" s="1" t="s">
        <v>3804</v>
      </c>
      <c r="P1504" s="1"/>
    </row>
    <row r="1505" spans="1:16" ht="15" customHeight="1" x14ac:dyDescent="0.25">
      <c r="A1505" s="1" t="s">
        <v>1421</v>
      </c>
      <c r="B1505" s="2" t="s">
        <v>3764</v>
      </c>
      <c r="D1505" s="1"/>
      <c r="E1505" s="1"/>
      <c r="F1505" s="1"/>
      <c r="G1505" s="1"/>
      <c r="H1505" s="1"/>
      <c r="L1505" s="1"/>
      <c r="M1505" s="1"/>
      <c r="N1505" s="1" t="s">
        <v>1529</v>
      </c>
      <c r="O1505" s="1" t="s">
        <v>3804</v>
      </c>
      <c r="P1505" s="1"/>
    </row>
    <row r="1506" spans="1:16" ht="15" customHeight="1" x14ac:dyDescent="0.25">
      <c r="A1506" s="1" t="s">
        <v>1421</v>
      </c>
      <c r="B1506" s="2" t="s">
        <v>3764</v>
      </c>
      <c r="D1506" s="1"/>
      <c r="E1506" s="1"/>
      <c r="F1506" s="1"/>
      <c r="G1506" s="1"/>
      <c r="H1506" s="1"/>
      <c r="L1506" s="1"/>
      <c r="M1506" s="1"/>
      <c r="N1506" s="1" t="s">
        <v>1529</v>
      </c>
      <c r="O1506" s="1" t="s">
        <v>3804</v>
      </c>
      <c r="P1506" s="1"/>
    </row>
    <row r="1507" spans="1:16" ht="15" customHeight="1" x14ac:dyDescent="0.25">
      <c r="A1507" s="1" t="s">
        <v>1421</v>
      </c>
      <c r="B1507" s="2" t="s">
        <v>3764</v>
      </c>
      <c r="D1507" s="1"/>
      <c r="E1507" s="1"/>
      <c r="F1507" s="1"/>
      <c r="G1507" s="1"/>
      <c r="H1507" s="1"/>
      <c r="L1507" s="1"/>
      <c r="M1507" s="1"/>
      <c r="N1507" s="1" t="s">
        <v>1529</v>
      </c>
      <c r="O1507" s="1" t="s">
        <v>3804</v>
      </c>
      <c r="P1507" s="1"/>
    </row>
    <row r="1508" spans="1:16" ht="15" customHeight="1" x14ac:dyDescent="0.25">
      <c r="A1508" s="1" t="s">
        <v>1421</v>
      </c>
      <c r="B1508" s="2" t="s">
        <v>3764</v>
      </c>
      <c r="D1508" s="1"/>
      <c r="E1508" s="1"/>
      <c r="F1508" s="1"/>
      <c r="G1508" s="1"/>
      <c r="H1508" s="1"/>
      <c r="L1508" s="1"/>
      <c r="M1508" s="1"/>
      <c r="N1508" s="1" t="s">
        <v>1529</v>
      </c>
      <c r="O1508" s="1" t="s">
        <v>3804</v>
      </c>
      <c r="P1508" s="1"/>
    </row>
    <row r="1509" spans="1:16" ht="15" customHeight="1" x14ac:dyDescent="0.25">
      <c r="A1509" s="1" t="s">
        <v>1421</v>
      </c>
      <c r="B1509" s="2" t="s">
        <v>3764</v>
      </c>
      <c r="D1509" s="1"/>
      <c r="E1509" s="1"/>
      <c r="F1509" s="1"/>
      <c r="G1509" s="1"/>
      <c r="H1509" s="1"/>
      <c r="L1509" s="1"/>
      <c r="M1509" s="1"/>
      <c r="N1509" s="1" t="s">
        <v>1529</v>
      </c>
      <c r="O1509" s="1" t="s">
        <v>3804</v>
      </c>
      <c r="P1509" s="1"/>
    </row>
    <row r="1510" spans="1:16" ht="15" customHeight="1" x14ac:dyDescent="0.25">
      <c r="A1510" s="1" t="s">
        <v>1421</v>
      </c>
      <c r="B1510" s="2" t="s">
        <v>3764</v>
      </c>
      <c r="D1510" s="1"/>
      <c r="E1510" s="1"/>
      <c r="F1510" s="1"/>
      <c r="G1510" s="1"/>
      <c r="H1510" s="1"/>
      <c r="L1510" s="1"/>
      <c r="M1510" s="1"/>
      <c r="N1510" s="1" t="s">
        <v>1529</v>
      </c>
      <c r="O1510" s="1" t="s">
        <v>3804</v>
      </c>
      <c r="P1510" s="1"/>
    </row>
    <row r="1511" spans="1:16" ht="15" customHeight="1" x14ac:dyDescent="0.25">
      <c r="A1511" s="1" t="s">
        <v>1421</v>
      </c>
      <c r="B1511" s="2" t="s">
        <v>3764</v>
      </c>
      <c r="D1511" s="1"/>
      <c r="E1511" s="1"/>
      <c r="F1511" s="1"/>
      <c r="G1511" s="1"/>
      <c r="H1511" s="1"/>
      <c r="L1511" s="1"/>
      <c r="M1511" s="1"/>
      <c r="N1511" s="1" t="s">
        <v>1529</v>
      </c>
      <c r="O1511" s="1" t="s">
        <v>3804</v>
      </c>
      <c r="P1511" s="1"/>
    </row>
    <row r="1512" spans="1:16" ht="15" customHeight="1" x14ac:dyDescent="0.25">
      <c r="A1512" s="1" t="s">
        <v>1421</v>
      </c>
      <c r="B1512" s="2" t="s">
        <v>3764</v>
      </c>
      <c r="D1512" s="1"/>
      <c r="E1512" s="1"/>
      <c r="F1512" s="1"/>
      <c r="G1512" s="1"/>
      <c r="H1512" s="1"/>
      <c r="L1512" s="1"/>
      <c r="M1512" s="1"/>
      <c r="N1512" s="1" t="s">
        <v>1529</v>
      </c>
      <c r="O1512" s="1" t="s">
        <v>3804</v>
      </c>
      <c r="P1512" s="1"/>
    </row>
    <row r="1513" spans="1:16" ht="15" customHeight="1" x14ac:dyDescent="0.25">
      <c r="A1513" s="1" t="s">
        <v>1421</v>
      </c>
      <c r="B1513" s="2" t="s">
        <v>3764</v>
      </c>
      <c r="D1513" s="1"/>
      <c r="E1513" s="1"/>
      <c r="F1513" s="1"/>
      <c r="G1513" s="1"/>
      <c r="H1513" s="1"/>
      <c r="L1513" s="1"/>
      <c r="M1513" s="1"/>
      <c r="N1513" s="1" t="s">
        <v>1529</v>
      </c>
      <c r="O1513" s="1" t="s">
        <v>3804</v>
      </c>
      <c r="P1513" s="1"/>
    </row>
    <row r="1514" spans="1:16" ht="15" customHeight="1" x14ac:dyDescent="0.25">
      <c r="A1514" s="1" t="s">
        <v>1421</v>
      </c>
      <c r="B1514" s="2" t="s">
        <v>3764</v>
      </c>
      <c r="D1514" s="1"/>
      <c r="E1514" s="1"/>
      <c r="F1514" s="1"/>
      <c r="G1514" s="1"/>
      <c r="H1514" s="1"/>
      <c r="L1514" s="1"/>
      <c r="M1514" s="1"/>
      <c r="N1514" s="1" t="s">
        <v>1529</v>
      </c>
      <c r="O1514" s="1" t="s">
        <v>3805</v>
      </c>
      <c r="P1514" s="1"/>
    </row>
    <row r="1515" spans="1:16" ht="15" customHeight="1" x14ac:dyDescent="0.25">
      <c r="A1515" s="1" t="s">
        <v>1421</v>
      </c>
      <c r="B1515" s="2" t="s">
        <v>3764</v>
      </c>
      <c r="D1515" s="1"/>
      <c r="E1515" s="1"/>
      <c r="F1515" s="1"/>
      <c r="G1515" s="1"/>
      <c r="H1515" s="1"/>
      <c r="L1515" s="1"/>
      <c r="M1515" s="1"/>
      <c r="N1515" s="1" t="s">
        <v>1529</v>
      </c>
      <c r="O1515" s="1" t="s">
        <v>3805</v>
      </c>
      <c r="P1515" s="1"/>
    </row>
    <row r="1516" spans="1:16" ht="15" customHeight="1" x14ac:dyDescent="0.25">
      <c r="A1516" s="1" t="s">
        <v>1421</v>
      </c>
      <c r="B1516" s="2" t="s">
        <v>3764</v>
      </c>
      <c r="D1516" s="1"/>
      <c r="E1516" s="1"/>
      <c r="F1516" s="1"/>
      <c r="G1516" s="1"/>
      <c r="H1516" s="1"/>
      <c r="L1516" s="1"/>
      <c r="M1516" s="1"/>
      <c r="N1516" s="1" t="s">
        <v>1529</v>
      </c>
      <c r="O1516" s="1" t="s">
        <v>3805</v>
      </c>
      <c r="P1516" s="1"/>
    </row>
    <row r="1517" spans="1:16" ht="15" customHeight="1" x14ac:dyDescent="0.25">
      <c r="A1517" s="1" t="s">
        <v>1421</v>
      </c>
      <c r="B1517" s="2" t="s">
        <v>3764</v>
      </c>
      <c r="D1517" s="1"/>
      <c r="E1517" s="1"/>
      <c r="F1517" s="1"/>
      <c r="G1517" s="1"/>
      <c r="H1517" s="1"/>
      <c r="L1517" s="1"/>
      <c r="M1517" s="1"/>
      <c r="N1517" s="1" t="s">
        <v>1529</v>
      </c>
      <c r="O1517" s="1" t="s">
        <v>3805</v>
      </c>
      <c r="P1517" s="1"/>
    </row>
    <row r="1518" spans="1:16" ht="15" customHeight="1" x14ac:dyDescent="0.25">
      <c r="A1518" s="1" t="s">
        <v>1421</v>
      </c>
      <c r="B1518" s="2" t="s">
        <v>3764</v>
      </c>
      <c r="D1518" s="1"/>
      <c r="E1518" s="1"/>
      <c r="F1518" s="1"/>
      <c r="G1518" s="1"/>
      <c r="H1518" s="1"/>
      <c r="L1518" s="1"/>
      <c r="M1518" s="1"/>
      <c r="N1518" s="1" t="s">
        <v>1529</v>
      </c>
      <c r="O1518" s="1" t="s">
        <v>3805</v>
      </c>
      <c r="P1518" s="1"/>
    </row>
    <row r="1519" spans="1:16" ht="15" customHeight="1" x14ac:dyDescent="0.25">
      <c r="A1519" s="1" t="s">
        <v>1421</v>
      </c>
      <c r="B1519" s="2" t="s">
        <v>3764</v>
      </c>
      <c r="D1519" s="1"/>
      <c r="E1519" s="1"/>
      <c r="F1519" s="1"/>
      <c r="G1519" s="1"/>
      <c r="H1519" s="1"/>
      <c r="L1519" s="1"/>
      <c r="M1519" s="1"/>
      <c r="N1519" s="1" t="s">
        <v>1529</v>
      </c>
      <c r="O1519" s="1" t="s">
        <v>3805</v>
      </c>
      <c r="P1519" s="1"/>
    </row>
    <row r="1520" spans="1:16" ht="15" customHeight="1" x14ac:dyDescent="0.25">
      <c r="A1520" s="1" t="s">
        <v>1421</v>
      </c>
      <c r="B1520" s="2" t="s">
        <v>3764</v>
      </c>
      <c r="D1520" s="1"/>
      <c r="E1520" s="1"/>
      <c r="F1520" s="1"/>
      <c r="G1520" s="1"/>
      <c r="H1520" s="1"/>
      <c r="L1520" s="1"/>
      <c r="M1520" s="1"/>
      <c r="N1520" s="1" t="s">
        <v>1529</v>
      </c>
      <c r="O1520" s="1" t="s">
        <v>3806</v>
      </c>
      <c r="P1520" s="1"/>
    </row>
    <row r="1521" spans="1:16" ht="15" customHeight="1" x14ac:dyDescent="0.25">
      <c r="A1521" s="1" t="s">
        <v>1421</v>
      </c>
      <c r="B1521" s="2" t="s">
        <v>3764</v>
      </c>
      <c r="D1521" s="1"/>
      <c r="E1521" s="1"/>
      <c r="F1521" s="1"/>
      <c r="G1521" s="1"/>
      <c r="H1521" s="1"/>
      <c r="L1521" s="1"/>
      <c r="M1521" s="1"/>
      <c r="N1521" s="1" t="s">
        <v>1529</v>
      </c>
      <c r="O1521" s="1" t="s">
        <v>3806</v>
      </c>
      <c r="P1521" s="1"/>
    </row>
    <row r="1522" spans="1:16" ht="15" customHeight="1" x14ac:dyDescent="0.25">
      <c r="A1522" s="1" t="s">
        <v>1421</v>
      </c>
      <c r="B1522" s="2" t="s">
        <v>3764</v>
      </c>
      <c r="D1522" s="1"/>
      <c r="E1522" s="1"/>
      <c r="F1522" s="1"/>
      <c r="G1522" s="1"/>
      <c r="H1522" s="1"/>
      <c r="L1522" s="1"/>
      <c r="M1522" s="1"/>
      <c r="N1522" s="1" t="s">
        <v>1529</v>
      </c>
      <c r="O1522" s="1" t="s">
        <v>3806</v>
      </c>
      <c r="P1522" s="1"/>
    </row>
    <row r="1523" spans="1:16" ht="15" customHeight="1" x14ac:dyDescent="0.25">
      <c r="A1523" s="1" t="s">
        <v>1421</v>
      </c>
      <c r="B1523" s="2" t="s">
        <v>3764</v>
      </c>
      <c r="D1523" s="1"/>
      <c r="E1523" s="1"/>
      <c r="F1523" s="1"/>
      <c r="G1523" s="1"/>
      <c r="H1523" s="1"/>
      <c r="L1523" s="1"/>
      <c r="M1523" s="1"/>
      <c r="N1523" s="1" t="s">
        <v>1529</v>
      </c>
      <c r="O1523" s="1" t="s">
        <v>3806</v>
      </c>
      <c r="P1523" s="1"/>
    </row>
    <row r="1524" spans="1:16" ht="15" customHeight="1" x14ac:dyDescent="0.25">
      <c r="A1524" s="1" t="s">
        <v>1421</v>
      </c>
      <c r="B1524" s="2" t="s">
        <v>3764</v>
      </c>
      <c r="D1524" s="1"/>
      <c r="E1524" s="1"/>
      <c r="F1524" s="1"/>
      <c r="G1524" s="1"/>
      <c r="H1524" s="1"/>
      <c r="L1524" s="1"/>
      <c r="M1524" s="1"/>
      <c r="N1524" s="1" t="s">
        <v>1529</v>
      </c>
      <c r="O1524" s="1" t="s">
        <v>3806</v>
      </c>
      <c r="P1524" s="1"/>
    </row>
    <row r="1525" spans="1:16" ht="15" customHeight="1" x14ac:dyDescent="0.25">
      <c r="A1525" s="1" t="s">
        <v>1421</v>
      </c>
      <c r="B1525" s="2" t="s">
        <v>3764</v>
      </c>
      <c r="D1525" s="1"/>
      <c r="E1525" s="1"/>
      <c r="F1525" s="1"/>
      <c r="G1525" s="1"/>
      <c r="H1525" s="1"/>
      <c r="L1525" s="1"/>
      <c r="M1525" s="1"/>
      <c r="N1525" s="1" t="s">
        <v>1529</v>
      </c>
      <c r="O1525" s="1" t="s">
        <v>3806</v>
      </c>
      <c r="P1525" s="1"/>
    </row>
    <row r="1526" spans="1:16" ht="15" customHeight="1" x14ac:dyDescent="0.25">
      <c r="A1526" s="1" t="s">
        <v>1421</v>
      </c>
      <c r="B1526" s="2" t="s">
        <v>3764</v>
      </c>
      <c r="D1526" s="1"/>
      <c r="E1526" s="1"/>
      <c r="F1526" s="1"/>
      <c r="G1526" s="1"/>
      <c r="H1526" s="1"/>
      <c r="L1526" s="1"/>
      <c r="M1526" s="1"/>
      <c r="N1526" s="1" t="s">
        <v>1529</v>
      </c>
      <c r="O1526" s="1" t="s">
        <v>3806</v>
      </c>
      <c r="P1526" s="1"/>
    </row>
    <row r="1527" spans="1:16" ht="15" customHeight="1" x14ac:dyDescent="0.25">
      <c r="A1527" s="1" t="s">
        <v>1421</v>
      </c>
      <c r="B1527" s="2" t="s">
        <v>3764</v>
      </c>
      <c r="D1527" s="1"/>
      <c r="E1527" s="1"/>
      <c r="F1527" s="1"/>
      <c r="G1527" s="1"/>
      <c r="H1527" s="1"/>
      <c r="L1527" s="1"/>
      <c r="M1527" s="1"/>
      <c r="N1527" s="1" t="s">
        <v>1529</v>
      </c>
      <c r="O1527" s="1" t="s">
        <v>3806</v>
      </c>
      <c r="P1527" s="1"/>
    </row>
    <row r="1528" spans="1:16" ht="15" customHeight="1" x14ac:dyDescent="0.25">
      <c r="A1528" s="1" t="s">
        <v>1422</v>
      </c>
      <c r="B1528" s="2" t="s">
        <v>3807</v>
      </c>
      <c r="C1528" t="b">
        <v>0</v>
      </c>
      <c r="D1528" s="1" t="s">
        <v>1207</v>
      </c>
      <c r="E1528" s="1" t="s">
        <v>3488</v>
      </c>
      <c r="F1528" s="1" t="s">
        <v>3045</v>
      </c>
      <c r="G1528" s="1" t="s">
        <v>3064</v>
      </c>
      <c r="H1528" s="1" t="s">
        <v>5</v>
      </c>
      <c r="I1528">
        <v>10</v>
      </c>
      <c r="L1528" s="1"/>
      <c r="M1528" s="1"/>
      <c r="N1528" s="1"/>
      <c r="O1528" s="1"/>
      <c r="P1528" s="1"/>
    </row>
    <row r="1529" spans="1:16" ht="15" customHeight="1" x14ac:dyDescent="0.25">
      <c r="A1529" s="1" t="s">
        <v>1422</v>
      </c>
      <c r="B1529" s="2" t="s">
        <v>3807</v>
      </c>
      <c r="C1529" t="b">
        <v>1</v>
      </c>
      <c r="D1529" s="1" t="s">
        <v>1454</v>
      </c>
      <c r="E1529" s="1" t="s">
        <v>3489</v>
      </c>
      <c r="F1529" s="1" t="s">
        <v>3516</v>
      </c>
      <c r="G1529" s="1" t="s">
        <v>3529</v>
      </c>
      <c r="H1529" s="1" t="s">
        <v>5</v>
      </c>
      <c r="I1529">
        <v>4</v>
      </c>
      <c r="L1529" s="1"/>
      <c r="M1529" s="1"/>
      <c r="N1529" s="1"/>
      <c r="O1529" s="1"/>
      <c r="P1529" s="1"/>
    </row>
    <row r="1530" spans="1:16" ht="15" customHeight="1" x14ac:dyDescent="0.25">
      <c r="A1530" s="1" t="s">
        <v>1422</v>
      </c>
      <c r="B1530" s="2" t="s">
        <v>3807</v>
      </c>
      <c r="C1530" t="b">
        <v>1</v>
      </c>
      <c r="D1530" s="1" t="s">
        <v>1390</v>
      </c>
      <c r="E1530" s="1" t="s">
        <v>3490</v>
      </c>
      <c r="F1530" s="1" t="s">
        <v>2704</v>
      </c>
      <c r="G1530" s="1" t="s">
        <v>1390</v>
      </c>
      <c r="H1530" s="1" t="s">
        <v>5</v>
      </c>
      <c r="I1530">
        <v>35</v>
      </c>
      <c r="L1530" s="1"/>
      <c r="M1530" s="1"/>
      <c r="N1530" s="1"/>
      <c r="O1530" s="1"/>
      <c r="P1530" s="1"/>
    </row>
    <row r="1531" spans="1:16" ht="15" customHeight="1" x14ac:dyDescent="0.25">
      <c r="A1531" s="1" t="s">
        <v>1422</v>
      </c>
      <c r="B1531" s="2" t="s">
        <v>3807</v>
      </c>
      <c r="C1531" t="b">
        <v>1</v>
      </c>
      <c r="D1531" s="1" t="s">
        <v>1203</v>
      </c>
      <c r="E1531" s="1" t="s">
        <v>3491</v>
      </c>
      <c r="F1531" s="1" t="s">
        <v>2705</v>
      </c>
      <c r="G1531" s="1" t="s">
        <v>1203</v>
      </c>
      <c r="H1531" s="1" t="s">
        <v>5</v>
      </c>
      <c r="I1531">
        <v>35</v>
      </c>
      <c r="L1531" s="1"/>
      <c r="M1531" s="1"/>
      <c r="N1531" s="1"/>
      <c r="O1531" s="1"/>
      <c r="P1531" s="1"/>
    </row>
    <row r="1532" spans="1:16" ht="15" customHeight="1" x14ac:dyDescent="0.25">
      <c r="A1532" s="1" t="s">
        <v>1422</v>
      </c>
      <c r="B1532" s="2" t="s">
        <v>3807</v>
      </c>
      <c r="C1532" t="b">
        <v>0</v>
      </c>
      <c r="D1532" s="1" t="s">
        <v>3808</v>
      </c>
      <c r="E1532" s="1" t="s">
        <v>3810</v>
      </c>
      <c r="F1532" s="1" t="s">
        <v>3814</v>
      </c>
      <c r="G1532" s="1" t="s">
        <v>3808</v>
      </c>
      <c r="H1532" s="1" t="s">
        <v>5</v>
      </c>
      <c r="I1532">
        <v>4</v>
      </c>
      <c r="L1532" s="1"/>
      <c r="M1532" s="1"/>
      <c r="N1532" s="1"/>
      <c r="O1532" s="1"/>
      <c r="P1532" s="1"/>
    </row>
    <row r="1533" spans="1:16" ht="15" customHeight="1" x14ac:dyDescent="0.25">
      <c r="A1533" s="1" t="s">
        <v>1422</v>
      </c>
      <c r="B1533" s="2" t="s">
        <v>3807</v>
      </c>
      <c r="C1533" t="b">
        <v>1</v>
      </c>
      <c r="D1533" s="1" t="s">
        <v>3809</v>
      </c>
      <c r="E1533" s="1" t="s">
        <v>3811</v>
      </c>
      <c r="F1533" s="1" t="s">
        <v>3815</v>
      </c>
      <c r="G1533" s="1" t="s">
        <v>3816</v>
      </c>
      <c r="H1533" s="1" t="s">
        <v>5</v>
      </c>
      <c r="I1533">
        <v>20</v>
      </c>
      <c r="L1533" s="1"/>
      <c r="M1533" s="1"/>
      <c r="N1533" s="1"/>
      <c r="O1533" s="1"/>
      <c r="P1533" s="1"/>
    </row>
    <row r="1534" spans="1:16" ht="15" customHeight="1" x14ac:dyDescent="0.25">
      <c r="A1534" s="1" t="s">
        <v>1422</v>
      </c>
      <c r="B1534" s="2" t="s">
        <v>3807</v>
      </c>
      <c r="C1534" t="b">
        <v>0</v>
      </c>
      <c r="D1534" s="1" t="s">
        <v>1231</v>
      </c>
      <c r="E1534" s="1" t="s">
        <v>3812</v>
      </c>
      <c r="F1534" s="1" t="s">
        <v>3353</v>
      </c>
      <c r="G1534" s="1" t="s">
        <v>1231</v>
      </c>
      <c r="H1534" s="1" t="s">
        <v>5</v>
      </c>
      <c r="I1534">
        <v>2</v>
      </c>
      <c r="L1534" s="1"/>
      <c r="M1534" s="1"/>
      <c r="N1534" s="1"/>
      <c r="O1534" s="1"/>
      <c r="P1534" s="1"/>
    </row>
    <row r="1535" spans="1:16" ht="15" customHeight="1" x14ac:dyDescent="0.25">
      <c r="A1535" s="1" t="s">
        <v>1422</v>
      </c>
      <c r="B1535" s="2" t="s">
        <v>3807</v>
      </c>
      <c r="C1535" t="b">
        <v>0</v>
      </c>
      <c r="D1535" s="1" t="s">
        <v>2981</v>
      </c>
      <c r="E1535" s="1" t="s">
        <v>3350</v>
      </c>
      <c r="F1535" s="1" t="s">
        <v>2995</v>
      </c>
      <c r="G1535" s="1" t="s">
        <v>2981</v>
      </c>
      <c r="H1535" s="1" t="s">
        <v>5</v>
      </c>
      <c r="I1535">
        <v>20</v>
      </c>
      <c r="L1535" s="1"/>
      <c r="M1535" s="1"/>
      <c r="N1535" s="1"/>
      <c r="O1535" s="1"/>
      <c r="P1535" s="1"/>
    </row>
    <row r="1536" spans="1:16" ht="15" customHeight="1" x14ac:dyDescent="0.25">
      <c r="A1536" s="1" t="s">
        <v>1422</v>
      </c>
      <c r="B1536" s="2" t="s">
        <v>3807</v>
      </c>
      <c r="C1536" t="b">
        <v>1</v>
      </c>
      <c r="D1536" s="1" t="s">
        <v>3357</v>
      </c>
      <c r="E1536" s="1" t="s">
        <v>3813</v>
      </c>
      <c r="F1536" s="1" t="s">
        <v>3355</v>
      </c>
      <c r="G1536" s="1" t="s">
        <v>3357</v>
      </c>
      <c r="H1536" s="1" t="s">
        <v>5</v>
      </c>
      <c r="I1536">
        <v>1</v>
      </c>
      <c r="L1536" s="1"/>
      <c r="M1536" s="1"/>
      <c r="N1536" s="1"/>
      <c r="O1536" s="1"/>
      <c r="P1536" s="1"/>
    </row>
    <row r="1537" spans="1:16" ht="15" customHeight="1" x14ac:dyDescent="0.25">
      <c r="A1537" s="1" t="s">
        <v>1422</v>
      </c>
      <c r="B1537" s="2" t="s">
        <v>3807</v>
      </c>
      <c r="D1537" s="1"/>
      <c r="E1537" s="1"/>
      <c r="F1537" s="1"/>
      <c r="G1537" s="1"/>
      <c r="H1537" s="1"/>
      <c r="L1537" s="1" t="s">
        <v>1524</v>
      </c>
      <c r="M1537" s="1" t="s">
        <v>3358</v>
      </c>
      <c r="N1537" s="1"/>
      <c r="O1537" s="1"/>
      <c r="P1537" s="1"/>
    </row>
    <row r="1538" spans="1:16" ht="15" customHeight="1" x14ac:dyDescent="0.25">
      <c r="A1538" s="1" t="s">
        <v>1422</v>
      </c>
      <c r="B1538" s="2" t="s">
        <v>3807</v>
      </c>
      <c r="D1538" s="1"/>
      <c r="E1538" s="1"/>
      <c r="F1538" s="1"/>
      <c r="G1538" s="1"/>
      <c r="H1538" s="1"/>
      <c r="L1538" s="1" t="s">
        <v>1524</v>
      </c>
      <c r="M1538" s="1" t="s">
        <v>3817</v>
      </c>
      <c r="N1538" s="1"/>
      <c r="O1538" s="1"/>
      <c r="P1538" s="1"/>
    </row>
    <row r="1539" spans="1:16" ht="15" customHeight="1" x14ac:dyDescent="0.25">
      <c r="A1539" s="1" t="s">
        <v>1422</v>
      </c>
      <c r="B1539" s="2" t="s">
        <v>3807</v>
      </c>
      <c r="D1539" s="1"/>
      <c r="E1539" s="1"/>
      <c r="F1539" s="1"/>
      <c r="G1539" s="1"/>
      <c r="H1539" s="1"/>
      <c r="L1539" s="1" t="s">
        <v>1524</v>
      </c>
      <c r="M1539" s="1" t="s">
        <v>3818</v>
      </c>
      <c r="N1539" s="1"/>
      <c r="O1539" s="1"/>
      <c r="P1539" s="1"/>
    </row>
    <row r="1540" spans="1:16" ht="15" customHeight="1" x14ac:dyDescent="0.25">
      <c r="A1540" s="1" t="s">
        <v>1422</v>
      </c>
      <c r="B1540" s="2" t="s">
        <v>3807</v>
      </c>
      <c r="D1540" s="1"/>
      <c r="E1540" s="1"/>
      <c r="F1540" s="1"/>
      <c r="G1540" s="1"/>
      <c r="H1540" s="1"/>
      <c r="L1540" s="1" t="s">
        <v>1524</v>
      </c>
      <c r="M1540" s="1" t="s">
        <v>3542</v>
      </c>
      <c r="N1540" s="1"/>
      <c r="O1540" s="1"/>
      <c r="P1540" s="1"/>
    </row>
    <row r="1541" spans="1:16" ht="15" customHeight="1" x14ac:dyDescent="0.25">
      <c r="A1541" s="1" t="s">
        <v>1422</v>
      </c>
      <c r="B1541" s="2" t="s">
        <v>3807</v>
      </c>
      <c r="D1541" s="1"/>
      <c r="E1541" s="1"/>
      <c r="F1541" s="1"/>
      <c r="G1541" s="1"/>
      <c r="H1541" s="1"/>
      <c r="L1541" s="1" t="s">
        <v>1524</v>
      </c>
      <c r="M1541" s="1" t="s">
        <v>3819</v>
      </c>
      <c r="N1541" s="1"/>
      <c r="O1541" s="1"/>
      <c r="P1541" s="1"/>
    </row>
    <row r="1542" spans="1:16" ht="15" customHeight="1" x14ac:dyDescent="0.25">
      <c r="A1542" s="1" t="s">
        <v>1422</v>
      </c>
      <c r="B1542" s="2" t="s">
        <v>3807</v>
      </c>
      <c r="D1542" s="1"/>
      <c r="E1542" s="1"/>
      <c r="F1542" s="1"/>
      <c r="G1542" s="1"/>
      <c r="H1542" s="1"/>
      <c r="L1542" s="1"/>
      <c r="M1542" s="1"/>
      <c r="N1542" s="1" t="s">
        <v>1529</v>
      </c>
      <c r="O1542" s="1" t="s">
        <v>3820</v>
      </c>
      <c r="P1542" s="1"/>
    </row>
    <row r="1543" spans="1:16" ht="15" customHeight="1" x14ac:dyDescent="0.25">
      <c r="A1543" s="1" t="s">
        <v>1422</v>
      </c>
      <c r="B1543" s="2" t="s">
        <v>3807</v>
      </c>
      <c r="D1543" s="1"/>
      <c r="E1543" s="1"/>
      <c r="F1543" s="1"/>
      <c r="G1543" s="1"/>
      <c r="H1543" s="1"/>
      <c r="L1543" s="1"/>
      <c r="M1543" s="1"/>
      <c r="N1543" s="1" t="s">
        <v>1529</v>
      </c>
      <c r="O1543" s="1" t="s">
        <v>3820</v>
      </c>
      <c r="P1543" s="1"/>
    </row>
    <row r="1544" spans="1:16" ht="15" customHeight="1" x14ac:dyDescent="0.25">
      <c r="A1544" s="1" t="s">
        <v>1422</v>
      </c>
      <c r="B1544" s="2" t="s">
        <v>3807</v>
      </c>
      <c r="D1544" s="1"/>
      <c r="E1544" s="1"/>
      <c r="F1544" s="1"/>
      <c r="G1544" s="1"/>
      <c r="H1544" s="1"/>
      <c r="L1544" s="1"/>
      <c r="M1544" s="1"/>
      <c r="N1544" s="1" t="s">
        <v>1529</v>
      </c>
      <c r="O1544" s="1" t="s">
        <v>3820</v>
      </c>
      <c r="P1544" s="1"/>
    </row>
    <row r="1545" spans="1:16" ht="15" customHeight="1" x14ac:dyDescent="0.25">
      <c r="A1545" s="1" t="s">
        <v>1422</v>
      </c>
      <c r="B1545" s="2" t="s">
        <v>3807</v>
      </c>
      <c r="D1545" s="1"/>
      <c r="E1545" s="1"/>
      <c r="F1545" s="1"/>
      <c r="G1545" s="1"/>
      <c r="H1545" s="1"/>
      <c r="L1545" s="1"/>
      <c r="M1545" s="1"/>
      <c r="N1545" s="1" t="s">
        <v>1529</v>
      </c>
      <c r="O1545" s="1" t="s">
        <v>3820</v>
      </c>
      <c r="P1545" s="1"/>
    </row>
    <row r="1546" spans="1:16" ht="15" customHeight="1" x14ac:dyDescent="0.25">
      <c r="A1546" s="1" t="s">
        <v>1422</v>
      </c>
      <c r="B1546" s="2" t="s">
        <v>3807</v>
      </c>
      <c r="D1546" s="1"/>
      <c r="E1546" s="1"/>
      <c r="F1546" s="1"/>
      <c r="G1546" s="1"/>
      <c r="H1546" s="1"/>
      <c r="L1546" s="1"/>
      <c r="M1546" s="1"/>
      <c r="N1546" s="1" t="s">
        <v>1529</v>
      </c>
      <c r="O1546" s="1" t="s">
        <v>3821</v>
      </c>
      <c r="P1546" s="1"/>
    </row>
    <row r="1547" spans="1:16" ht="15" customHeight="1" x14ac:dyDescent="0.25">
      <c r="A1547" s="1" t="s">
        <v>1422</v>
      </c>
      <c r="B1547" s="2" t="s">
        <v>3807</v>
      </c>
      <c r="D1547" s="1"/>
      <c r="E1547" s="1"/>
      <c r="F1547" s="1"/>
      <c r="G1547" s="1"/>
      <c r="H1547" s="1"/>
      <c r="L1547" s="1"/>
      <c r="M1547" s="1"/>
      <c r="N1547" s="1" t="s">
        <v>1529</v>
      </c>
      <c r="O1547" s="1" t="s">
        <v>3821</v>
      </c>
      <c r="P1547" s="1"/>
    </row>
    <row r="1548" spans="1:16" ht="15" customHeight="1" x14ac:dyDescent="0.25">
      <c r="A1548" s="1" t="s">
        <v>1422</v>
      </c>
      <c r="B1548" s="2" t="s">
        <v>3807</v>
      </c>
      <c r="D1548" s="1"/>
      <c r="E1548" s="1"/>
      <c r="F1548" s="1"/>
      <c r="G1548" s="1"/>
      <c r="H1548" s="1"/>
      <c r="L1548" s="1"/>
      <c r="M1548" s="1"/>
      <c r="N1548" s="1" t="s">
        <v>1529</v>
      </c>
      <c r="O1548" s="1" t="s">
        <v>3821</v>
      </c>
      <c r="P1548" s="1"/>
    </row>
    <row r="1549" spans="1:16" ht="15" customHeight="1" x14ac:dyDescent="0.25">
      <c r="A1549" s="1" t="s">
        <v>1422</v>
      </c>
      <c r="B1549" s="2" t="s">
        <v>3807</v>
      </c>
      <c r="D1549" s="1"/>
      <c r="E1549" s="1"/>
      <c r="F1549" s="1"/>
      <c r="G1549" s="1"/>
      <c r="H1549" s="1"/>
      <c r="L1549" s="1"/>
      <c r="M1549" s="1"/>
      <c r="N1549" s="1" t="s">
        <v>1529</v>
      </c>
      <c r="O1549" s="1" t="s">
        <v>3821</v>
      </c>
      <c r="P1549" s="1"/>
    </row>
    <row r="1550" spans="1:16" ht="15" customHeight="1" x14ac:dyDescent="0.25">
      <c r="A1550" s="1" t="s">
        <v>1422</v>
      </c>
      <c r="B1550" s="2" t="s">
        <v>3807</v>
      </c>
      <c r="D1550" s="1"/>
      <c r="E1550" s="1"/>
      <c r="F1550" s="1"/>
      <c r="G1550" s="1"/>
      <c r="H1550" s="1"/>
      <c r="L1550" s="1"/>
      <c r="M1550" s="1"/>
      <c r="N1550" s="1" t="s">
        <v>1529</v>
      </c>
      <c r="O1550" s="1" t="s">
        <v>3821</v>
      </c>
      <c r="P1550" s="1"/>
    </row>
    <row r="1551" spans="1:16" ht="15" customHeight="1" x14ac:dyDescent="0.25">
      <c r="A1551" s="1" t="s">
        <v>1422</v>
      </c>
      <c r="B1551" s="2" t="s">
        <v>3807</v>
      </c>
      <c r="D1551" s="1"/>
      <c r="E1551" s="1"/>
      <c r="F1551" s="1"/>
      <c r="G1551" s="1"/>
      <c r="H1551" s="1"/>
      <c r="L1551" s="1"/>
      <c r="M1551" s="1"/>
      <c r="N1551" s="1" t="s">
        <v>1529</v>
      </c>
      <c r="O1551" s="1" t="s">
        <v>3822</v>
      </c>
      <c r="P1551" s="1"/>
    </row>
    <row r="1552" spans="1:16" ht="15" customHeight="1" x14ac:dyDescent="0.25">
      <c r="A1552" s="1" t="s">
        <v>1422</v>
      </c>
      <c r="B1552" s="2" t="s">
        <v>3807</v>
      </c>
      <c r="D1552" s="1"/>
      <c r="E1552" s="1"/>
      <c r="F1552" s="1"/>
      <c r="G1552" s="1"/>
      <c r="H1552" s="1"/>
      <c r="L1552" s="1"/>
      <c r="M1552" s="1"/>
      <c r="N1552" s="1" t="s">
        <v>1529</v>
      </c>
      <c r="O1552" s="1" t="s">
        <v>3822</v>
      </c>
      <c r="P1552" s="1"/>
    </row>
    <row r="1553" spans="1:16" ht="15" customHeight="1" x14ac:dyDescent="0.25">
      <c r="A1553" s="1" t="s">
        <v>1422</v>
      </c>
      <c r="B1553" s="2" t="s">
        <v>3807</v>
      </c>
      <c r="D1553" s="1"/>
      <c r="E1553" s="1"/>
      <c r="F1553" s="1"/>
      <c r="G1553" s="1"/>
      <c r="H1553" s="1"/>
      <c r="L1553" s="1"/>
      <c r="M1553" s="1"/>
      <c r="N1553" s="1" t="s">
        <v>1529</v>
      </c>
      <c r="O1553" s="1" t="s">
        <v>3822</v>
      </c>
      <c r="P1553" s="1"/>
    </row>
    <row r="1554" spans="1:16" ht="15" customHeight="1" x14ac:dyDescent="0.25">
      <c r="A1554" s="1" t="s">
        <v>1422</v>
      </c>
      <c r="B1554" s="2" t="s">
        <v>3807</v>
      </c>
      <c r="D1554" s="1"/>
      <c r="E1554" s="1"/>
      <c r="F1554" s="1"/>
      <c r="G1554" s="1"/>
      <c r="H1554" s="1"/>
      <c r="L1554" s="1"/>
      <c r="M1554" s="1"/>
      <c r="N1554" s="1" t="s">
        <v>1529</v>
      </c>
      <c r="O1554" s="1" t="s">
        <v>3822</v>
      </c>
      <c r="P1554" s="1"/>
    </row>
    <row r="1555" spans="1:16" ht="15" customHeight="1" x14ac:dyDescent="0.25">
      <c r="A1555" s="1" t="s">
        <v>1422</v>
      </c>
      <c r="B1555" s="2" t="s">
        <v>3807</v>
      </c>
      <c r="D1555" s="1"/>
      <c r="E1555" s="1"/>
      <c r="F1555" s="1"/>
      <c r="G1555" s="1"/>
      <c r="H1555" s="1"/>
      <c r="L1555" s="1"/>
      <c r="M1555" s="1"/>
      <c r="N1555" s="1" t="s">
        <v>1529</v>
      </c>
      <c r="O1555" s="1" t="s">
        <v>3823</v>
      </c>
      <c r="P1555" s="1"/>
    </row>
    <row r="1556" spans="1:16" ht="15" customHeight="1" x14ac:dyDescent="0.25">
      <c r="A1556" s="1" t="s">
        <v>1422</v>
      </c>
      <c r="B1556" s="2" t="s">
        <v>3807</v>
      </c>
      <c r="D1556" s="1"/>
      <c r="E1556" s="1"/>
      <c r="F1556" s="1"/>
      <c r="G1556" s="1"/>
      <c r="H1556" s="1"/>
      <c r="L1556" s="1"/>
      <c r="M1556" s="1"/>
      <c r="N1556" s="1" t="s">
        <v>1529</v>
      </c>
      <c r="O1556" s="1" t="s">
        <v>3823</v>
      </c>
      <c r="P1556" s="1"/>
    </row>
    <row r="1557" spans="1:16" ht="15" customHeight="1" x14ac:dyDescent="0.25">
      <c r="A1557" s="1" t="s">
        <v>1422</v>
      </c>
      <c r="B1557" s="2" t="s">
        <v>3807</v>
      </c>
      <c r="D1557" s="1"/>
      <c r="E1557" s="1"/>
      <c r="F1557" s="1"/>
      <c r="G1557" s="1"/>
      <c r="H1557" s="1"/>
      <c r="L1557" s="1"/>
      <c r="M1557" s="1"/>
      <c r="N1557" s="1" t="s">
        <v>1529</v>
      </c>
      <c r="O1557" s="1" t="s">
        <v>3823</v>
      </c>
      <c r="P1557" s="1"/>
    </row>
    <row r="1558" spans="1:16" ht="15" customHeight="1" x14ac:dyDescent="0.25">
      <c r="A1558" s="1" t="s">
        <v>1435</v>
      </c>
      <c r="B1558" s="2" t="s">
        <v>3824</v>
      </c>
      <c r="C1558" t="b">
        <v>0</v>
      </c>
      <c r="D1558" s="1" t="s">
        <v>1207</v>
      </c>
      <c r="E1558" s="1" t="s">
        <v>3488</v>
      </c>
      <c r="F1558" s="1" t="s">
        <v>3045</v>
      </c>
      <c r="G1558" s="1" t="s">
        <v>3064</v>
      </c>
      <c r="H1558" s="1" t="s">
        <v>5</v>
      </c>
      <c r="I1558">
        <v>10</v>
      </c>
      <c r="L1558" s="1"/>
      <c r="M1558" s="1"/>
      <c r="N1558" s="1"/>
      <c r="O1558" s="1"/>
      <c r="P1558" s="1"/>
    </row>
    <row r="1559" spans="1:16" ht="15" customHeight="1" x14ac:dyDescent="0.25">
      <c r="A1559" s="1" t="s">
        <v>1435</v>
      </c>
      <c r="B1559" s="2" t="s">
        <v>3824</v>
      </c>
      <c r="C1559" t="b">
        <v>1</v>
      </c>
      <c r="D1559" s="1" t="s">
        <v>1397</v>
      </c>
      <c r="E1559" s="1" t="s">
        <v>3489</v>
      </c>
      <c r="F1559" s="1" t="s">
        <v>3516</v>
      </c>
      <c r="G1559" s="1" t="s">
        <v>3529</v>
      </c>
      <c r="H1559" s="1" t="s">
        <v>5</v>
      </c>
      <c r="I1559">
        <v>4</v>
      </c>
      <c r="L1559" s="1"/>
      <c r="M1559" s="1"/>
      <c r="N1559" s="1"/>
      <c r="O1559" s="1"/>
      <c r="P1559" s="1"/>
    </row>
    <row r="1560" spans="1:16" ht="15" customHeight="1" x14ac:dyDescent="0.25">
      <c r="A1560" s="1" t="s">
        <v>1435</v>
      </c>
      <c r="B1560" s="2" t="s">
        <v>3824</v>
      </c>
      <c r="C1560" t="b">
        <v>1</v>
      </c>
      <c r="D1560" s="1" t="s">
        <v>1390</v>
      </c>
      <c r="E1560" s="1" t="s">
        <v>3490</v>
      </c>
      <c r="F1560" s="1" t="s">
        <v>2704</v>
      </c>
      <c r="G1560" s="1" t="s">
        <v>1390</v>
      </c>
      <c r="H1560" s="1" t="s">
        <v>5</v>
      </c>
      <c r="I1560">
        <v>35</v>
      </c>
      <c r="L1560" s="1"/>
      <c r="M1560" s="1"/>
      <c r="N1560" s="1"/>
      <c r="O1560" s="1"/>
      <c r="P1560" s="1"/>
    </row>
    <row r="1561" spans="1:16" ht="15" customHeight="1" x14ac:dyDescent="0.25">
      <c r="A1561" s="1" t="s">
        <v>1435</v>
      </c>
      <c r="B1561" s="2" t="s">
        <v>3824</v>
      </c>
      <c r="C1561" t="b">
        <v>1</v>
      </c>
      <c r="D1561" s="1" t="s">
        <v>1203</v>
      </c>
      <c r="E1561" s="1" t="s">
        <v>3491</v>
      </c>
      <c r="F1561" s="1" t="s">
        <v>2705</v>
      </c>
      <c r="G1561" s="1" t="s">
        <v>1203</v>
      </c>
      <c r="H1561" s="1" t="s">
        <v>5</v>
      </c>
      <c r="I1561">
        <v>35</v>
      </c>
      <c r="L1561" s="1"/>
      <c r="M1561" s="1"/>
      <c r="N1561" s="1"/>
      <c r="O1561" s="1"/>
      <c r="P1561" s="1"/>
    </row>
    <row r="1562" spans="1:16" ht="15" customHeight="1" x14ac:dyDescent="0.25">
      <c r="A1562" s="1" t="s">
        <v>1435</v>
      </c>
      <c r="B1562" s="2" t="s">
        <v>3824</v>
      </c>
      <c r="C1562" t="b">
        <v>0</v>
      </c>
      <c r="D1562" s="1" t="s">
        <v>3808</v>
      </c>
      <c r="E1562" s="1" t="s">
        <v>3810</v>
      </c>
      <c r="F1562" s="1" t="s">
        <v>3814</v>
      </c>
      <c r="G1562" s="1" t="s">
        <v>3808</v>
      </c>
      <c r="H1562" s="1" t="s">
        <v>5</v>
      </c>
      <c r="I1562">
        <v>4</v>
      </c>
      <c r="L1562" s="1"/>
      <c r="M1562" s="1"/>
      <c r="N1562" s="1"/>
      <c r="O1562" s="1"/>
      <c r="P1562" s="1"/>
    </row>
    <row r="1563" spans="1:16" ht="15" customHeight="1" x14ac:dyDescent="0.25">
      <c r="A1563" s="1" t="s">
        <v>1435</v>
      </c>
      <c r="B1563" s="2" t="s">
        <v>3824</v>
      </c>
      <c r="C1563" t="b">
        <v>1</v>
      </c>
      <c r="D1563" s="1" t="s">
        <v>3825</v>
      </c>
      <c r="E1563" s="1" t="s">
        <v>3811</v>
      </c>
      <c r="F1563" s="1" t="s">
        <v>3815</v>
      </c>
      <c r="G1563" s="1" t="s">
        <v>3816</v>
      </c>
      <c r="H1563" s="1" t="s">
        <v>5</v>
      </c>
      <c r="I1563">
        <v>20</v>
      </c>
      <c r="L1563" s="1"/>
      <c r="M1563" s="1"/>
      <c r="N1563" s="1"/>
      <c r="O1563" s="1"/>
      <c r="P1563" s="1"/>
    </row>
    <row r="1564" spans="1:16" ht="15" customHeight="1" x14ac:dyDescent="0.25">
      <c r="A1564" s="1" t="s">
        <v>1435</v>
      </c>
      <c r="B1564" s="2" t="s">
        <v>3824</v>
      </c>
      <c r="C1564" t="b">
        <v>1</v>
      </c>
      <c r="D1564" s="1" t="s">
        <v>1424</v>
      </c>
      <c r="E1564" s="1" t="s">
        <v>3849</v>
      </c>
      <c r="F1564" s="1" t="s">
        <v>2850</v>
      </c>
      <c r="G1564" s="1" t="s">
        <v>3917</v>
      </c>
      <c r="H1564" s="1" t="s">
        <v>5</v>
      </c>
      <c r="I1564">
        <v>5</v>
      </c>
      <c r="L1564" s="1"/>
      <c r="M1564" s="1"/>
      <c r="N1564" s="1"/>
      <c r="O1564" s="1"/>
      <c r="P1564" s="1"/>
    </row>
    <row r="1565" spans="1:16" ht="15" customHeight="1" x14ac:dyDescent="0.25">
      <c r="A1565" s="1" t="s">
        <v>1435</v>
      </c>
      <c r="B1565" s="2" t="s">
        <v>3824</v>
      </c>
      <c r="C1565" t="b">
        <v>1</v>
      </c>
      <c r="D1565" s="1" t="s">
        <v>1189</v>
      </c>
      <c r="E1565" s="1" t="s">
        <v>3850</v>
      </c>
      <c r="F1565" s="1" t="s">
        <v>2888</v>
      </c>
      <c r="G1565" s="1" t="s">
        <v>2907</v>
      </c>
      <c r="H1565" s="1" t="s">
        <v>5</v>
      </c>
      <c r="I1565">
        <v>4</v>
      </c>
      <c r="L1565" s="1"/>
      <c r="M1565" s="1"/>
      <c r="N1565" s="1"/>
      <c r="O1565" s="1"/>
      <c r="P1565" s="1"/>
    </row>
    <row r="1566" spans="1:16" ht="15" customHeight="1" x14ac:dyDescent="0.25">
      <c r="A1566" s="1" t="s">
        <v>1435</v>
      </c>
      <c r="B1566" s="2" t="s">
        <v>3824</v>
      </c>
      <c r="C1566" t="b">
        <v>1</v>
      </c>
      <c r="D1566" s="1" t="s">
        <v>1425</v>
      </c>
      <c r="E1566" s="1" t="s">
        <v>3851</v>
      </c>
      <c r="F1566" s="1" t="s">
        <v>3299</v>
      </c>
      <c r="G1566" s="1" t="s">
        <v>3315</v>
      </c>
      <c r="H1566" s="1" t="s">
        <v>5</v>
      </c>
      <c r="I1566">
        <v>3</v>
      </c>
      <c r="L1566" s="1"/>
      <c r="M1566" s="1"/>
      <c r="N1566" s="1"/>
      <c r="O1566" s="1"/>
      <c r="P1566" s="1"/>
    </row>
    <row r="1567" spans="1:16" ht="15" customHeight="1" x14ac:dyDescent="0.25">
      <c r="A1567" s="1" t="s">
        <v>1435</v>
      </c>
      <c r="B1567" s="2" t="s">
        <v>3824</v>
      </c>
      <c r="C1567" t="b">
        <v>1</v>
      </c>
      <c r="D1567" s="1" t="s">
        <v>3826</v>
      </c>
      <c r="E1567" s="1" t="s">
        <v>3852</v>
      </c>
      <c r="F1567" s="1" t="s">
        <v>3300</v>
      </c>
      <c r="G1567" s="1" t="s">
        <v>3316</v>
      </c>
      <c r="H1567" s="1" t="s">
        <v>5</v>
      </c>
      <c r="I1567">
        <v>28</v>
      </c>
      <c r="L1567" s="1"/>
      <c r="M1567" s="1"/>
      <c r="N1567" s="1"/>
      <c r="O1567" s="1"/>
      <c r="P1567" s="1"/>
    </row>
    <row r="1568" spans="1:16" ht="15" customHeight="1" x14ac:dyDescent="0.25">
      <c r="A1568" s="1" t="s">
        <v>1435</v>
      </c>
      <c r="B1568" s="2" t="s">
        <v>3824</v>
      </c>
      <c r="C1568" t="b">
        <v>1</v>
      </c>
      <c r="D1568" s="1" t="s">
        <v>3827</v>
      </c>
      <c r="E1568" s="1" t="s">
        <v>3853</v>
      </c>
      <c r="F1568" s="1" t="s">
        <v>3890</v>
      </c>
      <c r="G1568" s="1" t="s">
        <v>3827</v>
      </c>
      <c r="H1568" s="1" t="s">
        <v>748</v>
      </c>
      <c r="J1568">
        <v>13</v>
      </c>
      <c r="K1568">
        <v>2</v>
      </c>
      <c r="L1568" s="1"/>
      <c r="M1568" s="1"/>
      <c r="N1568" s="1"/>
      <c r="O1568" s="1"/>
      <c r="P1568" s="1"/>
    </row>
    <row r="1569" spans="1:16" ht="15" customHeight="1" x14ac:dyDescent="0.25">
      <c r="A1569" s="1" t="s">
        <v>1435</v>
      </c>
      <c r="B1569" s="2" t="s">
        <v>3824</v>
      </c>
      <c r="C1569" t="b">
        <v>1</v>
      </c>
      <c r="D1569" s="1" t="s">
        <v>1432</v>
      </c>
      <c r="E1569" s="1" t="s">
        <v>3854</v>
      </c>
      <c r="F1569" s="1" t="s">
        <v>3891</v>
      </c>
      <c r="G1569" s="1" t="s">
        <v>3918</v>
      </c>
      <c r="H1569" s="1" t="s">
        <v>5</v>
      </c>
      <c r="I1569">
        <v>2</v>
      </c>
      <c r="L1569" s="1"/>
      <c r="M1569" s="1"/>
      <c r="N1569" s="1"/>
      <c r="O1569" s="1"/>
      <c r="P1569" s="1"/>
    </row>
    <row r="1570" spans="1:16" ht="15" customHeight="1" x14ac:dyDescent="0.25">
      <c r="A1570" s="1" t="s">
        <v>1435</v>
      </c>
      <c r="B1570" s="2" t="s">
        <v>3824</v>
      </c>
      <c r="C1570" t="b">
        <v>1</v>
      </c>
      <c r="D1570" s="1" t="s">
        <v>1430</v>
      </c>
      <c r="E1570" s="1" t="s">
        <v>3855</v>
      </c>
      <c r="F1570" s="1" t="s">
        <v>3892</v>
      </c>
      <c r="G1570" s="1" t="s">
        <v>3919</v>
      </c>
      <c r="H1570" s="1" t="s">
        <v>5</v>
      </c>
      <c r="I1570">
        <v>1</v>
      </c>
      <c r="L1570" s="1"/>
      <c r="M1570" s="1"/>
      <c r="N1570" s="1"/>
      <c r="O1570" s="1"/>
      <c r="P1570" s="1"/>
    </row>
    <row r="1571" spans="1:16" ht="15" customHeight="1" x14ac:dyDescent="0.25">
      <c r="A1571" s="1" t="s">
        <v>1435</v>
      </c>
      <c r="B1571" s="2" t="s">
        <v>3824</v>
      </c>
      <c r="C1571" t="b">
        <v>1</v>
      </c>
      <c r="D1571" s="1" t="s">
        <v>1427</v>
      </c>
      <c r="E1571" s="1" t="s">
        <v>3856</v>
      </c>
      <c r="F1571" s="1" t="s">
        <v>3893</v>
      </c>
      <c r="G1571" s="1" t="s">
        <v>3920</v>
      </c>
      <c r="H1571" s="1" t="s">
        <v>5</v>
      </c>
      <c r="I1571">
        <v>4</v>
      </c>
      <c r="L1571" s="1"/>
      <c r="M1571" s="1"/>
      <c r="N1571" s="1"/>
      <c r="O1571" s="1"/>
      <c r="P1571" s="1"/>
    </row>
    <row r="1572" spans="1:16" ht="15" customHeight="1" x14ac:dyDescent="0.25">
      <c r="A1572" s="1" t="s">
        <v>1435</v>
      </c>
      <c r="B1572" s="2" t="s">
        <v>3824</v>
      </c>
      <c r="C1572" t="b">
        <v>1</v>
      </c>
      <c r="D1572" s="1" t="s">
        <v>3828</v>
      </c>
      <c r="E1572" s="1" t="s">
        <v>3857</v>
      </c>
      <c r="F1572" s="1" t="s">
        <v>3894</v>
      </c>
      <c r="G1572" s="1" t="s">
        <v>3921</v>
      </c>
      <c r="H1572" s="1" t="s">
        <v>5</v>
      </c>
      <c r="I1572">
        <v>30</v>
      </c>
      <c r="L1572" s="1"/>
      <c r="M1572" s="1"/>
      <c r="N1572" s="1"/>
      <c r="O1572" s="1"/>
      <c r="P1572" s="1"/>
    </row>
    <row r="1573" spans="1:16" ht="15" customHeight="1" x14ac:dyDescent="0.25">
      <c r="A1573" s="1" t="s">
        <v>1435</v>
      </c>
      <c r="B1573" s="2" t="s">
        <v>3824</v>
      </c>
      <c r="C1573" t="b">
        <v>1</v>
      </c>
      <c r="D1573" s="1" t="s">
        <v>1456</v>
      </c>
      <c r="E1573" s="1" t="s">
        <v>3858</v>
      </c>
      <c r="F1573" s="1" t="s">
        <v>2965</v>
      </c>
      <c r="G1573" s="1" t="s">
        <v>3922</v>
      </c>
      <c r="H1573" s="1" t="s">
        <v>5</v>
      </c>
      <c r="I1573">
        <v>16</v>
      </c>
      <c r="L1573" s="1"/>
      <c r="M1573" s="1"/>
      <c r="N1573" s="1"/>
      <c r="O1573" s="1"/>
      <c r="P1573" s="1"/>
    </row>
    <row r="1574" spans="1:16" ht="15" customHeight="1" x14ac:dyDescent="0.25">
      <c r="A1574" s="1" t="s">
        <v>1435</v>
      </c>
      <c r="B1574" s="2" t="s">
        <v>3824</v>
      </c>
      <c r="C1574" t="b">
        <v>1</v>
      </c>
      <c r="D1574" s="1" t="s">
        <v>3829</v>
      </c>
      <c r="E1574" s="1" t="s">
        <v>3859</v>
      </c>
      <c r="F1574" s="1" t="s">
        <v>2795</v>
      </c>
      <c r="G1574" s="1" t="s">
        <v>3573</v>
      </c>
      <c r="H1574" s="1" t="s">
        <v>5</v>
      </c>
      <c r="I1574">
        <v>12</v>
      </c>
      <c r="L1574" s="1"/>
      <c r="M1574" s="1"/>
      <c r="N1574" s="1"/>
      <c r="O1574" s="1"/>
      <c r="P1574" s="1"/>
    </row>
    <row r="1575" spans="1:16" ht="15" customHeight="1" x14ac:dyDescent="0.25">
      <c r="A1575" s="1" t="s">
        <v>1435</v>
      </c>
      <c r="B1575" s="2" t="s">
        <v>3824</v>
      </c>
      <c r="C1575" t="b">
        <v>1</v>
      </c>
      <c r="D1575" s="1" t="s">
        <v>3830</v>
      </c>
      <c r="E1575" s="1" t="s">
        <v>3860</v>
      </c>
      <c r="F1575" s="1" t="s">
        <v>3895</v>
      </c>
      <c r="G1575" s="1" t="s">
        <v>3923</v>
      </c>
      <c r="H1575" s="1" t="s">
        <v>5</v>
      </c>
      <c r="I1575">
        <v>1</v>
      </c>
      <c r="L1575" s="1"/>
      <c r="M1575" s="1"/>
      <c r="N1575" s="1"/>
      <c r="O1575" s="1"/>
      <c r="P1575" s="1"/>
    </row>
    <row r="1576" spans="1:16" ht="15" customHeight="1" x14ac:dyDescent="0.25">
      <c r="A1576" s="1" t="s">
        <v>1435</v>
      </c>
      <c r="B1576" s="2" t="s">
        <v>3824</v>
      </c>
      <c r="C1576" t="b">
        <v>1</v>
      </c>
      <c r="D1576" s="1" t="s">
        <v>2009</v>
      </c>
      <c r="E1576" s="1" t="s">
        <v>3861</v>
      </c>
      <c r="F1576" s="1" t="s">
        <v>3896</v>
      </c>
      <c r="G1576" s="1" t="s">
        <v>3924</v>
      </c>
      <c r="H1576" s="1" t="s">
        <v>5</v>
      </c>
      <c r="I1576">
        <v>1</v>
      </c>
      <c r="L1576" s="1"/>
      <c r="M1576" s="1"/>
      <c r="N1576" s="1"/>
      <c r="O1576" s="1"/>
      <c r="P1576" s="1"/>
    </row>
    <row r="1577" spans="1:16" ht="15" customHeight="1" x14ac:dyDescent="0.25">
      <c r="A1577" s="1" t="s">
        <v>1435</v>
      </c>
      <c r="B1577" s="2" t="s">
        <v>3824</v>
      </c>
      <c r="C1577" t="b">
        <v>1</v>
      </c>
      <c r="D1577" s="1" t="s">
        <v>3831</v>
      </c>
      <c r="E1577" s="1" t="s">
        <v>3862</v>
      </c>
      <c r="F1577" s="1" t="s">
        <v>3897</v>
      </c>
      <c r="G1577" s="1" t="s">
        <v>3925</v>
      </c>
      <c r="H1577" s="1" t="s">
        <v>5</v>
      </c>
      <c r="I1577">
        <v>1</v>
      </c>
      <c r="L1577" s="1"/>
      <c r="M1577" s="1"/>
      <c r="N1577" s="1"/>
      <c r="O1577" s="1"/>
      <c r="P1577" s="1"/>
    </row>
    <row r="1578" spans="1:16" ht="15" customHeight="1" x14ac:dyDescent="0.25">
      <c r="A1578" s="1" t="s">
        <v>1435</v>
      </c>
      <c r="B1578" s="2" t="s">
        <v>3824</v>
      </c>
      <c r="C1578" t="b">
        <v>1</v>
      </c>
      <c r="D1578" s="1" t="s">
        <v>3832</v>
      </c>
      <c r="E1578" s="1" t="s">
        <v>3863</v>
      </c>
      <c r="F1578" s="1" t="s">
        <v>3898</v>
      </c>
      <c r="G1578" s="1" t="s">
        <v>3926</v>
      </c>
      <c r="H1578" s="1" t="s">
        <v>5</v>
      </c>
      <c r="I1578">
        <v>1</v>
      </c>
      <c r="L1578" s="1"/>
      <c r="M1578" s="1"/>
      <c r="N1578" s="1"/>
      <c r="O1578" s="1"/>
      <c r="P1578" s="1"/>
    </row>
    <row r="1579" spans="1:16" ht="15" customHeight="1" x14ac:dyDescent="0.25">
      <c r="A1579" s="1" t="s">
        <v>1435</v>
      </c>
      <c r="B1579" s="2" t="s">
        <v>3824</v>
      </c>
      <c r="C1579" t="b">
        <v>1</v>
      </c>
      <c r="D1579" s="1" t="s">
        <v>3833</v>
      </c>
      <c r="E1579" s="1" t="s">
        <v>3864</v>
      </c>
      <c r="F1579" s="1" t="s">
        <v>3899</v>
      </c>
      <c r="G1579" s="1" t="s">
        <v>3927</v>
      </c>
      <c r="H1579" s="1" t="s">
        <v>5</v>
      </c>
      <c r="I1579">
        <v>1</v>
      </c>
      <c r="L1579" s="1"/>
      <c r="M1579" s="1"/>
      <c r="N1579" s="1"/>
      <c r="O1579" s="1"/>
      <c r="P1579" s="1"/>
    </row>
    <row r="1580" spans="1:16" ht="15" customHeight="1" x14ac:dyDescent="0.25">
      <c r="A1580" s="1" t="s">
        <v>1435</v>
      </c>
      <c r="B1580" s="2" t="s">
        <v>3824</v>
      </c>
      <c r="C1580" t="b">
        <v>1</v>
      </c>
      <c r="D1580" s="1" t="s">
        <v>1426</v>
      </c>
      <c r="E1580" s="1" t="s">
        <v>3865</v>
      </c>
      <c r="F1580" s="1" t="s">
        <v>3900</v>
      </c>
      <c r="G1580" s="1" t="s">
        <v>3928</v>
      </c>
      <c r="H1580" s="1" t="s">
        <v>5</v>
      </c>
      <c r="I1580">
        <v>6</v>
      </c>
      <c r="L1580" s="1"/>
      <c r="M1580" s="1"/>
      <c r="N1580" s="1"/>
      <c r="O1580" s="1"/>
      <c r="P1580" s="1"/>
    </row>
    <row r="1581" spans="1:16" ht="15" customHeight="1" x14ac:dyDescent="0.25">
      <c r="A1581" s="1" t="s">
        <v>1435</v>
      </c>
      <c r="B1581" s="2" t="s">
        <v>3824</v>
      </c>
      <c r="C1581" t="b">
        <v>1</v>
      </c>
      <c r="D1581" s="1" t="s">
        <v>3834</v>
      </c>
      <c r="E1581" s="1" t="s">
        <v>3866</v>
      </c>
      <c r="F1581" s="1" t="s">
        <v>2312</v>
      </c>
      <c r="G1581" s="1" t="s">
        <v>2337</v>
      </c>
      <c r="H1581" s="1" t="s">
        <v>5</v>
      </c>
      <c r="I1581">
        <v>1</v>
      </c>
      <c r="L1581" s="1"/>
      <c r="M1581" s="1"/>
      <c r="N1581" s="1"/>
      <c r="O1581" s="1"/>
      <c r="P1581" s="1"/>
    </row>
    <row r="1582" spans="1:16" ht="15" customHeight="1" x14ac:dyDescent="0.25">
      <c r="A1582" s="1" t="s">
        <v>1435</v>
      </c>
      <c r="B1582" s="2" t="s">
        <v>3824</v>
      </c>
      <c r="C1582" t="b">
        <v>1</v>
      </c>
      <c r="D1582" s="1" t="s">
        <v>1433</v>
      </c>
      <c r="E1582" s="1" t="s">
        <v>3867</v>
      </c>
      <c r="F1582" s="1" t="s">
        <v>3901</v>
      </c>
      <c r="G1582" s="1" t="s">
        <v>3929</v>
      </c>
      <c r="H1582" s="1" t="s">
        <v>5</v>
      </c>
      <c r="I1582">
        <v>1</v>
      </c>
      <c r="L1582" s="1"/>
      <c r="M1582" s="1"/>
      <c r="N1582" s="1"/>
      <c r="O1582" s="1"/>
      <c r="P1582" s="1"/>
    </row>
    <row r="1583" spans="1:16" ht="15" customHeight="1" x14ac:dyDescent="0.25">
      <c r="A1583" s="1" t="s">
        <v>1435</v>
      </c>
      <c r="B1583" s="2" t="s">
        <v>3824</v>
      </c>
      <c r="C1583" t="b">
        <v>1</v>
      </c>
      <c r="D1583" s="1" t="s">
        <v>3835</v>
      </c>
      <c r="E1583" s="1" t="s">
        <v>3868</v>
      </c>
      <c r="F1583" s="1" t="s">
        <v>3902</v>
      </c>
      <c r="G1583" s="1" t="s">
        <v>3930</v>
      </c>
      <c r="H1583" s="1" t="s">
        <v>5</v>
      </c>
      <c r="I1583">
        <v>1</v>
      </c>
      <c r="L1583" s="1"/>
      <c r="M1583" s="1"/>
      <c r="N1583" s="1"/>
      <c r="O1583" s="1"/>
      <c r="P1583" s="1"/>
    </row>
    <row r="1584" spans="1:16" ht="15" customHeight="1" x14ac:dyDescent="0.25">
      <c r="A1584" s="1" t="s">
        <v>1435</v>
      </c>
      <c r="B1584" s="2" t="s">
        <v>3824</v>
      </c>
      <c r="C1584" t="b">
        <v>1</v>
      </c>
      <c r="D1584" s="1" t="s">
        <v>1428</v>
      </c>
      <c r="E1584" s="1" t="s">
        <v>3869</v>
      </c>
      <c r="F1584" s="1" t="s">
        <v>3903</v>
      </c>
      <c r="G1584" s="1" t="s">
        <v>3931</v>
      </c>
      <c r="H1584" s="1" t="s">
        <v>5</v>
      </c>
      <c r="I1584">
        <v>4</v>
      </c>
      <c r="L1584" s="1"/>
      <c r="M1584" s="1"/>
      <c r="N1584" s="1"/>
      <c r="O1584" s="1"/>
      <c r="P1584" s="1"/>
    </row>
    <row r="1585" spans="1:16" ht="15" customHeight="1" x14ac:dyDescent="0.25">
      <c r="A1585" s="1" t="s">
        <v>1435</v>
      </c>
      <c r="B1585" s="2" t="s">
        <v>3824</v>
      </c>
      <c r="C1585" t="b">
        <v>1</v>
      </c>
      <c r="D1585" s="1" t="s">
        <v>3836</v>
      </c>
      <c r="E1585" s="1" t="s">
        <v>3870</v>
      </c>
      <c r="F1585" s="1" t="s">
        <v>3904</v>
      </c>
      <c r="G1585" s="1" t="s">
        <v>3932</v>
      </c>
      <c r="H1585" s="1" t="s">
        <v>5</v>
      </c>
      <c r="I1585">
        <v>1</v>
      </c>
      <c r="L1585" s="1"/>
      <c r="M1585" s="1"/>
      <c r="N1585" s="1"/>
      <c r="O1585" s="1"/>
      <c r="P1585" s="1"/>
    </row>
    <row r="1586" spans="1:16" ht="15" customHeight="1" x14ac:dyDescent="0.25">
      <c r="A1586" s="1" t="s">
        <v>1435</v>
      </c>
      <c r="B1586" s="2" t="s">
        <v>3824</v>
      </c>
      <c r="C1586" t="b">
        <v>1</v>
      </c>
      <c r="D1586" s="1" t="s">
        <v>3837</v>
      </c>
      <c r="E1586" s="1" t="s">
        <v>3871</v>
      </c>
      <c r="F1586" s="1" t="s">
        <v>3905</v>
      </c>
      <c r="G1586" s="1" t="s">
        <v>3837</v>
      </c>
      <c r="H1586" s="1" t="s">
        <v>5</v>
      </c>
      <c r="I1586">
        <v>1</v>
      </c>
      <c r="L1586" s="1"/>
      <c r="M1586" s="1"/>
      <c r="N1586" s="1"/>
      <c r="O1586" s="1"/>
      <c r="P1586" s="1"/>
    </row>
    <row r="1587" spans="1:16" ht="15" customHeight="1" x14ac:dyDescent="0.25">
      <c r="A1587" s="1" t="s">
        <v>1435</v>
      </c>
      <c r="B1587" s="2" t="s">
        <v>3824</v>
      </c>
      <c r="C1587" t="b">
        <v>1</v>
      </c>
      <c r="D1587" s="1" t="s">
        <v>3838</v>
      </c>
      <c r="E1587" s="1" t="s">
        <v>3872</v>
      </c>
      <c r="F1587" s="1" t="s">
        <v>3906</v>
      </c>
      <c r="G1587" s="1" t="s">
        <v>3933</v>
      </c>
      <c r="H1587" s="1" t="s">
        <v>5</v>
      </c>
      <c r="I1587">
        <v>1</v>
      </c>
      <c r="L1587" s="1"/>
      <c r="M1587" s="1"/>
      <c r="N1587" s="1"/>
      <c r="O1587" s="1"/>
      <c r="P1587" s="1"/>
    </row>
    <row r="1588" spans="1:16" ht="15" customHeight="1" x14ac:dyDescent="0.25">
      <c r="A1588" s="1" t="s">
        <v>1435</v>
      </c>
      <c r="B1588" s="2" t="s">
        <v>3824</v>
      </c>
      <c r="C1588" t="b">
        <v>1</v>
      </c>
      <c r="D1588" s="1" t="s">
        <v>3839</v>
      </c>
      <c r="E1588" s="1" t="s">
        <v>3873</v>
      </c>
      <c r="F1588" s="1" t="s">
        <v>3907</v>
      </c>
      <c r="G1588" s="1" t="s">
        <v>3934</v>
      </c>
      <c r="H1588" s="1" t="s">
        <v>5</v>
      </c>
      <c r="I1588">
        <v>1</v>
      </c>
      <c r="L1588" s="1"/>
      <c r="M1588" s="1"/>
      <c r="N1588" s="1"/>
      <c r="O1588" s="1"/>
      <c r="P1588" s="1"/>
    </row>
    <row r="1589" spans="1:16" ht="15" customHeight="1" x14ac:dyDescent="0.25">
      <c r="A1589" s="1" t="s">
        <v>1435</v>
      </c>
      <c r="B1589" s="2" t="s">
        <v>3824</v>
      </c>
      <c r="C1589" t="b">
        <v>1</v>
      </c>
      <c r="D1589" s="1" t="s">
        <v>3840</v>
      </c>
      <c r="E1589" s="1" t="s">
        <v>3874</v>
      </c>
      <c r="F1589" s="1" t="s">
        <v>3908</v>
      </c>
      <c r="G1589" s="1" t="s">
        <v>3935</v>
      </c>
      <c r="H1589" s="1" t="s">
        <v>5</v>
      </c>
      <c r="I1589">
        <v>1</v>
      </c>
      <c r="L1589" s="1"/>
      <c r="M1589" s="1"/>
      <c r="N1589" s="1"/>
      <c r="O1589" s="1"/>
      <c r="P1589" s="1"/>
    </row>
    <row r="1590" spans="1:16" ht="15" customHeight="1" x14ac:dyDescent="0.25">
      <c r="A1590" s="1" t="s">
        <v>1435</v>
      </c>
      <c r="B1590" s="2" t="s">
        <v>3824</v>
      </c>
      <c r="C1590" t="b">
        <v>1</v>
      </c>
      <c r="D1590" s="1" t="s">
        <v>3841</v>
      </c>
      <c r="E1590" s="1" t="s">
        <v>3875</v>
      </c>
      <c r="F1590" s="1" t="s">
        <v>3296</v>
      </c>
      <c r="G1590" s="1" t="s">
        <v>3936</v>
      </c>
      <c r="H1590" s="1" t="s">
        <v>5</v>
      </c>
      <c r="I1590">
        <v>1</v>
      </c>
      <c r="L1590" s="1"/>
      <c r="M1590" s="1"/>
      <c r="N1590" s="1"/>
      <c r="O1590" s="1"/>
      <c r="P1590" s="1"/>
    </row>
    <row r="1591" spans="1:16" ht="15" customHeight="1" x14ac:dyDescent="0.25">
      <c r="A1591" s="1" t="s">
        <v>1435</v>
      </c>
      <c r="B1591" s="2" t="s">
        <v>3824</v>
      </c>
      <c r="C1591" t="b">
        <v>1</v>
      </c>
      <c r="D1591" s="1" t="s">
        <v>3842</v>
      </c>
      <c r="E1591" s="1" t="s">
        <v>3876</v>
      </c>
      <c r="F1591" s="1" t="s">
        <v>3909</v>
      </c>
      <c r="G1591" s="1" t="s">
        <v>3937</v>
      </c>
      <c r="H1591" s="1" t="s">
        <v>5</v>
      </c>
      <c r="I1591">
        <v>1</v>
      </c>
      <c r="L1591" s="1"/>
      <c r="M1591" s="1"/>
      <c r="N1591" s="1"/>
      <c r="O1591" s="1"/>
      <c r="P1591" s="1"/>
    </row>
    <row r="1592" spans="1:16" ht="15" customHeight="1" x14ac:dyDescent="0.25">
      <c r="A1592" s="1" t="s">
        <v>1435</v>
      </c>
      <c r="B1592" s="2" t="s">
        <v>3824</v>
      </c>
      <c r="C1592" t="b">
        <v>1</v>
      </c>
      <c r="D1592" s="1" t="s">
        <v>3374</v>
      </c>
      <c r="E1592" s="1" t="s">
        <v>3877</v>
      </c>
      <c r="F1592" s="1" t="s">
        <v>3417</v>
      </c>
      <c r="G1592" s="1" t="s">
        <v>3429</v>
      </c>
      <c r="H1592" s="1" t="s">
        <v>5</v>
      </c>
      <c r="I1592">
        <v>1</v>
      </c>
      <c r="L1592" s="1"/>
      <c r="M1592" s="1"/>
      <c r="N1592" s="1"/>
      <c r="O1592" s="1"/>
      <c r="P1592" s="1"/>
    </row>
    <row r="1593" spans="1:16" ht="15" customHeight="1" x14ac:dyDescent="0.25">
      <c r="A1593" s="1" t="s">
        <v>1435</v>
      </c>
      <c r="B1593" s="2" t="s">
        <v>3824</v>
      </c>
      <c r="C1593" t="b">
        <v>1</v>
      </c>
      <c r="D1593" s="1" t="s">
        <v>3843</v>
      </c>
      <c r="E1593" s="1" t="s">
        <v>3878</v>
      </c>
      <c r="F1593" s="1" t="s">
        <v>3910</v>
      </c>
      <c r="G1593" s="1" t="s">
        <v>3938</v>
      </c>
      <c r="H1593" s="1" t="s">
        <v>5</v>
      </c>
      <c r="I1593">
        <v>1</v>
      </c>
      <c r="L1593" s="1"/>
      <c r="M1593" s="1"/>
      <c r="N1593" s="1"/>
      <c r="O1593" s="1"/>
      <c r="P1593" s="1"/>
    </row>
    <row r="1594" spans="1:16" ht="15" customHeight="1" x14ac:dyDescent="0.25">
      <c r="A1594" s="1" t="s">
        <v>1435</v>
      </c>
      <c r="B1594" s="2" t="s">
        <v>3824</v>
      </c>
      <c r="C1594" t="b">
        <v>1</v>
      </c>
      <c r="D1594" s="1" t="s">
        <v>3844</v>
      </c>
      <c r="E1594" s="1" t="s">
        <v>3879</v>
      </c>
      <c r="F1594" s="1" t="s">
        <v>3911</v>
      </c>
      <c r="G1594" s="1" t="s">
        <v>3939</v>
      </c>
      <c r="H1594" s="1" t="s">
        <v>5</v>
      </c>
      <c r="I1594">
        <v>1</v>
      </c>
      <c r="L1594" s="1"/>
      <c r="M1594" s="1"/>
      <c r="N1594" s="1"/>
      <c r="O1594" s="1"/>
      <c r="P1594" s="1"/>
    </row>
    <row r="1595" spans="1:16" ht="15" customHeight="1" x14ac:dyDescent="0.25">
      <c r="A1595" s="1" t="s">
        <v>1435</v>
      </c>
      <c r="B1595" s="2" t="s">
        <v>3824</v>
      </c>
      <c r="C1595" t="b">
        <v>1</v>
      </c>
      <c r="D1595" s="1" t="s">
        <v>3466</v>
      </c>
      <c r="E1595" s="1" t="s">
        <v>3880</v>
      </c>
      <c r="F1595" s="1" t="s">
        <v>3457</v>
      </c>
      <c r="G1595" s="1" t="s">
        <v>3466</v>
      </c>
      <c r="H1595" s="1" t="s">
        <v>5</v>
      </c>
      <c r="I1595">
        <v>2</v>
      </c>
      <c r="L1595" s="1"/>
      <c r="M1595" s="1"/>
      <c r="N1595" s="1"/>
      <c r="O1595" s="1"/>
      <c r="P1595" s="1"/>
    </row>
    <row r="1596" spans="1:16" ht="15" customHeight="1" x14ac:dyDescent="0.25">
      <c r="A1596" s="1" t="s">
        <v>1435</v>
      </c>
      <c r="B1596" s="2" t="s">
        <v>3824</v>
      </c>
      <c r="C1596" t="b">
        <v>1</v>
      </c>
      <c r="D1596" s="1" t="s">
        <v>1431</v>
      </c>
      <c r="E1596" s="1" t="s">
        <v>3881</v>
      </c>
      <c r="F1596" s="1" t="s">
        <v>2045</v>
      </c>
      <c r="G1596" s="1" t="s">
        <v>1307</v>
      </c>
      <c r="H1596" s="1" t="s">
        <v>5</v>
      </c>
      <c r="I1596">
        <v>3</v>
      </c>
      <c r="L1596" s="1"/>
      <c r="M1596" s="1"/>
      <c r="N1596" s="1"/>
      <c r="O1596" s="1"/>
      <c r="P1596" s="1"/>
    </row>
    <row r="1597" spans="1:16" ht="15" customHeight="1" x14ac:dyDescent="0.25">
      <c r="A1597" s="1" t="s">
        <v>1435</v>
      </c>
      <c r="B1597" s="2" t="s">
        <v>3824</v>
      </c>
      <c r="C1597" t="b">
        <v>1</v>
      </c>
      <c r="D1597" s="1" t="s">
        <v>3845</v>
      </c>
      <c r="E1597" s="1" t="s">
        <v>3882</v>
      </c>
      <c r="F1597" s="1" t="s">
        <v>2123</v>
      </c>
      <c r="G1597" s="1" t="s">
        <v>2147</v>
      </c>
      <c r="H1597" s="1" t="s">
        <v>748</v>
      </c>
      <c r="J1597">
        <v>3</v>
      </c>
      <c r="K1597">
        <v>0</v>
      </c>
      <c r="L1597" s="1"/>
      <c r="M1597" s="1"/>
      <c r="N1597" s="1"/>
      <c r="O1597" s="1"/>
      <c r="P1597" s="1"/>
    </row>
    <row r="1598" spans="1:16" ht="15" customHeight="1" x14ac:dyDescent="0.25">
      <c r="A1598" s="1" t="s">
        <v>1435</v>
      </c>
      <c r="B1598" s="2" t="s">
        <v>3824</v>
      </c>
      <c r="C1598" t="b">
        <v>1</v>
      </c>
      <c r="D1598" s="1" t="s">
        <v>1423</v>
      </c>
      <c r="E1598" s="1" t="s">
        <v>3883</v>
      </c>
      <c r="F1598" s="1" t="s">
        <v>3912</v>
      </c>
      <c r="G1598" s="1" t="s">
        <v>3940</v>
      </c>
      <c r="H1598" s="1" t="s">
        <v>5</v>
      </c>
      <c r="I1598">
        <v>4</v>
      </c>
      <c r="L1598" s="1"/>
      <c r="M1598" s="1"/>
      <c r="N1598" s="1"/>
      <c r="O1598" s="1"/>
      <c r="P1598" s="1"/>
    </row>
    <row r="1599" spans="1:16" ht="15" customHeight="1" x14ac:dyDescent="0.25">
      <c r="A1599" s="1" t="s">
        <v>1435</v>
      </c>
      <c r="B1599" s="2" t="s">
        <v>3824</v>
      </c>
      <c r="C1599" t="b">
        <v>1</v>
      </c>
      <c r="D1599" s="1" t="s">
        <v>1434</v>
      </c>
      <c r="E1599" s="1" t="s">
        <v>3884</v>
      </c>
      <c r="F1599" s="1" t="s">
        <v>2063</v>
      </c>
      <c r="G1599" s="1" t="s">
        <v>2072</v>
      </c>
      <c r="H1599" s="1" t="s">
        <v>5</v>
      </c>
      <c r="I1599">
        <v>4</v>
      </c>
      <c r="L1599" s="1"/>
      <c r="M1599" s="1"/>
      <c r="N1599" s="1"/>
      <c r="O1599" s="1"/>
      <c r="P1599" s="1"/>
    </row>
    <row r="1600" spans="1:16" ht="15" customHeight="1" x14ac:dyDescent="0.25">
      <c r="A1600" s="1" t="s">
        <v>1435</v>
      </c>
      <c r="B1600" s="2" t="s">
        <v>3824</v>
      </c>
      <c r="C1600" t="b">
        <v>1</v>
      </c>
      <c r="D1600" s="1" t="s">
        <v>2020</v>
      </c>
      <c r="E1600" s="1" t="s">
        <v>3885</v>
      </c>
      <c r="F1600" s="1" t="s">
        <v>2061</v>
      </c>
      <c r="G1600" s="1" t="s">
        <v>2020</v>
      </c>
      <c r="H1600" s="1" t="s">
        <v>5</v>
      </c>
      <c r="I1600">
        <v>4</v>
      </c>
      <c r="L1600" s="1"/>
      <c r="M1600" s="1"/>
      <c r="N1600" s="1"/>
      <c r="O1600" s="1"/>
      <c r="P1600" s="1"/>
    </row>
    <row r="1601" spans="1:16" ht="15" customHeight="1" x14ac:dyDescent="0.25">
      <c r="A1601" s="1" t="s">
        <v>1435</v>
      </c>
      <c r="B1601" s="2" t="s">
        <v>3824</v>
      </c>
      <c r="C1601" t="b">
        <v>1</v>
      </c>
      <c r="D1601" s="1" t="s">
        <v>1429</v>
      </c>
      <c r="E1601" s="1" t="s">
        <v>3886</v>
      </c>
      <c r="F1601" s="1" t="s">
        <v>3913</v>
      </c>
      <c r="G1601" s="1" t="s">
        <v>3941</v>
      </c>
      <c r="H1601" s="1" t="s">
        <v>5</v>
      </c>
      <c r="I1601">
        <v>2</v>
      </c>
      <c r="L1601" s="1"/>
      <c r="M1601" s="1"/>
      <c r="N1601" s="1"/>
      <c r="O1601" s="1"/>
      <c r="P1601" s="1"/>
    </row>
    <row r="1602" spans="1:16" ht="15" customHeight="1" x14ac:dyDescent="0.25">
      <c r="A1602" s="1" t="s">
        <v>1435</v>
      </c>
      <c r="B1602" s="2" t="s">
        <v>3824</v>
      </c>
      <c r="C1602" t="b">
        <v>1</v>
      </c>
      <c r="D1602" s="1" t="s">
        <v>3846</v>
      </c>
      <c r="E1602" s="1" t="s">
        <v>3887</v>
      </c>
      <c r="F1602" s="1" t="s">
        <v>3914</v>
      </c>
      <c r="G1602" s="1" t="s">
        <v>3942</v>
      </c>
      <c r="H1602" s="1" t="s">
        <v>5</v>
      </c>
      <c r="I1602">
        <v>1</v>
      </c>
      <c r="L1602" s="1"/>
      <c r="M1602" s="1"/>
      <c r="N1602" s="1"/>
      <c r="O1602" s="1"/>
      <c r="P1602" s="1"/>
    </row>
    <row r="1603" spans="1:16" ht="15" customHeight="1" x14ac:dyDescent="0.25">
      <c r="A1603" s="1" t="s">
        <v>1435</v>
      </c>
      <c r="B1603" s="2" t="s">
        <v>3824</v>
      </c>
      <c r="C1603" t="b">
        <v>1</v>
      </c>
      <c r="D1603" s="1" t="s">
        <v>3847</v>
      </c>
      <c r="E1603" s="1" t="s">
        <v>3888</v>
      </c>
      <c r="F1603" s="1" t="s">
        <v>3915</v>
      </c>
      <c r="G1603" s="1" t="s">
        <v>3847</v>
      </c>
      <c r="H1603" s="1" t="s">
        <v>5</v>
      </c>
      <c r="I1603">
        <v>1</v>
      </c>
      <c r="L1603" s="1"/>
      <c r="M1603" s="1"/>
      <c r="N1603" s="1"/>
      <c r="O1603" s="1"/>
      <c r="P1603" s="1"/>
    </row>
    <row r="1604" spans="1:16" ht="15" customHeight="1" x14ac:dyDescent="0.25">
      <c r="A1604" s="1" t="s">
        <v>1435</v>
      </c>
      <c r="B1604" s="2" t="s">
        <v>3824</v>
      </c>
      <c r="C1604" t="b">
        <v>1</v>
      </c>
      <c r="D1604" s="1" t="s">
        <v>3848</v>
      </c>
      <c r="E1604" s="1" t="s">
        <v>3889</v>
      </c>
      <c r="F1604" s="1" t="s">
        <v>3916</v>
      </c>
      <c r="G1604" s="1" t="s">
        <v>3943</v>
      </c>
      <c r="H1604" s="1" t="s">
        <v>748</v>
      </c>
      <c r="J1604">
        <v>4</v>
      </c>
      <c r="K1604">
        <v>1</v>
      </c>
      <c r="L1604" s="1"/>
      <c r="M1604" s="1"/>
      <c r="N1604" s="1"/>
      <c r="O1604" s="1"/>
      <c r="P1604" s="1"/>
    </row>
    <row r="1605" spans="1:16" ht="15" customHeight="1" x14ac:dyDescent="0.25">
      <c r="A1605" s="1" t="s">
        <v>1435</v>
      </c>
      <c r="B1605" s="2" t="s">
        <v>3824</v>
      </c>
      <c r="D1605" s="1"/>
      <c r="E1605" s="1"/>
      <c r="F1605" s="1"/>
      <c r="G1605" s="1"/>
      <c r="H1605" s="1"/>
      <c r="L1605" s="1" t="s">
        <v>1524</v>
      </c>
      <c r="M1605" s="1" t="s">
        <v>3542</v>
      </c>
      <c r="N1605" s="1"/>
      <c r="O1605" s="1"/>
      <c r="P1605" s="1"/>
    </row>
    <row r="1606" spans="1:16" ht="15" customHeight="1" x14ac:dyDescent="0.25">
      <c r="A1606" s="1" t="s">
        <v>1435</v>
      </c>
      <c r="B1606" s="2" t="s">
        <v>3824</v>
      </c>
      <c r="D1606" s="1"/>
      <c r="E1606" s="1"/>
      <c r="F1606" s="1"/>
      <c r="G1606" s="1"/>
      <c r="H1606" s="1"/>
      <c r="L1606" s="1" t="s">
        <v>1524</v>
      </c>
      <c r="M1606" s="1" t="s">
        <v>3819</v>
      </c>
      <c r="N1606" s="1"/>
      <c r="O1606" s="1"/>
      <c r="P1606" s="1"/>
    </row>
    <row r="1607" spans="1:16" ht="15" customHeight="1" x14ac:dyDescent="0.25">
      <c r="A1607" s="1" t="s">
        <v>1435</v>
      </c>
      <c r="B1607" s="2" t="s">
        <v>3824</v>
      </c>
      <c r="D1607" s="1"/>
      <c r="E1607" s="1"/>
      <c r="F1607" s="1"/>
      <c r="G1607" s="1"/>
      <c r="H1607" s="1"/>
      <c r="L1607" s="1" t="s">
        <v>1524</v>
      </c>
      <c r="M1607" s="1" t="s">
        <v>3818</v>
      </c>
      <c r="N1607" s="1"/>
      <c r="O1607" s="1"/>
      <c r="P1607" s="1"/>
    </row>
    <row r="1608" spans="1:16" ht="15" customHeight="1" x14ac:dyDescent="0.25">
      <c r="A1608" s="1" t="s">
        <v>1435</v>
      </c>
      <c r="B1608" s="2" t="s">
        <v>3824</v>
      </c>
      <c r="D1608" s="1"/>
      <c r="E1608" s="1"/>
      <c r="F1608" s="1"/>
      <c r="G1608" s="1"/>
      <c r="H1608" s="1"/>
      <c r="L1608" s="1"/>
      <c r="M1608" s="1"/>
      <c r="N1608" s="1" t="s">
        <v>1529</v>
      </c>
      <c r="O1608" s="1" t="s">
        <v>3944</v>
      </c>
      <c r="P1608" s="1"/>
    </row>
    <row r="1609" spans="1:16" ht="15" customHeight="1" x14ac:dyDescent="0.25">
      <c r="A1609" s="1" t="s">
        <v>1435</v>
      </c>
      <c r="B1609" s="2" t="s">
        <v>3824</v>
      </c>
      <c r="D1609" s="1"/>
      <c r="E1609" s="1"/>
      <c r="F1609" s="1"/>
      <c r="G1609" s="1"/>
      <c r="H1609" s="1"/>
      <c r="L1609" s="1"/>
      <c r="M1609" s="1"/>
      <c r="N1609" s="1" t="s">
        <v>1529</v>
      </c>
      <c r="O1609" s="1" t="s">
        <v>3944</v>
      </c>
      <c r="P1609" s="1"/>
    </row>
    <row r="1610" spans="1:16" ht="15" customHeight="1" x14ac:dyDescent="0.25">
      <c r="A1610" s="1" t="s">
        <v>1435</v>
      </c>
      <c r="B1610" s="2" t="s">
        <v>3824</v>
      </c>
      <c r="D1610" s="1"/>
      <c r="E1610" s="1"/>
      <c r="F1610" s="1"/>
      <c r="G1610" s="1"/>
      <c r="H1610" s="1"/>
      <c r="L1610" s="1"/>
      <c r="M1610" s="1"/>
      <c r="N1610" s="1" t="s">
        <v>1529</v>
      </c>
      <c r="O1610" s="1" t="s">
        <v>3945</v>
      </c>
      <c r="P1610" s="1"/>
    </row>
    <row r="1611" spans="1:16" ht="15" customHeight="1" x14ac:dyDescent="0.25">
      <c r="A1611" s="1" t="s">
        <v>1435</v>
      </c>
      <c r="B1611" s="2" t="s">
        <v>3824</v>
      </c>
      <c r="D1611" s="1"/>
      <c r="E1611" s="1"/>
      <c r="F1611" s="1"/>
      <c r="G1611" s="1"/>
      <c r="H1611" s="1"/>
      <c r="L1611" s="1"/>
      <c r="M1611" s="1"/>
      <c r="N1611" s="1" t="s">
        <v>1529</v>
      </c>
      <c r="O1611" s="1" t="s">
        <v>3945</v>
      </c>
      <c r="P1611" s="1"/>
    </row>
  </sheetData>
  <pageMargins left="0.7" right="0.7" top="0.75" bottom="0.75" header="0.3" footer="0.3"/>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3C935-AC04-40EB-A392-DD52AC206583}">
  <dimension ref="A1:AT1650"/>
  <sheetViews>
    <sheetView zoomScale="80" zoomScaleNormal="80" workbookViewId="0">
      <pane ySplit="2" topLeftCell="A3" activePane="bottomLeft" state="frozen"/>
      <selection pane="bottomLeft" activeCell="A3" sqref="A3"/>
    </sheetView>
  </sheetViews>
  <sheetFormatPr defaultRowHeight="15" x14ac:dyDescent="0.25"/>
  <cols>
    <col min="1" max="1" width="9.7109375" bestFit="1" customWidth="1"/>
    <col min="2" max="2" width="9.7109375" customWidth="1"/>
    <col min="3" max="8" width="16" customWidth="1"/>
    <col min="9" max="13" width="16.42578125" customWidth="1"/>
    <col min="14" max="14" width="7.7109375" style="31" customWidth="1"/>
    <col min="15" max="15" width="22.7109375" style="13" customWidth="1"/>
    <col min="16" max="16" width="52.85546875" bestFit="1" customWidth="1"/>
    <col min="17" max="17" width="38.85546875" style="6" customWidth="1"/>
    <col min="18" max="18" width="62" customWidth="1"/>
    <col min="19" max="19" width="17.28515625" customWidth="1"/>
    <col min="20" max="20" width="15.7109375" customWidth="1"/>
    <col min="21" max="21" width="28.28515625" customWidth="1"/>
    <col min="22" max="22" width="15.5703125" customWidth="1"/>
    <col min="23" max="23" width="25" customWidth="1"/>
    <col min="24" max="24" width="25" style="6" customWidth="1"/>
    <col min="25" max="25" width="15.7109375" customWidth="1"/>
    <col min="26" max="26" width="14.5703125" customWidth="1"/>
    <col min="27" max="27" width="63.7109375" style="6" customWidth="1"/>
    <col min="28" max="28" width="28.7109375" style="6" bestFit="1" customWidth="1"/>
    <col min="29" max="29" width="35" style="13" customWidth="1"/>
    <col min="30" max="30" width="27.7109375" style="6" customWidth="1"/>
    <col min="31" max="31" width="35.28515625" style="13" customWidth="1"/>
    <col min="32" max="32" width="39.28515625" style="13" customWidth="1"/>
    <col min="33" max="33" width="51.140625" style="11" customWidth="1"/>
    <col min="34" max="34" width="55.28515625" customWidth="1"/>
    <col min="35" max="35" width="14.7109375" customWidth="1"/>
    <col min="36" max="36" width="22.28515625" customWidth="1"/>
    <col min="37" max="37" width="16.28515625" style="12" bestFit="1" customWidth="1"/>
    <col min="38" max="38" width="11.7109375" style="12" bestFit="1" customWidth="1"/>
  </cols>
  <sheetData>
    <row r="1" spans="1:40" x14ac:dyDescent="0.25">
      <c r="A1" t="s">
        <v>6413</v>
      </c>
      <c r="B1" t="s">
        <v>6397</v>
      </c>
      <c r="C1" t="s">
        <v>6398</v>
      </c>
      <c r="D1" t="s">
        <v>6705</v>
      </c>
      <c r="E1" t="s">
        <v>6707</v>
      </c>
      <c r="F1" t="s">
        <v>6708</v>
      </c>
      <c r="G1" t="s">
        <v>6919</v>
      </c>
      <c r="H1" t="s">
        <v>6920</v>
      </c>
      <c r="I1" t="s">
        <v>6921</v>
      </c>
      <c r="J1" t="s">
        <v>6399</v>
      </c>
      <c r="K1" t="s">
        <v>6400</v>
      </c>
      <c r="L1" t="s">
        <v>6401</v>
      </c>
      <c r="M1" t="s">
        <v>6922</v>
      </c>
      <c r="N1" s="31" t="s">
        <v>6464</v>
      </c>
      <c r="O1" s="13" t="s">
        <v>6842</v>
      </c>
      <c r="P1" t="s">
        <v>6402</v>
      </c>
      <c r="Q1" s="6" t="s">
        <v>7801</v>
      </c>
      <c r="R1" t="s">
        <v>6403</v>
      </c>
      <c r="S1" t="s">
        <v>6404</v>
      </c>
      <c r="T1" t="s">
        <v>6414</v>
      </c>
      <c r="U1" t="s">
        <v>6405</v>
      </c>
      <c r="V1" t="s">
        <v>6406</v>
      </c>
      <c r="W1" t="s">
        <v>6407</v>
      </c>
      <c r="X1" s="6" t="s">
        <v>6408</v>
      </c>
      <c r="Y1" t="s">
        <v>6409</v>
      </c>
      <c r="Z1" t="s">
        <v>6410</v>
      </c>
      <c r="AA1" s="6" t="s">
        <v>8562</v>
      </c>
      <c r="AB1" s="6" t="s">
        <v>8561</v>
      </c>
      <c r="AC1" s="13" t="s">
        <v>6462</v>
      </c>
      <c r="AD1" s="6" t="s">
        <v>6902</v>
      </c>
      <c r="AE1" s="13" t="s">
        <v>6411</v>
      </c>
      <c r="AF1" s="13" t="s">
        <v>6937</v>
      </c>
      <c r="AG1" s="13" t="s">
        <v>6928</v>
      </c>
      <c r="AH1" t="s">
        <v>6412</v>
      </c>
      <c r="AK1"/>
      <c r="AL1"/>
    </row>
    <row r="2" spans="1:40" x14ac:dyDescent="0.25">
      <c r="A2" s="34" t="s">
        <v>5878</v>
      </c>
      <c r="B2" s="34" t="s">
        <v>3972</v>
      </c>
      <c r="C2" s="35" t="s">
        <v>6100</v>
      </c>
      <c r="D2" s="35" t="s">
        <v>6706</v>
      </c>
      <c r="E2" s="35" t="s">
        <v>6709</v>
      </c>
      <c r="F2" s="35" t="s">
        <v>6710</v>
      </c>
      <c r="G2" s="35" t="s">
        <v>6394</v>
      </c>
      <c r="H2" s="35" t="s">
        <v>6395</v>
      </c>
      <c r="I2" s="34" t="s">
        <v>6704</v>
      </c>
      <c r="J2" s="34" t="s">
        <v>6808</v>
      </c>
      <c r="K2" s="34" t="s">
        <v>6807</v>
      </c>
      <c r="L2" s="34" t="s">
        <v>6806</v>
      </c>
      <c r="M2" s="34" t="s">
        <v>6923</v>
      </c>
      <c r="N2" s="36" t="s">
        <v>6466</v>
      </c>
      <c r="O2" s="55" t="s">
        <v>6843</v>
      </c>
      <c r="P2" s="34" t="s">
        <v>3946</v>
      </c>
      <c r="Q2" s="37" t="s">
        <v>7802</v>
      </c>
      <c r="R2" s="34" t="s">
        <v>3947</v>
      </c>
      <c r="S2" s="34" t="s">
        <v>4133</v>
      </c>
      <c r="T2" s="34" t="s">
        <v>4134</v>
      </c>
      <c r="U2" s="34" t="s">
        <v>5976</v>
      </c>
      <c r="V2" s="34" t="s">
        <v>4138</v>
      </c>
      <c r="W2" s="34" t="s">
        <v>4139</v>
      </c>
      <c r="X2" s="37" t="s">
        <v>6104</v>
      </c>
      <c r="Y2" s="34" t="s">
        <v>4137</v>
      </c>
      <c r="Z2" s="34" t="s">
        <v>4140</v>
      </c>
      <c r="AA2" s="37" t="s">
        <v>3948</v>
      </c>
      <c r="AB2" s="37" t="s">
        <v>8560</v>
      </c>
      <c r="AC2" s="32" t="s">
        <v>6904</v>
      </c>
      <c r="AD2" s="37" t="s">
        <v>6903</v>
      </c>
      <c r="AE2" s="32" t="s">
        <v>6105</v>
      </c>
      <c r="AF2" s="32" t="s">
        <v>6938</v>
      </c>
      <c r="AG2" s="32" t="s">
        <v>6929</v>
      </c>
      <c r="AH2" s="34" t="s">
        <v>3656</v>
      </c>
      <c r="AI2" s="34" t="s">
        <v>6471</v>
      </c>
      <c r="AJ2" s="35" t="s">
        <v>6472</v>
      </c>
      <c r="AK2" s="35" t="s">
        <v>7836</v>
      </c>
      <c r="AL2" s="35" t="s">
        <v>7804</v>
      </c>
    </row>
    <row r="3" spans="1:40" s="3" customFormat="1" ht="108" x14ac:dyDescent="0.25">
      <c r="A3" s="9" t="s">
        <v>7803</v>
      </c>
      <c r="B3" s="7" t="s">
        <v>3973</v>
      </c>
      <c r="C3" s="7" t="s">
        <v>3</v>
      </c>
      <c r="D3" s="7" t="s">
        <v>6711</v>
      </c>
      <c r="E3" s="7" t="s">
        <v>6712</v>
      </c>
      <c r="F3" s="7" t="s">
        <v>6713</v>
      </c>
      <c r="G3" s="7" t="s">
        <v>6378</v>
      </c>
      <c r="H3" s="7"/>
      <c r="I3" s="7"/>
      <c r="J3" s="20" t="str">
        <f>VLOOKUP(V3,Table_to_BRG!A:D,3,FALSE)</f>
        <v>Plant data</v>
      </c>
      <c r="K3" s="20" t="str">
        <f>VLOOKUP(V3,Table_to_BRG!A:D,2,FALSE)</f>
        <v>Plant</v>
      </c>
      <c r="L3" s="20"/>
      <c r="M3" s="20"/>
      <c r="N3" s="9"/>
      <c r="O3" s="54"/>
      <c r="P3" s="7" t="s">
        <v>8310</v>
      </c>
      <c r="Q3" s="11" t="str">
        <f>UPPER(LEFT(Table362[[#This Row],[Entity]],3))&amp;RIGHT("00"&amp;Table362[[#This Row],[Rule '# by Entity]],3)&amp;"0_"&amp;MID(SUBSTITUTE(Table362[[#This Row],[Rule Name]],"_","|",3),SEARCH("|",SUBSTITUTE(Table362[[#This Row],[Rule Name]],"_","|",3))+1,LEN(Table362[[#This Row],[Rule Name]]))</f>
        <v>MAT0780_TargetQMSystemRef</v>
      </c>
      <c r="R3" s="8" t="s">
        <v>7905</v>
      </c>
      <c r="S3" s="7" t="s">
        <v>2</v>
      </c>
      <c r="T3" s="7"/>
      <c r="U3" s="7" t="s">
        <v>4</v>
      </c>
      <c r="V3" s="7" t="s">
        <v>1527</v>
      </c>
      <c r="W3" s="7" t="s">
        <v>2371</v>
      </c>
      <c r="X3" s="8" t="s">
        <v>6341</v>
      </c>
      <c r="Y3" s="7" t="s">
        <v>5970</v>
      </c>
      <c r="Z3" s="7" t="s">
        <v>2371</v>
      </c>
      <c r="AA3" s="11" t="str">
        <f>"BEGIN
     RETURN exists('DS_IS_RDS', '"&amp;Table362[[#This Row],[Lookup Table]]&amp;"', '"&amp;Table362[[#This Row],[Lookup Field]]&amp;"', "&amp;Table362[[#This Row],[IS Parameter]]&amp;");
END"</f>
        <v>BEGIN
     RETURN exists('DS_IS_RDS', 'TQ02', 'QSSYS', $P_I_TargetQMSystem);
END</v>
      </c>
      <c r="AB3" s="11" t="str">
        <f>Table362[[#This Row],[IS Parameter]]&amp;" IS NOT NULL AND rtrim("&amp;Table362[[#This Row],[IS Parameter]]&amp;", ' ') != ''"</f>
        <v>$P_I_TargetQMSystem IS NOT NULL AND rtrim($P_I_TargetQMSystem, ' ') != ''</v>
      </c>
      <c r="AC3" s="10" t="s">
        <v>6663</v>
      </c>
      <c r="AD3" s="10"/>
      <c r="AE3" s="13" t="str">
        <f>IF(Table362[[#This Row],[Entity]]="Customer","KUNNR",IF(Table362[[#This Row],[Entity]]="Vendor","LIFNR","MATNR"))&amp;",WERKS"&amp;","&amp;Table362[[#This Row],[Field]]</f>
        <v>MATNR,WERKS,QSSYS</v>
      </c>
      <c r="AF3" s="13" t="str">
        <f>"VW_"&amp;Table362[[#This Row],[New Rule Name]]</f>
        <v>VW_MAT0780_TargetQMSystemRef</v>
      </c>
      <c r="AG3"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VW_MAT0780_TargetQMSystemRef (
     MATNR,
     WERKS,
     QSSYS
     ) as select
          MATNR,
          WERKS,
          QSSYS 
     from MARC</v>
      </c>
      <c r="AH3" s="13" t="str">
        <f>"Potential rule: Verify that each "&amp;Table362[[#This Row],[Lookup Table]]&amp;"-"&amp;Table362[[#This Row],[Lookup Field]]&amp;" exists in "&amp;Table362[[#This Row],[Table]]&amp;"."</f>
        <v>Potential rule: Verify that each TQ02-QSSYS exists in MARC.</v>
      </c>
      <c r="AI3" s="20" t="s">
        <v>7698</v>
      </c>
      <c r="AJ3" s="20"/>
      <c r="AK3" s="31">
        <v>78</v>
      </c>
      <c r="AL3" s="31" t="s">
        <v>7803</v>
      </c>
      <c r="AN3" s="3" t="s">
        <v>7837</v>
      </c>
    </row>
    <row r="4" spans="1:40" s="3" customFormat="1" ht="96" hidden="1" x14ac:dyDescent="0.25">
      <c r="A4" s="9" t="s">
        <v>7608</v>
      </c>
      <c r="B4" s="7" t="s">
        <v>3973</v>
      </c>
      <c r="C4" s="7" t="s">
        <v>16</v>
      </c>
      <c r="D4" s="7" t="s">
        <v>6711</v>
      </c>
      <c r="E4" s="7" t="s">
        <v>6714</v>
      </c>
      <c r="F4" s="7" t="s">
        <v>6715</v>
      </c>
      <c r="G4" s="7" t="s">
        <v>6361</v>
      </c>
      <c r="H4" s="7" t="s">
        <v>6364</v>
      </c>
      <c r="I4" s="7"/>
      <c r="J4" s="20" t="str">
        <f>VLOOKUP(V4,Table_to_BRG!A:D,3,FALSE)</f>
        <v>General data</v>
      </c>
      <c r="K4" s="20" t="str">
        <f>VLOOKUP(V4,Table_to_BRG!A:D,2,FALSE)</f>
        <v>General</v>
      </c>
      <c r="L4" s="20"/>
      <c r="M4" s="20"/>
      <c r="N4" s="9"/>
      <c r="O4" s="54"/>
      <c r="P4" s="7" t="s">
        <v>8208</v>
      </c>
      <c r="Q4" s="11" t="str">
        <f>UPPER(LEFT(Table362[[#This Row],[Entity]],3))&amp;RIGHT("00"&amp;Table362[[#This Row],[Rule '# by Entity]],3)&amp;"0_"&amp;MID(SUBSTITUTE(Table362[[#This Row],[Rule Name]],"_","|",3),SEARCH("|",SUBSTITUTE(Table362[[#This Row],[Rule Name]],"_","|",3))+1,LEN(Table362[[#This Row],[Rule Name]]))</f>
        <v>CUS0360_NuclearNonprolifIndicatorIsValid</v>
      </c>
      <c r="R4" s="8" t="s">
        <v>8155</v>
      </c>
      <c r="S4" s="7" t="s">
        <v>4135</v>
      </c>
      <c r="T4" s="7" t="s">
        <v>2</v>
      </c>
      <c r="U4" s="7" t="s">
        <v>764</v>
      </c>
      <c r="V4" s="7" t="s">
        <v>2741</v>
      </c>
      <c r="W4" s="7" t="s">
        <v>3113</v>
      </c>
      <c r="X4" s="8" t="s">
        <v>3126</v>
      </c>
      <c r="Y4" s="7" t="s">
        <v>5978</v>
      </c>
      <c r="Z4" s="7" t="s">
        <v>5978</v>
      </c>
      <c r="AA4" s="10" t="s">
        <v>8602</v>
      </c>
      <c r="AB4" s="11" t="str">
        <f>Table362[[#This Row],[IS Parameter]]&amp;" IS NOT NULL
AND "&amp; Table362[[#This Row],[IS Parameter]]&amp;" != ''"</f>
        <v>$P_I_NuclearNonProliferation IS NOT NULL
AND $P_I_NuclearNonProliferation != ''</v>
      </c>
      <c r="AC4" s="13" t="s">
        <v>7792</v>
      </c>
      <c r="AD4"/>
      <c r="AE4" s="13" t="str">
        <f>IF(Table362[[#This Row],[Entity]]="Customer","KUNNR",IF(Table362[[#This Row],[Entity]]="Vendor","LIFNR","MATNR"))&amp;","&amp;Table362[[#This Row],[Field]]</f>
        <v>KUNNR,CCC02</v>
      </c>
      <c r="AF4" s="13" t="str">
        <f>"VW_"&amp;Table362[[#This Row],[New Rule Name]]</f>
        <v>VW_CUS0360_NuclearNonprolifIndicatorIsValid</v>
      </c>
      <c r="AG4" s="11" t="str">
        <f>"create view "&amp;Table362[[#This Row],[View Name]]&amp;" (
     "&amp;IF(Table362[[#This Row],[Entity]]="Customer","KUNNR",IF(Table362[[#This Row],[Entity]]="Vendor","LIFNR","MATNR"))&amp;",
     "&amp;Table362[[#This Row],[Field]]&amp;"
     ) as select
          "&amp;IF(Table362[[#This Row],[Entity]]="Customer","KUNNR",IF(Table362[[#This Row],[Entity]]="Vendor","LIFNR","MATNR"))&amp;",
          "&amp;Table362[[#This Row],[Field]]&amp;" 
     from "&amp;Table362[[#This Row],[Table]]</f>
        <v>create view VW_CUS0360_NuclearNonprolifIndicatorIsValid (
     KUNNR,
     CCC02
     ) as select
          KUNNR,
          CCC02 
     from KNA1</v>
      </c>
      <c r="AH4" s="8"/>
      <c r="AI4" s="20" t="s">
        <v>7607</v>
      </c>
      <c r="AJ4" s="20"/>
      <c r="AK4" s="31">
        <v>36</v>
      </c>
      <c r="AL4" s="31"/>
      <c r="AN4" s="3" t="s">
        <v>7838</v>
      </c>
    </row>
    <row r="5" spans="1:40" s="3" customFormat="1" ht="108" x14ac:dyDescent="0.25">
      <c r="A5" s="9">
        <v>2</v>
      </c>
      <c r="B5" s="7" t="s">
        <v>3973</v>
      </c>
      <c r="C5" s="7" t="s">
        <v>3</v>
      </c>
      <c r="D5" s="7" t="s">
        <v>6711</v>
      </c>
      <c r="E5" s="7" t="s">
        <v>6712</v>
      </c>
      <c r="F5" s="7" t="s">
        <v>6713</v>
      </c>
      <c r="G5" s="7" t="s">
        <v>6361</v>
      </c>
      <c r="H5" s="7"/>
      <c r="I5" s="7"/>
      <c r="J5" s="20" t="str">
        <f>VLOOKUP(V5,Table_to_BRG!A:D,3,FALSE)</f>
        <v>Plant data</v>
      </c>
      <c r="K5" s="20" t="str">
        <f>VLOOKUP(V5,Table_to_BRG!A:D,2,FALSE)</f>
        <v>Plant</v>
      </c>
      <c r="L5" s="20"/>
      <c r="M5" s="20"/>
      <c r="N5" s="9"/>
      <c r="O5" s="54"/>
      <c r="P5" s="7" t="s">
        <v>8311</v>
      </c>
      <c r="Q5" s="11" t="str">
        <f>UPPER(LEFT(Table362[[#This Row],[Entity]],3))&amp;RIGHT("00"&amp;Table362[[#This Row],[Rule '# by Entity]],3)&amp;"0_"&amp;MID(SUBSTITUTE(Table362[[#This Row],[Rule Name]],"_","|",3),SEARCH("|",SUBSTITUTE(Table362[[#This Row],[Rule Name]],"_","|",3))+1,LEN(Table362[[#This Row],[Rule Name]]))</f>
        <v>MAT0920_FairShareRuleIsValid</v>
      </c>
      <c r="R5" s="8" t="s">
        <v>8156</v>
      </c>
      <c r="S5" s="7" t="s">
        <v>4135</v>
      </c>
      <c r="T5" s="7" t="s">
        <v>2</v>
      </c>
      <c r="U5" s="7" t="s">
        <v>5977</v>
      </c>
      <c r="V5" s="7" t="s">
        <v>1527</v>
      </c>
      <c r="W5" s="7" t="s">
        <v>2231</v>
      </c>
      <c r="X5" s="8" t="s">
        <v>2197</v>
      </c>
      <c r="Y5" s="7" t="s">
        <v>5978</v>
      </c>
      <c r="Z5" s="7" t="s">
        <v>5978</v>
      </c>
      <c r="AA5" s="10" t="s">
        <v>8575</v>
      </c>
      <c r="AB5" s="11" t="str">
        <f>Table362[[#This Row],[IS Parameter]]&amp;" IS NOT NULL AND rtrim("&amp;Table362[[#This Row],[IS Parameter]]&amp;", ' ') != ''"</f>
        <v>$P_I_FairShare_Rule IS NOT NULL AND rtrim($P_I_FairShare_Rule, ' ') != ''</v>
      </c>
      <c r="AC5" s="13" t="s">
        <v>7792</v>
      </c>
      <c r="AD5"/>
      <c r="AE5" s="13" t="str">
        <f>IF(Table362[[#This Row],[Entity]]="Customer","KUNNR",IF(Table362[[#This Row],[Entity]]="Vendor","LIFNR","MATNR"))&amp;",WERKS"&amp;","&amp;Table362[[#This Row],[Field]]</f>
        <v>MATNR,WERKS,DPLFS</v>
      </c>
      <c r="AF5" s="13" t="str">
        <f>"VW_"&amp;Table362[[#This Row],[New Rule Name]]</f>
        <v>VW_MAT0920_FairShareRuleIsValid</v>
      </c>
      <c r="AG5"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VW_MAT0920_FairShareRuleIsValid (
     MATNR,
     WERKS,
     DPLFS
     ) as select 
          MATNR,
          WERKS,
          DPLFS 
     from MARC</v>
      </c>
      <c r="AH5" s="8"/>
      <c r="AI5" s="20"/>
      <c r="AJ5" s="20"/>
      <c r="AK5" s="31">
        <v>92</v>
      </c>
      <c r="AL5" s="31"/>
    </row>
    <row r="6" spans="1:40" s="3" customFormat="1" ht="108" x14ac:dyDescent="0.25">
      <c r="A6" s="9">
        <v>3</v>
      </c>
      <c r="B6" s="7" t="s">
        <v>3973</v>
      </c>
      <c r="C6" s="7" t="s">
        <v>3</v>
      </c>
      <c r="D6" s="7" t="s">
        <v>6711</v>
      </c>
      <c r="E6" s="7" t="s">
        <v>6712</v>
      </c>
      <c r="F6" s="7" t="s">
        <v>6713</v>
      </c>
      <c r="G6" s="7" t="s">
        <v>6391</v>
      </c>
      <c r="H6" s="7"/>
      <c r="I6" s="7"/>
      <c r="J6" s="20" t="str">
        <f>VLOOKUP(V6,Table_to_BRG!A:D,3,FALSE)</f>
        <v>Plant data</v>
      </c>
      <c r="K6" s="20" t="str">
        <f>VLOOKUP(V6,Table_to_BRG!A:D,2,FALSE)</f>
        <v>Plant</v>
      </c>
      <c r="L6" s="20"/>
      <c r="M6" s="20"/>
      <c r="N6" s="9"/>
      <c r="O6" s="54"/>
      <c r="P6" s="7" t="s">
        <v>8312</v>
      </c>
      <c r="Q6" s="11" t="str">
        <f>UPPER(LEFT(Table362[[#This Row],[Entity]],3))&amp;RIGHT("00"&amp;Table362[[#This Row],[Rule '# by Entity]],3)&amp;"0_"&amp;MID(SUBSTITUTE(Table362[[#This Row],[Rule Name]],"_","|",3),SEARCH("|",SUBSTITUTE(Table362[[#This Row],[Rule Name]],"_","|",3))+1,LEN(Table362[[#This Row],[Rule Name]]))</f>
        <v>MAT0820_TaskListTypeRef</v>
      </c>
      <c r="R6" s="8" t="s">
        <v>7906</v>
      </c>
      <c r="S6" s="7" t="s">
        <v>2</v>
      </c>
      <c r="T6" s="7"/>
      <c r="U6" s="7" t="s">
        <v>12</v>
      </c>
      <c r="V6" s="7" t="s">
        <v>1527</v>
      </c>
      <c r="W6" s="7" t="s">
        <v>1775</v>
      </c>
      <c r="X6" s="8" t="s">
        <v>1443</v>
      </c>
      <c r="Y6" s="7" t="s">
        <v>5213</v>
      </c>
      <c r="Z6" s="7" t="s">
        <v>1775</v>
      </c>
      <c r="AA6" s="11" t="str">
        <f>"BEGIN
     RETURN exists('DS_IS_RDS', '"&amp;Table362[[#This Row],[Lookup Table]]&amp;"', '"&amp;Table362[[#This Row],[Lookup Field]]&amp;"', "&amp;Table362[[#This Row],[IS Parameter]]&amp;");
END"</f>
        <v>BEGIN
     RETURN exists('DS_IS_RDS', 'TCA01', 'PLNTY', $P_I_TaskListType);
END</v>
      </c>
      <c r="AB6" s="11" t="str">
        <f>Table362[[#This Row],[IS Parameter]]&amp;" IS NOT NULL AND rtrim("&amp;Table362[[#This Row],[IS Parameter]]&amp;", ' ') != ''"</f>
        <v>$P_I_TaskListType IS NOT NULL AND rtrim($P_I_TaskListType, ' ') != ''</v>
      </c>
      <c r="AC6" s="10" t="s">
        <v>6663</v>
      </c>
      <c r="AD6" s="10"/>
      <c r="AE6" s="13" t="str">
        <f>IF(Table362[[#This Row],[Entity]]="Customer","KUNNR",IF(Table362[[#This Row],[Entity]]="Vendor","LIFNR","MATNR"))&amp;",WERKS"&amp;","&amp;Table362[[#This Row],[Field]]</f>
        <v>MATNR,WERKS,PLNTY</v>
      </c>
      <c r="AF6" s="13" t="str">
        <f>"VW_"&amp;Table362[[#This Row],[New Rule Name]]</f>
        <v>VW_MAT0820_TaskListTypeRef</v>
      </c>
      <c r="AG6"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VW_MAT0820_TaskListTypeRef (
     MATNR,
     WERKS,
     PLNTY
     ) as select
          MATNR,
          WERKS,
          PLNTY 
     from MARC</v>
      </c>
      <c r="AH6" s="13" t="str">
        <f>"Potential rule: Verify that each "&amp;Table362[[#This Row],[Lookup Table]]&amp;"-"&amp;Table362[[#This Row],[Lookup Field]]&amp;" exists in "&amp;Table362[[#This Row],[Table]]&amp;"."</f>
        <v>Potential rule: Verify that each TCA01-PLNTY exists in MARC.</v>
      </c>
      <c r="AI6" s="20" t="s">
        <v>7699</v>
      </c>
      <c r="AJ6" s="20"/>
      <c r="AK6" s="31">
        <v>82</v>
      </c>
      <c r="AL6" s="31"/>
    </row>
    <row r="7" spans="1:40" s="3" customFormat="1" ht="84" hidden="1" x14ac:dyDescent="0.25">
      <c r="A7" s="9">
        <v>4</v>
      </c>
      <c r="B7" s="7" t="s">
        <v>3973</v>
      </c>
      <c r="C7" s="7" t="s">
        <v>16</v>
      </c>
      <c r="D7" s="7" t="s">
        <v>6711</v>
      </c>
      <c r="E7" s="7" t="s">
        <v>6714</v>
      </c>
      <c r="F7" s="7" t="s">
        <v>6715</v>
      </c>
      <c r="G7" s="7" t="s">
        <v>6361</v>
      </c>
      <c r="H7" s="7" t="s">
        <v>6363</v>
      </c>
      <c r="I7" s="7"/>
      <c r="J7" s="20" t="str">
        <f>VLOOKUP(V7,Table_to_BRG!A:D,3,FALSE)</f>
        <v>General data</v>
      </c>
      <c r="K7" s="20" t="str">
        <f>VLOOKUP(V7,Table_to_BRG!A:D,2,FALSE)</f>
        <v>General</v>
      </c>
      <c r="L7" s="20"/>
      <c r="M7" s="20"/>
      <c r="N7" s="9"/>
      <c r="O7" s="54"/>
      <c r="P7" s="7" t="s">
        <v>7839</v>
      </c>
      <c r="Q7" s="11" t="str">
        <f>UPPER(LEFT(Table362[[#This Row],[Entity]],3))&amp;RIGHT("00"&amp;Table362[[#This Row],[Rule '# by Entity]],3)&amp;"0_"&amp;MID(SUBSTITUTE(Table362[[#This Row],[Rule Name]],"_","|",3),SEARCH("|",SUBSTITUTE(Table362[[#This Row],[Rule Name]],"_","|",3))+1,LEN(Table362[[#This Row],[Rule Name]]))</f>
        <v>CUS0250_TradingPartnerRef</v>
      </c>
      <c r="R7" s="8" t="s">
        <v>8006</v>
      </c>
      <c r="S7" s="7" t="s">
        <v>21</v>
      </c>
      <c r="T7" s="7" t="s">
        <v>2</v>
      </c>
      <c r="U7" s="7" t="s">
        <v>17</v>
      </c>
      <c r="V7" s="7" t="s">
        <v>2741</v>
      </c>
      <c r="W7" s="7" t="s">
        <v>3046</v>
      </c>
      <c r="X7" s="8" t="s">
        <v>3065</v>
      </c>
      <c r="Y7" s="7" t="s">
        <v>4157</v>
      </c>
      <c r="Z7" s="7" t="s">
        <v>4158</v>
      </c>
      <c r="AA7" s="11" t="str">
        <f>"BEGIN
     RETURN exists('DS_IS_RDS', '"&amp;Table362[[#This Row],[Lookup Table]]&amp;"', '"&amp;Table362[[#This Row],[Lookup Field]]&amp;"', "&amp;Table362[[#This Row],[IS Parameter]]&amp;");
END"</f>
        <v>BEGIN
     RETURN exists('DS_IS_RDS', 'T880', 'RCOMP', $P_I_TradingPartner);
END</v>
      </c>
      <c r="AB7" s="11" t="str">
        <f>Table362[[#This Row],[IS Parameter]]&amp;" IS NOT NULL
AND "&amp; Table362[[#This Row],[IS Parameter]]&amp;" != ''"</f>
        <v>$P_I_TradingPartner IS NOT NULL
AND $P_I_TradingPartner != ''</v>
      </c>
      <c r="AC7" s="10" t="s">
        <v>6663</v>
      </c>
      <c r="AD7" s="10"/>
      <c r="AE7" s="13" t="str">
        <f>IF(Table362[[#This Row],[Entity]]="Customer","KUNNR",IF(Table362[[#This Row],[Entity]]="Vendor","LIFNR","MATNR"))&amp;","&amp;Table362[[#This Row],[Field]]</f>
        <v>KUNNR,VBUND</v>
      </c>
      <c r="AF7" s="13" t="str">
        <f>"VW_"&amp;Table362[[#This Row],[New Rule Name]]</f>
        <v>VW_CUS0250_TradingPartnerRef</v>
      </c>
      <c r="AG7" s="11" t="str">
        <f>"create view "&amp;Table362[[#This Row],[View Name]]&amp;" (
     "&amp;IF(Table362[[#This Row],[Entity]]="Customer","KUNNR",IF(Table362[[#This Row],[Entity]]="Vendor","LIFNR","MATNR"))&amp;",
     "&amp;Table362[[#This Row],[Field]]&amp;"
     ) as select
          "&amp;IF(Table362[[#This Row],[Entity]]="Customer","KUNNR",IF(Table362[[#This Row],[Entity]]="Vendor","LIFNR","MATNR"))&amp;",
          "&amp;Table362[[#This Row],[Field]]&amp;" 
     from "&amp;Table362[[#This Row],[Table]]</f>
        <v>create view VW_CUS0250_TradingPartnerRef (
     KUNNR,
     VBUND
     ) as select
          KUNNR,
          VBUND 
     from KNA1</v>
      </c>
      <c r="AH7" s="13" t="str">
        <f>"Potential rule: Verify that each "&amp;Table362[[#This Row],[Lookup Table]]&amp;"-"&amp;Table362[[#This Row],[Lookup Field]]&amp;" exists in "&amp;Table362[[#This Row],[Table]]&amp;"."</f>
        <v>Potential rule: Verify that each T880-RCOMP exists in KNA1.</v>
      </c>
      <c r="AI7" s="20" t="s">
        <v>7625</v>
      </c>
      <c r="AJ7" s="20"/>
      <c r="AK7" s="31">
        <v>25</v>
      </c>
      <c r="AL7" s="31"/>
    </row>
    <row r="8" spans="1:40" s="3" customFormat="1" ht="48" hidden="1" x14ac:dyDescent="0.25">
      <c r="A8" s="9">
        <v>6</v>
      </c>
      <c r="B8" s="7" t="s">
        <v>3973</v>
      </c>
      <c r="C8" s="7" t="s">
        <v>1207</v>
      </c>
      <c r="D8" s="7" t="s">
        <v>6716</v>
      </c>
      <c r="E8" s="7" t="s">
        <v>6717</v>
      </c>
      <c r="F8" s="7" t="s">
        <v>6718</v>
      </c>
      <c r="G8" s="7" t="s">
        <v>6642</v>
      </c>
      <c r="H8" s="7"/>
      <c r="I8" s="7" t="s">
        <v>6436</v>
      </c>
      <c r="J8" s="20" t="e">
        <f>VLOOKUP(V8,Table_to_BRG!A:D,3,FALSE)</f>
        <v>#N/A</v>
      </c>
      <c r="K8" s="20" t="e">
        <f>VLOOKUP(V8,Table_to_BRG!A:D,2,FALSE)</f>
        <v>#N/A</v>
      </c>
      <c r="L8" s="20"/>
      <c r="M8" s="20"/>
      <c r="N8" s="9" t="s">
        <v>6465</v>
      </c>
      <c r="O8" s="54" t="s">
        <v>8306</v>
      </c>
      <c r="P8" s="7" t="s">
        <v>8443</v>
      </c>
      <c r="Q8" s="11"/>
      <c r="R8" s="8" t="s">
        <v>26</v>
      </c>
      <c r="S8" s="7" t="s">
        <v>21</v>
      </c>
      <c r="T8" s="7"/>
      <c r="U8" s="7" t="s">
        <v>27</v>
      </c>
      <c r="V8" s="7"/>
      <c r="W8" s="7" t="s">
        <v>3309</v>
      </c>
      <c r="X8" s="8" t="s">
        <v>3325</v>
      </c>
      <c r="Y8" s="7"/>
      <c r="Z8" s="7"/>
      <c r="AA8" s="10" t="s">
        <v>29</v>
      </c>
      <c r="AB8" s="10"/>
      <c r="AC8" s="10" t="s">
        <v>6813</v>
      </c>
      <c r="AD8" s="41"/>
      <c r="AE8" s="13"/>
      <c r="AF8" s="13"/>
      <c r="AG8" s="11"/>
      <c r="AH8" s="8" t="s">
        <v>7766</v>
      </c>
      <c r="AI8" s="20" t="s">
        <v>6533</v>
      </c>
      <c r="AJ8" s="20"/>
      <c r="AK8" s="31"/>
      <c r="AL8" s="31"/>
    </row>
    <row r="9" spans="1:40" s="3" customFormat="1" ht="84" hidden="1" x14ac:dyDescent="0.25">
      <c r="A9" s="9">
        <v>5</v>
      </c>
      <c r="B9" s="7" t="s">
        <v>3973</v>
      </c>
      <c r="C9" s="7" t="s">
        <v>16</v>
      </c>
      <c r="D9" s="7" t="s">
        <v>6711</v>
      </c>
      <c r="E9" s="7" t="s">
        <v>6714</v>
      </c>
      <c r="F9" s="7" t="s">
        <v>6715</v>
      </c>
      <c r="G9" s="7" t="s">
        <v>6361</v>
      </c>
      <c r="H9" s="7" t="s">
        <v>6650</v>
      </c>
      <c r="I9" s="7"/>
      <c r="J9" s="20" t="str">
        <f>VLOOKUP(V9,Table_to_BRG!A:D,3,FALSE)</f>
        <v>General data</v>
      </c>
      <c r="K9" s="20" t="str">
        <f>VLOOKUP(V9,Table_to_BRG!A:D,2,FALSE)</f>
        <v>General</v>
      </c>
      <c r="L9" s="20"/>
      <c r="M9" s="20"/>
      <c r="N9" s="9"/>
      <c r="O9" s="54"/>
      <c r="P9" s="7" t="s">
        <v>8074</v>
      </c>
      <c r="Q9" s="11" t="str">
        <f>UPPER(LEFT(Table362[[#This Row],[Entity]],3))&amp;RIGHT("00"&amp;Table362[[#This Row],[Rule '# by Entity]],3)&amp;"0_"&amp;MID(SUBSTITUTE(Table362[[#This Row],[Rule Name]],"_","|",3),SEARCH("|",SUBSTITUTE(Table362[[#This Row],[Rule Name]],"_","|",3))+1,LEN(Table362[[#This Row],[Rule Name]]))</f>
        <v>CUS0290_SalesCurrencyPopulated</v>
      </c>
      <c r="R9" s="8" t="s">
        <v>8104</v>
      </c>
      <c r="S9" s="7" t="s">
        <v>21</v>
      </c>
      <c r="T9" s="7"/>
      <c r="U9" s="7" t="s">
        <v>22</v>
      </c>
      <c r="V9" s="7" t="s">
        <v>2741</v>
      </c>
      <c r="W9" s="7" t="s">
        <v>3241</v>
      </c>
      <c r="X9" s="8" t="s">
        <v>3252</v>
      </c>
      <c r="Y9" s="7" t="s">
        <v>5978</v>
      </c>
      <c r="Z9" s="7" t="s">
        <v>5978</v>
      </c>
      <c r="AA9" s="10" t="s">
        <v>5971</v>
      </c>
      <c r="AB9" s="10"/>
      <c r="AC9" s="10" t="s">
        <v>6813</v>
      </c>
      <c r="AD9" s="10"/>
      <c r="AE9" s="13" t="str">
        <f>IF(Table362[[#This Row],[Entity]]="Customer","KUNNR",IF(Table362[[#This Row],[Entity]]="Vendor","LIFNR","MATNR"))&amp;","&amp;Table362[[#This Row],[Field]]</f>
        <v>KUNNR,UWAER</v>
      </c>
      <c r="AF9" s="13" t="str">
        <f>"VW_"&amp;Table362[[#This Row],[New Rule Name]]</f>
        <v>VW_CUS0290_SalesCurrencyPopulated</v>
      </c>
      <c r="AG9" s="11" t="str">
        <f>"create view "&amp;Table362[[#This Row],[View Name]]&amp;" (
     "&amp;IF(Table362[[#This Row],[Entity]]="Customer","KUNNR",IF(Table362[[#This Row],[Entity]]="Vendor","LIFNR","MATNR"))&amp;",
     "&amp;Table362[[#This Row],[Field]]&amp;"
     ) as select
          "&amp;IF(Table362[[#This Row],[Entity]]="Customer","KUNNR",IF(Table362[[#This Row],[Entity]]="Vendor","LIFNR","MATNR"))&amp;",
          "&amp;Table362[[#This Row],[Field]]&amp;" 
     from "&amp;Table362[[#This Row],[Table]]</f>
        <v>create view VW_CUS0290_SalesCurrencyPopulated (
     KUNNR,
     UWAER
     ) as select
          KUNNR,
          UWAER 
     from KNA1</v>
      </c>
      <c r="AH9" s="8"/>
      <c r="AI9" s="20" t="s">
        <v>7809</v>
      </c>
      <c r="AJ9" s="20"/>
      <c r="AK9" s="31">
        <v>29</v>
      </c>
      <c r="AL9" s="31"/>
    </row>
    <row r="10" spans="1:40" s="3" customFormat="1" ht="120" x14ac:dyDescent="0.25">
      <c r="A10" s="9">
        <v>7</v>
      </c>
      <c r="B10" s="7" t="s">
        <v>3973</v>
      </c>
      <c r="C10" s="7" t="s">
        <v>3</v>
      </c>
      <c r="D10" s="7" t="s">
        <v>6711</v>
      </c>
      <c r="E10" s="7" t="s">
        <v>6712</v>
      </c>
      <c r="F10" s="7" t="s">
        <v>6713</v>
      </c>
      <c r="G10" s="7" t="s">
        <v>6379</v>
      </c>
      <c r="H10" s="7" t="s">
        <v>6380</v>
      </c>
      <c r="I10" s="7"/>
      <c r="J10" s="20" t="str">
        <f>VLOOKUP(V10,Table_to_BRG!A:D,3,FALSE)</f>
        <v>Plant data</v>
      </c>
      <c r="K10" s="20" t="str">
        <f>VLOOKUP(V10,Table_to_BRG!A:D,2,FALSE)</f>
        <v>Plant</v>
      </c>
      <c r="L10" s="20"/>
      <c r="M10" s="20"/>
      <c r="N10" s="9"/>
      <c r="O10" s="54"/>
      <c r="P10" s="7" t="s">
        <v>8313</v>
      </c>
      <c r="Q10" s="11" t="str">
        <f>UPPER(LEFT(Table362[[#This Row],[Entity]],3))&amp;RIGHT("00"&amp;Table362[[#This Row],[Rule '# by Entity]],3)&amp;"0_"&amp;MID(SUBSTITUTE(Table362[[#This Row],[Rule Name]],"_","|",3),SEARCH("|",SUBSTITUTE(Table362[[#This Row],[Rule Name]],"_","|",3))+1,LEN(Table362[[#This Row],[Rule Name]]))</f>
        <v>MAT0600_AvailabilityCheckPopulated</v>
      </c>
      <c r="R10" s="8" t="s">
        <v>7981</v>
      </c>
      <c r="S10" s="7" t="s">
        <v>21</v>
      </c>
      <c r="T10"/>
      <c r="U10" s="7" t="s">
        <v>32</v>
      </c>
      <c r="V10" s="7" t="s">
        <v>1527</v>
      </c>
      <c r="W10" s="7" t="s">
        <v>2179</v>
      </c>
      <c r="X10" s="8" t="s">
        <v>8614</v>
      </c>
      <c r="Y10" s="7"/>
      <c r="Z10" s="7"/>
      <c r="AA10" s="10" t="s">
        <v>33</v>
      </c>
      <c r="AB10" s="10"/>
      <c r="AC10" s="10" t="s">
        <v>6813</v>
      </c>
      <c r="AD10" s="10"/>
      <c r="AE10" s="13" t="str">
        <f>IF(Table362[[#This Row],[Entity]]="Customer","KUNNR",IF(Table362[[#This Row],[Entity]]="Vendor","LIFNR","MATNR"))&amp;",WERKS"&amp;","&amp;Table362[[#This Row],[Field]]</f>
        <v>MATNR,WERKS,MTVFP</v>
      </c>
      <c r="AF10" s="13" t="str">
        <f>"VW_"&amp;Table362[[#This Row],[New Rule Name]]</f>
        <v>VW_MAT0600_AvailabilityCheckPopulated</v>
      </c>
      <c r="AG10"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VW_MAT0600_AvailabilityCheckPopulated (
     MATNR,
     WERKS,
     MTVFP
     ) as select
          MATNR,
          WERKS,
          MTVFP 
     from MARC</v>
      </c>
      <c r="AH10" s="8"/>
      <c r="AI10" s="20" t="s">
        <v>7702</v>
      </c>
      <c r="AJ10" s="20"/>
      <c r="AK10" s="31">
        <v>60</v>
      </c>
      <c r="AL10" s="31">
        <v>3</v>
      </c>
    </row>
    <row r="11" spans="1:40" s="3" customFormat="1" ht="60" hidden="1" x14ac:dyDescent="0.25">
      <c r="A11" s="9">
        <v>9</v>
      </c>
      <c r="B11" s="7" t="s">
        <v>3973</v>
      </c>
      <c r="C11" s="7" t="s">
        <v>1207</v>
      </c>
      <c r="D11" s="7" t="s">
        <v>5978</v>
      </c>
      <c r="E11" s="7" t="s">
        <v>5978</v>
      </c>
      <c r="F11" s="7" t="s">
        <v>5978</v>
      </c>
      <c r="G11" s="7"/>
      <c r="H11" s="7"/>
      <c r="I11" s="7"/>
      <c r="J11" s="20" t="str">
        <f>VLOOKUP(V11,Table_to_BRG!A:D,3,FALSE)</f>
        <v>Customer sales data</v>
      </c>
      <c r="K11" s="20" t="str">
        <f>VLOOKUP(V11,Table_to_BRG!A:D,2,FALSE)</f>
        <v>Sales</v>
      </c>
      <c r="L11" s="20"/>
      <c r="M11" s="20"/>
      <c r="N11" s="9" t="s">
        <v>6465</v>
      </c>
      <c r="O11" s="54" t="s">
        <v>8307</v>
      </c>
      <c r="P11" s="7" t="s">
        <v>8444</v>
      </c>
      <c r="Q11" s="11"/>
      <c r="R11" s="8" t="s">
        <v>6481</v>
      </c>
      <c r="S11" s="7" t="s">
        <v>2</v>
      </c>
      <c r="T11" s="7"/>
      <c r="U11" s="7" t="s">
        <v>40</v>
      </c>
      <c r="V11" s="7" t="s">
        <v>3334</v>
      </c>
      <c r="W11" s="7" t="s">
        <v>2499</v>
      </c>
      <c r="X11" s="8" t="s">
        <v>3428</v>
      </c>
      <c r="Y11" s="7" t="s">
        <v>5798</v>
      </c>
      <c r="Z11" s="7" t="s">
        <v>5799</v>
      </c>
      <c r="AA11" s="11" t="str">
        <f>"BEGIN
     RETURN exists('DS_IS_RDS', '"&amp;Table362[[#This Row],[Lookup Table]]&amp;"', '"&amp;Table362[[#This Row],[Lookup Field]]&amp;"', "&amp;Table362[[#This Row],[IS Parameter]]&amp;");
END"</f>
        <v>BEGIN
     RETURN exists('DS_IS_RDS', 'TVSD', 'STGKU', $P_I_StatisticsGroup);
END</v>
      </c>
      <c r="AB11" s="11"/>
      <c r="AC11" s="10" t="s">
        <v>6663</v>
      </c>
      <c r="AD11" s="10"/>
      <c r="AE11" s="50" t="str">
        <f>IF(Table362[[#This Row],[Entity]]="Customer","KUNNR",IF(Table362[[#This Row],[Entity]]="Vendor","LIFNR","MATNR"))&amp;","&amp;Table362[[#This Row],[Field]]</f>
        <v>LIFNR,VERSG</v>
      </c>
      <c r="AF11" s="50"/>
      <c r="AG11" s="51" t="str">
        <f>"create view "&amp;Table362[[#This Row],[View Name]]&amp;" as 
     select 
          "&amp;IF(Table362[[#This Row],[Entity]]="Customer","KUNNR",IF(Table362[[#This Row],[Entity]]="Vendor","LIFNR","MATNR"))&amp;",
          "&amp;Table362[[#This Row],[Field]]&amp;" 
     from "&amp;Table362[[#This Row],[Table]]</f>
        <v>create view  as 
     select 
          LIFNR,
          VERSG 
     from KNVV</v>
      </c>
      <c r="AH11" s="8"/>
      <c r="AI11" s="20" t="s">
        <v>7644</v>
      </c>
      <c r="AJ11" s="20"/>
      <c r="AK11" s="31"/>
      <c r="AL11" s="31"/>
    </row>
    <row r="12" spans="1:40" s="3" customFormat="1" ht="48" hidden="1" x14ac:dyDescent="0.25">
      <c r="A12" s="9">
        <v>10</v>
      </c>
      <c r="B12" s="7" t="s">
        <v>3973</v>
      </c>
      <c r="C12" s="7" t="s">
        <v>1207</v>
      </c>
      <c r="D12" s="7" t="s">
        <v>6719</v>
      </c>
      <c r="E12" s="7" t="s">
        <v>6720</v>
      </c>
      <c r="F12" s="7" t="s">
        <v>6722</v>
      </c>
      <c r="G12" s="7" t="s">
        <v>6361</v>
      </c>
      <c r="H12" s="7" t="s">
        <v>6363</v>
      </c>
      <c r="I12" s="7" t="s">
        <v>3971</v>
      </c>
      <c r="J12" s="20" t="str">
        <f>VLOOKUP(V12,Table_to_BRG!A:D,3,FALSE)</f>
        <v>General data</v>
      </c>
      <c r="K12" s="20" t="str">
        <f>VLOOKUP(V12,Table_to_BRG!A:D,2,FALSE)</f>
        <v>General</v>
      </c>
      <c r="L12" s="20"/>
      <c r="M12" s="20"/>
      <c r="N12" s="9" t="s">
        <v>6465</v>
      </c>
      <c r="O12" s="54" t="s">
        <v>8308</v>
      </c>
      <c r="P12" s="8" t="s">
        <v>8445</v>
      </c>
      <c r="Q12" s="11"/>
      <c r="R12" s="8" t="s">
        <v>8240</v>
      </c>
      <c r="S12" s="7" t="s">
        <v>2</v>
      </c>
      <c r="T12" s="7"/>
      <c r="U12" s="7" t="s">
        <v>44</v>
      </c>
      <c r="V12" s="8" t="s">
        <v>3542</v>
      </c>
      <c r="W12" s="8" t="s">
        <v>3055</v>
      </c>
      <c r="X12" s="8" t="s">
        <v>1412</v>
      </c>
      <c r="Y12" s="7" t="s">
        <v>5979</v>
      </c>
      <c r="Z12" s="7" t="s">
        <v>3045</v>
      </c>
      <c r="AA12" s="11" t="str">
        <f>"BEGIN
     RETURN exists('DS_IS_RDS', '"&amp;Table362[[#This Row],[Lookup Table]]&amp;"', '"&amp;Table362[[#This Row],[Lookup Field]]&amp;"', "&amp;Table362[[#This Row],[IS Parameter]]&amp;");
END"</f>
        <v>BEGIN
     RETURN exists('DS_IS_RDS', 'M_KREDA', 'LIFNR', $P_I_TaxNumber);
END</v>
      </c>
      <c r="AB12" s="11"/>
      <c r="AC12" s="10" t="s">
        <v>6663</v>
      </c>
      <c r="AD12" s="10"/>
      <c r="AE12" s="13"/>
      <c r="AF12" s="13"/>
      <c r="AG12" s="11"/>
      <c r="AH12" s="8"/>
      <c r="AI12" s="20" t="s">
        <v>7655</v>
      </c>
      <c r="AJ12" s="20"/>
      <c r="AK12" s="31"/>
      <c r="AL12" s="31"/>
    </row>
    <row r="13" spans="1:40" s="3" customFormat="1" ht="84" hidden="1" x14ac:dyDescent="0.25">
      <c r="A13" s="9">
        <v>8</v>
      </c>
      <c r="B13" s="7" t="s">
        <v>3973</v>
      </c>
      <c r="C13" s="7" t="s">
        <v>16</v>
      </c>
      <c r="D13" s="7" t="s">
        <v>6719</v>
      </c>
      <c r="E13" s="7" t="s">
        <v>6720</v>
      </c>
      <c r="F13" s="7" t="s">
        <v>6721</v>
      </c>
      <c r="G13" s="7" t="s">
        <v>6358</v>
      </c>
      <c r="H13" s="7" t="s">
        <v>6649</v>
      </c>
      <c r="I13" s="7"/>
      <c r="J13" s="20" t="str">
        <f>VLOOKUP(V13,Table_to_BRG!A:D,3,FALSE)</f>
        <v>Company Code data</v>
      </c>
      <c r="K13" s="20" t="str">
        <f>VLOOKUP(V13,Table_to_BRG!A:D,2,FALSE)</f>
        <v>Company Code</v>
      </c>
      <c r="L13" s="20"/>
      <c r="M13" s="20"/>
      <c r="N13" s="9"/>
      <c r="O13" s="54"/>
      <c r="P13" s="7" t="s">
        <v>8075</v>
      </c>
      <c r="Q13" s="11" t="str">
        <f>UPPER(LEFT(Table362[[#This Row],[Entity]],3))&amp;RIGHT("00"&amp;Table362[[#This Row],[Rule '# by Entity]],3)&amp;"0_"&amp;MID(SUBSTITUTE(Table362[[#This Row],[Rule Name]],"_","|",3),SEARCH("|",SUBSTITUTE(Table362[[#This Row],[Rule Name]],"_","|",3))+1,LEN(Table362[[#This Row],[Rule Name]]))</f>
        <v>CUS0390_CompanyCodePopulated</v>
      </c>
      <c r="R13" s="8" t="s">
        <v>8105</v>
      </c>
      <c r="S13" s="7" t="s">
        <v>21</v>
      </c>
      <c r="T13" s="7"/>
      <c r="U13" s="7" t="s">
        <v>36</v>
      </c>
      <c r="V13" s="8" t="s">
        <v>2740</v>
      </c>
      <c r="W13" s="8" t="s">
        <v>2706</v>
      </c>
      <c r="X13" s="8" t="s">
        <v>1190</v>
      </c>
      <c r="Y13" s="7" t="s">
        <v>5978</v>
      </c>
      <c r="Z13" s="7" t="s">
        <v>5978</v>
      </c>
      <c r="AA13" s="10" t="s">
        <v>37</v>
      </c>
      <c r="AB13" s="10"/>
      <c r="AC13" s="10" t="s">
        <v>6813</v>
      </c>
      <c r="AD13" s="10"/>
      <c r="AE13" s="13" t="str">
        <f>IF(Table362[[#This Row],[Entity]]="Customer","KUNNR",IF(Table362[[#This Row],[Entity]]="Vendor","LIFNR","MATNR"))&amp;","&amp;Table362[[#This Row],[Field]]</f>
        <v>KUNNR,BUKRS</v>
      </c>
      <c r="AF13" s="13" t="str">
        <f>"VW_"&amp;Table362[[#This Row],[New Rule Name]]</f>
        <v>VW_CUS0390_CompanyCodePopulated</v>
      </c>
      <c r="AG13" s="11" t="str">
        <f>"create view "&amp;Table362[[#This Row],[View Name]]&amp;" (
     "&amp;IF(Table362[[#This Row],[Entity]]="Customer","KUNNR",IF(Table362[[#This Row],[Entity]]="Vendor","LIFNR","MATNR"))&amp;",
     "&amp;Table362[[#This Row],[Field]]&amp;"
     ) as select
          "&amp;IF(Table362[[#This Row],[Entity]]="Customer","KUNNR",IF(Table362[[#This Row],[Entity]]="Vendor","LIFNR","MATNR"))&amp;",
          "&amp;Table362[[#This Row],[Field]]&amp;" 
     from "&amp;Table362[[#This Row],[Table]]</f>
        <v>create view VW_CUS0390_CompanyCodePopulated (
     KUNNR,
     BUKRS
     ) as select
          KUNNR,
          BUKRS 
     from KNB1</v>
      </c>
      <c r="AH13" s="8"/>
      <c r="AI13" s="20" t="s">
        <v>7640</v>
      </c>
      <c r="AJ13" s="20"/>
      <c r="AK13" s="31">
        <v>39</v>
      </c>
      <c r="AL13" s="31"/>
    </row>
    <row r="14" spans="1:40" s="3" customFormat="1" ht="108" x14ac:dyDescent="0.25">
      <c r="A14" s="9">
        <v>11</v>
      </c>
      <c r="B14" s="7" t="s">
        <v>3973</v>
      </c>
      <c r="C14" s="7" t="s">
        <v>3</v>
      </c>
      <c r="D14" s="7" t="s">
        <v>6711</v>
      </c>
      <c r="E14" s="7" t="s">
        <v>6712</v>
      </c>
      <c r="F14" s="7" t="s">
        <v>6713</v>
      </c>
      <c r="G14" s="7" t="s">
        <v>6703</v>
      </c>
      <c r="H14" s="7" t="s">
        <v>6373</v>
      </c>
      <c r="I14" s="7"/>
      <c r="J14" s="20" t="str">
        <f>VLOOKUP(V14,Table_to_BRG!A:D,3,FALSE)</f>
        <v>Plant data</v>
      </c>
      <c r="K14" s="20" t="str">
        <f>VLOOKUP(V14,Table_to_BRG!A:D,2,FALSE)</f>
        <v>Plant</v>
      </c>
      <c r="L14" s="20"/>
      <c r="M14" s="20"/>
      <c r="N14" s="9"/>
      <c r="O14" s="54"/>
      <c r="P14" s="7" t="s">
        <v>8314</v>
      </c>
      <c r="Q14" s="11" t="str">
        <f>UPPER(LEFT(Table362[[#This Row],[Entity]],3))&amp;RIGHT("00"&amp;Table362[[#This Row],[Rule '# by Entity]],3)&amp;"0_"&amp;MID(SUBSTITUTE(Table362[[#This Row],[Rule Name]],"_","|",3),SEARCH("|",SUBSTITUTE(Table362[[#This Row],[Rule Name]],"_","|",3))+1,LEN(Table362[[#This Row],[Rule Name]]))</f>
        <v>MAT0410_MRPTypeRef</v>
      </c>
      <c r="R14" s="8" t="s">
        <v>7907</v>
      </c>
      <c r="S14" s="7" t="s">
        <v>2</v>
      </c>
      <c r="T14" s="7"/>
      <c r="U14" s="7" t="s">
        <v>48</v>
      </c>
      <c r="V14" s="7" t="s">
        <v>1527</v>
      </c>
      <c r="W14" s="7" t="s">
        <v>2047</v>
      </c>
      <c r="X14" s="8" t="s">
        <v>1278</v>
      </c>
      <c r="Y14" s="7" t="s">
        <v>4146</v>
      </c>
      <c r="Z14" s="7" t="s">
        <v>2047</v>
      </c>
      <c r="AA14" s="11" t="str">
        <f>"BEGIN
     RETURN exists('DS_IS_RDS', '"&amp;Table362[[#This Row],[Lookup Table]]&amp;"', '"&amp;Table362[[#This Row],[Lookup Field]]&amp;"', "&amp;Table362[[#This Row],[IS Parameter]]&amp;");
END"</f>
        <v>BEGIN
     RETURN exists('DS_IS_RDS', 'T438A', 'DISMM', $P_I_MRPType);
END</v>
      </c>
      <c r="AB14" s="11" t="str">
        <f>Table362[[#This Row],[IS Parameter]]&amp;" IS NOT NULL AND rtrim("&amp;Table362[[#This Row],[IS Parameter]]&amp;", ' ') != ''"</f>
        <v>$P_I_MRPType IS NOT NULL AND rtrim($P_I_MRPType, ' ') != ''</v>
      </c>
      <c r="AC14" s="10" t="s">
        <v>6663</v>
      </c>
      <c r="AD14" s="10"/>
      <c r="AE14" s="13" t="str">
        <f>IF(Table362[[#This Row],[Entity]]="Customer","KUNNR",IF(Table362[[#This Row],[Entity]]="Vendor","LIFNR","MATNR"))&amp;",WERKS"&amp;","&amp;Table362[[#This Row],[Field]]</f>
        <v>MATNR,WERKS,DISMM</v>
      </c>
      <c r="AF14" s="13" t="str">
        <f>"VW_"&amp;Table362[[#This Row],[New Rule Name]]</f>
        <v>VW_MAT0410_MRPTypeRef</v>
      </c>
      <c r="AG14"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VW_MAT0410_MRPTypeRef (
     MATNR,
     WERKS,
     DISMM
     ) as select
          MATNR,
          WERKS,
          DISMM 
     from MARC</v>
      </c>
      <c r="AH14" s="8"/>
      <c r="AI14" s="20" t="s">
        <v>7703</v>
      </c>
      <c r="AJ14" s="20"/>
      <c r="AK14" s="31">
        <v>41</v>
      </c>
      <c r="AL14" s="31"/>
    </row>
    <row r="15" spans="1:40" s="3" customFormat="1" ht="144" hidden="1" x14ac:dyDescent="0.25">
      <c r="A15" s="9">
        <v>12</v>
      </c>
      <c r="B15" s="7" t="s">
        <v>3973</v>
      </c>
      <c r="C15" s="7" t="s">
        <v>16</v>
      </c>
      <c r="D15" s="7" t="s">
        <v>6716</v>
      </c>
      <c r="E15" s="7" t="s">
        <v>6717</v>
      </c>
      <c r="F15" s="7" t="s">
        <v>6723</v>
      </c>
      <c r="G15" s="7" t="s">
        <v>6365</v>
      </c>
      <c r="H15" s="7" t="s">
        <v>6366</v>
      </c>
      <c r="I15" s="7" t="s">
        <v>3971</v>
      </c>
      <c r="J15" s="20" t="str">
        <f>VLOOKUP(V15,Table_to_BRG!A:D,3,FALSE)</f>
        <v>Tax data</v>
      </c>
      <c r="K15" s="20" t="str">
        <f>VLOOKUP(V15,Table_to_BRG!A:D,2,FALSE)</f>
        <v>Tax indicator</v>
      </c>
      <c r="L15" s="20"/>
      <c r="M15" s="20"/>
      <c r="N15" s="9"/>
      <c r="O15" s="54"/>
      <c r="P15" s="7" t="s">
        <v>8076</v>
      </c>
      <c r="Q15" s="11" t="str">
        <f>UPPER(LEFT(Table362[[#This Row],[Entity]],3))&amp;RIGHT("00"&amp;Table362[[#This Row],[Rule '# by Entity]],3)&amp;"0_"&amp;MID(SUBSTITUTE(Table362[[#This Row],[Rule Name]],"_","|",3),SEARCH("|",SUBSTITUTE(Table362[[#This Row],[Rule Name]],"_","|",3))+1,LEN(Table362[[#This Row],[Rule Name]]))</f>
        <v>CUS0740_TaxClassificationPopulated</v>
      </c>
      <c r="R15" s="8" t="s">
        <v>8106</v>
      </c>
      <c r="S15" s="7" t="s">
        <v>21</v>
      </c>
      <c r="T15" s="7"/>
      <c r="U15" s="7" t="s">
        <v>52</v>
      </c>
      <c r="V15" s="7" t="s">
        <v>3328</v>
      </c>
      <c r="W15" s="7" t="s">
        <v>3305</v>
      </c>
      <c r="X15" s="8" t="s">
        <v>3321</v>
      </c>
      <c r="Y15" s="7" t="s">
        <v>5978</v>
      </c>
      <c r="Z15" s="7" t="s">
        <v>5978</v>
      </c>
      <c r="AA15" s="10" t="s">
        <v>53</v>
      </c>
      <c r="AB15" s="10"/>
      <c r="AC15" s="10" t="s">
        <v>6813</v>
      </c>
      <c r="AD15" s="10"/>
      <c r="AE15" s="13" t="str">
        <f>IF(Table362[[#This Row],[Entity]]="Customer","KUNNR",IF(Table362[[#This Row],[Entity]]="Vendor","LIFNR","MATNR"))&amp;",ALAND,TATYP"&amp;","&amp;Table362[[#This Row],[Field]]</f>
        <v>KUNNR,ALAND,TATYP,TAXKD</v>
      </c>
      <c r="AF15" s="13" t="str">
        <f>"VW_"&amp;Table362[[#This Row],[New Rule Name]]</f>
        <v>VW_CUS0740_TaxClassificationPopulated</v>
      </c>
      <c r="AG15" s="11" t="str">
        <f>"create view "&amp;Table362[[#This Row],[View Name]]&amp;" (
     "&amp;IF(Table362[[#This Row],[Entity]]="Customer","KUNNR",IF(Table362[[#This Row],[Entity]]="Vendor","LIFNR","MATNR"))&amp;",
     ALAND,
     TATYP,
     "&amp;Table362[[#This Row],[Field]]&amp;"
     ) as select
          "&amp;IF(Table362[[#This Row],[Entity]]="Customer","KUNNR",IF(Table362[[#This Row],[Entity]]="Vendor","LIFNR","MATNR"))&amp;",
          ALAND,
          TATYP,
          "&amp;Table362[[#This Row],[Field]]&amp;" 
     from "&amp;Table362[[#This Row],[Table]]</f>
        <v>create view VW_CUS0740_TaxClassificationPopulated (
     KUNNR,
     ALAND,
     TATYP,
     TAXKD
     ) as select
          KUNNR,
          ALAND,
          TATYP,
          TAXKD 
     from KNVI</v>
      </c>
      <c r="AH15" s="8"/>
      <c r="AI15" s="20" t="s">
        <v>7650</v>
      </c>
      <c r="AJ15" s="20"/>
      <c r="AK15" s="31">
        <v>74</v>
      </c>
      <c r="AL15" s="31"/>
    </row>
    <row r="16" spans="1:40" s="3" customFormat="1" ht="132" hidden="1" x14ac:dyDescent="0.25">
      <c r="A16" s="9">
        <v>13</v>
      </c>
      <c r="B16" s="7" t="s">
        <v>3973</v>
      </c>
      <c r="C16" s="7" t="s">
        <v>16</v>
      </c>
      <c r="D16" s="7" t="s">
        <v>6711</v>
      </c>
      <c r="E16" s="7" t="s">
        <v>6714</v>
      </c>
      <c r="F16" s="7" t="s">
        <v>6724</v>
      </c>
      <c r="G16" s="7" t="s">
        <v>6365</v>
      </c>
      <c r="H16" s="7" t="s">
        <v>2759</v>
      </c>
      <c r="I16" s="7"/>
      <c r="J16" s="20" t="str">
        <f>VLOOKUP(V16,Table_to_BRG!A:D,3,FALSE)</f>
        <v>Customer sales data</v>
      </c>
      <c r="K16" s="20" t="str">
        <f>VLOOKUP(V16,Table_to_BRG!A:D,2,FALSE)</f>
        <v>Sales</v>
      </c>
      <c r="L16" s="20"/>
      <c r="M16" s="20"/>
      <c r="N16" s="9"/>
      <c r="O16" s="54"/>
      <c r="P16" s="7" t="s">
        <v>8077</v>
      </c>
      <c r="Q16" s="11" t="str">
        <f>UPPER(LEFT(Table362[[#This Row],[Entity]],3))&amp;RIGHT("00"&amp;Table362[[#This Row],[Rule '# by Entity]],3)&amp;"0_"&amp;MID(SUBSTITUTE(Table362[[#This Row],[Rule Name]],"_","|",3),SEARCH("|",SUBSTITUTE(Table362[[#This Row],[Rule Name]],"_","|",3))+1,LEN(Table362[[#This Row],[Rule Name]]))</f>
        <v>CUS0910_DivisionPopulated</v>
      </c>
      <c r="R16" s="8" t="s">
        <v>8132</v>
      </c>
      <c r="S16" s="7" t="s">
        <v>21</v>
      </c>
      <c r="T16" s="7"/>
      <c r="U16" s="7" t="s">
        <v>56</v>
      </c>
      <c r="V16" s="7" t="s">
        <v>3334</v>
      </c>
      <c r="W16" s="7" t="s">
        <v>1498</v>
      </c>
      <c r="X16" s="8" t="s">
        <v>1234</v>
      </c>
      <c r="Y16" s="7" t="s">
        <v>5978</v>
      </c>
      <c r="Z16" s="7" t="s">
        <v>5978</v>
      </c>
      <c r="AA16" s="10" t="s">
        <v>57</v>
      </c>
      <c r="AB16" s="10"/>
      <c r="AC16" s="10" t="s">
        <v>6813</v>
      </c>
      <c r="AD16" s="10"/>
      <c r="AE16" s="13" t="s">
        <v>6931</v>
      </c>
      <c r="AF16" s="13" t="str">
        <f>"VW_"&amp;Table362[[#This Row],[New Rule Name]]</f>
        <v>VW_CUS0910_DivisionPopulated</v>
      </c>
      <c r="AG16" s="11" t="str">
        <f>"create view "&amp;Table362[[#This Row],[View Name]]&amp;" (
     "&amp;IF(Table362[[#This Row],[Entity]]="Customer","KUNNR",IF(Table362[[#This Row],[Entity]]="Vendor","LIFNR","MATNR"))&amp;",
     VKORG,
     VTWEG,
     "&amp;Table362[[#This Row],[Field]]&amp;"
     ) as select
          "&amp;IF(Table362[[#This Row],[Entity]]="Customer","KUNNR",IF(Table362[[#This Row],[Entity]]="Vendor","LIFNR","MATNR"))&amp;",
          VKORG,
          VTWEG,
          "&amp;Table362[[#This Row],[Field]]&amp;" 
     from "&amp;Table362[[#This Row],[Table]]</f>
        <v>create view VW_CUS0910_DivisionPopulated (
     KUNNR,
     VKORG,
     VTWEG,
     SPART
     ) as select
          KUNNR,
          VKORG,
          VTWEG,
          SPART 
     from KNVV</v>
      </c>
      <c r="AH16" s="8"/>
      <c r="AI16" s="20" t="s">
        <v>7704</v>
      </c>
      <c r="AJ16" s="20"/>
      <c r="AK16" s="31">
        <v>91</v>
      </c>
      <c r="AL16" s="31"/>
    </row>
    <row r="17" spans="1:38" s="3" customFormat="1" ht="96" x14ac:dyDescent="0.25">
      <c r="A17" s="9">
        <v>14</v>
      </c>
      <c r="B17" s="7" t="s">
        <v>3973</v>
      </c>
      <c r="C17" s="7" t="s">
        <v>3</v>
      </c>
      <c r="D17" s="7" t="s">
        <v>6711</v>
      </c>
      <c r="E17" s="7" t="s">
        <v>6712</v>
      </c>
      <c r="F17" s="7" t="s">
        <v>6725</v>
      </c>
      <c r="G17" s="7" t="s">
        <v>6379</v>
      </c>
      <c r="H17" s="7" t="s">
        <v>6380</v>
      </c>
      <c r="I17" s="7"/>
      <c r="J17" s="20" t="str">
        <f>VLOOKUP(V17,Table_to_BRG!A:D,3,FALSE)</f>
        <v>General data</v>
      </c>
      <c r="K17" s="20" t="str">
        <f>VLOOKUP(V17,Table_to_BRG!A:D,2,FALSE)</f>
        <v>General</v>
      </c>
      <c r="L17" s="20"/>
      <c r="M17" s="20"/>
      <c r="N17" s="9"/>
      <c r="O17" s="54"/>
      <c r="P17" s="7" t="s">
        <v>8315</v>
      </c>
      <c r="Q17" s="11" t="str">
        <f>UPPER(LEFT(Table362[[#This Row],[Entity]],3))&amp;RIGHT("00"&amp;Table362[[#This Row],[Rule '# by Entity]],3)&amp;"0_"&amp;MID(SUBSTITUTE(Table362[[#This Row],[Rule Name]],"_","|",3),SEARCH("|",SUBSTITUTE(Table362[[#This Row],[Rule Name]],"_","|",3))+1,LEN(Table362[[#This Row],[Rule Name]]))</f>
        <v>MAT0160_TransportationGroupPopulated</v>
      </c>
      <c r="R17" s="8" t="s">
        <v>7983</v>
      </c>
      <c r="S17" s="7" t="s">
        <v>21</v>
      </c>
      <c r="T17"/>
      <c r="U17" s="7" t="s">
        <v>60</v>
      </c>
      <c r="V17" s="7" t="s">
        <v>1526</v>
      </c>
      <c r="W17" s="7" t="s">
        <v>2393</v>
      </c>
      <c r="X17" s="8" t="s">
        <v>8636</v>
      </c>
      <c r="Y17" s="7" t="s">
        <v>5978</v>
      </c>
      <c r="Z17" s="7" t="s">
        <v>5978</v>
      </c>
      <c r="AA17" s="10" t="s">
        <v>61</v>
      </c>
      <c r="AB17" s="10"/>
      <c r="AC17" s="10" t="s">
        <v>6813</v>
      </c>
      <c r="AD17" s="10"/>
      <c r="AE17" s="13" t="str">
        <f>IF(Table362[[#This Row],[Entity]]="Customer","KUNNR",IF(Table362[[#This Row],[Entity]]="Vendor","LIFNR","MATNR"))&amp;","&amp;Table362[[#This Row],[Field]]</f>
        <v>MATNR,TRAGR</v>
      </c>
      <c r="AF17" s="13" t="str">
        <f>"VW_"&amp;Table362[[#This Row],[New Rule Name]]</f>
        <v>VW_MAT0160_TransportationGroupPopulated</v>
      </c>
      <c r="AG17" s="11" t="str">
        <f>"create view "&amp;Table362[[#This Row],[View Name]]&amp;" (
     "&amp;IF(Table362[[#This Row],[Entity]]="Customer","KUNNR",IF(Table362[[#This Row],[Entity]]="Vendor","LIFNR","MATNR"))&amp;",
     "&amp;Table362[[#This Row],[Field]]&amp;"
     ) as select
          "&amp;IF(Table362[[#This Row],[Entity]]="Customer","KUNNR",IF(Table362[[#This Row],[Entity]]="Vendor","LIFNR","MATNR"))&amp;",
          "&amp;Table362[[#This Row],[Field]]&amp;" 
     from "&amp;Table362[[#This Row],[Table]]</f>
        <v>create view VW_MAT0160_TransportationGroupPopulated (
     MATNR,
     TRAGR
     ) as select
          MATNR,
          TRAGR 
     from MARA</v>
      </c>
      <c r="AH17" s="8"/>
      <c r="AI17" s="20" t="s">
        <v>7707</v>
      </c>
      <c r="AJ17" s="20"/>
      <c r="AK17" s="31">
        <v>16</v>
      </c>
      <c r="AL17" s="31"/>
    </row>
    <row r="18" spans="1:38" s="3" customFormat="1" ht="108" x14ac:dyDescent="0.25">
      <c r="A18" s="9">
        <v>15</v>
      </c>
      <c r="B18" s="7" t="s">
        <v>3973</v>
      </c>
      <c r="C18" s="7" t="s">
        <v>3</v>
      </c>
      <c r="D18" s="7" t="s">
        <v>6711</v>
      </c>
      <c r="E18" s="7" t="s">
        <v>6712</v>
      </c>
      <c r="F18" s="7" t="s">
        <v>6713</v>
      </c>
      <c r="G18" s="7" t="s">
        <v>6703</v>
      </c>
      <c r="H18" s="7" t="s">
        <v>6374</v>
      </c>
      <c r="I18" s="7"/>
      <c r="J18" s="20" t="str">
        <f>VLOOKUP(V18,Table_to_BRG!A:D,3,FALSE)</f>
        <v>Plant data</v>
      </c>
      <c r="K18" s="20" t="str">
        <f>VLOOKUP(V18,Table_to_BRG!A:D,2,FALSE)</f>
        <v>Plant</v>
      </c>
      <c r="L18" s="20"/>
      <c r="M18" s="20"/>
      <c r="N18" s="9"/>
      <c r="O18" s="54"/>
      <c r="P18" s="7" t="s">
        <v>8316</v>
      </c>
      <c r="Q18" s="11" t="str">
        <f>UPPER(LEFT(Table362[[#This Row],[Entity]],3))&amp;RIGHT("00"&amp;Table362[[#This Row],[Rule '# by Entity]],3)&amp;"0_"&amp;MID(SUBSTITUTE(Table362[[#This Row],[Rule Name]],"_","|",3),SEARCH("|",SUBSTITUTE(Table362[[#This Row],[Rule Name]],"_","|",3))+1,LEN(Table362[[#This Row],[Rule Name]]))</f>
        <v>MAT0540_SchedulingMarginKeyRef</v>
      </c>
      <c r="R18" s="8" t="s">
        <v>7908</v>
      </c>
      <c r="S18" s="7" t="s">
        <v>2</v>
      </c>
      <c r="T18" s="7"/>
      <c r="U18" s="7" t="s">
        <v>64</v>
      </c>
      <c r="V18" s="7" t="s">
        <v>1527</v>
      </c>
      <c r="W18" s="7" t="s">
        <v>2126</v>
      </c>
      <c r="X18" s="8" t="s">
        <v>2150</v>
      </c>
      <c r="Y18" s="7" t="s">
        <v>4163</v>
      </c>
      <c r="Z18" s="7" t="s">
        <v>2126</v>
      </c>
      <c r="AA18" s="11" t="str">
        <f>"BEGIN
     RETURN exists('DS_IS_RDS', '"&amp;Table362[[#This Row],[Lookup Table]]&amp;"', '"&amp;Table362[[#This Row],[Lookup Field]]&amp;"', "&amp;Table362[[#This Row],[IS Parameter]]&amp;");
END"</f>
        <v>BEGIN
     RETURN exists('DS_IS_RDS', 'T436A', 'FHORI', $P_I_SchedulingMarginKey);
END</v>
      </c>
      <c r="AB18" s="11" t="str">
        <f>Table362[[#This Row],[IS Parameter]]&amp;" IS NOT NULL AND rtrim("&amp;Table362[[#This Row],[IS Parameter]]&amp;", ' ') != ''"</f>
        <v>$P_I_SchedulingMarginKey IS NOT NULL AND rtrim($P_I_SchedulingMarginKey, ' ') != ''</v>
      </c>
      <c r="AC18" s="10" t="s">
        <v>6663</v>
      </c>
      <c r="AD18" s="10"/>
      <c r="AE18" s="13" t="str">
        <f>IF(Table362[[#This Row],[Entity]]="Customer","KUNNR",IF(Table362[[#This Row],[Entity]]="Vendor","LIFNR","MATNR"))&amp;",WERKS"&amp;","&amp;Table362[[#This Row],[Field]]</f>
        <v>MATNR,WERKS,FHORI</v>
      </c>
      <c r="AF18" s="13" t="str">
        <f>"VW_"&amp;Table362[[#This Row],[New Rule Name]]</f>
        <v>VW_MAT0540_SchedulingMarginKeyRef</v>
      </c>
      <c r="AG18"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VW_MAT0540_SchedulingMarginKeyRef (
     MATNR,
     WERKS,
     FHORI
     ) as select
          MATNR,
          WERKS,
          FHORI 
     from MARC</v>
      </c>
      <c r="AH18" s="8"/>
      <c r="AI18" s="20" t="s">
        <v>7712</v>
      </c>
      <c r="AJ18" s="20"/>
      <c r="AK18" s="31">
        <v>54</v>
      </c>
      <c r="AL18" s="31"/>
    </row>
    <row r="19" spans="1:38" s="3" customFormat="1" ht="108" x14ac:dyDescent="0.25">
      <c r="A19" s="9">
        <v>16</v>
      </c>
      <c r="B19" s="7" t="s">
        <v>3973</v>
      </c>
      <c r="C19" s="7" t="s">
        <v>3</v>
      </c>
      <c r="D19" s="7" t="s">
        <v>6711</v>
      </c>
      <c r="E19" s="7" t="s">
        <v>6712</v>
      </c>
      <c r="F19" s="7" t="s">
        <v>6713</v>
      </c>
      <c r="G19" s="7" t="s">
        <v>6379</v>
      </c>
      <c r="H19" s="7" t="s">
        <v>6380</v>
      </c>
      <c r="I19" s="7"/>
      <c r="J19" s="20" t="str">
        <f>VLOOKUP(V19,Table_to_BRG!A:D,3,FALSE)</f>
        <v>Plant data</v>
      </c>
      <c r="K19" s="20" t="str">
        <f>VLOOKUP(V19,Table_to_BRG!A:D,2,FALSE)</f>
        <v>Plant</v>
      </c>
      <c r="L19" s="20"/>
      <c r="M19" s="20"/>
      <c r="N19" s="9"/>
      <c r="O19" s="54"/>
      <c r="P19" s="7" t="s">
        <v>8317</v>
      </c>
      <c r="Q19" s="11" t="str">
        <f>UPPER(LEFT(Table362[[#This Row],[Entity]],3))&amp;RIGHT("00"&amp;Table362[[#This Row],[Rule '# by Entity]],3)&amp;"0_"&amp;MID(SUBSTITUTE(Table362[[#This Row],[Rule Name]],"_","|",3),SEARCH("|",SUBSTITUTE(Table362[[#This Row],[Rule Name]],"_","|",3))+1,LEN(Table362[[#This Row],[Rule Name]]))</f>
        <v>MAT0570_LoadingGroupPopulated</v>
      </c>
      <c r="R19" s="8" t="s">
        <v>7984</v>
      </c>
      <c r="S19" s="7" t="s">
        <v>21</v>
      </c>
      <c r="T19"/>
      <c r="U19" s="7" t="s">
        <v>68</v>
      </c>
      <c r="V19" s="7" t="s">
        <v>1527</v>
      </c>
      <c r="W19" s="7" t="s">
        <v>2394</v>
      </c>
      <c r="X19" s="8" t="s">
        <v>8622</v>
      </c>
      <c r="Y19" s="7" t="s">
        <v>5978</v>
      </c>
      <c r="Z19" s="7" t="s">
        <v>5978</v>
      </c>
      <c r="AA19" s="10" t="s">
        <v>69</v>
      </c>
      <c r="AB19" s="10"/>
      <c r="AC19" s="10" t="s">
        <v>6813</v>
      </c>
      <c r="AD19" s="10"/>
      <c r="AE19" s="13" t="str">
        <f>IF(Table362[[#This Row],[Entity]]="Customer","KUNNR",IF(Table362[[#This Row],[Entity]]="Vendor","LIFNR","MATNR"))&amp;",WERKS"&amp;","&amp;Table362[[#This Row],[Field]]</f>
        <v>MATNR,WERKS,LADGR</v>
      </c>
      <c r="AF19" s="13" t="str">
        <f>"VW_"&amp;Table362[[#This Row],[New Rule Name]]</f>
        <v>VW_MAT0570_LoadingGroupPopulated</v>
      </c>
      <c r="AG19"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VW_MAT0570_LoadingGroupPopulated (
     MATNR,
     WERKS,
     LADGR
     ) as select
          MATNR,
          WERKS,
          LADGR 
     from MARC</v>
      </c>
      <c r="AH19" s="8"/>
      <c r="AI19" s="20" t="s">
        <v>7713</v>
      </c>
      <c r="AJ19" s="20"/>
      <c r="AK19" s="31">
        <v>57</v>
      </c>
      <c r="AL19" s="31"/>
    </row>
    <row r="20" spans="1:38" s="3" customFormat="1" ht="96" hidden="1" x14ac:dyDescent="0.25">
      <c r="A20" s="9" t="s">
        <v>7609</v>
      </c>
      <c r="B20" s="7" t="s">
        <v>3973</v>
      </c>
      <c r="C20" s="7" t="s">
        <v>16</v>
      </c>
      <c r="D20" s="7" t="s">
        <v>6711</v>
      </c>
      <c r="E20" s="7" t="s">
        <v>6714</v>
      </c>
      <c r="F20" s="7" t="s">
        <v>6715</v>
      </c>
      <c r="G20" s="7" t="s">
        <v>6361</v>
      </c>
      <c r="H20" s="7" t="s">
        <v>6364</v>
      </c>
      <c r="I20" s="7"/>
      <c r="J20" s="20" t="str">
        <f>VLOOKUP(V20,Table_to_BRG!A:D,3,FALSE)</f>
        <v>General data</v>
      </c>
      <c r="K20" s="20" t="str">
        <f>VLOOKUP(V20,Table_to_BRG!A:D,2,FALSE)</f>
        <v>General</v>
      </c>
      <c r="L20" s="20"/>
      <c r="M20" s="20"/>
      <c r="N20" s="9"/>
      <c r="O20" s="54"/>
      <c r="P20" s="7" t="s">
        <v>8067</v>
      </c>
      <c r="Q20" s="11" t="str">
        <f>UPPER(LEFT(Table362[[#This Row],[Entity]],3))&amp;RIGHT("00"&amp;Table362[[#This Row],[Rule '# by Entity]],3)&amp;"0_"&amp;MID(SUBSTITUTE(Table362[[#This Row],[Rule Name]],"_","|",3),SEARCH("|",SUBSTITUTE(Table362[[#This Row],[Rule Name]],"_","|",3))+1,LEN(Table362[[#This Row],[Rule Name]]))</f>
        <v>CUS0370_NationalSecurityIndicatorIsValid</v>
      </c>
      <c r="R20" s="8" t="s">
        <v>8157</v>
      </c>
      <c r="S20" s="7" t="s">
        <v>4135</v>
      </c>
      <c r="T20" s="7" t="s">
        <v>2</v>
      </c>
      <c r="U20" s="7" t="s">
        <v>663</v>
      </c>
      <c r="V20" s="7" t="s">
        <v>2741</v>
      </c>
      <c r="W20" s="7" t="s">
        <v>3114</v>
      </c>
      <c r="X20" s="8" t="s">
        <v>3127</v>
      </c>
      <c r="Y20" s="7" t="s">
        <v>5978</v>
      </c>
      <c r="Z20" s="7" t="s">
        <v>5978</v>
      </c>
      <c r="AA20" s="10" t="s">
        <v>8603</v>
      </c>
      <c r="AB20" s="11" t="str">
        <f>Table362[[#This Row],[IS Parameter]]&amp;" IS NOT NULL
AND "&amp; Table362[[#This Row],[IS Parameter]]&amp;" != ''"</f>
        <v>$P_I_NationalSecurityInd IS NOT NULL
AND $P_I_NationalSecurityInd != ''</v>
      </c>
      <c r="AC20" s="13" t="s">
        <v>7792</v>
      </c>
      <c r="AD20"/>
      <c r="AE20" s="13" t="str">
        <f>IF(Table362[[#This Row],[Entity]]="Customer","KUNNR",IF(Table362[[#This Row],[Entity]]="Vendor","LIFNR","MATNR"))&amp;","&amp;Table362[[#This Row],[Field]]</f>
        <v>KUNNR,CCC03</v>
      </c>
      <c r="AF20" s="13" t="str">
        <f>"VW_"&amp;Table362[[#This Row],[New Rule Name]]</f>
        <v>VW_CUS0370_NationalSecurityIndicatorIsValid</v>
      </c>
      <c r="AG20" s="11" t="str">
        <f>"create view "&amp;Table362[[#This Row],[View Name]]&amp;" (
     "&amp;IF(Table362[[#This Row],[Entity]]="Customer","KUNNR",IF(Table362[[#This Row],[Entity]]="Vendor","LIFNR","MATNR"))&amp;",
     "&amp;Table362[[#This Row],[Field]]&amp;"
     ) as select
          "&amp;IF(Table362[[#This Row],[Entity]]="Customer","KUNNR",IF(Table362[[#This Row],[Entity]]="Vendor","LIFNR","MATNR"))&amp;",
          "&amp;Table362[[#This Row],[Field]]&amp;" 
     from "&amp;Table362[[#This Row],[Table]]</f>
        <v>create view VW_CUS0370_NationalSecurityIndicatorIsValid (
     KUNNR,
     CCC03
     ) as select
          KUNNR,
          CCC03 
     from KNA1</v>
      </c>
      <c r="AH20" s="8"/>
      <c r="AI20" s="20" t="s">
        <v>7607</v>
      </c>
      <c r="AJ20" s="20"/>
      <c r="AK20" s="31">
        <v>37</v>
      </c>
      <c r="AL20" s="31"/>
    </row>
    <row r="21" spans="1:38" s="3" customFormat="1" ht="72" hidden="1" x14ac:dyDescent="0.25">
      <c r="A21" s="9">
        <v>17</v>
      </c>
      <c r="B21" s="7" t="s">
        <v>3973</v>
      </c>
      <c r="C21" s="7" t="s">
        <v>16</v>
      </c>
      <c r="D21" s="7" t="s">
        <v>6719</v>
      </c>
      <c r="E21" s="7" t="s">
        <v>6720</v>
      </c>
      <c r="F21" s="7" t="s">
        <v>6721</v>
      </c>
      <c r="G21" s="7" t="s">
        <v>6358</v>
      </c>
      <c r="H21" s="7" t="s">
        <v>6383</v>
      </c>
      <c r="I21" s="7"/>
      <c r="J21" s="20" t="str">
        <f>VLOOKUP(V21,Table_to_BRG!A:D,3,FALSE)</f>
        <v>Company Code data</v>
      </c>
      <c r="K21" s="20" t="str">
        <f>VLOOKUP(V21,Table_to_BRG!A:D,2,FALSE)</f>
        <v>Company Code</v>
      </c>
      <c r="L21" s="20"/>
      <c r="M21" s="20"/>
      <c r="N21" s="9"/>
      <c r="O21" s="54"/>
      <c r="P21" s="7" t="s">
        <v>8068</v>
      </c>
      <c r="Q21" s="11" t="str">
        <f>UPPER(LEFT(Table362[[#This Row],[Entity]],3))&amp;RIGHT("00"&amp;Table362[[#This Row],[Rule '# by Entity]],3)&amp;"0_"&amp;MID(SUBSTITUTE(Table362[[#This Row],[Rule Name]],"_","|",3),SEARCH("|",SUBSTITUTE(Table362[[#This Row],[Rule Name]],"_","|",3))+1,LEN(Table362[[#This Row],[Rule Name]]))</f>
        <v>CUS0490_InterestCycleIsValid</v>
      </c>
      <c r="R21" s="8" t="s">
        <v>8158</v>
      </c>
      <c r="S21" s="7" t="s">
        <v>4135</v>
      </c>
      <c r="T21" s="7" t="s">
        <v>2</v>
      </c>
      <c r="U21" s="7" t="s">
        <v>72</v>
      </c>
      <c r="V21" s="7" t="s">
        <v>2740</v>
      </c>
      <c r="W21" s="7" t="s">
        <v>2717</v>
      </c>
      <c r="X21" s="8" t="s">
        <v>2734</v>
      </c>
      <c r="Y21" s="7" t="s">
        <v>5978</v>
      </c>
      <c r="Z21" s="7" t="s">
        <v>5978</v>
      </c>
      <c r="AA21" s="10" t="s">
        <v>8604</v>
      </c>
      <c r="AB21" s="11" t="str">
        <f>Table362[[#This Row],[IS Parameter]]&amp;" IS NOT NULL
AND "&amp; Table362[[#This Row],[IS Parameter]]&amp;" != ''"</f>
        <v>$P_I_InterestCycle IS NOT NULL
AND $P_I_InterestCycle != ''</v>
      </c>
      <c r="AC21" s="13" t="s">
        <v>7792</v>
      </c>
      <c r="AD21"/>
      <c r="AE21" s="13" t="str">
        <f>IF(Table362[[#This Row],[Entity]]="Customer","KUNNR",IF(Table362[[#This Row],[Entity]]="Vendor","LIFNR","MATNR"))&amp;",BUKRS"&amp;","&amp;Table362[[#This Row],[Field]]</f>
        <v>KUNNR,BUKRS,ZINRT</v>
      </c>
      <c r="AF21" s="13" t="str">
        <f>"VW_"&amp;Table362[[#This Row],[New Rule Name]]</f>
        <v>VW_CUS0490_InterestCycleIsValid</v>
      </c>
      <c r="AG21" s="11" t="str">
        <f>"create view "&amp;Table362[[#This Row],[View Name]]&amp;" as 
     select 
          "&amp;IF(Table362[[#This Row],[Entity]]="Customer","KUNNR",IF(Table362[[#This Row],[Entity]]="Vendor","LIFNR","MATNR"))&amp;",
          BUKRS,
          "&amp;Table362[[#This Row],[Field]]&amp;" 
     from "&amp;Table362[[#This Row],[Table]]</f>
        <v>create view VW_CUS0490_InterestCycleIsValid as 
     select 
          KUNNR,
          BUKRS,
          ZINRT 
     from KNB1</v>
      </c>
      <c r="AH21" s="8" t="s">
        <v>6425</v>
      </c>
      <c r="AI21" s="20" t="s">
        <v>6525</v>
      </c>
      <c r="AJ21" s="20"/>
      <c r="AK21" s="31">
        <v>49</v>
      </c>
      <c r="AL21" s="31"/>
    </row>
    <row r="22" spans="1:38" s="3" customFormat="1" ht="108" x14ac:dyDescent="0.25">
      <c r="A22" s="9">
        <v>18</v>
      </c>
      <c r="B22" s="7" t="s">
        <v>3973</v>
      </c>
      <c r="C22" s="7" t="s">
        <v>3</v>
      </c>
      <c r="D22" s="7" t="s">
        <v>6711</v>
      </c>
      <c r="E22" s="7" t="s">
        <v>6712</v>
      </c>
      <c r="F22" s="7" t="s">
        <v>6713</v>
      </c>
      <c r="G22" s="7" t="s">
        <v>6361</v>
      </c>
      <c r="H22" s="7"/>
      <c r="I22" s="7"/>
      <c r="J22" s="20" t="str">
        <f>VLOOKUP(V22,Table_to_BRG!A:D,3,FALSE)</f>
        <v>Plant data</v>
      </c>
      <c r="K22" s="20" t="str">
        <f>VLOOKUP(V22,Table_to_BRG!A:D,2,FALSE)</f>
        <v>Plant</v>
      </c>
      <c r="L22" s="20"/>
      <c r="M22" s="20"/>
      <c r="N22" s="9"/>
      <c r="O22" s="54"/>
      <c r="P22" s="7" t="s">
        <v>8318</v>
      </c>
      <c r="Q22" s="11" t="str">
        <f>UPPER(LEFT(Table362[[#This Row],[Entity]],3))&amp;RIGHT("00"&amp;Table362[[#This Row],[Rule '# by Entity]],3)&amp;"0_"&amp;MID(SUBSTITUTE(Table362[[#This Row],[Rule Name]],"_","|",3),SEARCH("|",SUBSTITUTE(Table362[[#This Row],[Rule Name]],"_","|",3))+1,LEN(Table362[[#This Row],[Rule Name]]))</f>
        <v>MAT0690_BOMUsageRef</v>
      </c>
      <c r="R22" s="8" t="s">
        <v>7909</v>
      </c>
      <c r="S22" s="7" t="s">
        <v>2</v>
      </c>
      <c r="T22" s="7"/>
      <c r="U22" s="7" t="s">
        <v>5980</v>
      </c>
      <c r="V22" s="7" t="s">
        <v>1527</v>
      </c>
      <c r="W22" s="7" t="s">
        <v>1772</v>
      </c>
      <c r="X22" s="8" t="s">
        <v>1734</v>
      </c>
      <c r="Y22" s="7" t="s">
        <v>5972</v>
      </c>
      <c r="Z22" s="7" t="s">
        <v>1772</v>
      </c>
      <c r="AA22" s="11" t="str">
        <f>"BEGIN
     RETURN exists('DS_IS_RDS', '"&amp;Table362[[#This Row],[Lookup Table]]&amp;"', '"&amp;Table362[[#This Row],[Lookup Field]]&amp;"', "&amp;Table362[[#This Row],[IS Parameter]]&amp;");
END"</f>
        <v>BEGIN
     RETURN exists('DS_IS_RDS', 'T416', 'STLAN', $P_I_BOMUsage);
END</v>
      </c>
      <c r="AB22" s="11" t="str">
        <f>Table362[[#This Row],[IS Parameter]]&amp;" IS NOT NULL AND rtrim("&amp;Table362[[#This Row],[IS Parameter]]&amp;", ' ') != ''"</f>
        <v>$P_I_BOMUsage IS NOT NULL AND rtrim($P_I_BOMUsage, ' ') != ''</v>
      </c>
      <c r="AC22" s="10" t="s">
        <v>6663</v>
      </c>
      <c r="AD22" s="10"/>
      <c r="AE22" s="13" t="str">
        <f>IF(Table362[[#This Row],[Entity]]="Customer","KUNNR",IF(Table362[[#This Row],[Entity]]="Vendor","LIFNR","MATNR"))&amp;",WERKS"&amp;","&amp;Table362[[#This Row],[Field]]</f>
        <v>MATNR,WERKS,STLAN</v>
      </c>
      <c r="AF22" s="13" t="str">
        <f>"VW_"&amp;Table362[[#This Row],[New Rule Name]]</f>
        <v>VW_MAT0690_BOMUsageRef</v>
      </c>
      <c r="AG22"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VW_MAT0690_BOMUsageRef (
     MATNR,
     WERKS,
     STLAN
     ) as select
          MATNR,
          WERKS,
          STLAN 
     from MARC</v>
      </c>
      <c r="AH22" s="8"/>
      <c r="AI22" s="20" t="s">
        <v>7722</v>
      </c>
      <c r="AJ22" s="20"/>
      <c r="AK22" s="31">
        <v>69</v>
      </c>
      <c r="AL22" s="31"/>
    </row>
    <row r="23" spans="1:38" s="3" customFormat="1" ht="108" x14ac:dyDescent="0.25">
      <c r="A23" s="9">
        <v>19</v>
      </c>
      <c r="B23" s="7" t="s">
        <v>3973</v>
      </c>
      <c r="C23" s="7" t="s">
        <v>3</v>
      </c>
      <c r="D23" s="7" t="s">
        <v>6711</v>
      </c>
      <c r="E23" s="7" t="s">
        <v>6712</v>
      </c>
      <c r="F23" s="7" t="s">
        <v>6713</v>
      </c>
      <c r="G23" s="7" t="s">
        <v>6393</v>
      </c>
      <c r="H23" s="7"/>
      <c r="I23" s="7"/>
      <c r="J23" s="20" t="str">
        <f>VLOOKUP(V23,Table_to_BRG!A:D,3,FALSE)</f>
        <v>Plant data</v>
      </c>
      <c r="K23" s="20" t="str">
        <f>VLOOKUP(V23,Table_to_BRG!A:D,2,FALSE)</f>
        <v>Plant</v>
      </c>
      <c r="L23" s="20"/>
      <c r="M23" s="20"/>
      <c r="N23" s="9"/>
      <c r="O23" s="54"/>
      <c r="P23" s="7" t="s">
        <v>8319</v>
      </c>
      <c r="Q23" s="11" t="str">
        <f>UPPER(LEFT(Table362[[#This Row],[Entity]],3))&amp;RIGHT("00"&amp;Table362[[#This Row],[Rule '# by Entity]],3)&amp;"0_"&amp;MID(SUBSTITUTE(Table362[[#This Row],[Rule Name]],"_","|",3),SEARCH("|",SUBSTITUTE(Table362[[#This Row],[Rule Name]],"_","|",3))+1,LEN(Table362[[#This Row],[Rule Name]]))</f>
        <v>MAT0620_FIYearVariantRef</v>
      </c>
      <c r="R23" s="13" t="s">
        <v>7898</v>
      </c>
      <c r="S23" s="7" t="s">
        <v>2</v>
      </c>
      <c r="T23" s="7"/>
      <c r="U23" s="7" t="s">
        <v>79</v>
      </c>
      <c r="V23" s="7" t="s">
        <v>1527</v>
      </c>
      <c r="W23" s="7" t="s">
        <v>1868</v>
      </c>
      <c r="X23" s="8" t="s">
        <v>1447</v>
      </c>
      <c r="Y23" s="7" t="s">
        <v>5973</v>
      </c>
      <c r="Z23" s="7" t="s">
        <v>1868</v>
      </c>
      <c r="AA23" s="11" t="str">
        <f>"BEGIN
     RETURN exists('DS_IS_RDS', '"&amp;Table362[[#This Row],[Lookup Table]]&amp;"', '"&amp;Table362[[#This Row],[Lookup Field]]&amp;"', "&amp;Table362[[#This Row],[IS Parameter]]&amp;");
END"</f>
        <v>BEGIN
     RETURN exists('DS_IS_RDS', 'T009', 'PERIV', $P_I_FIYearVariant);
END</v>
      </c>
      <c r="AB23" s="11" t="str">
        <f>Table362[[#This Row],[IS Parameter]]&amp;" IS NOT NULL AND rtrim("&amp;Table362[[#This Row],[IS Parameter]]&amp;", ' ') != ''"</f>
        <v>$P_I_FIYearVariant IS NOT NULL AND rtrim($P_I_FIYearVariant, ' ') != ''</v>
      </c>
      <c r="AC23" s="10" t="s">
        <v>6663</v>
      </c>
      <c r="AD23" s="10"/>
      <c r="AE23" s="13" t="str">
        <f>IF(Table362[[#This Row],[Entity]]="Customer","KUNNR",IF(Table362[[#This Row],[Entity]]="Vendor","LIFNR","MATNR"))&amp;",WERKS"&amp;","&amp;Table362[[#This Row],[Field]]</f>
        <v>MATNR,WERKS,PERIV</v>
      </c>
      <c r="AF23" s="13" t="str">
        <f>"VW_"&amp;Table362[[#This Row],[New Rule Name]]</f>
        <v>VW_MAT0620_FIYearVariantRef</v>
      </c>
      <c r="AG23"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VW_MAT0620_FIYearVariantRef (
     MATNR,
     WERKS,
     PERIV
     ) as select 
          MATNR,
          WERKS,
          PERIV 
     from MARC</v>
      </c>
      <c r="AH23" s="8"/>
      <c r="AI23" s="20" t="s">
        <v>7719</v>
      </c>
      <c r="AJ23" s="20"/>
      <c r="AK23" s="31">
        <v>62</v>
      </c>
      <c r="AL23" s="31"/>
    </row>
    <row r="24" spans="1:38" s="3" customFormat="1" ht="60" hidden="1" x14ac:dyDescent="0.25">
      <c r="A24" s="9">
        <v>20</v>
      </c>
      <c r="B24" s="7" t="s">
        <v>3973</v>
      </c>
      <c r="C24" s="7" t="s">
        <v>16</v>
      </c>
      <c r="D24" s="7" t="s">
        <v>6711</v>
      </c>
      <c r="E24" s="7" t="s">
        <v>6714</v>
      </c>
      <c r="F24" s="7" t="s">
        <v>6715</v>
      </c>
      <c r="G24" s="7" t="s">
        <v>6361</v>
      </c>
      <c r="H24" s="7" t="s">
        <v>6363</v>
      </c>
      <c r="I24" s="7"/>
      <c r="J24" s="20" t="str">
        <f>VLOOKUP(V24,Table_to_BRG!A:D,3,FALSE)</f>
        <v>General data</v>
      </c>
      <c r="K24" s="20" t="str">
        <f>VLOOKUP(V24,Table_to_BRG!A:D,2,FALSE)</f>
        <v>General</v>
      </c>
      <c r="L24" s="20"/>
      <c r="M24" s="20"/>
      <c r="N24" s="9"/>
      <c r="O24" s="54"/>
      <c r="P24" s="7" t="s">
        <v>7840</v>
      </c>
      <c r="Q24" s="11" t="str">
        <f>UPPER(LEFT(Table362[[#This Row],[Entity]],3))&amp;RIGHT("00"&amp;Table362[[#This Row],[Rule '# by Entity]],3)&amp;"0_"&amp;MID(SUBSTITUTE(Table362[[#This Row],[Rule Name]],"_","|",3),SEARCH("|",SUBSTITUTE(Table362[[#This Row],[Rule Name]],"_","|",3))+1,LEN(Table362[[#This Row],[Rule Name]]))</f>
        <v>CUS0120_IndustryRef</v>
      </c>
      <c r="R24" s="8" t="s">
        <v>8007</v>
      </c>
      <c r="S24" s="7" t="s">
        <v>21</v>
      </c>
      <c r="T24" s="7" t="s">
        <v>2</v>
      </c>
      <c r="U24" s="7" t="s">
        <v>83</v>
      </c>
      <c r="V24" s="7" t="s">
        <v>2741</v>
      </c>
      <c r="W24" s="7" t="s">
        <v>3051</v>
      </c>
      <c r="X24" s="8" t="s">
        <v>3070</v>
      </c>
      <c r="Y24" s="7" t="s">
        <v>5981</v>
      </c>
      <c r="Z24" s="7" t="s">
        <v>3051</v>
      </c>
      <c r="AA24" s="11" t="str">
        <f>"BEGIN
     RETURN exists('DS_IS_RDS', '"&amp;Table362[[#This Row],[Lookup Table]]&amp;"', '"&amp;Table362[[#This Row],[Lookup Field]]&amp;"', "&amp;Table362[[#This Row],[IS Parameter]]&amp;");
END"</f>
        <v>BEGIN
     RETURN exists('DS_IS_RDS', 'T016', 'BRSCH', $P_I_Industry);
END</v>
      </c>
      <c r="AB24" s="11" t="str">
        <f>Table362[[#This Row],[IS Parameter]]&amp;" IS NOT NULL
AND "&amp; Table362[[#This Row],[IS Parameter]]&amp;" != ''"</f>
        <v>$P_I_Industry IS NOT NULL
AND $P_I_Industry != ''</v>
      </c>
      <c r="AC24" s="10" t="s">
        <v>6663</v>
      </c>
      <c r="AD24" s="10"/>
      <c r="AE24" s="13" t="str">
        <f>IF(Table362[[#This Row],[Entity]]="Customer","KUNNR",IF(Table362[[#This Row],[Entity]]="Vendor","LIFNR","MATNR"))&amp;","&amp;Table362[[#This Row],[Field]]</f>
        <v>KUNNR,BRSCH</v>
      </c>
      <c r="AF24" s="13" t="str">
        <f>"VW_"&amp;Table362[[#This Row],[New Rule Name]]</f>
        <v>VW_CUS0120_IndustryRef</v>
      </c>
      <c r="AG24" s="11" t="str">
        <f>"create view "&amp;Table362[[#This Row],[View Name]]&amp;" as 
     select 
          "&amp;IF(Table362[[#This Row],[Entity]]="Customer","KUNNR",IF(Table362[[#This Row],[Entity]]="Vendor","LIFNR","MATNR"))&amp;",
          "&amp;Table362[[#This Row],[Field]]&amp;" 
     from "&amp;Table362[[#This Row],[Table]]</f>
        <v>create view VW_CUS0120_IndustryRef as 
     select 
          KUNNR,
          BRSCH 
     from KNA1</v>
      </c>
      <c r="AH24" s="8"/>
      <c r="AI24" s="20" t="s">
        <v>7589</v>
      </c>
      <c r="AJ24" s="20"/>
      <c r="AK24" s="31">
        <v>12</v>
      </c>
      <c r="AL24" s="31"/>
    </row>
    <row r="25" spans="1:38" s="3" customFormat="1" ht="108" hidden="1" x14ac:dyDescent="0.25">
      <c r="A25" s="9">
        <v>21</v>
      </c>
      <c r="B25" s="7" t="s">
        <v>3973</v>
      </c>
      <c r="C25" s="7" t="s">
        <v>16</v>
      </c>
      <c r="D25" s="7" t="s">
        <v>6711</v>
      </c>
      <c r="E25" s="7" t="s">
        <v>6714</v>
      </c>
      <c r="F25" s="7" t="s">
        <v>6724</v>
      </c>
      <c r="G25" s="7" t="s">
        <v>6365</v>
      </c>
      <c r="H25" s="7" t="s">
        <v>2759</v>
      </c>
      <c r="I25" s="7"/>
      <c r="J25" s="20" t="str">
        <f>VLOOKUP(V25,Table_to_BRG!A:D,3,FALSE)</f>
        <v>Customer sales data</v>
      </c>
      <c r="K25" s="20" t="str">
        <f>VLOOKUP(V25,Table_to_BRG!A:D,2,FALSE)</f>
        <v>Sales</v>
      </c>
      <c r="L25" s="20"/>
      <c r="M25" s="20"/>
      <c r="N25" s="9"/>
      <c r="O25" s="54"/>
      <c r="P25" s="7" t="s">
        <v>7841</v>
      </c>
      <c r="Q25" s="11" t="str">
        <f>UPPER(LEFT(Table362[[#This Row],[Entity]],3))&amp;RIGHT("00"&amp;Table362[[#This Row],[Rule '# by Entity]],3)&amp;"0_"&amp;MID(SUBSTITUTE(Table362[[#This Row],[Rule Name]],"_","|",3),SEARCH("|",SUBSTITUTE(Table362[[#This Row],[Rule Name]],"_","|",3))+1,LEN(Table362[[#This Row],[Rule Name]]))</f>
        <v>CUS1090_ProductProposalProcedureRef</v>
      </c>
      <c r="R25" s="8" t="s">
        <v>8008</v>
      </c>
      <c r="S25" s="7" t="s">
        <v>2</v>
      </c>
      <c r="T25" s="7"/>
      <c r="U25" s="7" t="s">
        <v>87</v>
      </c>
      <c r="V25" s="7" t="s">
        <v>3334</v>
      </c>
      <c r="W25" s="7" t="s">
        <v>3413</v>
      </c>
      <c r="X25" s="8" t="s">
        <v>3424</v>
      </c>
      <c r="Y25" s="7" t="s">
        <v>5974</v>
      </c>
      <c r="Z25" s="7" t="s">
        <v>3413</v>
      </c>
      <c r="AA25" s="11" t="str">
        <f>"BEGIN
     RETURN exists('DS_IS_RDS', '"&amp;Table362[[#This Row],[Lookup Table]]&amp;"', '"&amp;Table362[[#This Row],[Lookup Field]]&amp;"', "&amp;Table362[[#This Row],[IS Parameter]]&amp;");
END"</f>
        <v>BEGIN
     RETURN exists('DS_IS_RDS', 'TPVD', 'PVKSM', $P_I_ProductProposalProc);
END</v>
      </c>
      <c r="AB25" s="11" t="str">
        <f>Table362[[#This Row],[IS Parameter]]&amp;" IS NOT NULL
AND "&amp; Table362[[#This Row],[IS Parameter]]&amp;" != ''"</f>
        <v>$P_I_ProductProposalProc IS NOT NULL
AND $P_I_ProductProposalProc != ''</v>
      </c>
      <c r="AC25" s="10" t="s">
        <v>6663</v>
      </c>
      <c r="AD25" s="10"/>
      <c r="AE25" s="13" t="str">
        <f>IF(Table362[[#This Row],[Entity]]="Customer","KUNNR",IF(Table362[[#This Row],[Entity]]="Vendor","LIFNR","MATNR"))&amp;",VKORG,VTWEG,SPART,"&amp;Table362[[#This Row],[Field]]</f>
        <v>KUNNR,VKORG,VTWEG,SPART,PVKSM</v>
      </c>
      <c r="AF25" s="13" t="str">
        <f>"VW_"&amp;Table362[[#This Row],[New Rule Name]]</f>
        <v>VW_CUS1090_ProductProposalProcedureRef</v>
      </c>
      <c r="AG25" s="11" t="str">
        <f>"create view "&amp;Table362[[#This Row],[View Name]]&amp;" as 
     select 
          "&amp;IF(Table362[[#This Row],[Entity]]="Customer","KUNNR",IF(Table362[[#This Row],[Entity]]="Vendor","LIFNR","MATNR"))&amp;",
          VKORG,
          VTWEG,
          SPART,
          "&amp;Table362[[#This Row],[Field]]&amp;" 
     from "&amp;Table362[[#This Row],[Table]]</f>
        <v>create view VW_CUS1090_ProductProposalProcedureRef as 
     select 
          KUNNR,
          VKORG,
          VTWEG,
          SPART,
          PVKSM 
     from KNVV</v>
      </c>
      <c r="AH25" s="13"/>
      <c r="AI25" s="20" t="s">
        <v>7714</v>
      </c>
      <c r="AJ25" s="20" t="s">
        <v>6473</v>
      </c>
      <c r="AK25" s="31">
        <v>109</v>
      </c>
      <c r="AL25" s="31"/>
    </row>
    <row r="26" spans="1:38" s="3" customFormat="1" ht="72" hidden="1" x14ac:dyDescent="0.25">
      <c r="A26" s="9">
        <v>22</v>
      </c>
      <c r="B26" s="7" t="s">
        <v>3973</v>
      </c>
      <c r="C26" s="7" t="s">
        <v>16</v>
      </c>
      <c r="D26" s="7" t="s">
        <v>6711</v>
      </c>
      <c r="E26" s="7" t="s">
        <v>6714</v>
      </c>
      <c r="F26" s="7" t="s">
        <v>6724</v>
      </c>
      <c r="G26" s="7" t="s">
        <v>6365</v>
      </c>
      <c r="H26" s="7" t="s">
        <v>2759</v>
      </c>
      <c r="I26" s="7"/>
      <c r="J26" s="20" t="str">
        <f>VLOOKUP(V26,Table_to_BRG!A:D,3,FALSE)</f>
        <v>Customer sales data</v>
      </c>
      <c r="K26" s="20" t="str">
        <f>VLOOKUP(V26,Table_to_BRG!A:D,2,FALSE)</f>
        <v>Sales</v>
      </c>
      <c r="L26" s="20"/>
      <c r="M26" s="20"/>
      <c r="N26" s="9"/>
      <c r="O26" s="54"/>
      <c r="P26" s="7" t="s">
        <v>8216</v>
      </c>
      <c r="Q26" s="11" t="str">
        <f>UPPER(LEFT(Table362[[#This Row],[Entity]],3))&amp;RIGHT("00"&amp;Table362[[#This Row],[Rule '# by Entity]],3)&amp;"0_"&amp;MID(SUBSTITUTE(Table362[[#This Row],[Rule Name]],"_","|",3),SEARCH("|",SUBSTITUTE(Table362[[#This Row],[Rule Name]],"_","|",3))+1,LEN(Table362[[#This Row],[Rule Name]]))</f>
        <v>CUS0880_SalesOrgRef</v>
      </c>
      <c r="R26" s="8" t="s">
        <v>8009</v>
      </c>
      <c r="S26" s="7" t="s">
        <v>2</v>
      </c>
      <c r="T26" s="7"/>
      <c r="U26" s="7" t="s">
        <v>91</v>
      </c>
      <c r="V26" s="7" t="s">
        <v>3334</v>
      </c>
      <c r="W26" s="7" t="s">
        <v>2434</v>
      </c>
      <c r="X26" s="8" t="s">
        <v>6342</v>
      </c>
      <c r="Y26" s="7" t="s">
        <v>4285</v>
      </c>
      <c r="Z26" s="7" t="s">
        <v>2434</v>
      </c>
      <c r="AA26" s="11" t="str">
        <f>"BEGIN
     RETURN exists('DS_IS_RDS', '"&amp;Table362[[#This Row],[Lookup Table]]&amp;"', '"&amp;Table362[[#This Row],[Lookup Field]]&amp;"', "&amp;Table362[[#This Row],[IS Parameter]]&amp;");
END"</f>
        <v>BEGIN
     RETURN exists('DS_IS_RDS', 'TVKO', 'VKORG', $P_I_SalesOrg);
END</v>
      </c>
      <c r="AB26" s="11" t="str">
        <f>Table362[[#This Row],[IS Parameter]]&amp;" IS NOT NULL
AND "&amp; Table362[[#This Row],[IS Parameter]]&amp;" != ''"</f>
        <v>$P_I_SalesOrg IS NOT NULL
AND $P_I_SalesOrg != ''</v>
      </c>
      <c r="AC26" s="10" t="s">
        <v>6663</v>
      </c>
      <c r="AD26" s="10"/>
      <c r="AE26" s="13" t="str">
        <f>IF(Table362[[#This Row],[Entity]]="Customer","KUNNR",IF(Table362[[#This Row],[Entity]]="Vendor","LIFNR","MATNR"))&amp;","&amp;Table362[[#This Row],[Field]]</f>
        <v>KUNNR,VKORG</v>
      </c>
      <c r="AF26" s="13" t="str">
        <f>"VW_"&amp;Table362[[#This Row],[New Rule Name]]</f>
        <v>VW_CUS0880_SalesOrgRef</v>
      </c>
      <c r="AG26" s="11" t="str">
        <f>"create view "&amp;Table362[[#This Row],[View Name]]&amp;" as 
     select 
          "&amp;IF(Table362[[#This Row],[Entity]]="Customer","KUNNR",IF(Table362[[#This Row],[Entity]]="Vendor","LIFNR","MATNR"))&amp;",
          "&amp;Table362[[#This Row],[Field]]&amp;" 
     from "&amp;Table362[[#This Row],[Table]]&amp;"
     group by "&amp;IF(Table362[[#This Row],[Entity]]="Customer","KUNNR",IF(Table362[[#This Row],[Entity]]="Vendor","LIFNR","MATNR"))&amp;","&amp;Table362[[#This Row],[Field]]</f>
        <v>create view VW_CUS0880_SalesOrgRef as 
     select 
          KUNNR,
          VKORG 
     from KNVV
     group by KUNNR,VKORG</v>
      </c>
      <c r="AH26" s="13"/>
      <c r="AI26" s="20" t="s">
        <v>7724</v>
      </c>
      <c r="AJ26" s="20"/>
      <c r="AK26" s="31">
        <v>88</v>
      </c>
      <c r="AL26" s="31"/>
    </row>
    <row r="27" spans="1:38" s="3" customFormat="1" ht="120" x14ac:dyDescent="0.25">
      <c r="A27" s="9">
        <v>23</v>
      </c>
      <c r="B27" s="7" t="s">
        <v>3973</v>
      </c>
      <c r="C27" s="7" t="s">
        <v>3</v>
      </c>
      <c r="D27" s="7" t="s">
        <v>6711</v>
      </c>
      <c r="E27" s="7" t="s">
        <v>6712</v>
      </c>
      <c r="F27" s="7" t="s">
        <v>6713</v>
      </c>
      <c r="G27" s="7" t="s">
        <v>6371</v>
      </c>
      <c r="H27" s="7" t="s">
        <v>6372</v>
      </c>
      <c r="I27" s="7" t="s">
        <v>6101</v>
      </c>
      <c r="J27" s="20" t="str">
        <f>VLOOKUP(V27,Table_to_BRG!A:D,3,FALSE)</f>
        <v>Plant data</v>
      </c>
      <c r="K27" s="20" t="str">
        <f>VLOOKUP(V27,Table_to_BRG!A:D,2,FALSE)</f>
        <v>Plant</v>
      </c>
      <c r="L27" s="20"/>
      <c r="M27" s="20"/>
      <c r="N27" s="9"/>
      <c r="O27" s="54"/>
      <c r="P27" s="7" t="s">
        <v>8320</v>
      </c>
      <c r="Q27" s="11" t="str">
        <f>UPPER(LEFT(Table362[[#This Row],[Entity]],3))&amp;RIGHT("00"&amp;Table362[[#This Row],[Rule '# by Entity]],3)&amp;"0_"&amp;MID(SUBSTITUTE(Table362[[#This Row],[Rule Name]],"_","|",3),SEARCH("|",SUBSTITUTE(Table362[[#This Row],[Rule Name]],"_","|",3))+1,LEN(Table362[[#This Row],[Rule Name]]))</f>
        <v>MAT0730_CCPhysicalInventoryIndicatorRef</v>
      </c>
      <c r="R27" s="8" t="s">
        <v>7899</v>
      </c>
      <c r="S27" s="7" t="s">
        <v>2</v>
      </c>
      <c r="T27" s="7"/>
      <c r="U27" s="7" t="s">
        <v>95</v>
      </c>
      <c r="V27" s="7" t="s">
        <v>1527</v>
      </c>
      <c r="W27" s="7" t="s">
        <v>1973</v>
      </c>
      <c r="X27" s="8" t="s">
        <v>6661</v>
      </c>
      <c r="Y27" s="7" t="s">
        <v>7734</v>
      </c>
      <c r="Z27" s="7" t="s">
        <v>1973</v>
      </c>
      <c r="AA27" s="11" t="str">
        <f>"BEGIN
     RETURN exists('DS_IS_RDS', '"&amp;Table362[[#This Row],[Lookup Table]]&amp;"', '"&amp;Table362[[#This Row],[Lookup Field]]&amp;"', "&amp;Table362[[#This Row],[IS Parameter]]&amp;");
END"</f>
        <v>BEGIN
     RETURN exists('DS_IS_RDS', 'T159C', 'ABCIN', $P_I_CCPhyInvIndicator);
END</v>
      </c>
      <c r="AB27" s="11" t="str">
        <f>Table362[[#This Row],[IS Parameter]]&amp;" IS NOT NULL AND rtrim("&amp;Table362[[#This Row],[IS Parameter]]&amp;", ' ') != ''"</f>
        <v>$P_I_CCPhyInvIndicator IS NOT NULL AND rtrim($P_I_CCPhyInvIndicator, ' ') != ''</v>
      </c>
      <c r="AC27" s="10" t="s">
        <v>6663</v>
      </c>
      <c r="AD27" s="10"/>
      <c r="AE27" s="13" t="str">
        <f>IF(Table362[[#This Row],[Entity]]="Customer","KUNNR",IF(Table362[[#This Row],[Entity]]="Vendor","LIFNR","MATNR"))&amp;",WERKS"&amp;","&amp;Table362[[#This Row],[Field]]</f>
        <v>MATNR,WERKS,ABCIN</v>
      </c>
      <c r="AF27" s="13" t="str">
        <f>"VW_"&amp;Table362[[#This Row],[New Rule Name]]</f>
        <v>VW_MAT0730_CCPhysicalInventoryIndicatorRef</v>
      </c>
      <c r="AG27"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VW_MAT0730_CCPhysicalInventoryIndicatorRef (
     MATNR,
     WERKS,
     ABCIN
     ) as select 
          MATNR,
          WERKS,
          ABCIN 
     from MARC</v>
      </c>
      <c r="AH27" s="8"/>
      <c r="AI27" s="20" t="s">
        <v>7732</v>
      </c>
      <c r="AJ27" s="20"/>
      <c r="AK27" s="31">
        <v>73</v>
      </c>
      <c r="AL27" s="31"/>
    </row>
    <row r="28" spans="1:38" s="3" customFormat="1" ht="108" x14ac:dyDescent="0.25">
      <c r="A28" s="9">
        <v>24</v>
      </c>
      <c r="B28" s="7" t="s">
        <v>3973</v>
      </c>
      <c r="C28" s="7" t="s">
        <v>3</v>
      </c>
      <c r="D28" s="7" t="s">
        <v>6711</v>
      </c>
      <c r="E28" s="7" t="s">
        <v>6712</v>
      </c>
      <c r="F28" s="7" t="s">
        <v>6713</v>
      </c>
      <c r="G28" s="7" t="s">
        <v>6381</v>
      </c>
      <c r="H28" s="7"/>
      <c r="I28" s="7"/>
      <c r="J28" s="20" t="str">
        <f>VLOOKUP(V28,Table_to_BRG!A:D,3,FALSE)</f>
        <v>Plant data</v>
      </c>
      <c r="K28" s="20" t="str">
        <f>VLOOKUP(V28,Table_to_BRG!A:D,2,FALSE)</f>
        <v>Plant</v>
      </c>
      <c r="L28" s="20"/>
      <c r="M28" s="20"/>
      <c r="N28" s="9"/>
      <c r="O28" s="54"/>
      <c r="P28" s="7" t="s">
        <v>8321</v>
      </c>
      <c r="Q28" s="11" t="str">
        <f>UPPER(LEFT(Table362[[#This Row],[Entity]],3))&amp;RIGHT("00"&amp;Table362[[#This Row],[Rule '# by Entity]],3)&amp;"0_"&amp;MID(SUBSTITUTE(Table362[[#This Row],[Rule Name]],"_","|",3),SEARCH("|",SUBSTITUTE(Table362[[#This Row],[Rule Name]],"_","|",3))+1,LEN(Table362[[#This Row],[Rule Name]]))</f>
        <v>MAT0860_UnitofMeasureGroupRef</v>
      </c>
      <c r="R28" s="8" t="s">
        <v>7919</v>
      </c>
      <c r="S28" s="7" t="s">
        <v>2</v>
      </c>
      <c r="T28" s="7"/>
      <c r="U28" s="7" t="s">
        <v>99</v>
      </c>
      <c r="V28" s="7" t="s">
        <v>1527</v>
      </c>
      <c r="W28" s="7" t="s">
        <v>2063</v>
      </c>
      <c r="X28" s="8" t="s">
        <v>2072</v>
      </c>
      <c r="Y28" s="7" t="s">
        <v>5843</v>
      </c>
      <c r="Z28" s="7" t="s">
        <v>2063</v>
      </c>
      <c r="AA28" s="11" t="str">
        <f>"BEGIN
     RETURN exists('DS_IS_RDS', '"&amp;Table362[[#This Row],[Lookup Table]]&amp;"', '"&amp;Table362[[#This Row],[Lookup Field]]&amp;"', "&amp;Table362[[#This Row],[IS Parameter]]&amp;");
END"</f>
        <v>BEGIN
     RETURN exists('DS_IS_RDS', 'TWMEG', 'MEGRU', $P_I_UnitOfMeasureGroup);
END</v>
      </c>
      <c r="AB28" s="11" t="str">
        <f>Table362[[#This Row],[IS Parameter]]&amp;" IS NOT NULL AND rtrim("&amp;Table362[[#This Row],[IS Parameter]]&amp;", ' ') != ''"</f>
        <v>$P_I_UnitOfMeasureGroup IS NOT NULL AND rtrim($P_I_UnitOfMeasureGroup, ' ') != ''</v>
      </c>
      <c r="AC28" s="10" t="s">
        <v>6663</v>
      </c>
      <c r="AD28" s="10"/>
      <c r="AE28" s="13" t="str">
        <f>IF(Table362[[#This Row],[Entity]]="Customer","KUNNR",IF(Table362[[#This Row],[Entity]]="Vendor","LIFNR","MATNR"))&amp;",WERKS"&amp;","&amp;Table362[[#This Row],[Field]]</f>
        <v>MATNR,WERKS,MEGRU</v>
      </c>
      <c r="AF28" s="13" t="str">
        <f>"VW_"&amp;Table362[[#This Row],[New Rule Name]]</f>
        <v>VW_MAT0860_UnitofMeasureGroupRef</v>
      </c>
      <c r="AG28"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VW_MAT0860_UnitofMeasureGroupRef (
     MATNR,
     WERKS,
     MEGRU
     ) as select 
          MATNR,
          WERKS,
          MEGRU 
     from MARC</v>
      </c>
      <c r="AH28" s="8"/>
      <c r="AI28" s="20" t="s">
        <v>7728</v>
      </c>
      <c r="AJ28" s="20"/>
      <c r="AK28" s="31">
        <v>86</v>
      </c>
      <c r="AL28" s="31"/>
    </row>
    <row r="29" spans="1:38" s="3" customFormat="1" ht="60" x14ac:dyDescent="0.25">
      <c r="A29" s="9">
        <v>25</v>
      </c>
      <c r="B29" s="7" t="s">
        <v>3973</v>
      </c>
      <c r="C29" s="7" t="s">
        <v>3</v>
      </c>
      <c r="D29" s="7" t="s">
        <v>6711</v>
      </c>
      <c r="E29" s="7" t="s">
        <v>6712</v>
      </c>
      <c r="F29" s="7" t="s">
        <v>6725</v>
      </c>
      <c r="G29" s="7" t="s">
        <v>6687</v>
      </c>
      <c r="H29" s="7" t="s">
        <v>6686</v>
      </c>
      <c r="I29" s="7" t="s">
        <v>6371</v>
      </c>
      <c r="J29" s="20" t="str">
        <f>VLOOKUP(V29,Table_to_BRG!A:D,3,FALSE)</f>
        <v>General data</v>
      </c>
      <c r="K29" s="20" t="str">
        <f>VLOOKUP(V29,Table_to_BRG!A:D,2,FALSE)</f>
        <v>General</v>
      </c>
      <c r="L29" s="20"/>
      <c r="M29" s="20"/>
      <c r="N29" s="9"/>
      <c r="O29" s="54"/>
      <c r="P29" s="7" t="s">
        <v>8322</v>
      </c>
      <c r="Q29" s="11" t="str">
        <f>UPPER(LEFT(Table362[[#This Row],[Entity]],3))&amp;RIGHT("00"&amp;Table362[[#This Row],[Rule '# by Entity]],3)&amp;"0_"&amp;MID(SUBSTITUTE(Table362[[#This Row],[Rule Name]],"_","|",3),SEARCH("|",SUBSTITUTE(Table362[[#This Row],[Rule Name]],"_","|",3))+1,LEN(Table362[[#This Row],[Rule Name]]))</f>
        <v>MAT0140_StorageConditionRef</v>
      </c>
      <c r="R29" s="8" t="s">
        <v>7910</v>
      </c>
      <c r="S29" s="7" t="s">
        <v>2</v>
      </c>
      <c r="T29" s="7"/>
      <c r="U29" s="7" t="s">
        <v>103</v>
      </c>
      <c r="V29" s="7" t="s">
        <v>1526</v>
      </c>
      <c r="W29" s="7" t="s">
        <v>1970</v>
      </c>
      <c r="X29" s="8" t="s">
        <v>1274</v>
      </c>
      <c r="Y29" s="7" t="s">
        <v>5982</v>
      </c>
      <c r="Z29" s="7" t="s">
        <v>1970</v>
      </c>
      <c r="AA29" s="11" t="str">
        <f>"BEGIN
     RETURN exists('DS_IS_RDS', '"&amp;Table362[[#This Row],[Lookup Table]]&amp;"', '"&amp;Table362[[#This Row],[Lookup Field]]&amp;"', "&amp;Table362[[#This Row],[IS Parameter]]&amp;");
END"</f>
        <v>BEGIN
     RETURN exists('DS_IS_RDS', 'T142', 'RAUBE', $P_I_StorageCondition);
END</v>
      </c>
      <c r="AB29" s="11" t="str">
        <f>Table362[[#This Row],[IS Parameter]]&amp;" IS NOT NULL AND rtrim("&amp;Table362[[#This Row],[IS Parameter]]&amp;", ' ') != ''"</f>
        <v>$P_I_StorageCondition IS NOT NULL AND rtrim($P_I_StorageCondition, ' ') != ''</v>
      </c>
      <c r="AC29" s="10" t="s">
        <v>6663</v>
      </c>
      <c r="AD29" s="10"/>
      <c r="AE29" s="13" t="str">
        <f>IF(Table362[[#This Row],[Entity]]="Customer","KUNNR",IF(Table362[[#This Row],[Entity]]="Vendor","LIFNR","MATNR"))&amp;","&amp;Table362[[#This Row],[Field]]</f>
        <v>MATNR,RAUBE</v>
      </c>
      <c r="AF29" s="13" t="str">
        <f>"VW_"&amp;Table362[[#This Row],[New Rule Name]]</f>
        <v>VW_MAT0140_StorageConditionRef</v>
      </c>
      <c r="AG29" s="11" t="str">
        <f>"create view "&amp;Table362[[#This Row],[View Name]]&amp;" as 
     select 
          "&amp;IF(Table362[[#This Row],[Entity]]="Customer","KUNNR",IF(Table362[[#This Row],[Entity]]="Vendor","LIFNR","MATNR"))&amp;",
          "&amp;Table362[[#This Row],[Field]]&amp;" 
     from "&amp;Table362[[#This Row],[Table]]</f>
        <v>create view VW_MAT0140_StorageConditionRef as 
     select 
          MATNR,
          RAUBE 
     from MARA</v>
      </c>
      <c r="AH29" s="8"/>
      <c r="AI29" s="20" t="s">
        <v>7807</v>
      </c>
      <c r="AJ29" s="20"/>
      <c r="AK29" s="31">
        <v>14</v>
      </c>
      <c r="AL29" s="31"/>
    </row>
    <row r="30" spans="1:38" s="3" customFormat="1" ht="108" x14ac:dyDescent="0.25">
      <c r="A30" s="9">
        <v>26</v>
      </c>
      <c r="B30" s="7" t="s">
        <v>3973</v>
      </c>
      <c r="C30" s="7" t="s">
        <v>3</v>
      </c>
      <c r="D30" s="7" t="s">
        <v>6711</v>
      </c>
      <c r="E30" s="7" t="s">
        <v>6712</v>
      </c>
      <c r="F30" s="7" t="s">
        <v>6713</v>
      </c>
      <c r="G30" s="7" t="s">
        <v>6379</v>
      </c>
      <c r="H30" s="7" t="s">
        <v>6380</v>
      </c>
      <c r="I30" s="7"/>
      <c r="J30" s="20" t="str">
        <f>VLOOKUP(V30,Table_to_BRG!A:D,3,FALSE)</f>
        <v>Plant data</v>
      </c>
      <c r="K30" s="20" t="str">
        <f>VLOOKUP(V30,Table_to_BRG!A:D,2,FALSE)</f>
        <v>Plant</v>
      </c>
      <c r="L30" s="20"/>
      <c r="M30" s="20"/>
      <c r="N30" s="9"/>
      <c r="O30" s="54"/>
      <c r="P30" s="7" t="s">
        <v>8323</v>
      </c>
      <c r="Q30" s="11" t="str">
        <f>UPPER(LEFT(Table362[[#This Row],[Entity]],3))&amp;RIGHT("00"&amp;Table362[[#This Row],[Rule '# by Entity]],3)&amp;"0_"&amp;MID(SUBSTITUTE(Table362[[#This Row],[Rule Name]],"_","|",3),SEARCH("|",SUBSTITUTE(Table362[[#This Row],[Rule Name]],"_","|",3))+1,LEN(Table362[[#This Row],[Rule Name]]))</f>
        <v>MAT0610_AvailabilityCheckRef</v>
      </c>
      <c r="R30" s="8" t="s">
        <v>7911</v>
      </c>
      <c r="S30" s="7" t="s">
        <v>2</v>
      </c>
      <c r="T30" s="7"/>
      <c r="U30" s="7" t="s">
        <v>32</v>
      </c>
      <c r="V30" s="7" t="s">
        <v>1527</v>
      </c>
      <c r="W30" s="7" t="s">
        <v>2179</v>
      </c>
      <c r="X30" s="8" t="s">
        <v>8614</v>
      </c>
      <c r="Y30" s="7" t="s">
        <v>4267</v>
      </c>
      <c r="Z30" s="7" t="s">
        <v>2179</v>
      </c>
      <c r="AA30" s="11" t="str">
        <f>"BEGIN
     RETURN exists('DS_IS_RDS', '"&amp;Table362[[#This Row],[Lookup Table]]&amp;"', '"&amp;Table362[[#This Row],[Lookup Field]]&amp;"', "&amp;Table362[[#This Row],[IS Parameter]]&amp;");
END"</f>
        <v>BEGIN
     RETURN exists('DS_IS_RDS', 'TMVF', 'MTVFP', $P_I_AvailabilityCheck);
END</v>
      </c>
      <c r="AB30" s="11" t="str">
        <f>Table362[[#This Row],[IS Parameter]]&amp;" IS NOT NULL AND rtrim("&amp;Table362[[#This Row],[IS Parameter]]&amp;", ' ') != ''"</f>
        <v>$P_I_AvailabilityCheck IS NOT NULL AND rtrim($P_I_AvailabilityCheck, ' ') != ''</v>
      </c>
      <c r="AC30" s="10" t="s">
        <v>6663</v>
      </c>
      <c r="AD30" s="10"/>
      <c r="AE30" s="13" t="str">
        <f>IF(Table362[[#This Row],[Entity]]="Customer","KUNNR",IF(Table362[[#This Row],[Entity]]="Vendor","LIFNR","MATNR"))&amp;",WERKS"&amp;","&amp;Table362[[#This Row],[Field]]</f>
        <v>MATNR,WERKS,MTVFP</v>
      </c>
      <c r="AF30" s="13" t="str">
        <f>"VW_"&amp;Table362[[#This Row],[New Rule Name]]</f>
        <v>VW_MAT0610_AvailabilityCheckRef</v>
      </c>
      <c r="AG30"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VW_MAT0610_AvailabilityCheckRef (
     MATNR,
     WERKS,
     MTVFP
     ) as select 
          MATNR,
          WERKS,
          MTVFP 
     from MARC</v>
      </c>
      <c r="AH30" s="8"/>
      <c r="AI30" s="20" t="s">
        <v>7702</v>
      </c>
      <c r="AJ30" s="20"/>
      <c r="AK30" s="31">
        <v>61</v>
      </c>
      <c r="AL30" s="31">
        <v>4</v>
      </c>
    </row>
    <row r="31" spans="1:38" s="3" customFormat="1" ht="60" x14ac:dyDescent="0.25">
      <c r="A31" s="9">
        <v>27</v>
      </c>
      <c r="B31" s="7" t="s">
        <v>3973</v>
      </c>
      <c r="C31" s="7" t="s">
        <v>3</v>
      </c>
      <c r="D31" s="7" t="s">
        <v>6711</v>
      </c>
      <c r="E31" s="7" t="s">
        <v>6712</v>
      </c>
      <c r="F31" s="7" t="s">
        <v>6725</v>
      </c>
      <c r="G31" s="7" t="s">
        <v>6378</v>
      </c>
      <c r="H31" s="7"/>
      <c r="I31" s="7"/>
      <c r="J31" s="20" t="str">
        <f>VLOOKUP(V31,Table_to_BRG!A:D,3,FALSE)</f>
        <v>General data</v>
      </c>
      <c r="K31" s="20" t="str">
        <f>VLOOKUP(V31,Table_to_BRG!A:D,2,FALSE)</f>
        <v>General</v>
      </c>
      <c r="L31" s="20"/>
      <c r="M31" s="20"/>
      <c r="N31" s="9"/>
      <c r="O31" s="54"/>
      <c r="P31" s="7" t="s">
        <v>8324</v>
      </c>
      <c r="Q31" s="11" t="str">
        <f>UPPER(LEFT(Table362[[#This Row],[Entity]],3))&amp;RIGHT("00"&amp;Table362[[#This Row],[Rule '# by Entity]],3)&amp;"0_"&amp;MID(SUBSTITUTE(Table362[[#This Row],[Rule Name]],"_","|",3),SEARCH("|",SUBSTITUTE(Table362[[#This Row],[Rule Name]],"_","|",3))+1,LEN(Table362[[#This Row],[Rule Name]]))</f>
        <v>MAT0240_CatalogProfileRef</v>
      </c>
      <c r="R31" s="8" t="s">
        <v>7912</v>
      </c>
      <c r="S31" s="7" t="s">
        <v>2</v>
      </c>
      <c r="T31" s="7"/>
      <c r="U31" s="7" t="s">
        <v>111</v>
      </c>
      <c r="V31" s="7" t="s">
        <v>1526</v>
      </c>
      <c r="W31" s="7" t="s">
        <v>2367</v>
      </c>
      <c r="X31" s="8" t="s">
        <v>6662</v>
      </c>
      <c r="Y31" s="7" t="s">
        <v>5250</v>
      </c>
      <c r="Z31" s="7" t="s">
        <v>5251</v>
      </c>
      <c r="AA31" s="11" t="str">
        <f>"BEGIN
     RETURN exists('DS_IS_RDS', '"&amp;Table362[[#This Row],[Lookup Table]]&amp;"', '"&amp;Table362[[#This Row],[Lookup Field]]&amp;"', "&amp;Table362[[#This Row],[IS Parameter]]&amp;");
END"</f>
        <v>BEGIN
     RETURN exists('DS_IS_RDS', 'T352B', 'RBNR', $P_I_CatalogProfile);
END</v>
      </c>
      <c r="AB31" s="11" t="str">
        <f>Table362[[#This Row],[IS Parameter]]&amp;" IS NOT NULL AND rtrim("&amp;Table362[[#This Row],[IS Parameter]]&amp;", ' ') != ''"</f>
        <v>$P_I_CatalogProfile IS NOT NULL AND rtrim($P_I_CatalogProfile, ' ') != ''</v>
      </c>
      <c r="AC31" s="10" t="s">
        <v>6663</v>
      </c>
      <c r="AD31" s="10"/>
      <c r="AE31" s="13" t="str">
        <f>IF(Table362[[#This Row],[Entity]]="Customer","KUNNR",IF(Table362[[#This Row],[Entity]]="Vendor","LIFNR","MATNR"))&amp;","&amp;Table362[[#This Row],[Field]]</f>
        <v>MATNR,RBNRM</v>
      </c>
      <c r="AF31" s="13" t="str">
        <f>"VW_"&amp;Table362[[#This Row],[New Rule Name]]</f>
        <v>VW_MAT0240_CatalogProfileRef</v>
      </c>
      <c r="AG31" s="11" t="str">
        <f>"create view "&amp;Table362[[#This Row],[View Name]]&amp;" as 
     select 
          "&amp;IF(Table362[[#This Row],[Entity]]="Customer","KUNNR",IF(Table362[[#This Row],[Entity]]="Vendor","LIFNR","MATNR"))&amp;",
          "&amp;Table362[[#This Row],[Field]]&amp;" 
     from "&amp;Table362[[#This Row],[Table]]</f>
        <v>create view VW_MAT0240_CatalogProfileRef as 
     select 
          MATNR,
          RBNRM 
     from MARA</v>
      </c>
      <c r="AH31" s="8"/>
      <c r="AI31" s="20" t="s">
        <v>7731</v>
      </c>
      <c r="AJ31" s="20"/>
      <c r="AK31" s="31">
        <v>24</v>
      </c>
      <c r="AL31" s="31"/>
    </row>
    <row r="32" spans="1:38" s="3" customFormat="1" ht="60" hidden="1" x14ac:dyDescent="0.25">
      <c r="A32" s="9">
        <v>28</v>
      </c>
      <c r="B32" s="7" t="s">
        <v>3973</v>
      </c>
      <c r="C32" s="7" t="s">
        <v>1207</v>
      </c>
      <c r="D32" s="7" t="s">
        <v>6719</v>
      </c>
      <c r="E32" s="7" t="s">
        <v>6720</v>
      </c>
      <c r="F32" s="7" t="s">
        <v>6722</v>
      </c>
      <c r="G32" s="7" t="s">
        <v>6361</v>
      </c>
      <c r="H32" s="7" t="s">
        <v>6360</v>
      </c>
      <c r="I32" s="7"/>
      <c r="J32" s="20" t="str">
        <f>VLOOKUP(V32,Table_to_BRG!A:D,3,FALSE)</f>
        <v>General data</v>
      </c>
      <c r="K32" s="20" t="str">
        <f>VLOOKUP(V32,Table_to_BRG!A:D,2,FALSE)</f>
        <v>General</v>
      </c>
      <c r="L32" s="20"/>
      <c r="M32" s="20"/>
      <c r="N32" s="9"/>
      <c r="O32" s="54"/>
      <c r="P32" s="7" t="s">
        <v>8446</v>
      </c>
      <c r="Q32" s="11" t="str">
        <f>UPPER(LEFT(Table362[[#This Row],[Entity]],3))&amp;RIGHT("00"&amp;Table362[[#This Row],[Rule '# by Entity]],3)&amp;"0_"&amp;MID(SUBSTITUTE(Table362[[#This Row],[Rule Name]],"_","|",3),SEARCH("|",SUBSTITUTE(Table362[[#This Row],[Rule Name]],"_","|",3))+1,LEN(Table362[[#This Row],[Rule Name]]))</f>
        <v>VEN0140_DMEIndicatorIsValid</v>
      </c>
      <c r="R32" s="8" t="s">
        <v>8285</v>
      </c>
      <c r="S32" s="7" t="s">
        <v>2</v>
      </c>
      <c r="T32" s="7"/>
      <c r="U32" s="7" t="s">
        <v>115</v>
      </c>
      <c r="V32" s="7" t="s">
        <v>3542</v>
      </c>
      <c r="W32" s="7" t="s">
        <v>3791</v>
      </c>
      <c r="X32" s="8" t="s">
        <v>3797</v>
      </c>
      <c r="Y32" s="7"/>
      <c r="Z32" s="7" t="s">
        <v>5978</v>
      </c>
      <c r="AA32" s="10" t="s">
        <v>116</v>
      </c>
      <c r="AB32" s="10"/>
      <c r="AC32" s="13" t="s">
        <v>7792</v>
      </c>
      <c r="AD32"/>
      <c r="AE32" s="13" t="str">
        <f>IF(Table362[[#This Row],[Entity]]="Customer","KUNNR",IF(Table362[[#This Row],[Entity]]="Vendor","LIFNR","MATNR"))&amp;","&amp;Table362[[#This Row],[Field]]</f>
        <v>LIFNR,DTAMS</v>
      </c>
      <c r="AF32" s="13" t="str">
        <f>"VW_"&amp;Table362[[#This Row],[New Rule Name]]</f>
        <v>VW_VEN0140_DMEIndicatorIsValid</v>
      </c>
      <c r="AG32" s="11" t="str">
        <f>"create view "&amp;Table362[[#This Row],[View Name]]&amp;" as 
     select 
          "&amp;IF(Table362[[#This Row],[Entity]]="Customer","KUNNR",IF(Table362[[#This Row],[Entity]]="Vendor","LIFNR","MATNR"))&amp;",
          "&amp;Table362[[#This Row],[Field]]&amp;" 
     from "&amp;Table362[[#This Row],[Table]]</f>
        <v>create view VW_VEN0140_DMEIndicatorIsValid as 
     select 
          LIFNR,
          DTAMS 
     from LFA1</v>
      </c>
      <c r="AH32" s="8"/>
      <c r="AI32" s="20"/>
      <c r="AJ32" s="20"/>
      <c r="AK32" s="31">
        <v>14</v>
      </c>
      <c r="AL32" s="31"/>
    </row>
    <row r="33" spans="1:38" s="3" customFormat="1" ht="96" hidden="1" x14ac:dyDescent="0.25">
      <c r="A33" s="9">
        <v>29</v>
      </c>
      <c r="B33" s="7" t="s">
        <v>3973</v>
      </c>
      <c r="C33" s="7" t="s">
        <v>16</v>
      </c>
      <c r="D33" s="7" t="s">
        <v>6711</v>
      </c>
      <c r="E33" s="7" t="s">
        <v>6714</v>
      </c>
      <c r="F33" s="7" t="s">
        <v>6724</v>
      </c>
      <c r="G33" s="7" t="s">
        <v>6365</v>
      </c>
      <c r="H33" s="7" t="s">
        <v>2759</v>
      </c>
      <c r="I33" s="7"/>
      <c r="J33" s="20" t="str">
        <f>VLOOKUP(V33,Table_to_BRG!A:D,3,FALSE)</f>
        <v>Customer sales data</v>
      </c>
      <c r="K33" s="20" t="str">
        <f>VLOOKUP(V33,Table_to_BRG!A:D,2,FALSE)</f>
        <v>Sales</v>
      </c>
      <c r="L33" s="20"/>
      <c r="M33" s="20"/>
      <c r="N33" s="9"/>
      <c r="O33" s="54"/>
      <c r="P33" s="7" t="s">
        <v>8221</v>
      </c>
      <c r="Q33" s="11" t="str">
        <f>UPPER(LEFT(Table362[[#This Row],[Entity]],3))&amp;RIGHT("00"&amp;Table362[[#This Row],[Rule '# by Entity]],3)&amp;"0_"&amp;MID(SUBSTITUTE(Table362[[#This Row],[Rule Name]],"_","|",3),SEARCH("|",SUBSTITUTE(Table362[[#This Row],[Rule Name]],"_","|",3))+1,LEN(Table362[[#This Row],[Rule Name]]))</f>
        <v>CUS0930_StatisticsGroupRef</v>
      </c>
      <c r="R33" s="8" t="s">
        <v>8010</v>
      </c>
      <c r="S33" s="7" t="s">
        <v>2</v>
      </c>
      <c r="T33" s="7"/>
      <c r="U33" s="7" t="s">
        <v>40</v>
      </c>
      <c r="V33" s="7" t="s">
        <v>3334</v>
      </c>
      <c r="W33" s="7" t="s">
        <v>2499</v>
      </c>
      <c r="X33" s="8" t="s">
        <v>3428</v>
      </c>
      <c r="Y33" s="7" t="s">
        <v>5798</v>
      </c>
      <c r="Z33" s="7" t="s">
        <v>5799</v>
      </c>
      <c r="AA33" s="11" t="str">
        <f>"BEGIN
     RETURN exists('DS_IS_RDS', '"&amp;Table362[[#This Row],[Lookup Table]]&amp;"', '"&amp;Table362[[#This Row],[Lookup Field]]&amp;"', "&amp;Table362[[#This Row],[IS Parameter]]&amp;");
END"</f>
        <v>BEGIN
     RETURN exists('DS_IS_RDS', 'TVSD', 'STGKU', $P_I_StatisticsGroup);
END</v>
      </c>
      <c r="AB33" s="11" t="str">
        <f>Table362[[#This Row],[IS Parameter]]&amp;" IS NOT NULL
AND "&amp; Table362[[#This Row],[IS Parameter]]&amp;" != ''"</f>
        <v>$P_I_StatisticsGroup IS NOT NULL
AND $P_I_StatisticsGroup != ''</v>
      </c>
      <c r="AC33" s="10" t="s">
        <v>6663</v>
      </c>
      <c r="AD33" s="10"/>
      <c r="AE33" s="13" t="str">
        <f>IF(Table362[[#This Row],[Entity]]="Customer","KUNNR",IF(Table362[[#This Row],[Entity]]="Vendor","LIFNR","MATNR"))&amp;",VKORG,VTWEG,SPART,"&amp;Table362[[#This Row],[Field]]</f>
        <v>KUNNR,VKORG,VTWEG,SPART,VERSG</v>
      </c>
      <c r="AF33" s="13" t="str">
        <f>"VW_"&amp;Table362[[#This Row],[New Rule Name]]</f>
        <v>VW_CUS0930_StatisticsGroupRef</v>
      </c>
      <c r="AG33" s="11" t="str">
        <f>"create view "&amp;Table362[[#This Row],[View Name]]&amp;" as 
     select 
          "&amp;IF(Table362[[#This Row],[Entity]]="Customer","KUNNR",IF(Table362[[#This Row],[Entity]]="Vendor","LIFNR","MATNR"))&amp;",
          VKORG,
          VTWEG,
          SPART,
          "&amp;Table362[[#This Row],[Field]]&amp;" 
     from "&amp;Table362[[#This Row],[Table]]</f>
        <v>create view VW_CUS0930_StatisticsGroupRef as 
     select 
          KUNNR,
          VKORG,
          VTWEG,
          SPART,
          VERSG 
     from KNVV</v>
      </c>
      <c r="AH33" s="8"/>
      <c r="AI33" s="20" t="s">
        <v>7645</v>
      </c>
      <c r="AJ33" s="20"/>
      <c r="AK33" s="31">
        <v>93</v>
      </c>
      <c r="AL33" s="31"/>
    </row>
    <row r="34" spans="1:38" s="3" customFormat="1" ht="72" hidden="1" x14ac:dyDescent="0.25">
      <c r="A34" s="9">
        <v>30</v>
      </c>
      <c r="B34" s="7" t="s">
        <v>3973</v>
      </c>
      <c r="C34" s="7" t="s">
        <v>16</v>
      </c>
      <c r="D34" s="7" t="s">
        <v>6716</v>
      </c>
      <c r="E34" s="7" t="s">
        <v>6726</v>
      </c>
      <c r="F34" s="7" t="s">
        <v>6727</v>
      </c>
      <c r="G34" s="7" t="s">
        <v>6640</v>
      </c>
      <c r="H34" s="7" t="s">
        <v>6640</v>
      </c>
      <c r="I34" s="7" t="s">
        <v>6640</v>
      </c>
      <c r="J34" s="20" t="str">
        <f>VLOOKUP(V34,Table_to_BRG!A:D,3,FALSE)</f>
        <v>Billing</v>
      </c>
      <c r="K34" s="20" t="str">
        <f>VLOOKUP(V34,Table_to_BRG!A:D,2,FALSE)</f>
        <v>Credit Card Master</v>
      </c>
      <c r="L34" s="20"/>
      <c r="M34" s="20"/>
      <c r="N34" s="9"/>
      <c r="O34" s="54"/>
      <c r="P34" s="7" t="s">
        <v>7842</v>
      </c>
      <c r="Q34" s="11" t="str">
        <f>UPPER(LEFT(Table362[[#This Row],[Entity]],3))&amp;RIGHT("00"&amp;Table362[[#This Row],[Rule '# by Entity]],3)&amp;"0_"&amp;MID(SUBSTITUTE(Table362[[#This Row],[Rule Name]],"_","|",3),SEARCH("|",SUBSTITUTE(Table362[[#This Row],[Rule Name]],"_","|",3))+1,LEN(Table362[[#This Row],[Rule Name]]))</f>
        <v>CUS1130_PaymentCardCategoryRef</v>
      </c>
      <c r="R34" s="8" t="s">
        <v>8011</v>
      </c>
      <c r="S34" s="7" t="s">
        <v>2</v>
      </c>
      <c r="T34" s="7"/>
      <c r="U34" s="7" t="s">
        <v>5983</v>
      </c>
      <c r="V34" s="7" t="s">
        <v>6343</v>
      </c>
      <c r="W34" s="7" t="s">
        <v>5985</v>
      </c>
      <c r="X34" s="8" t="s">
        <v>6344</v>
      </c>
      <c r="Y34" s="7" t="s">
        <v>5984</v>
      </c>
      <c r="Z34" s="7" t="s">
        <v>5985</v>
      </c>
      <c r="AA34" s="11" t="str">
        <f>"BEGIN
     RETURN exists('DS_IS_RDS', '"&amp;Table362[[#This Row],[Lookup Table]]&amp;"', '"&amp;Table362[[#This Row],[Lookup Field]]&amp;"', "&amp;Table362[[#This Row],[IS Parameter]]&amp;");
END"</f>
        <v>BEGIN
     RETURN exists('DS_IS_RDS', 'TVCTY', 'CCTYP', $P_I_PaymentCardCategory);
END</v>
      </c>
      <c r="AB34" s="11" t="str">
        <f>Table362[[#This Row],[IS Parameter]]&amp;" IS NOT NULL
AND "&amp; Table362[[#This Row],[IS Parameter]]&amp;" != ''"</f>
        <v>$P_I_PaymentCardCategory IS NOT NULL
AND $P_I_PaymentCardCategory != ''</v>
      </c>
      <c r="AC34" s="10" t="s">
        <v>6663</v>
      </c>
      <c r="AD34" s="10"/>
      <c r="AE34" s="13" t="str">
        <f>"CCINS,CCNUM,"&amp;Table362[[#This Row],[Field]]</f>
        <v>CCINS,CCNUM,CCTYP</v>
      </c>
      <c r="AF34" s="13" t="str">
        <f>"VW_"&amp;Table362[[#This Row],[New Rule Name]]</f>
        <v>VW_CUS1130_PaymentCardCategoryRef</v>
      </c>
      <c r="AG34" s="11" t="str">
        <f>"create view "&amp;Table362[[#This Row],[View Name]]&amp;" as 
     select 
          CCINS,
          CCNUM,
          "&amp;Table362[[#This Row],[Field]]&amp;" 
     from "&amp;Table362[[#This Row],[Table]]</f>
        <v>create view VW_CUS1130_PaymentCardCategoryRef as 
     select 
          CCINS,
          CCNUM,
          CCTYP 
     from VCNUM</v>
      </c>
      <c r="AH34" s="8"/>
      <c r="AI34" s="20" t="s">
        <v>7808</v>
      </c>
      <c r="AJ34" s="20"/>
      <c r="AK34" s="31">
        <v>113</v>
      </c>
      <c r="AL34" s="31"/>
    </row>
    <row r="35" spans="1:38" s="3" customFormat="1" ht="72" hidden="1" x14ac:dyDescent="0.25">
      <c r="A35" s="9">
        <v>31</v>
      </c>
      <c r="B35" s="7" t="s">
        <v>3973</v>
      </c>
      <c r="C35" s="7" t="s">
        <v>16</v>
      </c>
      <c r="D35" s="7" t="s">
        <v>6716</v>
      </c>
      <c r="E35" s="7" t="s">
        <v>2759</v>
      </c>
      <c r="F35" s="7" t="s">
        <v>6728</v>
      </c>
      <c r="G35" s="7" t="s">
        <v>6358</v>
      </c>
      <c r="H35" s="7" t="s">
        <v>6360</v>
      </c>
      <c r="I35" s="7"/>
      <c r="J35" s="20" t="str">
        <f>VLOOKUP(V35,Table_to_BRG!A:D,3,FALSE)</f>
        <v>Sales document</v>
      </c>
      <c r="K35" s="20" t="str">
        <f>VLOOKUP(V35,Table_to_BRG!A:D,2,FALSE)</f>
        <v>Sales Document: Business Data</v>
      </c>
      <c r="L35" s="20"/>
      <c r="M35" s="20"/>
      <c r="N35" s="9"/>
      <c r="O35" s="54"/>
      <c r="P35" s="7" t="s">
        <v>7843</v>
      </c>
      <c r="Q35" s="11" t="str">
        <f>UPPER(LEFT(Table362[[#This Row],[Entity]],3))&amp;RIGHT("00"&amp;Table362[[#This Row],[Rule '# by Entity]],3)&amp;"0_"&amp;MID(SUBSTITUTE(Table362[[#This Row],[Rule Name]],"_","|",3),SEARCH("|",SUBSTITUTE(Table362[[#This Row],[Rule Name]],"_","|",3))+1,LEN(Table362[[#This Row],[Rule Name]]))</f>
        <v>CUS1110_PaymentMethodRef</v>
      </c>
      <c r="R35" s="8" t="s">
        <v>8012</v>
      </c>
      <c r="S35" s="7" t="s">
        <v>2</v>
      </c>
      <c r="T35" s="7"/>
      <c r="U35" s="7" t="s">
        <v>123</v>
      </c>
      <c r="V35" s="7" t="s">
        <v>6345</v>
      </c>
      <c r="W35" s="7" t="s">
        <v>5987</v>
      </c>
      <c r="X35" s="8" t="s">
        <v>6346</v>
      </c>
      <c r="Y35" s="7" t="s">
        <v>5986</v>
      </c>
      <c r="Z35" s="7" t="s">
        <v>5987</v>
      </c>
      <c r="AA35" s="11" t="str">
        <f>"BEGIN
     RETURN exists('DS_IS_RDS', '"&amp;Table362[[#This Row],[Lookup Table]]&amp;"', '"&amp;Table362[[#This Row],[Lookup Field]]&amp;"', "&amp;Table362[[#This Row],[IS Parameter]]&amp;");
END"</f>
        <v>BEGIN
     RETURN exists('DS_IS_RDS', 'T042Z', 'ZLSCH', $P_I_PaymentMethod);
END</v>
      </c>
      <c r="AB35" s="11" t="str">
        <f>Table362[[#This Row],[IS Parameter]]&amp;" IS NOT NULL
AND "&amp; Table362[[#This Row],[IS Parameter]]&amp;" != ''"</f>
        <v>$P_I_PaymentMethod IS NOT NULL
AND $P_I_PaymentMethod != ''</v>
      </c>
      <c r="AC35" s="10" t="s">
        <v>6663</v>
      </c>
      <c r="AD35" s="10"/>
      <c r="AE35" s="13" t="str">
        <f>"VBELN,POSNR,"&amp;Table362[[#This Row],[Field]]</f>
        <v>VBELN,POSNR,ZLSCH</v>
      </c>
      <c r="AF35" s="13" t="str">
        <f>"VW_"&amp;Table362[[#This Row],[New Rule Name]]</f>
        <v>VW_CUS1110_PaymentMethodRef</v>
      </c>
      <c r="AG35" s="11" t="str">
        <f>"create view "&amp;Table362[[#This Row],[View Name]]&amp;" as 
     select 
          VBELN,
          POSNR,
          "&amp;Table362[[#This Row],[Field]]&amp;" 
     from "&amp;Table362[[#This Row],[Table]]</f>
        <v>create view VW_CUS1110_PaymentMethodRef as 
     select 
          VBELN,
          POSNR,
          ZLSCH 
     from VBKD</v>
      </c>
      <c r="AH35" s="8"/>
      <c r="AI35" s="20" t="s">
        <v>7602</v>
      </c>
      <c r="AJ35" s="20"/>
      <c r="AK35" s="31">
        <v>111</v>
      </c>
      <c r="AL35" s="31"/>
    </row>
    <row r="36" spans="1:38" s="3" customFormat="1" ht="84" x14ac:dyDescent="0.25">
      <c r="A36" s="9">
        <v>32</v>
      </c>
      <c r="B36" s="7" t="s">
        <v>3973</v>
      </c>
      <c r="C36" s="7" t="s">
        <v>3</v>
      </c>
      <c r="D36" s="7" t="s">
        <v>6711</v>
      </c>
      <c r="E36" s="7" t="s">
        <v>6712</v>
      </c>
      <c r="F36" s="7" t="s">
        <v>6729</v>
      </c>
      <c r="G36" s="7" t="s">
        <v>6382</v>
      </c>
      <c r="H36" s="7"/>
      <c r="I36" s="7"/>
      <c r="J36" s="20" t="str">
        <f>VLOOKUP(V36,Table_to_BRG!A:D,3,FALSE)</f>
        <v>Sales data</v>
      </c>
      <c r="K36" s="20" t="str">
        <f>VLOOKUP(V36,Table_to_BRG!A:D,2,FALSE)</f>
        <v>Sales</v>
      </c>
      <c r="L36" s="20"/>
      <c r="M36" s="20"/>
      <c r="N36" s="9"/>
      <c r="O36" s="54"/>
      <c r="P36" s="7" t="s">
        <v>8325</v>
      </c>
      <c r="Q36" s="11" t="str">
        <f>UPPER(LEFT(Table362[[#This Row],[Entity]],3))&amp;RIGHT("00"&amp;Table362[[#This Row],[Rule '# by Entity]],3)&amp;"0_"&amp;MID(SUBSTITUTE(Table362[[#This Row],[Rule Name]],"_","|",3),SEARCH("|",SUBSTITUTE(Table362[[#This Row],[Rule Name]],"_","|",3))+1,LEN(Table362[[#This Row],[Rule Name]]))</f>
        <v>MAT1270_CommissionGroupRef</v>
      </c>
      <c r="R36" s="8" t="s">
        <v>8615</v>
      </c>
      <c r="S36" s="7" t="s">
        <v>2</v>
      </c>
      <c r="T36" s="7"/>
      <c r="U36" s="7" t="s">
        <v>127</v>
      </c>
      <c r="V36" s="7" t="s">
        <v>2460</v>
      </c>
      <c r="W36" s="7" t="s">
        <v>2506</v>
      </c>
      <c r="X36" s="8" t="s">
        <v>1333</v>
      </c>
      <c r="Y36" s="7" t="s">
        <v>5988</v>
      </c>
      <c r="Z36" s="7" t="s">
        <v>2506</v>
      </c>
      <c r="AA36" s="11" t="str">
        <f>"BEGIN
     RETURN exists('DS_IS_RDS', '"&amp;Table362[[#This Row],[Lookup Table]]&amp;"', '"&amp;Table362[[#This Row],[Lookup Field]]&amp;"', "&amp;Table362[[#This Row],[IS Parameter]]&amp;");
END"</f>
        <v>BEGIN
     RETURN exists('DS_IS_RDS', 'TVPR', 'PROVG', $P_I_CommissionGroup);
END</v>
      </c>
      <c r="AB36" s="11" t="str">
        <f>Table362[[#This Row],[IS Parameter]]&amp;" IS NOT NULL AND rtrim("&amp;Table362[[#This Row],[IS Parameter]]&amp;", ' ') != ''"</f>
        <v>$P_I_CommissionGroup IS NOT NULL AND rtrim($P_I_CommissionGroup, ' ') != ''</v>
      </c>
      <c r="AC36" s="10" t="s">
        <v>6663</v>
      </c>
      <c r="AD36" s="10"/>
      <c r="AE36" s="13" t="str">
        <f>IF(Table362[[#This Row],[Entity]]="Customer","KUNNR",IF(Table362[[#This Row],[Entity]]="Vendor","LIFNR","MATNR"))&amp;",VKORG,VTWEG,"&amp;Table362[[#This Row],[Field]]</f>
        <v>MATNR,VKORG,VTWEG,PROVG</v>
      </c>
      <c r="AF36" s="13" t="str">
        <f>"VW_"&amp;Table362[[#This Row],[New Rule Name]]</f>
        <v>VW_MAT1270_CommissionGroupRef</v>
      </c>
      <c r="AG36" s="11" t="str">
        <f>"create view "&amp;Table362[[#This Row],[View Name]]&amp;" as 
     select 
          "&amp;IF(Table362[[#This Row],[Entity]]="Customer","KUNNR",IF(Table362[[#This Row],[Entity]]="Vendor","LIFNR","MATNR"))&amp;",
          VKORG,
          VTWEG,
          "&amp;Table362[[#This Row],[Field]]&amp;" 
     from "&amp;Table362[[#This Row],[Table]]</f>
        <v>create view VW_MAT1270_CommissionGroupRef as 
     select 
          MATNR,
          VKORG,
          VTWEG,
          PROVG 
     from MVKE</v>
      </c>
      <c r="AH36" s="8"/>
      <c r="AI36" s="20"/>
      <c r="AJ36" s="20"/>
      <c r="AK36" s="31">
        <v>127</v>
      </c>
      <c r="AL36" s="31"/>
    </row>
    <row r="37" spans="1:38" s="38" customFormat="1" ht="210" hidden="1" x14ac:dyDescent="0.25">
      <c r="A37" s="14">
        <v>35</v>
      </c>
      <c r="B37" s="15" t="s">
        <v>3973</v>
      </c>
      <c r="C37" s="15" t="s">
        <v>16</v>
      </c>
      <c r="D37" s="15" t="s">
        <v>6711</v>
      </c>
      <c r="E37" s="15" t="s">
        <v>6714</v>
      </c>
      <c r="F37" s="15" t="s">
        <v>6715</v>
      </c>
      <c r="G37" s="15" t="s">
        <v>6361</v>
      </c>
      <c r="H37" s="15" t="s">
        <v>3969</v>
      </c>
      <c r="I37" s="15" t="s">
        <v>3969</v>
      </c>
      <c r="J37" s="27" t="str">
        <f>VLOOKUP(V37,Table_to_BRG!A:D,3,FALSE)</f>
        <v>General data</v>
      </c>
      <c r="K37" s="27" t="str">
        <f>VLOOKUP(V37,Table_to_BRG!A:D,2,FALSE)</f>
        <v>General</v>
      </c>
      <c r="L37" s="27"/>
      <c r="M37" s="27"/>
      <c r="N37" s="14" t="s">
        <v>6465</v>
      </c>
      <c r="O37" s="54" t="str">
        <f>"Superceded by rule "&amp;A1004</f>
        <v>Superceded by rule 384</v>
      </c>
      <c r="P37" s="16" t="s">
        <v>137</v>
      </c>
      <c r="Q37" s="17"/>
      <c r="R37" s="16" t="s">
        <v>138</v>
      </c>
      <c r="S37" s="15" t="s">
        <v>139</v>
      </c>
      <c r="T37" s="15"/>
      <c r="U37" s="15" t="s">
        <v>6084</v>
      </c>
      <c r="V37" s="15" t="s">
        <v>2741</v>
      </c>
      <c r="W37" s="16" t="s">
        <v>6350</v>
      </c>
      <c r="X37" s="16" t="s">
        <v>6423</v>
      </c>
      <c r="Y37" s="15" t="s">
        <v>5978</v>
      </c>
      <c r="Z37" s="15" t="s">
        <v>5978</v>
      </c>
      <c r="AA37" s="26" t="s">
        <v>6542</v>
      </c>
      <c r="AB37" s="26"/>
      <c r="AC37" s="26" t="s">
        <v>6463</v>
      </c>
      <c r="AD37" s="26"/>
      <c r="AE37" s="18"/>
      <c r="AF37" s="18"/>
      <c r="AG37" s="17"/>
      <c r="AH37" s="16" t="s">
        <v>6540</v>
      </c>
      <c r="AI37" s="27" t="s">
        <v>6543</v>
      </c>
      <c r="AJ37" s="27"/>
      <c r="AK37" s="36"/>
      <c r="AL37" s="52"/>
    </row>
    <row r="38" spans="1:38" s="3" customFormat="1" ht="120" x14ac:dyDescent="0.25">
      <c r="A38" s="9">
        <v>33</v>
      </c>
      <c r="B38" s="7" t="s">
        <v>3973</v>
      </c>
      <c r="C38" s="7" t="s">
        <v>3</v>
      </c>
      <c r="D38" s="7" t="s">
        <v>6711</v>
      </c>
      <c r="E38" s="7" t="s">
        <v>6712</v>
      </c>
      <c r="F38" s="7" t="s">
        <v>6713</v>
      </c>
      <c r="G38" s="7" t="s">
        <v>6377</v>
      </c>
      <c r="H38" s="7"/>
      <c r="I38" s="7"/>
      <c r="J38" s="20" t="str">
        <f>VLOOKUP(V38,Table_to_BRG!A:D,3,FALSE)</f>
        <v>Plant data</v>
      </c>
      <c r="K38" s="20" t="str">
        <f>VLOOKUP(V38,Table_to_BRG!A:D,2,FALSE)</f>
        <v>Plant</v>
      </c>
      <c r="L38" s="20"/>
      <c r="M38" s="20"/>
      <c r="N38" s="9"/>
      <c r="O38" s="54"/>
      <c r="P38" s="7" t="s">
        <v>8326</v>
      </c>
      <c r="Q38" s="11" t="str">
        <f>UPPER(LEFT(Table362[[#This Row],[Entity]],3))&amp;RIGHT("00"&amp;Table362[[#This Row],[Rule '# by Entity]],3)&amp;"0_"&amp;MID(SUBSTITUTE(Table362[[#This Row],[Rule Name]],"_","|",3),SEARCH("|",SUBSTITUTE(Table362[[#This Row],[Rule Name]],"_","|",3))+1,LEN(Table362[[#This Row],[Rule Name]]))</f>
        <v>MAT0380_PurchasingGroupPopulated</v>
      </c>
      <c r="R38" s="8" t="s">
        <v>7987</v>
      </c>
      <c r="S38" s="7" t="s">
        <v>21</v>
      </c>
      <c r="T38"/>
      <c r="U38" s="7" t="s">
        <v>131</v>
      </c>
      <c r="V38" s="7" t="s">
        <v>1527</v>
      </c>
      <c r="W38" s="7" t="s">
        <v>2045</v>
      </c>
      <c r="X38" s="8" t="s">
        <v>8637</v>
      </c>
      <c r="Y38" s="7" t="s">
        <v>5978</v>
      </c>
      <c r="Z38" s="7" t="s">
        <v>5978</v>
      </c>
      <c r="AA38" s="10" t="s">
        <v>132</v>
      </c>
      <c r="AB38" s="10"/>
      <c r="AC38" s="10" t="s">
        <v>6813</v>
      </c>
      <c r="AD38" s="10"/>
      <c r="AE38" s="13" t="str">
        <f>IF(Table362[[#This Row],[Entity]]="Customer","KUNNR",IF(Table362[[#This Row],[Entity]]="Vendor","LIFNR","MATNR"))&amp;",WERKS"&amp;","&amp;Table362[[#This Row],[Field]]</f>
        <v>MATNR,WERKS,EKGRP</v>
      </c>
      <c r="AF38" s="13" t="str">
        <f>"VW_"&amp;Table362[[#This Row],[New Rule Name]]</f>
        <v>VW_MAT0380_PurchasingGroupPopulated</v>
      </c>
      <c r="AG38"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VW_MAT0380_PurchasingGroupPopulated (
     MATNR,
     WERKS,
     EKGRP
     ) as select 
          MATNR,
          WERKS,
          EKGRP 
     from MARC</v>
      </c>
      <c r="AH38" s="8"/>
      <c r="AI38" s="20" t="s">
        <v>7810</v>
      </c>
      <c r="AJ38" s="20"/>
      <c r="AK38" s="31">
        <v>38</v>
      </c>
      <c r="AL38" s="31"/>
    </row>
    <row r="39" spans="1:38" s="3" customFormat="1" ht="72" x14ac:dyDescent="0.25">
      <c r="A39" s="9">
        <v>34</v>
      </c>
      <c r="B39" s="7" t="s">
        <v>3973</v>
      </c>
      <c r="C39" s="7" t="s">
        <v>3</v>
      </c>
      <c r="D39" s="7" t="s">
        <v>6711</v>
      </c>
      <c r="E39" s="7" t="s">
        <v>6712</v>
      </c>
      <c r="F39" s="7" t="s">
        <v>6730</v>
      </c>
      <c r="G39" s="7" t="s">
        <v>6687</v>
      </c>
      <c r="H39" s="7"/>
      <c r="I39" s="7"/>
      <c r="J39" s="20" t="str">
        <f>VLOOKUP(V39,Table_to_BRG!A:D,3,FALSE)</f>
        <v>Warehouse data</v>
      </c>
      <c r="K39" s="20" t="str">
        <f>VLOOKUP(V39,Table_to_BRG!A:D,2,FALSE)</f>
        <v>Material Data for Each Warehouse Number</v>
      </c>
      <c r="L39" s="20"/>
      <c r="M39" s="20"/>
      <c r="N39" s="9"/>
      <c r="O39" s="54"/>
      <c r="P39" s="7" t="s">
        <v>8327</v>
      </c>
      <c r="Q39" s="11" t="str">
        <f>UPPER(LEFT(Table362[[#This Row],[Entity]],3))&amp;RIGHT("00"&amp;Table362[[#This Row],[Rule '# by Entity]],3)&amp;"0_"&amp;MID(SUBSTITUTE(Table362[[#This Row],[Rule Name]],"_","|",3),SEARCH("|",SUBSTITUTE(Table362[[#This Row],[Rule Name]],"_","|",3))+1,LEN(Table362[[#This Row],[Rule Name]]))</f>
        <v>MAT1100_WarehouseNumberPopulated</v>
      </c>
      <c r="R39" s="8" t="s">
        <v>7985</v>
      </c>
      <c r="S39" s="7" t="s">
        <v>21</v>
      </c>
      <c r="T39"/>
      <c r="U39" s="7" t="s">
        <v>135</v>
      </c>
      <c r="V39" s="7" t="s">
        <v>2594</v>
      </c>
      <c r="W39" s="7" t="s">
        <v>2566</v>
      </c>
      <c r="X39" s="8" t="s">
        <v>8640</v>
      </c>
      <c r="Y39" s="7" t="s">
        <v>5978</v>
      </c>
      <c r="Z39" s="7" t="s">
        <v>5978</v>
      </c>
      <c r="AA39" s="10" t="s">
        <v>136</v>
      </c>
      <c r="AB39" s="10"/>
      <c r="AC39" s="10" t="s">
        <v>6813</v>
      </c>
      <c r="AD39" s="10"/>
      <c r="AE39" s="13" t="str">
        <f>IF(Table362[[#This Row],[Entity]]="Customer","KUNNR",IF(Table362[[#This Row],[Entity]]="Vendor","LIFNR","MATNR"))&amp;","&amp;Table362[[#This Row],[Field]]</f>
        <v>MATNR,LGNUM</v>
      </c>
      <c r="AF39" s="13" t="str">
        <f>"VW_"&amp;Table362[[#This Row],[New Rule Name]]</f>
        <v>VW_MAT1100_WarehouseNumberPopulated</v>
      </c>
      <c r="AG39" s="11" t="str">
        <f>"create view "&amp;Table362[[#This Row],[View Name]]&amp;" as 
     select 
          "&amp;IF(Table362[[#This Row],[Entity]]="Customer","KUNNR",IF(Table362[[#This Row],[Entity]]="Vendor","LIFNR","MATNR"))&amp;",
          "&amp;Table362[[#This Row],[Field]]&amp;" 
     from "&amp;Table362[[#This Row],[Table]]</f>
        <v>create view VW_MAT1100_WarehouseNumberPopulated as 
     select 
          MATNR,
          LGNUM 
     from MLGN</v>
      </c>
      <c r="AH39" s="8"/>
      <c r="AI39" s="20"/>
      <c r="AJ39" s="20"/>
      <c r="AK39" s="31">
        <v>110</v>
      </c>
      <c r="AL39" s="31"/>
    </row>
    <row r="40" spans="1:38" s="3" customFormat="1" ht="84" hidden="1" x14ac:dyDescent="0.25">
      <c r="A40" s="9">
        <v>36</v>
      </c>
      <c r="B40" s="7" t="s">
        <v>3973</v>
      </c>
      <c r="C40" s="7" t="s">
        <v>1207</v>
      </c>
      <c r="D40" s="7" t="s">
        <v>6719</v>
      </c>
      <c r="E40" s="7" t="s">
        <v>6720</v>
      </c>
      <c r="F40" s="7" t="s">
        <v>6731</v>
      </c>
      <c r="G40" s="7" t="s">
        <v>6358</v>
      </c>
      <c r="H40" s="7" t="s">
        <v>6359</v>
      </c>
      <c r="I40" s="7" t="s">
        <v>6421</v>
      </c>
      <c r="J40" s="20" t="str">
        <f>VLOOKUP(V40,Table_to_BRG!A:D,3,FALSE)</f>
        <v>Dunning data</v>
      </c>
      <c r="K40" s="20" t="str">
        <f>VLOOKUP(V40,Table_to_BRG!A:D,2,FALSE)</f>
        <v>Dunning</v>
      </c>
      <c r="L40" s="20"/>
      <c r="M40" s="20"/>
      <c r="N40" s="9"/>
      <c r="O40" s="54"/>
      <c r="P40" s="7" t="s">
        <v>8447</v>
      </c>
      <c r="Q40" s="11" t="str">
        <f>UPPER(LEFT(Table362[[#This Row],[Entity]],3))&amp;RIGHT("00"&amp;Table362[[#This Row],[Rule '# by Entity]],3)&amp;"0_"&amp;MID(SUBSTITUTE(Table362[[#This Row],[Rule Name]],"_","|",3),SEARCH("|",SUBSTITUTE(Table362[[#This Row],[Rule Name]],"_","|",3))+1,LEN(Table362[[#This Row],[Rule Name]]))</f>
        <v>VEN0530_DunningClerkRef</v>
      </c>
      <c r="R40" s="13" t="s">
        <v>8247</v>
      </c>
      <c r="S40" s="7" t="s">
        <v>2</v>
      </c>
      <c r="T40" s="7"/>
      <c r="U40" s="7" t="s">
        <v>144</v>
      </c>
      <c r="V40" s="7" t="s">
        <v>3574</v>
      </c>
      <c r="W40" s="7" t="s">
        <v>2792</v>
      </c>
      <c r="X40" s="8" t="s">
        <v>1184</v>
      </c>
      <c r="Y40" s="7" t="s">
        <v>4233</v>
      </c>
      <c r="Z40" s="7" t="s">
        <v>2792</v>
      </c>
      <c r="AA40" s="11" t="str">
        <f>"BEGIN
     RETURN exists('DS_IS_RDS', '"&amp;Table362[[#This Row],[Lookup Table]]&amp;"', '"&amp;Table362[[#This Row],[Lookup Field]]&amp;"', "&amp;Table362[[#This Row],[IS Parameter]]&amp;");
END"</f>
        <v>BEGIN
     RETURN exists('DS_IS_RDS', 'T001S', 'BUSAB', $P_I_DunningClerk);
END</v>
      </c>
      <c r="AB40" s="11"/>
      <c r="AC40" s="10" t="s">
        <v>6663</v>
      </c>
      <c r="AD40" s="10"/>
      <c r="AE40" s="13" t="str">
        <f>IF(Table362[[#This Row],[Entity]]="Customer","KUNNR",IF(Table362[[#This Row],[Entity]]="Vendor","LIFNR","MATNR"))&amp;",BUKRS,MABERS,"&amp;Table362[[#This Row],[Field]]</f>
        <v>LIFNR,BUKRS,MABERS,BUSAB</v>
      </c>
      <c r="AF40" s="13" t="str">
        <f>"VW_"&amp;Table362[[#This Row],[New Rule Name]]</f>
        <v>VW_VEN0530_DunningClerkRef</v>
      </c>
      <c r="AG40" s="11" t="str">
        <f>"create view "&amp;Table362[[#This Row],[View Name]]&amp;" as 
     select 
          "&amp;IF(Table362[[#This Row],[Entity]]="Customer","KUNNR",IF(Table362[[#This Row],[Entity]]="Vendor","LIFNR","MATNR"))&amp;",
          BUKRS,
          MABER,
          "&amp;Table362[[#This Row],[Field]]&amp;" 
     from "&amp;Table362[[#This Row],[Table]]</f>
        <v>create view VW_VEN0530_DunningClerkRef as 
     select 
          LIFNR,
          BUKRS,
          MABER,
          BUSAB 
     from LFB5</v>
      </c>
      <c r="AH40" s="8"/>
      <c r="AI40" s="20" t="s">
        <v>6441</v>
      </c>
      <c r="AJ40" s="20"/>
      <c r="AK40" s="31">
        <v>53</v>
      </c>
      <c r="AL40" s="31"/>
    </row>
    <row r="41" spans="1:38" s="3" customFormat="1" ht="120" x14ac:dyDescent="0.25">
      <c r="A41" s="9">
        <v>37</v>
      </c>
      <c r="B41" s="7" t="s">
        <v>3973</v>
      </c>
      <c r="C41" s="7" t="s">
        <v>3</v>
      </c>
      <c r="D41" s="7" t="s">
        <v>6711</v>
      </c>
      <c r="E41" s="7" t="s">
        <v>6712</v>
      </c>
      <c r="F41" s="7" t="s">
        <v>6713</v>
      </c>
      <c r="G41" s="7" t="s">
        <v>6644</v>
      </c>
      <c r="H41" s="7"/>
      <c r="I41" s="7"/>
      <c r="J41" s="20" t="str">
        <f>VLOOKUP(V41,Table_to_BRG!A:D,3,FALSE)</f>
        <v>Plant data</v>
      </c>
      <c r="K41" s="20" t="str">
        <f>VLOOKUP(V41,Table_to_BRG!A:D,2,FALSE)</f>
        <v>Plant</v>
      </c>
      <c r="L41" s="20"/>
      <c r="M41" s="20"/>
      <c r="N41" s="9"/>
      <c r="O41" s="54"/>
      <c r="P41" s="7" t="s">
        <v>8551</v>
      </c>
      <c r="Q41" s="11" t="str">
        <f>UPPER(LEFT(Table362[[#This Row],[Entity]],3))&amp;RIGHT("00"&amp;Table362[[#This Row],[Rule '# by Entity]],3)&amp;"0_"&amp;MID(SUBSTITUTE(Table362[[#This Row],[Rule Name]],"_","|",3),SEARCH("|",SUBSTITUTE(Table362[[#This Row],[Rule Name]],"_","|",3))+1,LEN(Table362[[#This Row],[Rule Name]]))</f>
        <v>MAT0530_SchedulingMarginKeyPopulated</v>
      </c>
      <c r="R41" s="8" t="s">
        <v>7986</v>
      </c>
      <c r="S41" s="7" t="s">
        <v>21</v>
      </c>
      <c r="T41"/>
      <c r="U41" s="7" t="s">
        <v>6085</v>
      </c>
      <c r="V41" s="7" t="s">
        <v>1527</v>
      </c>
      <c r="W41" s="7" t="s">
        <v>2126</v>
      </c>
      <c r="X41" s="8" t="s">
        <v>8641</v>
      </c>
      <c r="Y41" s="7" t="s">
        <v>5978</v>
      </c>
      <c r="Z41" s="7" t="s">
        <v>5978</v>
      </c>
      <c r="AA41" s="10" t="s">
        <v>148</v>
      </c>
      <c r="AB41" s="10"/>
      <c r="AC41" s="10" t="s">
        <v>6813</v>
      </c>
      <c r="AD41" s="10"/>
      <c r="AE41" s="13" t="str">
        <f>IF(Table362[[#This Row],[Entity]]="Customer","KUNNR",IF(Table362[[#This Row],[Entity]]="Vendor","LIFNR","MATNR"))&amp;",WERKS"&amp;","&amp;Table362[[#This Row],[Field]]</f>
        <v>MATNR,WERKS,FHORI</v>
      </c>
      <c r="AF41" s="13" t="str">
        <f>"VW_"&amp;Table362[[#This Row],[New Rule Name]]</f>
        <v>VW_MAT0530_SchedulingMarginKeyPopulated</v>
      </c>
      <c r="AG41"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VW_MAT0530_SchedulingMarginKeyPopulated (
     MATNR,
     WERKS,
     FHORI
     ) as select 
          MATNR,
          WERKS,
          FHORI 
     from MARC</v>
      </c>
      <c r="AH41" s="8"/>
      <c r="AI41" s="20"/>
      <c r="AJ41" s="20"/>
      <c r="AK41" s="31">
        <v>53</v>
      </c>
      <c r="AL41" s="31"/>
    </row>
    <row r="42" spans="1:38" s="3" customFormat="1" ht="72" hidden="1" x14ac:dyDescent="0.25">
      <c r="A42" s="9">
        <v>38</v>
      </c>
      <c r="B42" s="7" t="s">
        <v>3973</v>
      </c>
      <c r="C42" s="7" t="s">
        <v>16</v>
      </c>
      <c r="D42" s="7" t="s">
        <v>6719</v>
      </c>
      <c r="E42" s="7" t="s">
        <v>6720</v>
      </c>
      <c r="F42" s="7" t="s">
        <v>6721</v>
      </c>
      <c r="G42" s="7" t="s">
        <v>6358</v>
      </c>
      <c r="H42" s="7" t="s">
        <v>6359</v>
      </c>
      <c r="I42" s="7"/>
      <c r="J42" s="20" t="str">
        <f>VLOOKUP(V42,Table_to_BRG!A:D,3,FALSE)</f>
        <v>Company Code data</v>
      </c>
      <c r="K42" s="20" t="str">
        <f>VLOOKUP(V42,Table_to_BRG!A:D,2,FALSE)</f>
        <v>Company Code</v>
      </c>
      <c r="L42" s="20"/>
      <c r="M42" s="20"/>
      <c r="N42" s="9"/>
      <c r="O42" s="54"/>
      <c r="P42" s="7" t="s">
        <v>7844</v>
      </c>
      <c r="Q42" s="11" t="str">
        <f>UPPER(LEFT(Table362[[#This Row],[Entity]],3))&amp;RIGHT("00"&amp;Table362[[#This Row],[Rule '# by Entity]],3)&amp;"0_"&amp;MID(SUBSTITUTE(Table362[[#This Row],[Rule Name]],"_","|",3),SEARCH("|",SUBSTITUTE(Table362[[#This Row],[Rule Name]],"_","|",3))+1,LEN(Table362[[#This Row],[Rule Name]]))</f>
        <v>CUS0420_AccountingClerkRef</v>
      </c>
      <c r="R42" s="8" t="s">
        <v>8013</v>
      </c>
      <c r="S42" s="7" t="s">
        <v>2</v>
      </c>
      <c r="T42" s="7"/>
      <c r="U42" s="7" t="s">
        <v>151</v>
      </c>
      <c r="V42" s="7" t="s">
        <v>2740</v>
      </c>
      <c r="W42" s="7" t="s">
        <v>2792</v>
      </c>
      <c r="X42" s="8" t="s">
        <v>6347</v>
      </c>
      <c r="Y42" s="7" t="s">
        <v>4233</v>
      </c>
      <c r="Z42" s="7" t="s">
        <v>2792</v>
      </c>
      <c r="AA42" s="11" t="str">
        <f>"BEGIN
     RETURN exists('DS_IS_RDS', '"&amp;Table362[[#This Row],[Lookup Table]]&amp;"', '"&amp;Table362[[#This Row],[Lookup Field]]&amp;"', "&amp;Table362[[#This Row],[IS Parameter]]&amp;");
END"</f>
        <v>BEGIN
     RETURN exists('DS_IS_RDS', 'T001S', 'BUSAB', $P_I_AccountingClerk);
END</v>
      </c>
      <c r="AB42" s="11" t="str">
        <f>Table362[[#This Row],[IS Parameter]]&amp;" IS NOT NULL
AND "&amp; Table362[[#This Row],[IS Parameter]]&amp;" != ''"</f>
        <v>$P_I_AccountingClerk IS NOT NULL
AND $P_I_AccountingClerk != ''</v>
      </c>
      <c r="AC42" s="10" t="s">
        <v>6663</v>
      </c>
      <c r="AD42" s="10"/>
      <c r="AE42" s="13" t="str">
        <f>IF(Table362[[#This Row],[Entity]]="Customer","KUNNR",IF(Table362[[#This Row],[Entity]]="Vendor","LIFNR","MATNR"))&amp;",BUKRS"&amp;","&amp;Table362[[#This Row],[Field]]</f>
        <v>KUNNR,BUKRS,BUSAB</v>
      </c>
      <c r="AF42" s="13" t="str">
        <f>"VW_"&amp;Table362[[#This Row],[New Rule Name]]</f>
        <v>VW_CUS0420_AccountingClerkRef</v>
      </c>
      <c r="AG42" s="11" t="str">
        <f>"create view "&amp;Table362[[#This Row],[View Name]]&amp;" as 
     select 
          "&amp;IF(Table362[[#This Row],[Entity]]="Customer","KUNNR",IF(Table362[[#This Row],[Entity]]="Vendor","LIFNR","MATNR"))&amp;",
          BUKRS,
          "&amp;Table362[[#This Row],[Field]]&amp;" 
     from "&amp;Table362[[#This Row],[Table]]</f>
        <v>create view VW_CUS0420_AccountingClerkRef as 
     select 
          KUNNR,
          BUKRS,
          BUSAB 
     from KNB1</v>
      </c>
      <c r="AH42" s="8"/>
      <c r="AI42" s="20" t="s">
        <v>7617</v>
      </c>
      <c r="AJ42" s="20"/>
      <c r="AK42" s="31">
        <v>42</v>
      </c>
      <c r="AL42" s="31">
        <v>5</v>
      </c>
    </row>
    <row r="43" spans="1:38" s="3" customFormat="1" ht="60" hidden="1" x14ac:dyDescent="0.25">
      <c r="A43" s="9">
        <v>39</v>
      </c>
      <c r="B43" s="7" t="s">
        <v>3973</v>
      </c>
      <c r="C43" s="7" t="s">
        <v>16</v>
      </c>
      <c r="D43" s="7" t="s">
        <v>6711</v>
      </c>
      <c r="E43" s="7" t="s">
        <v>6714</v>
      </c>
      <c r="F43" s="7" t="s">
        <v>6715</v>
      </c>
      <c r="G43" s="7" t="s">
        <v>6361</v>
      </c>
      <c r="H43" s="7" t="s">
        <v>6384</v>
      </c>
      <c r="I43" s="7"/>
      <c r="J43" s="20" t="str">
        <f>VLOOKUP(V43,Table_to_BRG!A:D,3,FALSE)</f>
        <v>General data</v>
      </c>
      <c r="K43" s="20" t="str">
        <f>VLOOKUP(V43,Table_to_BRG!A:D,2,FALSE)</f>
        <v>General</v>
      </c>
      <c r="L43" s="20"/>
      <c r="M43" s="20"/>
      <c r="N43" s="9"/>
      <c r="O43" s="54"/>
      <c r="P43" s="7" t="s">
        <v>7845</v>
      </c>
      <c r="Q43" s="11" t="str">
        <f>UPPER(LEFT(Table362[[#This Row],[Entity]],3))&amp;RIGHT("00"&amp;Table362[[#This Row],[Rule '# by Entity]],3)&amp;"0_"&amp;MID(SUBSTITUTE(Table362[[#This Row],[Rule Name]],"_","|",3),SEARCH("|",SUBSTITUTE(Table362[[#This Row],[Rule Name]],"_","|",3))+1,LEN(Table362[[#This Row],[Rule Name]]))</f>
        <v>CUS0280_IndustryCodeRef</v>
      </c>
      <c r="R43" s="8" t="s">
        <v>8014</v>
      </c>
      <c r="S43" s="7" t="s">
        <v>21</v>
      </c>
      <c r="T43" s="7" t="s">
        <v>2</v>
      </c>
      <c r="U43" s="7" t="s">
        <v>155</v>
      </c>
      <c r="V43" s="7" t="s">
        <v>2741</v>
      </c>
      <c r="W43" s="8" t="s">
        <v>3235</v>
      </c>
      <c r="X43" s="8" t="s">
        <v>6926</v>
      </c>
      <c r="Y43" s="7" t="s">
        <v>5989</v>
      </c>
      <c r="Z43" s="7" t="s">
        <v>5990</v>
      </c>
      <c r="AA43" s="11" t="str">
        <f>"BEGIN
     RETURN exists('DS_IS_RDS', '"&amp;Table362[[#This Row],[Lookup Table]]&amp;"', '"&amp;Table362[[#This Row],[Lookup Field]]&amp;"', "&amp;Table362[[#This Row],[IS Parameter]]&amp;");
END"</f>
        <v>BEGIN
     RETURN exists('DS_IS_RDS', 'TBRC', 'BRACO', $P_I_IndustryCode);
END</v>
      </c>
      <c r="AB43" s="11" t="str">
        <f>Table362[[#This Row],[IS Parameter]]&amp;" IS NOT NULL
AND "&amp; Table362[[#This Row],[IS Parameter]]&amp;" != ''"</f>
        <v>$P_I_IndustryCode IS NOT NULL
AND $P_I_IndustryCode != ''</v>
      </c>
      <c r="AC43" s="10" t="s">
        <v>6663</v>
      </c>
      <c r="AD43" s="10"/>
      <c r="AE43" s="13" t="str">
        <f>IF(Table362[[#This Row],[Entity]]="Customer","KUNNR",IF(Table362[[#This Row],[Entity]]="Vendor","LIFNR","MATNR"))&amp;","&amp;Table362[[#This Row],[Field]]</f>
        <v>KUNNR,BRAN1</v>
      </c>
      <c r="AF43" s="13" t="str">
        <f>"VW_"&amp;Table362[[#This Row],[New Rule Name]]</f>
        <v>VW_CUS0280_IndustryCodeRef</v>
      </c>
      <c r="AG43" s="11" t="str">
        <f>"create view "&amp;Table362[[#This Row],[View Name]]&amp;" as 
     select 
          "&amp;IF(Table362[[#This Row],[Entity]]="Customer","KUNNR",IF(Table362[[#This Row],[Entity]]="Vendor","LIFNR","MATNR"))&amp;",
          "&amp;Table362[[#This Row],[Field]]&amp;" 
     from "&amp;Table362[[#This Row],[Table]]</f>
        <v>create view VW_CUS0280_IndustryCodeRef as 
     select 
          KUNNR,
          BRAN1 
     from KNA1</v>
      </c>
      <c r="AH43" s="8"/>
      <c r="AI43" s="20" t="s">
        <v>7619</v>
      </c>
      <c r="AJ43" s="20"/>
      <c r="AK43" s="31">
        <v>28</v>
      </c>
      <c r="AL43" s="31"/>
    </row>
    <row r="44" spans="1:38" s="3" customFormat="1" ht="96" hidden="1" x14ac:dyDescent="0.25">
      <c r="A44" s="9">
        <v>40</v>
      </c>
      <c r="B44" s="7" t="s">
        <v>3973</v>
      </c>
      <c r="C44" s="7" t="s">
        <v>16</v>
      </c>
      <c r="D44" s="7" t="s">
        <v>6711</v>
      </c>
      <c r="E44" s="7" t="s">
        <v>6714</v>
      </c>
      <c r="F44" s="7" t="s">
        <v>6724</v>
      </c>
      <c r="G44" s="7" t="s">
        <v>6365</v>
      </c>
      <c r="H44" s="7" t="s">
        <v>2759</v>
      </c>
      <c r="I44" s="7"/>
      <c r="J44" s="20" t="str">
        <f>VLOOKUP(V44,Table_to_BRG!A:D,3,FALSE)</f>
        <v>Customer sales data</v>
      </c>
      <c r="K44" s="20" t="str">
        <f>VLOOKUP(V44,Table_to_BRG!A:D,2,FALSE)</f>
        <v>Sales</v>
      </c>
      <c r="L44" s="20"/>
      <c r="M44" s="20"/>
      <c r="N44" s="9"/>
      <c r="O44" s="54"/>
      <c r="P44" s="7" t="s">
        <v>7846</v>
      </c>
      <c r="Q44" s="11" t="str">
        <f>UPPER(LEFT(Table362[[#This Row],[Entity]],3))&amp;RIGHT("00"&amp;Table362[[#This Row],[Rule '# by Entity]],3)&amp;"0_"&amp;MID(SUBSTITUTE(Table362[[#This Row],[Rule Name]],"_","|",3),SEARCH("|",SUBSTITUTE(Table362[[#This Row],[Rule Name]],"_","|",3))+1,LEN(Table362[[#This Row],[Rule Name]]))</f>
        <v>CUS1060_SalesOfficeRef</v>
      </c>
      <c r="R44" s="8" t="s">
        <v>8015</v>
      </c>
      <c r="S44" s="7" t="s">
        <v>2</v>
      </c>
      <c r="T44" s="7"/>
      <c r="U44" s="7" t="s">
        <v>159</v>
      </c>
      <c r="V44" s="7" t="s">
        <v>3334</v>
      </c>
      <c r="W44" s="7" t="s">
        <v>3406</v>
      </c>
      <c r="X44" s="8" t="s">
        <v>1244</v>
      </c>
      <c r="Y44" s="7" t="s">
        <v>5991</v>
      </c>
      <c r="Z44" s="7" t="s">
        <v>3406</v>
      </c>
      <c r="AA44" s="11" t="str">
        <f>"BEGIN
     RETURN exists('DS_IS_RDS', '"&amp;Table362[[#This Row],[Lookup Table]]&amp;"', '"&amp;Table362[[#This Row],[Lookup Field]]&amp;"', "&amp;Table362[[#This Row],[IS Parameter]]&amp;");
END"</f>
        <v>BEGIN
     RETURN exists('DS_IS_RDS', 'TVKBT', 'VKBUR', $P_I_SalesOffice);
END</v>
      </c>
      <c r="AB44" s="11" t="str">
        <f>Table362[[#This Row],[IS Parameter]]&amp;" IS NOT NULL
AND "&amp; Table362[[#This Row],[IS Parameter]]&amp;" != ''"</f>
        <v>$P_I_SalesOffice IS NOT NULL
AND $P_I_SalesOffice != ''</v>
      </c>
      <c r="AC44" s="10" t="s">
        <v>6663</v>
      </c>
      <c r="AD44" s="10"/>
      <c r="AE44" s="13" t="str">
        <f>IF(Table362[[#This Row],[Entity]]="Customer","KUNNR",IF(Table362[[#This Row],[Entity]]="Vendor","LIFNR","MATNR"))&amp;",VKORG,VTWEG,SPART,"&amp;Table362[[#This Row],[Field]]</f>
        <v>KUNNR,VKORG,VTWEG,SPART,VKBUR</v>
      </c>
      <c r="AF44" s="13" t="str">
        <f>"VW_"&amp;Table362[[#This Row],[New Rule Name]]</f>
        <v>VW_CUS1060_SalesOfficeRef</v>
      </c>
      <c r="AG44" s="11" t="str">
        <f>"create view "&amp;Table362[[#This Row],[View Name]]&amp;" as 
     select 
          "&amp;IF(Table362[[#This Row],[Entity]]="Customer","KUNNR",IF(Table362[[#This Row],[Entity]]="Vendor","LIFNR","MATNR"))&amp;",
          VKORG,
          VTWEG,
          SPART,
          "&amp;Table362[[#This Row],[Field]]&amp;" 
     from "&amp;Table362[[#This Row],[Table]]</f>
        <v>create view VW_CUS1060_SalesOfficeRef as 
     select 
          KUNNR,
          VKORG,
          VTWEG,
          SPART,
          VKBUR 
     from KNVV</v>
      </c>
      <c r="AH44" s="8"/>
      <c r="AI44" s="20" t="s">
        <v>7725</v>
      </c>
      <c r="AJ44" s="20"/>
      <c r="AK44" s="31">
        <v>106</v>
      </c>
      <c r="AL44" s="31"/>
    </row>
    <row r="45" spans="1:38" s="3" customFormat="1" ht="72" x14ac:dyDescent="0.25">
      <c r="A45" s="9">
        <v>41</v>
      </c>
      <c r="B45" s="7" t="s">
        <v>3973</v>
      </c>
      <c r="C45" s="7" t="s">
        <v>3</v>
      </c>
      <c r="D45" s="7" t="s">
        <v>6711</v>
      </c>
      <c r="E45" s="7" t="s">
        <v>6712</v>
      </c>
      <c r="F45" s="7" t="s">
        <v>6725</v>
      </c>
      <c r="G45" s="7" t="s">
        <v>6371</v>
      </c>
      <c r="H45" s="7" t="s">
        <v>6388</v>
      </c>
      <c r="I45" s="7"/>
      <c r="J45" s="20" t="str">
        <f>VLOOKUP(V45,Table_to_BRG!A:D,3,FALSE)</f>
        <v>General data</v>
      </c>
      <c r="K45" s="20" t="str">
        <f>VLOOKUP(V45,Table_to_BRG!A:D,2,FALSE)</f>
        <v>General</v>
      </c>
      <c r="L45" s="20"/>
      <c r="M45" s="20"/>
      <c r="N45" s="9"/>
      <c r="O45" s="54"/>
      <c r="P45" s="7" t="s">
        <v>8328</v>
      </c>
      <c r="Q45" s="11" t="str">
        <f>UPPER(LEFT(Table362[[#This Row],[Entity]],3))&amp;RIGHT("00"&amp;Table362[[#This Row],[Rule '# by Entity]],3)&amp;"0_"&amp;MID(SUBSTITUTE(Table362[[#This Row],[Rule Name]],"_","|",3),SEARCH("|",SUBSTITUTE(Table362[[#This Row],[Rule Name]],"_","|",3))+1,LEN(Table362[[#This Row],[Rule Name]]))</f>
        <v>MAT0280_SerialNumberLevelIsValid</v>
      </c>
      <c r="R45" s="8" t="s">
        <v>8159</v>
      </c>
      <c r="S45" s="7" t="s">
        <v>4135</v>
      </c>
      <c r="T45" s="7" t="s">
        <v>2</v>
      </c>
      <c r="U45" s="7" t="s">
        <v>163</v>
      </c>
      <c r="V45" s="7" t="s">
        <v>1526</v>
      </c>
      <c r="W45" s="7" t="s">
        <v>2004</v>
      </c>
      <c r="X45" s="8" t="s">
        <v>2407</v>
      </c>
      <c r="Y45" s="7" t="s">
        <v>5978</v>
      </c>
      <c r="Z45" s="7" t="s">
        <v>5978</v>
      </c>
      <c r="AA45" s="10" t="s">
        <v>8576</v>
      </c>
      <c r="AB45" s="11" t="str">
        <f>Table362[[#This Row],[IS Parameter]]&amp;" IS NOT NULL AND rtrim("&amp;Table362[[#This Row],[IS Parameter]]&amp;", ' ') != ''"</f>
        <v>$P_I_SerialNoDomain IS NOT NULL AND rtrim($P_I_SerialNoDomain, ' ') != ''</v>
      </c>
      <c r="AC45" s="13" t="s">
        <v>7792</v>
      </c>
      <c r="AD45"/>
      <c r="AE45" s="13" t="str">
        <f>IF(Table362[[#This Row],[Entity]]="Customer","KUNNR",IF(Table362[[#This Row],[Entity]]="Vendor","LIFNR","MATNR"))&amp;","&amp;Table362[[#This Row],[Field]]</f>
        <v>MATNR,SERLV</v>
      </c>
      <c r="AF45" s="13" t="str">
        <f>"VW_"&amp;Table362[[#This Row],[New Rule Name]]</f>
        <v>VW_MAT0280_SerialNumberLevelIsValid</v>
      </c>
      <c r="AG45" s="11" t="str">
        <f>"create view "&amp;Table362[[#This Row],[View Name]]&amp;" as 
     select 
          "&amp;IF(Table362[[#This Row],[Entity]]="Customer","KUNNR",IF(Table362[[#This Row],[Entity]]="Vendor","LIFNR","MATNR"))&amp;",
          "&amp;Table362[[#This Row],[Field]]&amp;" 
     from "&amp;Table362[[#This Row],[Table]]</f>
        <v>create view VW_MAT0280_SerialNumberLevelIsValid as 
     select 
          MATNR,
          SERLV 
     from MARA</v>
      </c>
      <c r="AH45" s="8"/>
      <c r="AI45" s="20"/>
      <c r="AJ45" s="20"/>
      <c r="AK45" s="31">
        <v>28</v>
      </c>
      <c r="AL45" s="31"/>
    </row>
    <row r="46" spans="1:38" s="3" customFormat="1" ht="84" hidden="1" x14ac:dyDescent="0.25">
      <c r="A46" s="9">
        <v>42</v>
      </c>
      <c r="B46" s="7" t="s">
        <v>3973</v>
      </c>
      <c r="C46" s="7" t="s">
        <v>1207</v>
      </c>
      <c r="D46" s="7" t="s">
        <v>6719</v>
      </c>
      <c r="E46" s="7" t="s">
        <v>6720</v>
      </c>
      <c r="F46" s="7" t="s">
        <v>6732</v>
      </c>
      <c r="G46" s="7" t="s">
        <v>6358</v>
      </c>
      <c r="H46" s="7" t="s">
        <v>6359</v>
      </c>
      <c r="I46" s="7" t="s">
        <v>3970</v>
      </c>
      <c r="J46" s="20" t="str">
        <f>VLOOKUP(V46,Table_to_BRG!A:D,3,FALSE)</f>
        <v>Company Code data</v>
      </c>
      <c r="K46" s="20" t="str">
        <f>VLOOKUP(V46,Table_to_BRG!A:D,2,FALSE)</f>
        <v>Company Code</v>
      </c>
      <c r="L46" s="20"/>
      <c r="M46" s="20"/>
      <c r="N46" s="9"/>
      <c r="O46" s="54"/>
      <c r="P46" s="7" t="s">
        <v>8448</v>
      </c>
      <c r="Q46" s="11" t="str">
        <f>UPPER(LEFT(Table362[[#This Row],[Entity]],3))&amp;RIGHT("00"&amp;Table362[[#This Row],[Rule '# by Entity]],3)&amp;"0_"&amp;MID(SUBSTITUTE(Table362[[#This Row],[Rule Name]],"_","|",3),SEARCH("|",SUBSTITUTE(Table362[[#This Row],[Rule Name]],"_","|",3))+1,LEN(Table362[[#This Row],[Rule Name]]))</f>
        <v>VEN0500_BankStatementIndicatorRef</v>
      </c>
      <c r="R46" s="8" t="s">
        <v>8259</v>
      </c>
      <c r="S46" s="7" t="s">
        <v>2</v>
      </c>
      <c r="T46" s="7"/>
      <c r="U46" s="7" t="s">
        <v>167</v>
      </c>
      <c r="V46" s="7" t="s">
        <v>3543</v>
      </c>
      <c r="W46" s="7" t="s">
        <v>2794</v>
      </c>
      <c r="X46" s="8" t="s">
        <v>2813</v>
      </c>
      <c r="Y46" s="7" t="s">
        <v>4236</v>
      </c>
      <c r="Z46" s="7" t="s">
        <v>2794</v>
      </c>
      <c r="AA46" s="11" t="str">
        <f>"BEGIN
     RETURN exists('DS_IS_RDS', '"&amp;Table362[[#This Row],[Lookup Table]]&amp;"', '"&amp;Table362[[#This Row],[Lookup Field]]&amp;"', "&amp;Table362[[#This Row],[IS Parameter]]&amp;");
END"</f>
        <v>BEGIN
     RETURN exists('DS_IS_RDS', 'T048K', 'XAUSZ', $P_I_BankStmtInd);
END</v>
      </c>
      <c r="AB46" s="11"/>
      <c r="AC46" s="10" t="s">
        <v>6663</v>
      </c>
      <c r="AD46" s="10"/>
      <c r="AE46" s="13" t="str">
        <f>IF(Table362[[#This Row],[Entity]]="Customer","KUNNR",IF(Table362[[#This Row],[Entity]]="Vendor","LIFNR","MATNR"))&amp;",BUKRS,"&amp;Table362[[#This Row],[Field]]</f>
        <v>LIFNR,BUKRS,XAUSZ</v>
      </c>
      <c r="AF46" s="13" t="str">
        <f>"VW_"&amp;Table362[[#This Row],[New Rule Name]]</f>
        <v>VW_VEN0500_BankStatementIndicatorRef</v>
      </c>
      <c r="AG46" s="11" t="str">
        <f>"create view "&amp;Table362[[#This Row],[View Name]]&amp;" as 
     select 
          "&amp;IF(Table362[[#This Row],[Entity]]="Customer","KUNNR",IF(Table362[[#This Row],[Entity]]="Vendor","LIFNR","MATNR"))&amp;",
          BUKRS,
          "&amp;Table362[[#This Row],[Field]]&amp;" 
     from "&amp;Table362[[#This Row],[Table]]</f>
        <v>create view VW_VEN0500_BankStatementIndicatorRef as 
     select 
          LIFNR,
          BUKRS,
          XAUSZ 
     from LFB1</v>
      </c>
      <c r="AH46" s="8"/>
      <c r="AI46" s="20" t="s">
        <v>7621</v>
      </c>
      <c r="AJ46" s="20"/>
      <c r="AK46" s="31">
        <v>50</v>
      </c>
      <c r="AL46" s="31"/>
    </row>
    <row r="47" spans="1:38" s="3" customFormat="1" ht="84" x14ac:dyDescent="0.25">
      <c r="A47" s="9">
        <v>43</v>
      </c>
      <c r="B47" s="7" t="s">
        <v>3973</v>
      </c>
      <c r="C47" s="7" t="s">
        <v>3</v>
      </c>
      <c r="D47" s="7" t="s">
        <v>6711</v>
      </c>
      <c r="E47" s="7" t="s">
        <v>6712</v>
      </c>
      <c r="F47" s="7" t="s">
        <v>6730</v>
      </c>
      <c r="G47" s="7" t="s">
        <v>6687</v>
      </c>
      <c r="H47" s="7"/>
      <c r="I47" s="7"/>
      <c r="J47" s="20" t="str">
        <f>VLOOKUP(V47,Table_to_BRG!A:D,3,FALSE)</f>
        <v>Warehouse data</v>
      </c>
      <c r="K47" s="20" t="str">
        <f>VLOOKUP(V47,Table_to_BRG!A:D,2,FALSE)</f>
        <v>Material Data for Each Warehouse Number</v>
      </c>
      <c r="L47" s="20"/>
      <c r="M47" s="20"/>
      <c r="N47" s="9"/>
      <c r="O47" s="54"/>
      <c r="P47" s="7" t="s">
        <v>8329</v>
      </c>
      <c r="Q47" s="11" t="str">
        <f>UPPER(LEFT(Table362[[#This Row],[Entity]],3))&amp;RIGHT("00"&amp;Table362[[#This Row],[Rule '# by Entity]],3)&amp;"0_"&amp;MID(SUBSTITUTE(Table362[[#This Row],[Rule Name]],"_","|",3),SEARCH("|",SUBSTITUTE(Table362[[#This Row],[Rule Name]],"_","|",3))+1,LEN(Table362[[#This Row],[Rule Name]]))</f>
        <v>MAT1110_ProposedUOMfromMatIsValid</v>
      </c>
      <c r="R47" s="8" t="s">
        <v>8160</v>
      </c>
      <c r="S47" s="7" t="s">
        <v>4135</v>
      </c>
      <c r="T47" s="7" t="s">
        <v>2</v>
      </c>
      <c r="U47" s="7" t="s">
        <v>171</v>
      </c>
      <c r="V47" s="7" t="s">
        <v>2594</v>
      </c>
      <c r="W47" s="7" t="s">
        <v>6639</v>
      </c>
      <c r="X47" s="8" t="s">
        <v>2582</v>
      </c>
      <c r="Y47" s="7" t="s">
        <v>5978</v>
      </c>
      <c r="Z47" s="7" t="s">
        <v>5978</v>
      </c>
      <c r="AA47" s="10" t="s">
        <v>8577</v>
      </c>
      <c r="AB47" s="11" t="str">
        <f>Table362[[#This Row],[IS Parameter]]&amp;" IS NOT NULL AND rtrim("&amp;Table362[[#This Row],[IS Parameter]]&amp;", ' ') != ''"</f>
        <v>$P_I_ProposedUOM IS NOT NULL AND rtrim($P_I_ProposedUOM, ' ') != ''</v>
      </c>
      <c r="AC47" s="13" t="s">
        <v>7792</v>
      </c>
      <c r="AD47"/>
      <c r="AE47" s="13" t="str">
        <f>IF(Table362[[#This Row],[Entity]]="Customer","KUNNR",IF(Table362[[#This Row],[Entity]]="Vendor","LIFNR","MATNR"))&amp;",LGNUM,"&amp;Table362[[#This Row],[Field]]</f>
        <v xml:space="preserve">MATNR,LGNUM,VOMEM </v>
      </c>
      <c r="AF47" s="13" t="str">
        <f>"VW_"&amp;Table362[[#This Row],[New Rule Name]]</f>
        <v>VW_MAT1110_ProposedUOMfromMatIsValid</v>
      </c>
      <c r="AG47" s="11" t="str">
        <f>"create view "&amp;Table362[[#This Row],[View Name]]&amp;" as 
     select 
          "&amp;IF(Table362[[#This Row],[Entity]]="Customer","KUNNR",IF(Table362[[#This Row],[Entity]]="Vendor","LIFNR","MATNR"))&amp;",
          LGNUM,
          "&amp;Table362[[#This Row],[Field]]&amp;" 
     from "&amp;Table362[[#This Row],[Table]]</f>
        <v>create view VW_MAT1110_ProposedUOMfromMatIsValid as 
     select 
          MATNR,
          LGNUM,
          VOMEM  
     from MLGN</v>
      </c>
      <c r="AH47" s="8"/>
      <c r="AI47" s="20" t="s">
        <v>7729</v>
      </c>
      <c r="AJ47" s="20"/>
      <c r="AK47" s="31">
        <v>111</v>
      </c>
      <c r="AL47" s="31"/>
    </row>
    <row r="48" spans="1:38" s="3" customFormat="1" ht="72" x14ac:dyDescent="0.25">
      <c r="A48" s="9">
        <v>44</v>
      </c>
      <c r="B48" s="7" t="s">
        <v>3973</v>
      </c>
      <c r="C48" s="7" t="s">
        <v>3</v>
      </c>
      <c r="D48" s="7" t="s">
        <v>5978</v>
      </c>
      <c r="E48" s="7" t="s">
        <v>5978</v>
      </c>
      <c r="F48" s="7" t="s">
        <v>5978</v>
      </c>
      <c r="G48" s="7" t="s">
        <v>6687</v>
      </c>
      <c r="H48" s="7" t="s">
        <v>6688</v>
      </c>
      <c r="I48" s="7"/>
      <c r="J48" s="20" t="str">
        <f>VLOOKUP(V48,Table_to_BRG!A:D,3,FALSE)</f>
        <v>Warehouse data</v>
      </c>
      <c r="K48" s="20" t="str">
        <f>VLOOKUP(V48,Table_to_BRG!A:D,2,FALSE)</f>
        <v>Material Data for Each Warehouse Number</v>
      </c>
      <c r="L48" s="20"/>
      <c r="M48" s="20"/>
      <c r="N48" s="9"/>
      <c r="O48" s="54"/>
      <c r="P48" s="7" t="s">
        <v>8330</v>
      </c>
      <c r="Q48" s="11" t="str">
        <f>UPPER(LEFT(Table362[[#This Row],[Entity]],3))&amp;RIGHT("00"&amp;Table362[[#This Row],[Rule '# by Entity]],3)&amp;"0_"&amp;MID(SUBSTITUTE(Table362[[#This Row],[Rule Name]],"_","|",3),SEARCH("|",SUBSTITUTE(Table362[[#This Row],[Rule Name]],"_","|",3))+1,LEN(Table362[[#This Row],[Rule Name]]))</f>
        <v>MAT1180_SpecialMovementRef</v>
      </c>
      <c r="R48" s="8" t="s">
        <v>7913</v>
      </c>
      <c r="S48" s="7" t="s">
        <v>2</v>
      </c>
      <c r="T48" s="7"/>
      <c r="U48" s="7" t="s">
        <v>175</v>
      </c>
      <c r="V48" s="7" t="s">
        <v>2594</v>
      </c>
      <c r="W48" s="7" t="s">
        <v>2576</v>
      </c>
      <c r="X48" s="8" t="s">
        <v>8616</v>
      </c>
      <c r="Y48" s="7" t="s">
        <v>5992</v>
      </c>
      <c r="Z48" s="7" t="s">
        <v>2576</v>
      </c>
      <c r="AA48" s="11" t="str">
        <f>"BEGIN
     RETURN exists('DS_IS_RDS', '"&amp;Table362[[#This Row],[Lookup Table]]&amp;"', '"&amp;Table362[[#This Row],[Lookup Field]]&amp;"', "&amp;Table362[[#This Row],[IS Parameter]]&amp;");
END"</f>
        <v>BEGIN
     RETURN exists('DS_IS_RDS', 'T306', 'BSSKZ', $P_I_SpecialMovement);
END</v>
      </c>
      <c r="AB48" s="11" t="str">
        <f>Table362[[#This Row],[IS Parameter]]&amp;" IS NOT NULL AND rtrim("&amp;Table362[[#This Row],[IS Parameter]]&amp;", ' ') != ''"</f>
        <v>$P_I_SpecialMovement IS NOT NULL AND rtrim($P_I_SpecialMovement, ' ') != ''</v>
      </c>
      <c r="AC48" s="10" t="s">
        <v>6663</v>
      </c>
      <c r="AD48" s="10"/>
      <c r="AE48" s="13" t="str">
        <f>IF(Table362[[#This Row],[Entity]]="Customer","KUNNR",IF(Table362[[#This Row],[Entity]]="Vendor","LIFNR","MATNR"))&amp;",LGNUM,"&amp;Table362[[#This Row],[Field]]</f>
        <v>MATNR,LGNUM,BSSKZ</v>
      </c>
      <c r="AF48" s="13" t="str">
        <f>"VW_"&amp;Table362[[#This Row],[New Rule Name]]</f>
        <v>VW_MAT1180_SpecialMovementRef</v>
      </c>
      <c r="AG48" s="11" t="str">
        <f>"create view "&amp;Table362[[#This Row],[View Name]]&amp;" as 
     select 
          "&amp;IF(Table362[[#This Row],[Entity]]="Customer","KUNNR",IF(Table362[[#This Row],[Entity]]="Vendor","LIFNR","MATNR"))&amp;",
          LGNUM,
          "&amp;Table362[[#This Row],[Field]]&amp;" 
     from "&amp;Table362[[#This Row],[Table]]</f>
        <v>create view VW_MAT1180_SpecialMovementRef as 
     select 
          MATNR,
          LGNUM,
          BSSKZ 
     from MLGN</v>
      </c>
      <c r="AH48" s="8" t="s">
        <v>7754</v>
      </c>
      <c r="AI48" s="20"/>
      <c r="AJ48" s="20"/>
      <c r="AK48" s="31">
        <v>118</v>
      </c>
      <c r="AL48" s="31"/>
    </row>
    <row r="49" spans="1:38" s="3" customFormat="1" ht="60" hidden="1" x14ac:dyDescent="0.25">
      <c r="A49" s="9">
        <v>47</v>
      </c>
      <c r="B49" s="7" t="s">
        <v>3973</v>
      </c>
      <c r="C49" s="7" t="s">
        <v>1207</v>
      </c>
      <c r="D49" s="7" t="s">
        <v>5978</v>
      </c>
      <c r="E49" s="7" t="s">
        <v>5978</v>
      </c>
      <c r="F49" s="7" t="s">
        <v>5978</v>
      </c>
      <c r="G49" s="7"/>
      <c r="H49" s="7"/>
      <c r="I49" s="7"/>
      <c r="J49" s="20" t="str">
        <f>VLOOKUP(V49,Table_to_BRG!A:D,3,FALSE)</f>
        <v>Customer sales data</v>
      </c>
      <c r="K49" s="20" t="str">
        <f>VLOOKUP(V49,Table_to_BRG!A:D,2,FALSE)</f>
        <v>Sales</v>
      </c>
      <c r="L49" s="20"/>
      <c r="M49" s="20"/>
      <c r="N49" s="9" t="s">
        <v>6465</v>
      </c>
      <c r="O49" s="54" t="s">
        <v>7743</v>
      </c>
      <c r="P49" s="7" t="s">
        <v>8449</v>
      </c>
      <c r="Q49" s="11"/>
      <c r="R49" s="8" t="s">
        <v>6482</v>
      </c>
      <c r="S49" s="7" t="s">
        <v>2</v>
      </c>
      <c r="T49" s="7"/>
      <c r="U49" s="7" t="s">
        <v>187</v>
      </c>
      <c r="V49" s="7" t="s">
        <v>3334</v>
      </c>
      <c r="W49" s="7" t="s">
        <v>3411</v>
      </c>
      <c r="X49" s="8" t="s">
        <v>3422</v>
      </c>
      <c r="Y49" s="7" t="s">
        <v>5685</v>
      </c>
      <c r="Z49" s="7" t="s">
        <v>3411</v>
      </c>
      <c r="AA49" s="11" t="str">
        <f>"BEGIN
     RETURN exists('DS_IS_RDS', '"&amp;Table362[[#This Row],[Lookup Table]]&amp;"', '"&amp;Table362[[#This Row],[Lookup Field]]&amp;"', "&amp;Table362[[#This Row],[IS Parameter]]&amp;");
END"</f>
        <v>BEGIN
     RETURN exists('DS_IS_RDS', 'TCURV', 'KURST', $P_I_ExchRateType);
END</v>
      </c>
      <c r="AB49" s="11"/>
      <c r="AC49" s="10" t="s">
        <v>6663</v>
      </c>
      <c r="AD49" s="10"/>
      <c r="AE49" s="50" t="str">
        <f>IF(Table362[[#This Row],[Entity]]="Customer","KUNNR",IF(Table362[[#This Row],[Entity]]="Vendor","LIFNR","MATNR"))&amp;","&amp;Table362[[#This Row],[Field]]</f>
        <v>LIFNR,KURST</v>
      </c>
      <c r="AF49" s="50"/>
      <c r="AG49" s="51" t="str">
        <f>"create view "&amp;Table362[[#This Row],[View Name]]&amp;" as 
     select 
          "&amp;IF(Table362[[#This Row],[Entity]]="Customer","KUNNR",IF(Table362[[#This Row],[Entity]]="Vendor","LIFNR","MATNR"))&amp;",
          "&amp;Table362[[#This Row],[Field]]&amp;" 
     from "&amp;Table362[[#This Row],[Table]]</f>
        <v>create view  as 
     select 
          LIFNR,
          KURST 
     from KNVV</v>
      </c>
      <c r="AH49" s="8" t="s">
        <v>6438</v>
      </c>
      <c r="AI49" s="20" t="s">
        <v>6695</v>
      </c>
      <c r="AJ49" s="20"/>
      <c r="AK49" s="31"/>
      <c r="AL49" s="31"/>
    </row>
    <row r="50" spans="1:38" s="3" customFormat="1" ht="120" hidden="1" x14ac:dyDescent="0.25">
      <c r="A50" s="9">
        <v>45</v>
      </c>
      <c r="B50" s="7" t="s">
        <v>3973</v>
      </c>
      <c r="C50" s="7" t="s">
        <v>1207</v>
      </c>
      <c r="D50" s="7" t="s">
        <v>6711</v>
      </c>
      <c r="E50" s="7" t="s">
        <v>6733</v>
      </c>
      <c r="F50" s="7" t="s">
        <v>6734</v>
      </c>
      <c r="G50" s="7" t="s">
        <v>6387</v>
      </c>
      <c r="H50" s="7" t="s">
        <v>6367</v>
      </c>
      <c r="I50" s="7"/>
      <c r="J50" s="20" t="str">
        <f>VLOOKUP(V50,Table_to_BRG!A:D,3,FALSE)</f>
        <v>Purchasing data</v>
      </c>
      <c r="K50" s="20" t="str">
        <f>VLOOKUP(V50,Table_to_BRG!A:D,2,FALSE)</f>
        <v>Partner functions</v>
      </c>
      <c r="L50" s="20"/>
      <c r="M50" s="20"/>
      <c r="N50" s="9"/>
      <c r="O50" s="54"/>
      <c r="P50" s="7" t="s">
        <v>8450</v>
      </c>
      <c r="Q50" s="11" t="str">
        <f>UPPER(LEFT(Table362[[#This Row],[Entity]],3))&amp;RIGHT("00"&amp;Table362[[#This Row],[Rule '# by Entity]],3)&amp;"0_"&amp;MID(SUBSTITUTE(Table362[[#This Row],[Rule Name]],"_","|",3),SEARCH("|",SUBSTITUTE(Table362[[#This Row],[Rule Name]],"_","|",3))+1,LEN(Table362[[#This Row],[Rule Name]]))</f>
        <v>VEN0700_PartnerFunctionPopulated</v>
      </c>
      <c r="R50" s="8" t="s">
        <v>8131</v>
      </c>
      <c r="S50" s="7" t="s">
        <v>21</v>
      </c>
      <c r="T50" s="7"/>
      <c r="U50" s="7" t="s">
        <v>179</v>
      </c>
      <c r="V50" s="7" t="s">
        <v>3817</v>
      </c>
      <c r="W50" s="7" t="s">
        <v>3353</v>
      </c>
      <c r="X50" s="8" t="s">
        <v>1231</v>
      </c>
      <c r="Y50" s="7" t="s">
        <v>5978</v>
      </c>
      <c r="Z50" s="7" t="s">
        <v>5978</v>
      </c>
      <c r="AA50" s="10" t="s">
        <v>180</v>
      </c>
      <c r="AB50" s="10"/>
      <c r="AC50" s="10" t="s">
        <v>6813</v>
      </c>
      <c r="AD50" s="10"/>
      <c r="AE50" s="13" t="s">
        <v>7784</v>
      </c>
      <c r="AF50" s="13" t="str">
        <f>"VW_"&amp;Table362[[#This Row],[New Rule Name]]</f>
        <v>VW_VEN0700_PartnerFunctionPopulated</v>
      </c>
      <c r="AG50" s="11" t="str">
        <f>"create view "&amp;Table362[[#This Row],[View Name]]&amp;" as 
     select 
          "&amp;IF(Table362[[#This Row],[Entity]]="Customer","KUNNR",IF(Table362[[#This Row],[Entity]]="Vendor","LIFNR","MATNR"))&amp;",
          EKORG,
          LTSNR,
          WERKS,
          "&amp;Table362[[#This Row],[Field]]&amp;" 
     from "&amp;Table362[[#This Row],[Table]]&amp;"
     group by LIFNR,EKORG,LTSNR,WERKS,PARVW"</f>
        <v>create view VW_VEN0700_PartnerFunctionPopulated as 
     select 
          LIFNR,
          EKORG,
          LTSNR,
          WERKS,
          PARVW 
     from WYT3
     group by LIFNR,EKORG,LTSNR,WERKS,PARVW</v>
      </c>
      <c r="AH50" s="8"/>
      <c r="AI50" s="20" t="s">
        <v>6535</v>
      </c>
      <c r="AJ50" s="20"/>
      <c r="AK50" s="31">
        <v>70</v>
      </c>
      <c r="AL50" s="31"/>
    </row>
    <row r="51" spans="1:38" s="3" customFormat="1" ht="72" hidden="1" x14ac:dyDescent="0.25">
      <c r="A51" s="9">
        <v>46</v>
      </c>
      <c r="B51" s="7" t="s">
        <v>3973</v>
      </c>
      <c r="C51" s="7" t="s">
        <v>16</v>
      </c>
      <c r="D51" s="7" t="s">
        <v>6711</v>
      </c>
      <c r="E51" s="7" t="s">
        <v>6714</v>
      </c>
      <c r="F51" s="7" t="s">
        <v>6715</v>
      </c>
      <c r="G51" s="7" t="s">
        <v>6361</v>
      </c>
      <c r="H51" s="7" t="s">
        <v>3967</v>
      </c>
      <c r="I51" s="7" t="s">
        <v>3971</v>
      </c>
      <c r="J51" s="20" t="str">
        <f>VLOOKUP(V51,Table_to_BRG!A:D,3,FALSE)</f>
        <v>General data</v>
      </c>
      <c r="K51" s="20" t="str">
        <f>VLOOKUP(V51,Table_to_BRG!A:D,2,FALSE)</f>
        <v>General</v>
      </c>
      <c r="L51" s="20"/>
      <c r="M51" s="20"/>
      <c r="N51" s="9"/>
      <c r="O51" s="54"/>
      <c r="P51" s="7" t="s">
        <v>8078</v>
      </c>
      <c r="Q51" s="11" t="str">
        <f>UPPER(LEFT(Table362[[#This Row],[Entity]],3))&amp;RIGHT("00"&amp;Table362[[#This Row],[Rule '# by Entity]],3)&amp;"0_"&amp;MID(SUBSTITUTE(Table362[[#This Row],[Rule Name]],"_","|",3),SEARCH("|",SUBSTITUTE(Table362[[#This Row],[Rule Name]],"_","|",3))+1,LEN(Table362[[#This Row],[Rule Name]]))</f>
        <v>CUS0310_TaxJurisdictionPopulated</v>
      </c>
      <c r="R51" s="8" t="s">
        <v>8107</v>
      </c>
      <c r="S51" s="7" t="s">
        <v>21</v>
      </c>
      <c r="T51" s="7"/>
      <c r="U51" s="7" t="s">
        <v>6086</v>
      </c>
      <c r="V51" s="7" t="s">
        <v>2741</v>
      </c>
      <c r="W51" s="7" t="s">
        <v>2962</v>
      </c>
      <c r="X51" s="8" t="s">
        <v>2972</v>
      </c>
      <c r="Y51" s="7" t="s">
        <v>5978</v>
      </c>
      <c r="Z51" s="7" t="s">
        <v>5978</v>
      </c>
      <c r="AA51" s="10" t="s">
        <v>184</v>
      </c>
      <c r="AB51" s="10"/>
      <c r="AC51" s="10" t="s">
        <v>6813</v>
      </c>
      <c r="AD51" s="10"/>
      <c r="AE51" s="13" t="str">
        <f>IF(Table362[[#This Row],[Entity]]="Customer","KUNNR",IF(Table362[[#This Row],[Entity]]="Vendor","LIFNR","MATNR"))&amp;","&amp;Table362[[#This Row],[Field]]</f>
        <v>KUNNR,TXJCD</v>
      </c>
      <c r="AF51" s="13" t="str">
        <f>"VW_"&amp;Table362[[#This Row],[New Rule Name]]</f>
        <v>VW_CUS0310_TaxJurisdictionPopulated</v>
      </c>
      <c r="AG51" s="11" t="str">
        <f>"create view "&amp;Table362[[#This Row],[View Name]]&amp;" as 
     select 
          "&amp;Table362[[#This Row],[Table]]&amp;",
          "&amp;Table362[[#This Row],[Field]]&amp;" 
     from "&amp;Table362[[#This Row],[Table]]</f>
        <v>create view VW_CUS0310_TaxJurisdictionPopulated as 
     select 
          KNA1,
          TXJCD 
     from KNA1</v>
      </c>
      <c r="AH51" s="8"/>
      <c r="AI51" s="20" t="s">
        <v>7656</v>
      </c>
      <c r="AJ51" s="20"/>
      <c r="AK51" s="31">
        <v>31</v>
      </c>
      <c r="AL51" s="31"/>
    </row>
    <row r="52" spans="1:38" s="3" customFormat="1" ht="120" x14ac:dyDescent="0.25">
      <c r="A52" s="9">
        <v>48</v>
      </c>
      <c r="B52" s="7" t="s">
        <v>3973</v>
      </c>
      <c r="C52" s="7" t="s">
        <v>3</v>
      </c>
      <c r="D52" s="7" t="s">
        <v>6711</v>
      </c>
      <c r="E52" s="7" t="s">
        <v>6712</v>
      </c>
      <c r="F52" s="7" t="s">
        <v>6713</v>
      </c>
      <c r="G52" s="7" t="s">
        <v>6370</v>
      </c>
      <c r="H52" s="7"/>
      <c r="I52" s="7"/>
      <c r="J52" s="20" t="str">
        <f>VLOOKUP(V52,Table_to_BRG!A:D,3,FALSE)</f>
        <v>Plant data</v>
      </c>
      <c r="K52" s="20" t="str">
        <f>VLOOKUP(V52,Table_to_BRG!A:D,2,FALSE)</f>
        <v>Plant</v>
      </c>
      <c r="L52" s="20"/>
      <c r="M52" s="20"/>
      <c r="N52" s="9"/>
      <c r="O52" s="54"/>
      <c r="P52" s="7" t="s">
        <v>8331</v>
      </c>
      <c r="Q52" s="11" t="str">
        <f>UPPER(LEFT(Table362[[#This Row],[Entity]],3))&amp;RIGHT("00"&amp;Table362[[#This Row],[Rule '# by Entity]],3)&amp;"0_"&amp;MID(SUBSTITUTE(Table362[[#This Row],[Rule Name]],"_","|",3),SEARCH("|",SUBSTITUTE(Table362[[#This Row],[Rule Name]],"_","|",3))+1,LEN(Table362[[#This Row],[Rule Name]]))</f>
        <v>MAT0630_CommodityorImportCodeRef</v>
      </c>
      <c r="R52" s="8" t="s">
        <v>7914</v>
      </c>
      <c r="S52" s="7" t="s">
        <v>2</v>
      </c>
      <c r="T52" s="7"/>
      <c r="U52" s="7" t="s">
        <v>191</v>
      </c>
      <c r="V52" s="7" t="s">
        <v>1527</v>
      </c>
      <c r="W52" s="7" t="s">
        <v>1896</v>
      </c>
      <c r="X52" s="8" t="s">
        <v>8617</v>
      </c>
      <c r="Y52" s="7" t="s">
        <v>5993</v>
      </c>
      <c r="Z52" s="7" t="s">
        <v>1896</v>
      </c>
      <c r="AA52" s="11" t="str">
        <f>"BEGIN
     RETURN exists('DS_IS_RDS', '"&amp;Table362[[#This Row],[Lookup Table]]&amp;"', '"&amp;Table362[[#This Row],[Lookup Field]]&amp;"', "&amp;Table362[[#This Row],[IS Parameter]]&amp;");
END"</f>
        <v>BEGIN
     RETURN exists('DS_IS_RDS', 'T604', 'STAWN', $P_I_CommImportCode);
END</v>
      </c>
      <c r="AB52" s="11" t="str">
        <f>Table362[[#This Row],[IS Parameter]]&amp;" IS NOT NULL AND rtrim("&amp;Table362[[#This Row],[IS Parameter]]&amp;", ' ') != ''"</f>
        <v>$P_I_CommImportCode IS NOT NULL AND rtrim($P_I_CommImportCode, ' ') != ''</v>
      </c>
      <c r="AC52" s="10" t="s">
        <v>6663</v>
      </c>
      <c r="AD52" s="10"/>
      <c r="AE52" s="13" t="str">
        <f>IF(Table362[[#This Row],[Entity]]="Customer","KUNNR",IF(Table362[[#This Row],[Entity]]="Vendor","LIFNR","MATNR"))&amp;",WERKS"&amp;","&amp;Table362[[#This Row],[Field]]</f>
        <v>MATNR,WERKS,STAWN</v>
      </c>
      <c r="AF52" s="13" t="str">
        <f>"VW_"&amp;Table362[[#This Row],[New Rule Name]]</f>
        <v>VW_MAT0630_CommodityorImportCodeRef</v>
      </c>
      <c r="AG52"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VW_MAT0630_CommodityorImportCodeRef (
     MATNR,
     WERKS,
     STAWN
     ) as select 
          MATNR,
          WERKS,
          STAWN 
     from MARC</v>
      </c>
      <c r="AH52" s="8"/>
      <c r="AI52" s="20"/>
      <c r="AJ52" s="20"/>
      <c r="AK52" s="31">
        <v>63</v>
      </c>
      <c r="AL52" s="31"/>
    </row>
    <row r="53" spans="1:38" s="3" customFormat="1" ht="60" hidden="1" x14ac:dyDescent="0.25">
      <c r="A53" s="9">
        <v>49</v>
      </c>
      <c r="B53" s="7" t="s">
        <v>3973</v>
      </c>
      <c r="C53" s="7" t="s">
        <v>1207</v>
      </c>
      <c r="D53" s="7" t="s">
        <v>6719</v>
      </c>
      <c r="E53" s="7" t="s">
        <v>6720</v>
      </c>
      <c r="F53" s="7" t="s">
        <v>6722</v>
      </c>
      <c r="G53" s="7" t="s">
        <v>6358</v>
      </c>
      <c r="H53" s="7" t="s">
        <v>6360</v>
      </c>
      <c r="I53" s="7"/>
      <c r="J53" s="20" t="str">
        <f>VLOOKUP(V53,Table_to_BRG!A:D,3,FALSE)</f>
        <v>General data</v>
      </c>
      <c r="K53" s="20" t="str">
        <f>VLOOKUP(V53,Table_to_BRG!A:D,2,FALSE)</f>
        <v>General</v>
      </c>
      <c r="L53" s="20"/>
      <c r="M53" s="20"/>
      <c r="N53" s="9"/>
      <c r="O53" s="54"/>
      <c r="P53" s="7" t="s">
        <v>8451</v>
      </c>
      <c r="Q53" s="11" t="str">
        <f>UPPER(LEFT(Table362[[#This Row],[Entity]],3))&amp;RIGHT("00"&amp;Table362[[#This Row],[Rule '# by Entity]],3)&amp;"0_"&amp;MID(SUBSTITUTE(Table362[[#This Row],[Rule Name]],"_","|",3),SEARCH("|",SUBSTITUTE(Table362[[#This Row],[Rule Name]],"_","|",3))+1,LEN(Table362[[#This Row],[Rule Name]]))</f>
        <v>VEN0160_GroupingKeyRef</v>
      </c>
      <c r="R53" s="13" t="s">
        <v>8281</v>
      </c>
      <c r="S53" s="7" t="s">
        <v>2</v>
      </c>
      <c r="T53" s="7"/>
      <c r="U53" s="7" t="s">
        <v>195</v>
      </c>
      <c r="V53" s="7" t="s">
        <v>3542</v>
      </c>
      <c r="W53" s="7" t="s">
        <v>3047</v>
      </c>
      <c r="X53" s="8" t="s">
        <v>3066</v>
      </c>
      <c r="Y53" s="7" t="s">
        <v>5994</v>
      </c>
      <c r="Z53" s="7" t="s">
        <v>2899</v>
      </c>
      <c r="AA53" s="11" t="str">
        <f>"BEGIN
     RETURN exists('DS_IS_RDS', '"&amp;Table362[[#This Row],[Lookup Table]]&amp;"', '"&amp;Table362[[#This Row],[Lookup Field]]&amp;"', "&amp;Table362[[#This Row],[IS Parameter]]&amp;");
END"</f>
        <v>BEGIN
     RETURN exists('DS_IS_RDS', 'TZGR', 'ZGRUP', $P_I_GroupingKey);
END</v>
      </c>
      <c r="AB53" s="11"/>
      <c r="AC53" s="10" t="s">
        <v>6663</v>
      </c>
      <c r="AD53" s="10"/>
      <c r="AE53" s="13" t="str">
        <f>IF(Table362[[#This Row],[Entity]]="Customer","KUNNR",IF(Table362[[#This Row],[Entity]]="Vendor","LIFNR","MATNR"))&amp;","&amp;Table362[[#This Row],[Field]]</f>
        <v>LIFNR,KONZS</v>
      </c>
      <c r="AF53" s="13" t="str">
        <f>"VW_"&amp;Table362[[#This Row],[New Rule Name]]</f>
        <v>VW_VEN0160_GroupingKeyRef</v>
      </c>
      <c r="AG53" s="11" t="str">
        <f>"create view "&amp;Table362[[#This Row],[View Name]]&amp;" as 
     select 
          "&amp;IF(Table362[[#This Row],[Entity]]="Customer","KUNNR",IF(Table362[[#This Row],[Entity]]="Vendor","LIFNR","MATNR"))&amp;",
          "&amp;Table362[[#This Row],[Field]]&amp;" 
     from "&amp;Table362[[#This Row],[Table]]</f>
        <v>create view VW_VEN0160_GroupingKeyRef as 
     select 
          LIFNR,
          KONZS 
     from LFA1</v>
      </c>
      <c r="AH53" s="8"/>
      <c r="AI53" s="20" t="s">
        <v>7623</v>
      </c>
      <c r="AJ53" s="20"/>
      <c r="AK53" s="31">
        <v>16</v>
      </c>
      <c r="AL53" s="31"/>
    </row>
    <row r="54" spans="1:38" s="3" customFormat="1" ht="72" hidden="1" x14ac:dyDescent="0.25">
      <c r="A54" s="9" t="s">
        <v>7610</v>
      </c>
      <c r="B54" s="7" t="s">
        <v>3973</v>
      </c>
      <c r="C54" s="7" t="s">
        <v>16</v>
      </c>
      <c r="D54" s="7" t="s">
        <v>6716</v>
      </c>
      <c r="E54" s="7" t="s">
        <v>6740</v>
      </c>
      <c r="F54" s="7" t="s">
        <v>6741</v>
      </c>
      <c r="G54" s="7" t="s">
        <v>6653</v>
      </c>
      <c r="H54" s="7" t="s">
        <v>6364</v>
      </c>
      <c r="I54" s="7" t="s">
        <v>1214</v>
      </c>
      <c r="J54" s="20" t="str">
        <f>VLOOKUP(V54,Table_to_BRG!A:D,3,FALSE)</f>
        <v>Legal control data</v>
      </c>
      <c r="K54" s="20" t="str">
        <f>VLOOKUP(V54,Table_to_BRG!A:D,2,FALSE)</f>
        <v>Legal Control - Sanctioned Party List</v>
      </c>
      <c r="L54" s="20"/>
      <c r="M54" s="20"/>
      <c r="N54" s="9"/>
      <c r="O54" s="54"/>
      <c r="P54" s="7" t="s">
        <v>8148</v>
      </c>
      <c r="Q54" s="11" t="str">
        <f>UPPER(LEFT(Table362[[#This Row],[Entity]],3))&amp;RIGHT("00"&amp;Table362[[#This Row],[Rule '# by Entity]],3)&amp;"0_"&amp;MID(SUBSTITUTE(Table362[[#This Row],[Rule Name]],"_","|",3),SEARCH("|",SUBSTITUTE(Table362[[#This Row],[Rule Name]],"_","|",3))+1,LEN(Table362[[#This Row],[Rule Name]]))</f>
        <v>CUS0710_BoycottDHRListIsValid</v>
      </c>
      <c r="R54" s="8" t="s">
        <v>8161</v>
      </c>
      <c r="S54" s="7" t="s">
        <v>4135</v>
      </c>
      <c r="T54" s="7" t="s">
        <v>2</v>
      </c>
      <c r="U54" s="7" t="s">
        <v>322</v>
      </c>
      <c r="V54" s="7" t="s">
        <v>3129</v>
      </c>
      <c r="W54" s="8" t="s">
        <v>3109</v>
      </c>
      <c r="X54" s="8" t="s">
        <v>8202</v>
      </c>
      <c r="Y54" s="7" t="s">
        <v>5978</v>
      </c>
      <c r="Z54" s="7" t="s">
        <v>5978</v>
      </c>
      <c r="AA54" s="10" t="s">
        <v>8605</v>
      </c>
      <c r="AB54" s="11" t="str">
        <f>Table362[[#This Row],[IS Parameter]]&amp;" IS NOT NULL
AND "&amp; Table362[[#This Row],[IS Parameter]]&amp;" != ''"</f>
        <v>$P_I_BoycottList IS NOT NULL
AND $P_I_BoycottList != ''</v>
      </c>
      <c r="AC54" s="13" t="s">
        <v>7792</v>
      </c>
      <c r="AD54"/>
      <c r="AE54" s="13" t="str">
        <f>IF(Table362[[#This Row],[Entity]]="Customer","KUNNR",IF(Table362[[#This Row],[Entity]]="Vendor","LIFNR","MATNR"))&amp;",LNDEX,"&amp;Table362[[#This Row],[Field]]</f>
        <v>KUNNR,LNDEX,DHRCO</v>
      </c>
      <c r="AF54" s="13" t="str">
        <f>"VW_"&amp;Table362[[#This Row],[New Rule Name]]</f>
        <v>VW_CUS0710_BoycottDHRListIsValid</v>
      </c>
      <c r="AG54" s="11" t="str">
        <f>"create view "&amp;Table362[[#This Row],[View Name]]&amp;" as 
     select 
          "&amp;IF(Table362[[#This Row],[Entity]]="Customer","KUNNR",IF(Table362[[#This Row],[Entity]]="Vendor","LIFNR","MATNR"))&amp;",
          LNDEX,
          "&amp;Table362[[#This Row],[Field]]&amp;" 
     from "&amp;Table362[[#This Row],[Table]]</f>
        <v>create view VW_CUS0710_BoycottDHRListIsValid as 
     select 
          KUNNR,
          LNDEX,
          DHRCO 
     from KNEX</v>
      </c>
      <c r="AH54" s="13" t="str">
        <f>"Rule "&amp;Table362[[#This Row],[Rule '#]]&amp;" evaluates DHR boycott list
Rule "&amp;A58&amp;" evaluates SDN boycott list
Rule "&amp;A68&amp;" evaluates TDO boycott list"</f>
        <v>Rule 50 evaluates DHR boycott list
Rule 53 evaluates SDN boycott list
Rule 66 evaluates TDO boycott list</v>
      </c>
      <c r="AI54" s="20" t="s">
        <v>7604</v>
      </c>
      <c r="AJ54" s="20"/>
      <c r="AK54" s="31">
        <v>71</v>
      </c>
      <c r="AL54" s="31"/>
    </row>
    <row r="55" spans="1:38" s="3" customFormat="1" ht="84" x14ac:dyDescent="0.25">
      <c r="A55" s="9">
        <v>50</v>
      </c>
      <c r="B55" s="7" t="s">
        <v>3973</v>
      </c>
      <c r="C55" s="7" t="s">
        <v>3</v>
      </c>
      <c r="D55" s="7" t="s">
        <v>6711</v>
      </c>
      <c r="E55" s="7" t="s">
        <v>6712</v>
      </c>
      <c r="F55" s="7" t="s">
        <v>6713</v>
      </c>
      <c r="G55" s="7" t="s">
        <v>6703</v>
      </c>
      <c r="H55" s="7" t="s">
        <v>6376</v>
      </c>
      <c r="I55" s="7"/>
      <c r="J55" s="20" t="str">
        <f>VLOOKUP(V55,Table_to_BRG!A:D,3,FALSE)</f>
        <v>Storage location</v>
      </c>
      <c r="K55" s="20" t="str">
        <f>VLOOKUP(V55,Table_to_BRG!A:D,2,FALSE)</f>
        <v>Storage Location</v>
      </c>
      <c r="L55" s="20"/>
      <c r="M55" s="20"/>
      <c r="N55" s="9"/>
      <c r="O55" s="54"/>
      <c r="P55" s="7" t="s">
        <v>8332</v>
      </c>
      <c r="Q55" s="11" t="str">
        <f>UPPER(LEFT(Table362[[#This Row],[Entity]],3))&amp;RIGHT("00"&amp;Table362[[#This Row],[Rule '# by Entity]],3)&amp;"0_"&amp;MID(SUBSTITUTE(Table362[[#This Row],[Rule Name]],"_","|",3),SEARCH("|",SUBSTITUTE(Table362[[#This Row],[Rule Name]],"_","|",3))+1,LEN(Table362[[#This Row],[Rule Name]]))</f>
        <v>MAT0990_SlocMRPIndicatorIsValid</v>
      </c>
      <c r="R55" s="8" t="s">
        <v>8573</v>
      </c>
      <c r="S55" s="7" t="s">
        <v>4135</v>
      </c>
      <c r="T55" s="7" t="s">
        <v>2</v>
      </c>
      <c r="U55" s="7" t="s">
        <v>8574</v>
      </c>
      <c r="V55" s="7" t="s">
        <v>1989</v>
      </c>
      <c r="W55" s="7" t="s">
        <v>8568</v>
      </c>
      <c r="X55" s="8" t="s">
        <v>2251</v>
      </c>
      <c r="Y55" s="7" t="s">
        <v>5978</v>
      </c>
      <c r="Z55" s="7" t="s">
        <v>5978</v>
      </c>
      <c r="AA55" s="10" t="s">
        <v>8578</v>
      </c>
      <c r="AB55" s="11" t="str">
        <f>Table362[[#This Row],[IS Parameter]]&amp;" IS NOT NULL AND rtrim("&amp;Table362[[#This Row],[IS Parameter]]&amp;", ' ') != ''"</f>
        <v>$P_I_StorageLocMRPInd IS NOT NULL AND rtrim($P_I_StorageLocMRPInd, ' ') != ''</v>
      </c>
      <c r="AC55" s="13" t="s">
        <v>6927</v>
      </c>
      <c r="AD55"/>
      <c r="AE55" s="13" t="str">
        <f>IF(Table362[[#This Row],[Entity]]="Customer","KUNNR",IF(Table362[[#This Row],[Entity]]="Vendor","LIFNR","MATNR"))&amp;",WERKS"&amp;","&amp;Table362[[#This Row],[Field]]</f>
        <v>MATNR,WERKS,DISKX</v>
      </c>
      <c r="AF55" s="13" t="str">
        <f>"VW_"&amp;Table362[[#This Row],[New Rule Name]]</f>
        <v>VW_MAT0990_SlocMRPIndicatorIsValid</v>
      </c>
      <c r="AG55" s="11" t="str">
        <f>"create view "&amp;Table362[[#This Row],[View Name]]&amp;" as 
     select 
          "&amp;IF(Table362[[#This Row],[Entity]]="Customer","KUNNR",IF(Table362[[#This Row],[Entity]]="Vendor","LIFNR","MATNR"))&amp;",
          WERKS,
          "&amp;Table362[[#This Row],[Field]]&amp;" 
     from "&amp;Table362[[#This Row],[Table]]</f>
        <v>create view VW_MAT0990_SlocMRPIndicatorIsValid as 
     select 
          MATNR,
          WERKS,
          DISKX 
     from MARD</v>
      </c>
      <c r="AH55" s="8"/>
      <c r="AI55" s="20"/>
      <c r="AJ55" s="20"/>
      <c r="AK55" s="31">
        <v>99</v>
      </c>
      <c r="AL55" s="31"/>
    </row>
    <row r="56" spans="1:38" s="3" customFormat="1" ht="108" hidden="1" x14ac:dyDescent="0.25">
      <c r="A56" s="9">
        <v>51</v>
      </c>
      <c r="B56" s="7" t="s">
        <v>3973</v>
      </c>
      <c r="C56" s="7" t="s">
        <v>16</v>
      </c>
      <c r="D56" s="7" t="s">
        <v>6711</v>
      </c>
      <c r="E56" s="7" t="s">
        <v>6714</v>
      </c>
      <c r="F56" s="7" t="s">
        <v>6724</v>
      </c>
      <c r="G56" s="7" t="s">
        <v>6365</v>
      </c>
      <c r="H56" s="7" t="s">
        <v>2759</v>
      </c>
      <c r="I56" s="7"/>
      <c r="J56" s="20" t="str">
        <f>VLOOKUP(V56,Table_to_BRG!A:D,3,FALSE)</f>
        <v>Customer sales data</v>
      </c>
      <c r="K56" s="20" t="str">
        <f>VLOOKUP(V56,Table_to_BRG!A:D,2,FALSE)</f>
        <v>Sales</v>
      </c>
      <c r="L56" s="20"/>
      <c r="M56" s="20"/>
      <c r="N56" s="9"/>
      <c r="O56" s="54"/>
      <c r="P56" s="7" t="s">
        <v>8079</v>
      </c>
      <c r="Q56" s="11" t="str">
        <f>UPPER(LEFT(Table362[[#This Row],[Entity]],3))&amp;RIGHT("00"&amp;Table362[[#This Row],[Rule '# by Entity]],3)&amp;"0_"&amp;MID(SUBSTITUTE(Table362[[#This Row],[Rule Name]],"_","|",3),SEARCH("|",SUBSTITUTE(Table362[[#This Row],[Rule Name]],"_","|",3))+1,LEN(Table362[[#This Row],[Rule Name]]))</f>
        <v>CUS0940_PricingProcedurePopulated</v>
      </c>
      <c r="R56" s="8" t="s">
        <v>8108</v>
      </c>
      <c r="S56" s="7" t="s">
        <v>21</v>
      </c>
      <c r="T56" s="7"/>
      <c r="U56" s="7" t="s">
        <v>203</v>
      </c>
      <c r="V56" s="7" t="s">
        <v>3334</v>
      </c>
      <c r="W56" s="7" t="s">
        <v>3415</v>
      </c>
      <c r="X56" s="8" t="s">
        <v>3426</v>
      </c>
      <c r="Y56" s="7" t="s">
        <v>5978</v>
      </c>
      <c r="Z56" s="7" t="s">
        <v>5978</v>
      </c>
      <c r="AA56" s="10" t="s">
        <v>204</v>
      </c>
      <c r="AB56" s="10"/>
      <c r="AC56" s="10" t="s">
        <v>6813</v>
      </c>
      <c r="AD56" s="10"/>
      <c r="AE56" s="13" t="s">
        <v>6935</v>
      </c>
      <c r="AF56" s="13" t="str">
        <f>"VW_"&amp;Table362[[#This Row],[New Rule Name]]</f>
        <v>VW_CUS0940_PricingProcedurePopulated</v>
      </c>
      <c r="AG56" s="11" t="str">
        <f>"create view "&amp;Table362[[#This Row],[View Name]]&amp;" as 
     select 
          "&amp;IF(Table362[[#This Row],[Entity]]="Customer","KUNNR",IF(Table362[[#This Row],[Entity]]="Vendor","LIFNR","MATNR"))&amp;",
          VKORG,
          VTWEG,
          SPART,
          "&amp;Table362[[#This Row],[Field]]&amp;" 
     from "&amp;Table362[[#This Row],[Table]]</f>
        <v>create view VW_CUS0940_PricingProcedurePopulated as 
     select 
          KUNNR,
          VKORG,
          VTWEG,
          SPART,
          KALKS 
     from KNVV</v>
      </c>
      <c r="AH56" s="8"/>
      <c r="AI56" s="20"/>
      <c r="AJ56" s="20"/>
      <c r="AK56" s="31">
        <v>94</v>
      </c>
      <c r="AL56" s="31"/>
    </row>
    <row r="57" spans="1:38" s="3" customFormat="1" ht="108" x14ac:dyDescent="0.25">
      <c r="A57" s="9">
        <v>52</v>
      </c>
      <c r="B57" s="7" t="s">
        <v>3973</v>
      </c>
      <c r="C57" s="7" t="s">
        <v>3</v>
      </c>
      <c r="D57" s="7" t="s">
        <v>6711</v>
      </c>
      <c r="E57" s="7" t="s">
        <v>6712</v>
      </c>
      <c r="F57" s="7" t="s">
        <v>6713</v>
      </c>
      <c r="G57" s="7" t="s">
        <v>6377</v>
      </c>
      <c r="H57" s="7"/>
      <c r="I57" s="7"/>
      <c r="J57" s="20" t="str">
        <f>VLOOKUP(V57,Table_to_BRG!A:D,3,FALSE)</f>
        <v>Plant data</v>
      </c>
      <c r="K57" s="20" t="str">
        <f>VLOOKUP(V57,Table_to_BRG!A:D,2,FALSE)</f>
        <v>Plant</v>
      </c>
      <c r="L57" s="20"/>
      <c r="M57" s="20"/>
      <c r="N57" s="9"/>
      <c r="O57" s="54"/>
      <c r="P57" s="7" t="s">
        <v>8550</v>
      </c>
      <c r="Q57" s="11" t="str">
        <f>UPPER(LEFT(Table362[[#This Row],[Entity]],3))&amp;RIGHT("00"&amp;Table362[[#This Row],[Rule '# by Entity]],3)&amp;"0_"&amp;MID(SUBSTITUTE(Table362[[#This Row],[Rule Name]],"_","|",3),SEARCH("|",SUBSTITUTE(Table362[[#This Row],[Rule Name]],"_","|",3))+1,LEN(Table362[[#This Row],[Rule Name]]))</f>
        <v>MAT0870_MaterialFreightGroupRef</v>
      </c>
      <c r="R57" s="8" t="s">
        <v>7900</v>
      </c>
      <c r="S57" s="7" t="s">
        <v>2</v>
      </c>
      <c r="T57" s="7"/>
      <c r="U57" s="7" t="s">
        <v>207</v>
      </c>
      <c r="V57" s="7" t="s">
        <v>1527</v>
      </c>
      <c r="W57" s="7" t="s">
        <v>2300</v>
      </c>
      <c r="X57" s="8" t="s">
        <v>2322</v>
      </c>
      <c r="Y57" s="7" t="s">
        <v>5995</v>
      </c>
      <c r="Z57" s="7" t="s">
        <v>2300</v>
      </c>
      <c r="AA57" s="11" t="str">
        <f>"BEGIN
     RETURN exists('DS_IS_RDS', '"&amp;Table362[[#This Row],[Lookup Table]]&amp;"', '"&amp;Table362[[#This Row],[Lookup Field]]&amp;"', "&amp;Table362[[#This Row],[IS Parameter]]&amp;");
END"</f>
        <v>BEGIN
     RETURN exists('DS_IS_RDS', 'TMFG', 'MFRGR', $P_I_FreightGroup);
END</v>
      </c>
      <c r="AB57" s="11" t="str">
        <f>Table362[[#This Row],[IS Parameter]]&amp;" IS NOT NULL AND rtrim("&amp;Table362[[#This Row],[IS Parameter]]&amp;", ' ') != ''"</f>
        <v>$P_I_FreightGroup IS NOT NULL AND rtrim($P_I_FreightGroup, ' ') != ''</v>
      </c>
      <c r="AC57" s="10" t="s">
        <v>6663</v>
      </c>
      <c r="AD57" s="10"/>
      <c r="AE57" s="13" t="str">
        <f>IF(Table362[[#This Row],[Entity]]="Customer","KUNNR",IF(Table362[[#This Row],[Entity]]="Vendor","LIFNR","MATNR"))&amp;",WERKS"&amp;","&amp;Table362[[#This Row],[Field]]</f>
        <v>MATNR,WERKS,MFRGR</v>
      </c>
      <c r="AF57" s="13" t="str">
        <f>"VW_"&amp;Table362[[#This Row],[New Rule Name]]</f>
        <v>VW_MAT0870_MaterialFreightGroupRef</v>
      </c>
      <c r="AG57"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VW_MAT0870_MaterialFreightGroupRef (
     MATNR,
     WERKS,
     MFRGR
     ) as select 
          MATNR,
          WERKS,
          MFRGR 
     from MARC</v>
      </c>
      <c r="AH57" s="8"/>
      <c r="AI57" s="20"/>
      <c r="AJ57" s="20"/>
      <c r="AK57" s="31">
        <v>87</v>
      </c>
      <c r="AL57" s="31"/>
    </row>
    <row r="58" spans="1:38" s="3" customFormat="1" ht="60" hidden="1" x14ac:dyDescent="0.25">
      <c r="A58" s="9">
        <v>53</v>
      </c>
      <c r="B58" s="7" t="s">
        <v>3973</v>
      </c>
      <c r="C58" s="7" t="s">
        <v>1207</v>
      </c>
      <c r="D58" s="7" t="s">
        <v>6719</v>
      </c>
      <c r="E58" s="7" t="s">
        <v>6720</v>
      </c>
      <c r="F58" s="7" t="s">
        <v>6722</v>
      </c>
      <c r="G58" s="7" t="s">
        <v>6361</v>
      </c>
      <c r="H58" s="7" t="s">
        <v>3967</v>
      </c>
      <c r="I58" s="7" t="s">
        <v>3967</v>
      </c>
      <c r="J58" s="20" t="str">
        <f>VLOOKUP(V58,Table_to_BRG!A:D,3,FALSE)</f>
        <v>General data</v>
      </c>
      <c r="K58" s="20" t="str">
        <f>VLOOKUP(V58,Table_to_BRG!A:D,2,FALSE)</f>
        <v>General</v>
      </c>
      <c r="L58" s="20"/>
      <c r="M58" s="20"/>
      <c r="N58" s="9"/>
      <c r="O58" s="54"/>
      <c r="P58" s="7" t="s">
        <v>8452</v>
      </c>
      <c r="Q58" s="11" t="str">
        <f>UPPER(LEFT(Table362[[#This Row],[Entity]],3))&amp;RIGHT("00"&amp;Table362[[#This Row],[Rule '# by Entity]],3)&amp;"0_"&amp;MID(SUBSTITUTE(Table362[[#This Row],[Rule Name]],"_","|",3),SEARCH("|",SUBSTITUTE(Table362[[#This Row],[Rule Name]],"_","|",3))+1,LEN(Table362[[#This Row],[Rule Name]]))</f>
        <v>VEN0030_CountryKeyRef</v>
      </c>
      <c r="R58" s="8" t="s">
        <v>8249</v>
      </c>
      <c r="S58" s="7" t="s">
        <v>2</v>
      </c>
      <c r="T58" s="7"/>
      <c r="U58" s="7" t="s">
        <v>140</v>
      </c>
      <c r="V58" s="7" t="s">
        <v>3542</v>
      </c>
      <c r="W58" s="7" t="s">
        <v>2958</v>
      </c>
      <c r="X58" s="8" t="s">
        <v>2969</v>
      </c>
      <c r="Y58" s="7" t="s">
        <v>4152</v>
      </c>
      <c r="Z58" s="7" t="s">
        <v>2958</v>
      </c>
      <c r="AA58" s="11" t="str">
        <f>"BEGIN
     RETURN exists('DS_IS_RDS', '"&amp;Table362[[#This Row],[Lookup Table]]&amp;"', '"&amp;Table362[[#This Row],[Lookup Field]]&amp;"', "&amp;Table362[[#This Row],[IS Parameter]]&amp;");
END"</f>
        <v>BEGIN
     RETURN exists('DS_IS_RDS', 'T005', 'LAND1', $P_I_Country);
END</v>
      </c>
      <c r="AB58" s="11"/>
      <c r="AC58" s="10" t="s">
        <v>6663</v>
      </c>
      <c r="AD58" s="10"/>
      <c r="AE58" s="13" t="str">
        <f>IF(Table362[[#This Row],[Entity]]="Customer","KUNNR",IF(Table362[[#This Row],[Entity]]="Vendor","LIFNR","MATNR"))&amp;","&amp;Table362[[#This Row],[Field]]</f>
        <v>LIFNR,LAND1</v>
      </c>
      <c r="AF58" s="13" t="str">
        <f>"VW_"&amp;Table362[[#This Row],[New Rule Name]]</f>
        <v>VW_VEN0030_CountryKeyRef</v>
      </c>
      <c r="AG58" s="11" t="str">
        <f>"create view "&amp;Table362[[#This Row],[View Name]]&amp;" as 
     select 
          "&amp;IF(Table362[[#This Row],[Entity]]="Customer","KUNNR",IF(Table362[[#This Row],[Entity]]="Vendor","LIFNR","MATNR"))&amp;",
          "&amp;Table362[[#This Row],[Field]]&amp;" 
     from "&amp;Table362[[#This Row],[Table]]</f>
        <v>create view VW_VEN0030_CountryKeyRef as 
     select 
          LIFNR,
          LAND1 
     from LFA1</v>
      </c>
      <c r="AH58" s="8"/>
      <c r="AI58" s="20"/>
      <c r="AJ58" s="20"/>
      <c r="AK58" s="31">
        <v>3</v>
      </c>
      <c r="AL58" s="31"/>
    </row>
    <row r="59" spans="1:38" s="3" customFormat="1" ht="72" hidden="1" x14ac:dyDescent="0.25">
      <c r="A59" s="9" t="s">
        <v>7611</v>
      </c>
      <c r="B59" s="7" t="s">
        <v>3973</v>
      </c>
      <c r="C59" s="7" t="s">
        <v>16</v>
      </c>
      <c r="D59" s="7" t="s">
        <v>6716</v>
      </c>
      <c r="E59" s="7" t="s">
        <v>6740</v>
      </c>
      <c r="F59" s="7" t="s">
        <v>6741</v>
      </c>
      <c r="G59" s="7" t="s">
        <v>6361</v>
      </c>
      <c r="H59" s="7" t="s">
        <v>6364</v>
      </c>
      <c r="I59" s="7" t="s">
        <v>1214</v>
      </c>
      <c r="J59" s="20" t="str">
        <f>VLOOKUP(V59,Table_to_BRG!A:D,3,FALSE)</f>
        <v>Legal control data</v>
      </c>
      <c r="K59" s="20" t="str">
        <f>VLOOKUP(V59,Table_to_BRG!A:D,2,FALSE)</f>
        <v>Legal Control - Sanctioned Party List</v>
      </c>
      <c r="L59" s="20"/>
      <c r="M59" s="20"/>
      <c r="N59" s="9"/>
      <c r="O59" s="54"/>
      <c r="P59" s="7" t="s">
        <v>8149</v>
      </c>
      <c r="Q59" s="11" t="str">
        <f>UPPER(LEFT(Table362[[#This Row],[Entity]],3))&amp;RIGHT("00"&amp;Table362[[#This Row],[Rule '# by Entity]],3)&amp;"0_"&amp;MID(SUBSTITUTE(Table362[[#This Row],[Rule Name]],"_","|",3),SEARCH("|",SUBSTITUTE(Table362[[#This Row],[Rule Name]],"_","|",3))+1,LEN(Table362[[#This Row],[Rule Name]]))</f>
        <v>CUS0700_BoycottSDNListIsValid</v>
      </c>
      <c r="R59" s="8" t="s">
        <v>8162</v>
      </c>
      <c r="S59" s="7" t="s">
        <v>4135</v>
      </c>
      <c r="T59" s="7" t="s">
        <v>2</v>
      </c>
      <c r="U59" s="7" t="s">
        <v>322</v>
      </c>
      <c r="V59" s="7" t="s">
        <v>3129</v>
      </c>
      <c r="W59" s="8" t="s">
        <v>3107</v>
      </c>
      <c r="X59" s="8" t="s">
        <v>6434</v>
      </c>
      <c r="Y59" s="7" t="s">
        <v>5978</v>
      </c>
      <c r="Z59" s="7" t="s">
        <v>5978</v>
      </c>
      <c r="AA59" s="10" t="s">
        <v>8605</v>
      </c>
      <c r="AB59" s="11" t="str">
        <f>Table362[[#This Row],[IS Parameter]]&amp;" IS NOT NULL
AND "&amp; Table362[[#This Row],[IS Parameter]]&amp;" != ''"</f>
        <v>$P_I_BoycottList IS NOT NULL
AND $P_I_BoycottList != ''</v>
      </c>
      <c r="AC59" s="13" t="s">
        <v>7792</v>
      </c>
      <c r="AD59"/>
      <c r="AE59" s="13" t="str">
        <f>IF(Table362[[#This Row],[Entity]]="Customer","KUNNR",IF(Table362[[#This Row],[Entity]]="Vendor","LIFNR","MATNR"))&amp;",LNDEX,"&amp;Table362[[#This Row],[Field]]</f>
        <v>KUNNR,LNDEX,SDNCO</v>
      </c>
      <c r="AF59" s="13" t="str">
        <f>"VW_"&amp;Table362[[#This Row],[New Rule Name]]</f>
        <v>VW_CUS0700_BoycottSDNListIsValid</v>
      </c>
      <c r="AG59" s="11" t="str">
        <f>"create view "&amp;Table362[[#This Row],[View Name]]&amp;" as 
     select 
          "&amp;IF(Table362[[#This Row],[Entity]]="Customer","KUNNR",IF(Table362[[#This Row],[Entity]]="Vendor","LIFNR","MATNR"))&amp;",
          LNDEX,
          "&amp;Table362[[#This Row],[Field]]&amp;" 
     from "&amp;Table362[[#This Row],[Table]]</f>
        <v>create view VW_CUS0700_BoycottSDNListIsValid as 
     select 
          KUNNR,
          LNDEX,
          SDNCO 
     from KNEX</v>
      </c>
      <c r="AH59" s="13" t="str">
        <f>"Rule "&amp;Table362[[#This Row],[Rule '#]]&amp;" evaluates Customer boycott list
Rule "&amp;A63&amp;" evaluates SDN boycott list
Rule "&amp;A73&amp;" evaluates TDO boycott list"</f>
        <v>Rule 54 evaluates Customer boycott list
Rule 57 evaluates SDN boycott list
Rule 65 evaluates TDO boycott list</v>
      </c>
      <c r="AI59" s="20" t="s">
        <v>7605</v>
      </c>
      <c r="AJ59" s="20"/>
      <c r="AK59" s="31">
        <v>70</v>
      </c>
      <c r="AL59" s="31"/>
    </row>
    <row r="60" spans="1:38" s="3" customFormat="1" ht="120" x14ac:dyDescent="0.25">
      <c r="A60" s="9">
        <v>54</v>
      </c>
      <c r="B60" s="7" t="s">
        <v>3973</v>
      </c>
      <c r="C60" s="7" t="s">
        <v>3</v>
      </c>
      <c r="D60" s="7" t="s">
        <v>6711</v>
      </c>
      <c r="E60" s="7" t="s">
        <v>6712</v>
      </c>
      <c r="F60" s="7" t="s">
        <v>6713</v>
      </c>
      <c r="G60" s="7" t="s">
        <v>6703</v>
      </c>
      <c r="H60" s="7" t="s">
        <v>6374</v>
      </c>
      <c r="I60" s="7"/>
      <c r="J60" s="20" t="str">
        <f>VLOOKUP(V60,Table_to_BRG!A:D,3,FALSE)</f>
        <v>Plant data</v>
      </c>
      <c r="K60" s="20" t="str">
        <f>VLOOKUP(V60,Table_to_BRG!A:D,2,FALSE)</f>
        <v>Plant</v>
      </c>
      <c r="L60" s="20"/>
      <c r="M60" s="20"/>
      <c r="N60" s="9"/>
      <c r="O60" s="54"/>
      <c r="P60" s="7" t="s">
        <v>8333</v>
      </c>
      <c r="Q60" s="11" t="str">
        <f>UPPER(LEFT(Table362[[#This Row],[Entity]],3))&amp;RIGHT("00"&amp;Table362[[#This Row],[Rule '# by Entity]],3)&amp;"0_"&amp;MID(SUBSTITUTE(Table362[[#This Row],[Rule Name]],"_","|",3),SEARCH("|",SUBSTITUTE(Table362[[#This Row],[Rule Name]],"_","|",3))+1,LEN(Table362[[#This Row],[Rule Name]]))</f>
        <v>MAT0830_SafetyTimeIndicatorIsValid</v>
      </c>
      <c r="R60" s="8" t="s">
        <v>8163</v>
      </c>
      <c r="S60" s="7" t="s">
        <v>4135</v>
      </c>
      <c r="T60" s="7" t="s">
        <v>2</v>
      </c>
      <c r="U60" s="7" t="s">
        <v>214</v>
      </c>
      <c r="V60" s="7" t="s">
        <v>1527</v>
      </c>
      <c r="W60" s="7" t="s">
        <v>2131</v>
      </c>
      <c r="X60" s="8" t="s">
        <v>2154</v>
      </c>
      <c r="Y60" s="7" t="s">
        <v>5978</v>
      </c>
      <c r="Z60" s="7" t="s">
        <v>5978</v>
      </c>
      <c r="AA60" s="10" t="s">
        <v>8579</v>
      </c>
      <c r="AB60" s="11" t="str">
        <f>Table362[[#This Row],[IS Parameter]]&amp;" IS NOT NULL AND rtrim("&amp;Table362[[#This Row],[IS Parameter]]&amp;", ' ') != ''"</f>
        <v>$P_I_SafetyTimeInd IS NOT NULL AND rtrim($P_I_SafetyTimeInd, ' ') != ''</v>
      </c>
      <c r="AC60" s="13" t="s">
        <v>7792</v>
      </c>
      <c r="AD60"/>
      <c r="AE60" s="13" t="str">
        <f>IF(Table362[[#This Row],[Entity]]="Customer","KUNNR",IF(Table362[[#This Row],[Entity]]="Vendor","LIFNR","MATNR"))&amp;",WERKS"&amp;","&amp;Table362[[#This Row],[Field]]</f>
        <v>MATNR,WERKS,SHFLG</v>
      </c>
      <c r="AF60" s="13" t="str">
        <f>"VW_"&amp;Table362[[#This Row],[New Rule Name]]</f>
        <v>VW_MAT0830_SafetyTimeIndicatorIsValid</v>
      </c>
      <c r="AG60"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VW_MAT0830_SafetyTimeIndicatorIsValid (
     MATNR,
     WERKS,
     SHFLG
     ) as select 
          MATNR,
          WERKS,
          SHFLG 
     from MARC</v>
      </c>
      <c r="AH60" s="8"/>
      <c r="AI60" s="20"/>
      <c r="AJ60" s="20"/>
      <c r="AK60" s="31">
        <v>83</v>
      </c>
      <c r="AL60" s="31"/>
    </row>
    <row r="61" spans="1:38" s="3" customFormat="1" ht="72" hidden="1" x14ac:dyDescent="0.25">
      <c r="A61" s="9">
        <v>55</v>
      </c>
      <c r="B61" s="7" t="s">
        <v>3973</v>
      </c>
      <c r="C61" s="7" t="s">
        <v>16</v>
      </c>
      <c r="D61" s="7" t="s">
        <v>6719</v>
      </c>
      <c r="E61" s="7" t="s">
        <v>6720</v>
      </c>
      <c r="F61" s="7" t="s">
        <v>6721</v>
      </c>
      <c r="G61" s="7" t="s">
        <v>6358</v>
      </c>
      <c r="H61" s="7" t="s">
        <v>6360</v>
      </c>
      <c r="I61" s="7"/>
      <c r="J61" s="20" t="str">
        <f>VLOOKUP(V61,Table_to_BRG!A:D,3,FALSE)</f>
        <v>Company Code data</v>
      </c>
      <c r="K61" s="20" t="str">
        <f>VLOOKUP(V61,Table_to_BRG!A:D,2,FALSE)</f>
        <v>Company Code</v>
      </c>
      <c r="L61" s="20"/>
      <c r="M61" s="20"/>
      <c r="N61" s="9"/>
      <c r="O61" s="54"/>
      <c r="P61" s="7" t="s">
        <v>7847</v>
      </c>
      <c r="Q61" s="11" t="str">
        <f>UPPER(LEFT(Table362[[#This Row],[Entity]],3))&amp;RIGHT("00"&amp;Table362[[#This Row],[Rule '# by Entity]],3)&amp;"0_"&amp;MID(SUBSTITUTE(Table362[[#This Row],[Rule Name]],"_","|",3),SEARCH("|",SUBSTITUTE(Table362[[#This Row],[Rule Name]],"_","|",3))+1,LEN(Table362[[#This Row],[Rule Name]]))</f>
        <v>CUS0460_TermsOfPaymentRef</v>
      </c>
      <c r="R61" s="8" t="s">
        <v>8016</v>
      </c>
      <c r="S61" s="7" t="s">
        <v>2</v>
      </c>
      <c r="T61" s="7"/>
      <c r="U61" s="7" t="s">
        <v>218</v>
      </c>
      <c r="V61" s="7" t="s">
        <v>2740</v>
      </c>
      <c r="W61" s="7" t="s">
        <v>2888</v>
      </c>
      <c r="X61" s="8" t="s">
        <v>2907</v>
      </c>
      <c r="Y61" s="7" t="s">
        <v>4250</v>
      </c>
      <c r="Z61" s="7" t="s">
        <v>2888</v>
      </c>
      <c r="AA61" s="11" t="str">
        <f>"BEGIN
     RETURN exists('DS_IS_RDS', '"&amp;Table362[[#This Row],[Lookup Table]]&amp;"', '"&amp;Table362[[#This Row],[Lookup Field]]&amp;"', "&amp;Table362[[#This Row],[IS Parameter]]&amp;");
END"</f>
        <v>BEGIN
     RETURN exists('DS_IS_RDS', 'T052', 'ZTERM', $P_I_TermsOfPayment);
END</v>
      </c>
      <c r="AB61" s="11" t="str">
        <f>Table362[[#This Row],[IS Parameter]]&amp;" IS NOT NULL
AND "&amp; Table362[[#This Row],[IS Parameter]]&amp;" != ''"</f>
        <v>$P_I_TermsOfPayment IS NOT NULL
AND $P_I_TermsOfPayment != ''</v>
      </c>
      <c r="AC61" s="10" t="s">
        <v>6663</v>
      </c>
      <c r="AD61" s="10"/>
      <c r="AE61" s="13" t="str">
        <f>IF(Table362[[#This Row],[Entity]]="Customer","KUNNR",IF(Table362[[#This Row],[Entity]]="Vendor","LIFNR","MATNR"))&amp;",BUKRS"&amp;","&amp;Table362[[#This Row],[Field]]</f>
        <v>KUNNR,BUKRS,ZTERM</v>
      </c>
      <c r="AF61" s="13" t="str">
        <f>"VW_"&amp;Table362[[#This Row],[New Rule Name]]</f>
        <v>VW_CUS0460_TermsOfPaymentRef</v>
      </c>
      <c r="AG61" s="11" t="str">
        <f>"create view "&amp;Table362[[#This Row],[View Name]]&amp;" as 
     select 
          "&amp;IF(Table362[[#This Row],[Entity]]="Customer","KUNNR",IF(Table362[[#This Row],[Entity]]="Vendor","LIFNR","MATNR"))&amp;",
          BUKRS,
          "&amp;Table362[[#This Row],[Field]]&amp;" 
     from "&amp;Table362[[#This Row],[Table]]</f>
        <v>create view VW_CUS0460_TermsOfPaymentRef as 
     select 
          KUNNR,
          BUKRS,
          ZTERM 
     from KNB1</v>
      </c>
      <c r="AH61" s="8"/>
      <c r="AI61" s="20" t="s">
        <v>6604</v>
      </c>
      <c r="AJ61" s="20"/>
      <c r="AK61" s="31">
        <v>46</v>
      </c>
      <c r="AL61" s="31"/>
    </row>
    <row r="62" spans="1:38" s="3" customFormat="1" ht="84" x14ac:dyDescent="0.25">
      <c r="A62" s="9">
        <v>56</v>
      </c>
      <c r="B62" s="7" t="s">
        <v>3973</v>
      </c>
      <c r="C62" s="7" t="s">
        <v>3</v>
      </c>
      <c r="D62" s="7" t="s">
        <v>6711</v>
      </c>
      <c r="E62" s="7" t="s">
        <v>6712</v>
      </c>
      <c r="F62" s="7" t="s">
        <v>6729</v>
      </c>
      <c r="G62" s="7" t="s">
        <v>6382</v>
      </c>
      <c r="H62" s="7"/>
      <c r="I62" s="7"/>
      <c r="J62" s="20" t="str">
        <f>VLOOKUP(V62,Table_to_BRG!A:D,3,FALSE)</f>
        <v>Sales data</v>
      </c>
      <c r="K62" s="20" t="str">
        <f>VLOOKUP(V62,Table_to_BRG!A:D,2,FALSE)</f>
        <v>Sales</v>
      </c>
      <c r="L62" s="20"/>
      <c r="M62" s="20"/>
      <c r="N62" s="9"/>
      <c r="O62" s="54"/>
      <c r="P62" s="7" t="s">
        <v>8334</v>
      </c>
      <c r="Q62" s="11" t="str">
        <f>UPPER(LEFT(Table362[[#This Row],[Entity]],3))&amp;RIGHT("00"&amp;Table362[[#This Row],[Rule '# by Entity]],3)&amp;"0_"&amp;MID(SUBSTITUTE(Table362[[#This Row],[Rule Name]],"_","|",3),SEARCH("|",SUBSTITUTE(Table362[[#This Row],[Rule Name]],"_","|",3))+1,LEN(Table362[[#This Row],[Rule Name]]))</f>
        <v>MAT1340_MaterialGroup3Ref</v>
      </c>
      <c r="R62" s="53" t="s">
        <v>7901</v>
      </c>
      <c r="S62" s="7" t="s">
        <v>2</v>
      </c>
      <c r="T62" s="7"/>
      <c r="U62" s="7" t="s">
        <v>222</v>
      </c>
      <c r="V62" s="7" t="s">
        <v>2460</v>
      </c>
      <c r="W62" s="7" t="s">
        <v>2509</v>
      </c>
      <c r="X62" s="8" t="s">
        <v>2529</v>
      </c>
      <c r="Y62" s="7" t="s">
        <v>5996</v>
      </c>
      <c r="Z62" s="7" t="s">
        <v>2509</v>
      </c>
      <c r="AA62" s="11" t="str">
        <f>"BEGIN
     RETURN exists('DS_IS_RDS', '"&amp;Table362[[#This Row],[Lookup Table]]&amp;"', '"&amp;Table362[[#This Row],[Lookup Field]]&amp;"', "&amp;Table362[[#This Row],[IS Parameter]]&amp;");
END"</f>
        <v>BEGIN
     RETURN exists('DS_IS_RDS', 'TVM3', 'MVGR3', $P_I_MatGroup3);
END</v>
      </c>
      <c r="AB62" s="11" t="str">
        <f>Table362[[#This Row],[IS Parameter]]&amp;" IS NOT NULL AND rtrim("&amp;Table362[[#This Row],[IS Parameter]]&amp;", ' ') != ''"</f>
        <v>$P_I_MatGroup3 IS NOT NULL AND rtrim($P_I_MatGroup3, ' ') != ''</v>
      </c>
      <c r="AC62" s="10" t="s">
        <v>6663</v>
      </c>
      <c r="AD62" s="10"/>
      <c r="AE62" s="13" t="str">
        <f>IF(Table362[[#This Row],[Entity]]="Customer","KUNNR",IF(Table362[[#This Row],[Entity]]="Vendor","LIFNR","MATNR"))&amp;",VKORG,VTWEG,"&amp;Table362[[#This Row],[Field]]</f>
        <v>MATNR,VKORG,VTWEG,MVGR3</v>
      </c>
      <c r="AF62" s="13" t="str">
        <f>"VW_"&amp;Table362[[#This Row],[New Rule Name]]</f>
        <v>VW_MAT1340_MaterialGroup3Ref</v>
      </c>
      <c r="AG62" s="11" t="str">
        <f>"create view "&amp;Table362[[#This Row],[View Name]]&amp;" as 
     select 
          "&amp;IF(Table362[[#This Row],[Entity]]="Customer","KUNNR",IF(Table362[[#This Row],[Entity]]="Vendor","LIFNR","MATNR"))&amp;",
          VKORG,
          VTWEG,
          "&amp;Table362[[#This Row],[Field]]&amp;" 
     from "&amp;Table362[[#This Row],[Table]]</f>
        <v>create view VW_MAT1340_MaterialGroup3Ref as 
     select 
          MATNR,
          VKORG,
          VTWEG,
          MVGR3 
     from MVKE</v>
      </c>
      <c r="AH62" s="8"/>
      <c r="AI62" s="20" t="s">
        <v>6665</v>
      </c>
      <c r="AJ62" s="20"/>
      <c r="AK62" s="31">
        <v>134</v>
      </c>
      <c r="AL62" s="31"/>
    </row>
    <row r="63" spans="1:38" s="3" customFormat="1" ht="60" hidden="1" x14ac:dyDescent="0.25">
      <c r="A63" s="9">
        <v>57</v>
      </c>
      <c r="B63" s="7" t="s">
        <v>3973</v>
      </c>
      <c r="C63" s="7" t="s">
        <v>16</v>
      </c>
      <c r="D63" s="7" t="s">
        <v>6711</v>
      </c>
      <c r="E63" s="7" t="s">
        <v>6714</v>
      </c>
      <c r="F63" s="7" t="s">
        <v>6715</v>
      </c>
      <c r="G63" s="7" t="s">
        <v>6361</v>
      </c>
      <c r="H63" s="7" t="s">
        <v>6360</v>
      </c>
      <c r="I63" s="7"/>
      <c r="J63" s="20" t="str">
        <f>VLOOKUP(V63,Table_to_BRG!A:D,3,FALSE)</f>
        <v>Company Code data</v>
      </c>
      <c r="K63" s="20" t="str">
        <f>VLOOKUP(V63,Table_to_BRG!A:D,2,FALSE)</f>
        <v>Company Code</v>
      </c>
      <c r="L63" s="20"/>
      <c r="M63" s="20"/>
      <c r="N63" s="9"/>
      <c r="O63" s="54"/>
      <c r="P63" s="7" t="s">
        <v>7848</v>
      </c>
      <c r="Q63" s="11" t="str">
        <f>UPPER(LEFT(Table362[[#This Row],[Entity]],3))&amp;RIGHT("00"&amp;Table362[[#This Row],[Rule '# by Entity]],3)&amp;"0_"&amp;MID(SUBSTITUTE(Table362[[#This Row],[Rule Name]],"_","|",3),SEARCH("|",SUBSTITUTE(Table362[[#This Row],[Rule Name]],"_","|",3))+1,LEN(Table362[[#This Row],[Rule Name]]))</f>
        <v>CUS0530_NextPayeeRef</v>
      </c>
      <c r="R63" s="8" t="s">
        <v>8017</v>
      </c>
      <c r="S63" s="7" t="s">
        <v>21</v>
      </c>
      <c r="T63" s="7" t="s">
        <v>2</v>
      </c>
      <c r="U63" s="7" t="s">
        <v>226</v>
      </c>
      <c r="V63" s="8" t="s">
        <v>2740</v>
      </c>
      <c r="W63" s="8" t="s">
        <v>2901</v>
      </c>
      <c r="X63" s="8" t="s">
        <v>2915</v>
      </c>
      <c r="Y63" s="7" t="s">
        <v>2741</v>
      </c>
      <c r="Z63" s="7" t="s">
        <v>2702</v>
      </c>
      <c r="AA63" s="11" t="str">
        <f>"BEGIN
     RETURN exists('DS_IS_RDS', '"&amp;Table362[[#This Row],[Lookup Table]]&amp;"', '"&amp;Table362[[#This Row],[Lookup Field]]&amp;"', "&amp;Table362[[#This Row],[IS Parameter]]&amp;");
END"</f>
        <v>BEGIN
     RETURN exists('DS_IS_RDS', 'KNA1', 'KUNNR', $P_I_NextPayee);
END</v>
      </c>
      <c r="AB63" s="11" t="str">
        <f>Table362[[#This Row],[IS Parameter]]&amp;" IS NOT NULL
AND "&amp; Table362[[#This Row],[IS Parameter]]&amp;" != ''"</f>
        <v>$P_I_NextPayee IS NOT NULL
AND $P_I_NextPayee != ''</v>
      </c>
      <c r="AC63" s="10" t="s">
        <v>6663</v>
      </c>
      <c r="AD63" s="10"/>
      <c r="AE63" s="13" t="str">
        <f>IF(Table362[[#This Row],[Entity]]="Customer","KUNNR",IF(Table362[[#This Row],[Entity]]="Vendor","LIFNR","MATNR"))&amp;","&amp;Table362[[#This Row],[Field]]</f>
        <v>KUNNR,REMIT</v>
      </c>
      <c r="AF63" s="13" t="str">
        <f>"VW_"&amp;Table362[[#This Row],[New Rule Name]]</f>
        <v>VW_CUS0530_NextPayeeRef</v>
      </c>
      <c r="AG63" s="11" t="str">
        <f>"create view "&amp;Table362[[#This Row],[View Name]]&amp;" as 
     select 
          "&amp;IF(Table362[[#This Row],[Entity]]="Customer","KUNNR",IF(Table362[[#This Row],[Entity]]="Vendor","LIFNR","MATNR"))&amp;",
          "&amp;Table362[[#This Row],[Field]]&amp;" 
     from "&amp;Table362[[#This Row],[Table]]</f>
        <v>create view VW_CUS0530_NextPayeeRef as 
     select 
          KUNNR,
          REMIT 
     from KNB1</v>
      </c>
      <c r="AH63" s="8" t="s">
        <v>6459</v>
      </c>
      <c r="AI63" s="20" t="s">
        <v>6460</v>
      </c>
      <c r="AJ63" s="20"/>
      <c r="AK63" s="31">
        <v>53</v>
      </c>
      <c r="AL63" s="31"/>
    </row>
    <row r="64" spans="1:38" s="3" customFormat="1" ht="60" hidden="1" x14ac:dyDescent="0.25">
      <c r="A64" s="9">
        <v>58</v>
      </c>
      <c r="B64" s="7" t="s">
        <v>3973</v>
      </c>
      <c r="C64" s="7" t="s">
        <v>1207</v>
      </c>
      <c r="D64" s="7" t="s">
        <v>6719</v>
      </c>
      <c r="E64" s="7" t="s">
        <v>6720</v>
      </c>
      <c r="F64" s="7" t="s">
        <v>6722</v>
      </c>
      <c r="G64" s="7" t="s">
        <v>6361</v>
      </c>
      <c r="H64" s="7" t="s">
        <v>3967</v>
      </c>
      <c r="I64" s="7"/>
      <c r="J64" s="20" t="str">
        <f>VLOOKUP(V64,Table_to_BRG!A:D,3,FALSE)</f>
        <v>General data</v>
      </c>
      <c r="K64" s="20" t="str">
        <f>VLOOKUP(V64,Table_to_BRG!A:D,2,FALSE)</f>
        <v>General</v>
      </c>
      <c r="L64" s="20"/>
      <c r="M64" s="20"/>
      <c r="N64" s="9"/>
      <c r="O64" s="54"/>
      <c r="P64" s="7" t="s">
        <v>8453</v>
      </c>
      <c r="Q64" s="11" t="str">
        <f>UPPER(LEFT(Table362[[#This Row],[Entity]],3))&amp;RIGHT("00"&amp;Table362[[#This Row],[Rule '# by Entity]],3)&amp;"0_"&amp;MID(SUBSTITUTE(Table362[[#This Row],[Rule Name]],"_","|",3),SEARCH("|",SUBSTITUTE(Table362[[#This Row],[Rule Name]],"_","|",3))+1,LEN(Table362[[#This Row],[Rule Name]]))</f>
        <v>VEN0280_TransportationZoneRef</v>
      </c>
      <c r="R64" s="13" t="s">
        <v>8282</v>
      </c>
      <c r="S64" s="7" t="s">
        <v>2</v>
      </c>
      <c r="T64" s="7"/>
      <c r="U64" s="7" t="s">
        <v>230</v>
      </c>
      <c r="V64" s="7" t="s">
        <v>3542</v>
      </c>
      <c r="W64" s="7" t="s">
        <v>2961</v>
      </c>
      <c r="X64" s="8" t="s">
        <v>2971</v>
      </c>
      <c r="Y64" s="7" t="s">
        <v>5701</v>
      </c>
      <c r="Z64" s="7" t="s">
        <v>5702</v>
      </c>
      <c r="AA64" s="11" t="str">
        <f>"BEGIN
     RETURN exists('DS_IS_RDS', '"&amp;Table362[[#This Row],[Lookup Table]]&amp;"', '"&amp;Table362[[#This Row],[Lookup Field]]&amp;"', "&amp;Table362[[#This Row],[IS Parameter]]&amp;");
END"</f>
        <v>BEGIN
     RETURN exists('DS_IS_RDS', 'TZONE', 'ZONE1', $P_I_TransportationZone);
END</v>
      </c>
      <c r="AB64" s="11"/>
      <c r="AC64" s="10" t="s">
        <v>6663</v>
      </c>
      <c r="AD64" s="10"/>
      <c r="AE64" s="13" t="str">
        <f>IF(Table362[[#This Row],[Entity]]="Customer","KUNNR",IF(Table362[[#This Row],[Entity]]="Vendor","LIFNR","MATNR"))&amp;","&amp;Table362[[#This Row],[Field]]</f>
        <v>LIFNR,LZONE</v>
      </c>
      <c r="AF64" s="13" t="str">
        <f>"VW_"&amp;Table362[[#This Row],[New Rule Name]]</f>
        <v>VW_VEN0280_TransportationZoneRef</v>
      </c>
      <c r="AG64" s="11" t="str">
        <f>"create view "&amp;Table362[[#This Row],[View Name]]&amp;" as 
     select 
          "&amp;IF(Table362[[#This Row],[Entity]]="Customer","KUNNR",IF(Table362[[#This Row],[Entity]]="Vendor","LIFNR","MATNR"))&amp;",
          "&amp;Table362[[#This Row],[Field]]&amp;" 
     from "&amp;Table362[[#This Row],[Table]]</f>
        <v>create view VW_VEN0280_TransportationZoneRef as 
     select 
          LIFNR,
          LZONE 
     from LFA1</v>
      </c>
      <c r="AH64" s="8"/>
      <c r="AI64" s="20" t="s">
        <v>7627</v>
      </c>
      <c r="AJ64" s="20"/>
      <c r="AK64" s="31">
        <v>28</v>
      </c>
      <c r="AL64" s="31"/>
    </row>
    <row r="65" spans="1:38" s="3" customFormat="1" ht="72" x14ac:dyDescent="0.25">
      <c r="A65" s="9">
        <v>59</v>
      </c>
      <c r="B65" s="7" t="s">
        <v>3973</v>
      </c>
      <c r="C65" s="7" t="s">
        <v>3</v>
      </c>
      <c r="D65" s="7" t="s">
        <v>6711</v>
      </c>
      <c r="E65" s="7" t="s">
        <v>6712</v>
      </c>
      <c r="F65" s="7" t="s">
        <v>6729</v>
      </c>
      <c r="G65" s="7" t="s">
        <v>6381</v>
      </c>
      <c r="H65" s="7"/>
      <c r="I65" s="7"/>
      <c r="J65" s="20" t="str">
        <f>VLOOKUP(V65,Table_to_BRG!A:D,3,FALSE)</f>
        <v>Sales data</v>
      </c>
      <c r="K65" s="20" t="str">
        <f>VLOOKUP(V65,Table_to_BRG!A:D,2,FALSE)</f>
        <v>Sales</v>
      </c>
      <c r="L65" s="20"/>
      <c r="M65" s="20"/>
      <c r="N65" s="9"/>
      <c r="O65" s="54"/>
      <c r="P65" s="7" t="s">
        <v>8335</v>
      </c>
      <c r="Q65" s="11" t="str">
        <f>UPPER(LEFT(Table362[[#This Row],[Entity]],3))&amp;RIGHT("00"&amp;Table362[[#This Row],[Rule '# by Entity]],3)&amp;"0_"&amp;MID(SUBSTITUTE(Table362[[#This Row],[Rule Name]],"_","|",3),SEARCH("|",SUBSTITUTE(Table362[[#This Row],[Rule Name]],"_","|",3))+1,LEN(Table362[[#This Row],[Rule Name]]))</f>
        <v>MAT1210_SalesOrgPopulated</v>
      </c>
      <c r="R65" s="8" t="s">
        <v>7990</v>
      </c>
      <c r="S65" s="7" t="s">
        <v>21</v>
      </c>
      <c r="T65"/>
      <c r="U65" s="7" t="s">
        <v>91</v>
      </c>
      <c r="V65" s="7" t="s">
        <v>2460</v>
      </c>
      <c r="W65" s="7" t="s">
        <v>2434</v>
      </c>
      <c r="X65" s="8" t="s">
        <v>8619</v>
      </c>
      <c r="Y65" s="7" t="s">
        <v>5978</v>
      </c>
      <c r="Z65" s="7" t="s">
        <v>5978</v>
      </c>
      <c r="AA65" s="10" t="s">
        <v>234</v>
      </c>
      <c r="AB65" s="10"/>
      <c r="AC65" s="10" t="s">
        <v>6813</v>
      </c>
      <c r="AD65" s="10"/>
      <c r="AE65" s="13" t="str">
        <f>IF(Table362[[#This Row],[Entity]]="Customer","KUNNR",IF(Table362[[#This Row],[Entity]]="Vendor","LIFNR","MATNR"))&amp;","&amp;Table362[[#This Row],[Field]]</f>
        <v>MATNR,VKORG</v>
      </c>
      <c r="AF65" s="13" t="str">
        <f>"VW_"&amp;Table362[[#This Row],[New Rule Name]]</f>
        <v>VW_MAT1210_SalesOrgPopulated</v>
      </c>
      <c r="AG65" s="11" t="str">
        <f>"create view "&amp;Table362[[#This Row],[View Name]]&amp;" as 
     select 
          "&amp;IF(Table362[[#This Row],[Entity]]="Customer","KUNNR",IF(Table362[[#This Row],[Entity]]="Vendor","LIFNR","MATNR"))&amp;",
          "&amp;Table362[[#This Row],[Field]]&amp;" 
     from "&amp;Table362[[#This Row],[Table]]&amp;"
     group by MATNR,VKORG"</f>
        <v>create view VW_MAT1210_SalesOrgPopulated as 
     select 
          MATNR,
          VKORG 
     from MVKE
     group by MATNR,VKORG</v>
      </c>
      <c r="AH65" s="8"/>
      <c r="AI65" s="20" t="s">
        <v>6594</v>
      </c>
      <c r="AJ65" s="20"/>
      <c r="AK65" s="31">
        <v>121</v>
      </c>
      <c r="AL65" s="31"/>
    </row>
    <row r="66" spans="1:38" s="3" customFormat="1" ht="108" x14ac:dyDescent="0.25">
      <c r="A66" s="9">
        <v>60</v>
      </c>
      <c r="B66" s="7" t="s">
        <v>3973</v>
      </c>
      <c r="C66" s="7" t="s">
        <v>3</v>
      </c>
      <c r="D66" s="7" t="s">
        <v>6711</v>
      </c>
      <c r="E66" s="7" t="s">
        <v>6712</v>
      </c>
      <c r="F66" s="7" t="s">
        <v>6713</v>
      </c>
      <c r="G66" s="7" t="s">
        <v>6370</v>
      </c>
      <c r="H66" s="7"/>
      <c r="I66" s="7" t="s">
        <v>3967</v>
      </c>
      <c r="J66" s="20" t="str">
        <f>VLOOKUP(V66,Table_to_BRG!A:D,3,FALSE)</f>
        <v>Plant data</v>
      </c>
      <c r="K66" s="20" t="str">
        <f>VLOOKUP(V66,Table_to_BRG!A:D,2,FALSE)</f>
        <v>Plant</v>
      </c>
      <c r="L66" s="20"/>
      <c r="M66" s="20"/>
      <c r="N66" s="9"/>
      <c r="O66" s="54"/>
      <c r="P66" s="7" t="s">
        <v>8336</v>
      </c>
      <c r="Q66" s="11" t="str">
        <f>UPPER(LEFT(Table362[[#This Row],[Entity]],3))&amp;RIGHT("00"&amp;Table362[[#This Row],[Rule '# by Entity]],3)&amp;"0_"&amp;MID(SUBSTITUTE(Table362[[#This Row],[Rule Name]],"_","|",3),SEARCH("|",SUBSTITUTE(Table362[[#This Row],[Rule Name]],"_","|",3))+1,LEN(Table362[[#This Row],[Rule Name]]))</f>
        <v>MAT0640_CountryRef</v>
      </c>
      <c r="R66" s="13" t="s">
        <v>7902</v>
      </c>
      <c r="S66" s="7" t="s">
        <v>2</v>
      </c>
      <c r="T66" s="7"/>
      <c r="U66" s="7" t="s">
        <v>140</v>
      </c>
      <c r="V66" s="8" t="s">
        <v>1527</v>
      </c>
      <c r="W66" s="7" t="s">
        <v>1901</v>
      </c>
      <c r="X66" s="8" t="s">
        <v>1914</v>
      </c>
      <c r="Y66" s="7" t="s">
        <v>4152</v>
      </c>
      <c r="Z66" s="7" t="s">
        <v>2958</v>
      </c>
      <c r="AA66" s="11" t="str">
        <f>"BEGIN
     RETURN exists('DS_IS_RDS', '"&amp;Table362[[#This Row],[Lookup Table]]&amp;"', '"&amp;Table362[[#This Row],[Lookup Field]]&amp;"', "&amp;Table362[[#This Row],[IS Parameter]]&amp;");
END"</f>
        <v>BEGIN
     RETURN exists('DS_IS_RDS', 'T005', 'LAND1', $P_I_Country);
END</v>
      </c>
      <c r="AB66" s="11" t="str">
        <f>Table362[[#This Row],[IS Parameter]]&amp;" IS NOT NULL AND rtrim("&amp;Table362[[#This Row],[IS Parameter]]&amp;", ' ') != ''"</f>
        <v>$P_I_Country IS NOT NULL AND rtrim($P_I_Country, ' ') != ''</v>
      </c>
      <c r="AC66" s="10" t="s">
        <v>6663</v>
      </c>
      <c r="AD66" s="10"/>
      <c r="AE66" s="13" t="str">
        <f>IF(Table362[[#This Row],[Entity]]="Customer","KUNNR",IF(Table362[[#This Row],[Entity]]="Vendor","LIFNR","MATNR"))&amp;",WERKS"&amp;","&amp;Table362[[#This Row],[Field]]</f>
        <v>MATNR,WERKS,HERKL</v>
      </c>
      <c r="AF66" s="13" t="str">
        <f>"VW_"&amp;Table362[[#This Row],[New Rule Name]]</f>
        <v>VW_MAT0640_CountryRef</v>
      </c>
      <c r="AG66"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VW_MAT0640_CountryRef (
     MATNR,
     WERKS,
     HERKL
     ) as select 
          MATNR,
          WERKS,
          HERKL 
     from MARC</v>
      </c>
      <c r="AH66" s="8"/>
      <c r="AI66" s="20" t="s">
        <v>7629</v>
      </c>
      <c r="AJ66" s="20"/>
      <c r="AK66" s="31">
        <v>64</v>
      </c>
      <c r="AL66" s="31"/>
    </row>
    <row r="67" spans="1:38" s="3" customFormat="1" ht="96" hidden="1" x14ac:dyDescent="0.25">
      <c r="A67" s="9">
        <v>61</v>
      </c>
      <c r="B67" s="7" t="s">
        <v>3973</v>
      </c>
      <c r="C67" s="7" t="s">
        <v>16</v>
      </c>
      <c r="D67" s="7" t="s">
        <v>6735</v>
      </c>
      <c r="E67" s="7" t="s">
        <v>6736</v>
      </c>
      <c r="F67" s="7" t="s">
        <v>6737</v>
      </c>
      <c r="G67" s="7" t="s">
        <v>6361</v>
      </c>
      <c r="H67" s="7" t="s">
        <v>3967</v>
      </c>
      <c r="I67" s="7" t="s">
        <v>3968</v>
      </c>
      <c r="J67" s="20" t="e">
        <f>VLOOKUP(V67,Table_to_BRG!A:D,3,FALSE)</f>
        <v>#N/A</v>
      </c>
      <c r="K67" s="20" t="e">
        <f>VLOOKUP(V67,Table_to_BRG!A:D,2,FALSE)</f>
        <v>#N/A</v>
      </c>
      <c r="L67" s="20"/>
      <c r="M67" s="20"/>
      <c r="N67" s="9"/>
      <c r="O67" s="54"/>
      <c r="P67" s="7" t="s">
        <v>8080</v>
      </c>
      <c r="Q67" s="11" t="str">
        <f>UPPER(LEFT(Table362[[#This Row],[Entity]],3))&amp;RIGHT("00"&amp;Table362[[#This Row],[Rule '# by Entity]],3)&amp;"0_"&amp;MID(SUBSTITUTE(Table362[[#This Row],[Rule Name]],"_","|",3),SEARCH("|",SUBSTITUTE(Table362[[#This Row],[Rule Name]],"_","|",3))+1,LEN(Table362[[#This Row],[Rule Name]]))</f>
        <v>CUS1170_EmailAddressPopulated</v>
      </c>
      <c r="R67" s="8" t="s">
        <v>8151</v>
      </c>
      <c r="S67" s="7" t="s">
        <v>21</v>
      </c>
      <c r="T67" s="7"/>
      <c r="U67" s="7" t="s">
        <v>6087</v>
      </c>
      <c r="V67" s="7" t="s">
        <v>8219</v>
      </c>
      <c r="W67" s="7" t="s">
        <v>8220</v>
      </c>
      <c r="X67" s="8" t="s">
        <v>8237</v>
      </c>
      <c r="Y67" s="7" t="s">
        <v>5978</v>
      </c>
      <c r="Z67" s="7" t="s">
        <v>5978</v>
      </c>
      <c r="AA67" s="10" t="s">
        <v>240</v>
      </c>
      <c r="AB67" s="10"/>
      <c r="AC67" s="10" t="s">
        <v>6813</v>
      </c>
      <c r="AD67" s="10"/>
      <c r="AE67" s="13" t="s">
        <v>7789</v>
      </c>
      <c r="AF67" s="13" t="str">
        <f>"VW_"&amp;Table362[[#This Row],[New Rule Name]]</f>
        <v>VW_CUS1170_EmailAddressPopulated</v>
      </c>
      <c r="AG67" s="11" t="s">
        <v>8217</v>
      </c>
      <c r="AH67" s="8" t="s">
        <v>6930</v>
      </c>
      <c r="AI67" s="20" t="s">
        <v>6519</v>
      </c>
      <c r="AJ67" s="20"/>
      <c r="AK67" s="31">
        <v>117</v>
      </c>
      <c r="AL67" s="31"/>
    </row>
    <row r="68" spans="1:38" s="38" customFormat="1" ht="132" hidden="1" x14ac:dyDescent="0.25">
      <c r="A68" s="14">
        <v>66</v>
      </c>
      <c r="B68" s="15" t="s">
        <v>3973</v>
      </c>
      <c r="C68" s="15" t="s">
        <v>16</v>
      </c>
      <c r="D68" s="15" t="s">
        <v>6711</v>
      </c>
      <c r="E68" s="15" t="s">
        <v>6714</v>
      </c>
      <c r="F68" s="15" t="s">
        <v>6715</v>
      </c>
      <c r="G68" s="15" t="s">
        <v>6361</v>
      </c>
      <c r="H68" s="15" t="s">
        <v>3969</v>
      </c>
      <c r="I68" s="15" t="s">
        <v>3969</v>
      </c>
      <c r="J68" s="27" t="str">
        <f>VLOOKUP(V68,Table_to_BRG!A:D,3,FALSE)</f>
        <v>General data</v>
      </c>
      <c r="K68" s="27" t="str">
        <f>VLOOKUP(V68,Table_to_BRG!A:D,2,FALSE)</f>
        <v>General</v>
      </c>
      <c r="L68" s="27"/>
      <c r="M68" s="27"/>
      <c r="N68" s="14" t="s">
        <v>6465</v>
      </c>
      <c r="O68" s="54" t="str">
        <f>"Superceded by rule "&amp;A1005</f>
        <v>Superceded by rule 385</v>
      </c>
      <c r="P68" s="16" t="s">
        <v>257</v>
      </c>
      <c r="Q68" s="17"/>
      <c r="R68" s="16" t="s">
        <v>258</v>
      </c>
      <c r="S68" s="15" t="s">
        <v>139</v>
      </c>
      <c r="T68" s="15"/>
      <c r="U68" s="15" t="s">
        <v>6084</v>
      </c>
      <c r="V68" s="15" t="s">
        <v>2741</v>
      </c>
      <c r="W68" s="16" t="s">
        <v>2966</v>
      </c>
      <c r="X68" s="16" t="s">
        <v>6349</v>
      </c>
      <c r="Y68" s="15" t="s">
        <v>5978</v>
      </c>
      <c r="Z68" s="15" t="s">
        <v>5978</v>
      </c>
      <c r="AA68" s="26" t="s">
        <v>141</v>
      </c>
      <c r="AB68" s="26"/>
      <c r="AC68" s="26"/>
      <c r="AD68" s="26"/>
      <c r="AE68" s="18"/>
      <c r="AF68" s="18"/>
      <c r="AG68" s="17"/>
      <c r="AH68" s="16" t="s">
        <v>5879</v>
      </c>
      <c r="AI68" s="27" t="s">
        <v>6544</v>
      </c>
      <c r="AJ68" s="27"/>
      <c r="AK68" s="36"/>
      <c r="AL68" s="52"/>
    </row>
    <row r="69" spans="1:38" s="3" customFormat="1" ht="96" x14ac:dyDescent="0.25">
      <c r="A69" s="9">
        <v>62</v>
      </c>
      <c r="B69" s="7" t="s">
        <v>3973</v>
      </c>
      <c r="C69" s="7" t="s">
        <v>3</v>
      </c>
      <c r="D69" s="7" t="s">
        <v>6711</v>
      </c>
      <c r="E69" s="7" t="s">
        <v>6712</v>
      </c>
      <c r="F69" s="7" t="s">
        <v>6729</v>
      </c>
      <c r="G69" s="7" t="s">
        <v>6382</v>
      </c>
      <c r="H69" s="7"/>
      <c r="I69" s="7"/>
      <c r="J69" s="20" t="str">
        <f>VLOOKUP(V69,Table_to_BRG!A:D,3,FALSE)</f>
        <v>Sales data</v>
      </c>
      <c r="K69" s="20" t="str">
        <f>VLOOKUP(V69,Table_to_BRG!A:D,2,FALSE)</f>
        <v>Sales</v>
      </c>
      <c r="L69" s="20"/>
      <c r="M69" s="20"/>
      <c r="N69" s="9"/>
      <c r="O69" s="54"/>
      <c r="P69" s="7" t="s">
        <v>8337</v>
      </c>
      <c r="Q69" s="11" t="str">
        <f>UPPER(LEFT(Table362[[#This Row],[Entity]],3))&amp;RIGHT("00"&amp;Table362[[#This Row],[Rule '# by Entity]],3)&amp;"0_"&amp;MID(SUBSTITUTE(Table362[[#This Row],[Rule Name]],"_","|",3),SEARCH("|",SUBSTITUTE(Table362[[#This Row],[Rule Name]],"_","|",3))+1,LEN(Table362[[#This Row],[Rule Name]]))</f>
        <v>MAT1250_MaterialStatisticsGroupRef</v>
      </c>
      <c r="R69" s="8" t="s">
        <v>7982</v>
      </c>
      <c r="S69" s="7" t="s">
        <v>2</v>
      </c>
      <c r="T69" s="7"/>
      <c r="U69" s="7" t="s">
        <v>243</v>
      </c>
      <c r="V69" s="7" t="s">
        <v>2460</v>
      </c>
      <c r="W69" s="7" t="s">
        <v>2499</v>
      </c>
      <c r="X69" s="8" t="s">
        <v>2522</v>
      </c>
      <c r="Y69" s="7" t="s">
        <v>5997</v>
      </c>
      <c r="Z69" s="7" t="s">
        <v>5998</v>
      </c>
      <c r="AA69" s="11" t="str">
        <f>"BEGIN
     RETURN exists('DS_IS_RDS', '"&amp;Table362[[#This Row],[Lookup Table]]&amp;"', '"&amp;Table362[[#This Row],[Lookup Field]]&amp;"', "&amp;Table362[[#This Row],[IS Parameter]]&amp;");
END"</f>
        <v>BEGIN
     RETURN exists('DS_IS_RDS', 'TVSM', 'STGMA', $P_I_MatStatsGroups);
END</v>
      </c>
      <c r="AB69" s="11" t="str">
        <f>Table362[[#This Row],[IS Parameter]]&amp;" IS NOT NULL AND rtrim("&amp;Table362[[#This Row],[IS Parameter]]&amp;", ' ') != ''"</f>
        <v>$P_I_MatStatsGroups IS NOT NULL AND rtrim($P_I_MatStatsGroups, ' ') != ''</v>
      </c>
      <c r="AC69" s="10" t="s">
        <v>6663</v>
      </c>
      <c r="AD69" s="10"/>
      <c r="AE69" s="13" t="str">
        <f>IF(Table362[[#This Row],[Entity]]="Customer","KUNNR",IF(Table362[[#This Row],[Entity]]="Vendor","LIFNR","MATNR"))&amp;",VKORG,VTWEG,"&amp;Table362[[#This Row],[Field]]</f>
        <v>MATNR,VKORG,VTWEG,VERSG</v>
      </c>
      <c r="AF69" s="13" t="str">
        <f>"VW_"&amp;Table362[[#This Row],[New Rule Name]]</f>
        <v>VW_MAT1250_MaterialStatisticsGroupRef</v>
      </c>
      <c r="AG69" s="11" t="str">
        <f>"create view "&amp;Table362[[#This Row],[View Name]]&amp;" as 
     select 
          "&amp;IF(Table362[[#This Row],[Entity]]="Customer","KUNNR",IF(Table362[[#This Row],[Entity]]="Vendor","LIFNR","MATNR"))&amp;",
          VKORG,
          VTWEG,
          "&amp;Table362[[#This Row],[Field]]&amp;" 
     from "&amp;Table362[[#This Row],[Table]]</f>
        <v>create view VW_MAT1250_MaterialStatisticsGroupRef as 
     select 
          MATNR,
          VKORG,
          VTWEG,
          VERSG 
     from MVKE</v>
      </c>
      <c r="AH69" s="8"/>
      <c r="AI69" s="20"/>
      <c r="AJ69" s="20"/>
      <c r="AK69" s="31">
        <v>125</v>
      </c>
      <c r="AL69" s="31"/>
    </row>
    <row r="70" spans="1:38" s="3" customFormat="1" ht="60" hidden="1" x14ac:dyDescent="0.25">
      <c r="A70" s="9">
        <v>63</v>
      </c>
      <c r="B70" s="7" t="s">
        <v>3973</v>
      </c>
      <c r="C70" s="7" t="s">
        <v>16</v>
      </c>
      <c r="D70" s="7" t="s">
        <v>6711</v>
      </c>
      <c r="E70" s="7" t="s">
        <v>6714</v>
      </c>
      <c r="F70" s="7" t="s">
        <v>6715</v>
      </c>
      <c r="G70" s="7" t="s">
        <v>6361</v>
      </c>
      <c r="H70" s="7" t="s">
        <v>6363</v>
      </c>
      <c r="I70" s="7" t="s">
        <v>3967</v>
      </c>
      <c r="J70" s="20" t="str">
        <f>VLOOKUP(V70,Table_to_BRG!A:D,3,FALSE)</f>
        <v>General data</v>
      </c>
      <c r="K70" s="20" t="str">
        <f>VLOOKUP(V70,Table_to_BRG!A:D,2,FALSE)</f>
        <v>General</v>
      </c>
      <c r="L70" s="20"/>
      <c r="M70" s="20"/>
      <c r="N70" s="9"/>
      <c r="O70" s="54"/>
      <c r="P70" s="7" t="s">
        <v>8081</v>
      </c>
      <c r="Q70" s="11" t="str">
        <f>UPPER(LEFT(Table362[[#This Row],[Entity]],3))&amp;RIGHT("00"&amp;Table362[[#This Row],[Rule '# by Entity]],3)&amp;"0_"&amp;MID(SUBSTITUTE(Table362[[#This Row],[Rule Name]],"_","|",3),SEARCH("|",SUBSTITUTE(Table362[[#This Row],[Rule Name]],"_","|",3))+1,LEN(Table362[[#This Row],[Rule Name]]))</f>
        <v>CUS0020_CountryCodePopulated</v>
      </c>
      <c r="R70" s="8" t="s">
        <v>8109</v>
      </c>
      <c r="S70" s="7" t="s">
        <v>21</v>
      </c>
      <c r="T70" s="7"/>
      <c r="U70" s="7" t="s">
        <v>247</v>
      </c>
      <c r="V70" s="7" t="s">
        <v>2741</v>
      </c>
      <c r="W70" s="7" t="s">
        <v>2958</v>
      </c>
      <c r="X70" s="8" t="s">
        <v>6348</v>
      </c>
      <c r="Y70" s="7" t="s">
        <v>5978</v>
      </c>
      <c r="Z70" s="7" t="s">
        <v>5978</v>
      </c>
      <c r="AA70" s="10" t="s">
        <v>248</v>
      </c>
      <c r="AB70" s="10"/>
      <c r="AC70" s="10" t="s">
        <v>6813</v>
      </c>
      <c r="AD70" s="10"/>
      <c r="AE70" s="13" t="str">
        <f>IF(Table362[[#This Row],[Entity]]="Customer","KUNNR",IF(Table362[[#This Row],[Entity]]="Vendor","LIFNR","MATNR"))&amp;","&amp;Table362[[#This Row],[Field]]</f>
        <v>KUNNR,LAND1</v>
      </c>
      <c r="AF70" s="13" t="str">
        <f>"VW_"&amp;Table362[[#This Row],[New Rule Name]]</f>
        <v>VW_CUS0020_CountryCodePopulated</v>
      </c>
      <c r="AG70" s="11" t="str">
        <f>"create view "&amp;Table362[[#This Row],[View Name]]&amp;" as 
     select 
          "&amp;Table362[[#This Row],[Table]]&amp;",
          "&amp;Table362[[#This Row],[Field]]&amp;" 
     from "&amp;Table362[[#This Row],[Table]]</f>
        <v>create view VW_CUS0020_CountryCodePopulated as 
     select 
          KNA1,
          LAND1 
     from KNA1</v>
      </c>
      <c r="AH70" s="8"/>
      <c r="AI70" s="20" t="s">
        <v>7633</v>
      </c>
      <c r="AJ70" s="20"/>
      <c r="AK70" s="31">
        <v>2</v>
      </c>
      <c r="AL70" s="31"/>
    </row>
    <row r="71" spans="1:38" s="3" customFormat="1" ht="72" hidden="1" x14ac:dyDescent="0.25">
      <c r="A71" s="9" t="s">
        <v>7612</v>
      </c>
      <c r="B71" s="7" t="s">
        <v>3973</v>
      </c>
      <c r="C71" s="7" t="s">
        <v>16</v>
      </c>
      <c r="D71" s="7" t="s">
        <v>6716</v>
      </c>
      <c r="E71" s="7" t="s">
        <v>6740</v>
      </c>
      <c r="F71" s="7" t="s">
        <v>6741</v>
      </c>
      <c r="G71" s="7" t="s">
        <v>6653</v>
      </c>
      <c r="H71" s="7" t="s">
        <v>6364</v>
      </c>
      <c r="I71" s="7" t="s">
        <v>1214</v>
      </c>
      <c r="J71" s="20" t="str">
        <f>VLOOKUP(V71,Table_to_BRG!A:D,3,FALSE)</f>
        <v>Legal control data</v>
      </c>
      <c r="K71" s="20" t="str">
        <f>VLOOKUP(V71,Table_to_BRG!A:D,2,FALSE)</f>
        <v>Legal Control - Sanctioned Party List</v>
      </c>
      <c r="L71" s="20"/>
      <c r="M71" s="20"/>
      <c r="N71" s="9"/>
      <c r="O71" s="54"/>
      <c r="P71" s="7" t="s">
        <v>8150</v>
      </c>
      <c r="Q71" s="11" t="str">
        <f>UPPER(LEFT(Table362[[#This Row],[Entity]],3))&amp;RIGHT("00"&amp;Table362[[#This Row],[Rule '# by Entity]],3)&amp;"0_"&amp;MID(SUBSTITUTE(Table362[[#This Row],[Rule Name]],"_","|",3),SEARCH("|",SUBSTITUTE(Table362[[#This Row],[Rule Name]],"_","|",3))+1,LEN(Table362[[#This Row],[Rule Name]]))</f>
        <v>CUS0690_BoycottTDOListIsValid</v>
      </c>
      <c r="R71" s="8" t="s">
        <v>8164</v>
      </c>
      <c r="S71" s="7" t="s">
        <v>4135</v>
      </c>
      <c r="T71" s="7" t="s">
        <v>2</v>
      </c>
      <c r="U71" s="7" t="s">
        <v>322</v>
      </c>
      <c r="V71" s="7" t="s">
        <v>3129</v>
      </c>
      <c r="W71" s="8" t="s">
        <v>3105</v>
      </c>
      <c r="X71" s="8" t="s">
        <v>6435</v>
      </c>
      <c r="Y71" s="7" t="s">
        <v>5978</v>
      </c>
      <c r="Z71" s="7" t="s">
        <v>5978</v>
      </c>
      <c r="AA71" s="10" t="s">
        <v>8605</v>
      </c>
      <c r="AB71" s="11" t="str">
        <f>Table362[[#This Row],[IS Parameter]]&amp;" IS NOT NULL
AND "&amp; Table362[[#This Row],[IS Parameter]]&amp;" != ''"</f>
        <v>$P_I_BoycottList IS NOT NULL
AND $P_I_BoycottList != ''</v>
      </c>
      <c r="AC71" s="13" t="s">
        <v>7792</v>
      </c>
      <c r="AD71"/>
      <c r="AE71" s="13" t="str">
        <f>IF(Table362[[#This Row],[Entity]]="Customer","KUNNR",IF(Table362[[#This Row],[Entity]]="Vendor","LIFNR","MATNR"))&amp;",LNDEX,"&amp;Table362[[#This Row],[Field]]</f>
        <v>KUNNR,LNDEX,TDOCO</v>
      </c>
      <c r="AF71" s="13" t="str">
        <f>"VW_"&amp;Table362[[#This Row],[New Rule Name]]</f>
        <v>VW_CUS0690_BoycottTDOListIsValid</v>
      </c>
      <c r="AG71" s="11" t="str">
        <f>"create view "&amp;Table362[[#This Row],[View Name]]&amp;" as 
     select 
          "&amp;IF(Table362[[#This Row],[Entity]]="Customer","KUNNR",IF(Table362[[#This Row],[Entity]]="Vendor","LIFNR","MATNR"))&amp;",
          LNDEX,
          "&amp;Table362[[#This Row],[Field]]&amp;" 
     from "&amp;Table362[[#This Row],[Table]]</f>
        <v>create view VW_CUS0690_BoycottTDOListIsValid as 
     select 
          KUNNR,
          LNDEX,
          TDOCO 
     from KNEX</v>
      </c>
      <c r="AH71" s="13" t="str">
        <f>"Rule "&amp;Table362[[#This Row],[Rule '#]]&amp;" evaluates Customer boycott list
Rule "&amp;A75&amp;" evaluates SDN boycott list
Rule "&amp;A85&amp;" evaluates TDO boycott list"</f>
        <v>Rule 64 evaluates Customer boycott list
Rule 67 evaluates SDN boycott list
Rule 78 evaluates TDO boycott list</v>
      </c>
      <c r="AI71" s="20" t="s">
        <v>7606</v>
      </c>
      <c r="AJ71" s="20"/>
      <c r="AK71" s="31">
        <v>69</v>
      </c>
      <c r="AL71" s="31"/>
    </row>
    <row r="72" spans="1:38" s="3" customFormat="1" ht="84" hidden="1" x14ac:dyDescent="0.25">
      <c r="A72" s="9">
        <v>64</v>
      </c>
      <c r="B72" s="7" t="s">
        <v>3973</v>
      </c>
      <c r="C72" s="7" t="s">
        <v>1207</v>
      </c>
      <c r="D72" s="7" t="s">
        <v>6719</v>
      </c>
      <c r="E72" s="7" t="s">
        <v>6720</v>
      </c>
      <c r="F72" s="7" t="s">
        <v>6732</v>
      </c>
      <c r="G72" s="7" t="s">
        <v>6358</v>
      </c>
      <c r="H72" s="7" t="s">
        <v>6386</v>
      </c>
      <c r="I72" s="7"/>
      <c r="J72" s="20" t="str">
        <f>VLOOKUP(V72,Table_to_BRG!A:D,3,FALSE)</f>
        <v>Company Code data</v>
      </c>
      <c r="K72" s="20" t="str">
        <f>VLOOKUP(V72,Table_to_BRG!A:D,2,FALSE)</f>
        <v>Company Code</v>
      </c>
      <c r="L72" s="20"/>
      <c r="M72" s="20"/>
      <c r="N72" s="9"/>
      <c r="O72" s="54"/>
      <c r="P72" s="7" t="s">
        <v>8454</v>
      </c>
      <c r="Q72" s="11" t="str">
        <f>UPPER(LEFT(Table362[[#This Row],[Entity]],3))&amp;RIGHT("00"&amp;Table362[[#This Row],[Rule '# by Entity]],3)&amp;"0_"&amp;MID(SUBSTITUTE(Table362[[#This Row],[Rule Name]],"_","|",3),SEARCH("|",SUBSTITUTE(Table362[[#This Row],[Rule Name]],"_","|",3))+1,LEN(Table362[[#This Row],[Rule Name]]))</f>
        <v>VEN0490_ExcemptionAuthorityIsValid</v>
      </c>
      <c r="R72" s="8" t="s">
        <v>8286</v>
      </c>
      <c r="S72" s="7" t="s">
        <v>2</v>
      </c>
      <c r="T72" s="7"/>
      <c r="U72" s="7" t="s">
        <v>251</v>
      </c>
      <c r="V72" s="7" t="s">
        <v>3543</v>
      </c>
      <c r="W72" s="7" t="s">
        <v>3526</v>
      </c>
      <c r="X72" s="8" t="s">
        <v>3539</v>
      </c>
      <c r="Y72" s="7"/>
      <c r="Z72" s="7" t="s">
        <v>5978</v>
      </c>
      <c r="AA72" s="10" t="s">
        <v>252</v>
      </c>
      <c r="AB72" s="10"/>
      <c r="AC72" s="13" t="s">
        <v>7792</v>
      </c>
      <c r="AD72"/>
      <c r="AE72" s="13" t="str">
        <f>IF(Table362[[#This Row],[Entity]]="Customer","KUNNR",IF(Table362[[#This Row],[Entity]]="Vendor","LIFNR","MATNR"))&amp;",BUKRS,"&amp;Table362[[#This Row],[Field]]</f>
        <v>LIFNR,BUKRS,QSBGR</v>
      </c>
      <c r="AF72" s="13" t="str">
        <f>"VW_"&amp;Table362[[#This Row],[New Rule Name]]</f>
        <v>VW_VEN0490_ExcemptionAuthorityIsValid</v>
      </c>
      <c r="AG72" s="11" t="str">
        <f>"create view "&amp;Table362[[#This Row],[View Name]]&amp;" as 
     select 
          "&amp;IF(Table362[[#This Row],[Entity]]="Customer","KUNNR",IF(Table362[[#This Row],[Entity]]="Vendor","LIFNR","MATNR"))&amp;",
          BUKRS,
          "&amp;Table362[[#This Row],[Field]]&amp;" 
     from "&amp;Table362[[#This Row],[Table]]</f>
        <v>create view VW_VEN0490_ExcemptionAuthorityIsValid as 
     select 
          LIFNR,
          BUKRS,
          QSBGR 
     from LFB1</v>
      </c>
      <c r="AH72" s="8"/>
      <c r="AI72" s="20"/>
      <c r="AJ72" s="20"/>
      <c r="AK72" s="31">
        <v>49</v>
      </c>
      <c r="AL72" s="31"/>
    </row>
    <row r="73" spans="1:38" s="3" customFormat="1" ht="72" hidden="1" x14ac:dyDescent="0.25">
      <c r="A73" s="9">
        <v>65</v>
      </c>
      <c r="B73" s="7" t="s">
        <v>3973</v>
      </c>
      <c r="C73" s="7" t="s">
        <v>1207</v>
      </c>
      <c r="D73" s="7" t="s">
        <v>6719</v>
      </c>
      <c r="E73" s="7" t="s">
        <v>6720</v>
      </c>
      <c r="F73" s="7" t="s">
        <v>6732</v>
      </c>
      <c r="G73" s="7" t="s">
        <v>6358</v>
      </c>
      <c r="H73" s="7" t="s">
        <v>6386</v>
      </c>
      <c r="I73" s="7" t="s">
        <v>3971</v>
      </c>
      <c r="J73" s="20" t="str">
        <f>VLOOKUP(V73,Table_to_BRG!A:D,3,FALSE)</f>
        <v>Company Code data</v>
      </c>
      <c r="K73" s="20" t="str">
        <f>VLOOKUP(V73,Table_to_BRG!A:D,2,FALSE)</f>
        <v>Company Code</v>
      </c>
      <c r="L73" s="20"/>
      <c r="M73" s="20"/>
      <c r="N73" s="9"/>
      <c r="O73" s="54"/>
      <c r="P73" s="7" t="s">
        <v>8455</v>
      </c>
      <c r="Q73" s="11" t="str">
        <f>UPPER(LEFT(Table362[[#This Row],[Entity]],3))&amp;RIGHT("00"&amp;Table362[[#This Row],[Rule '# by Entity]],3)&amp;"0_"&amp;MID(SUBSTITUTE(Table362[[#This Row],[Rule Name]],"_","|",3),SEARCH("|",SUBSTITUTE(Table362[[#This Row],[Rule Name]],"_","|",3))+1,LEN(Table362[[#This Row],[Rule Name]]))</f>
        <v>VEN0460_WitholdingTaxRef</v>
      </c>
      <c r="R73" s="8" t="s">
        <v>8263</v>
      </c>
      <c r="S73" s="7" t="s">
        <v>2</v>
      </c>
      <c r="T73" s="7"/>
      <c r="U73" s="7" t="s">
        <v>255</v>
      </c>
      <c r="V73" s="7" t="s">
        <v>3543</v>
      </c>
      <c r="W73" s="7" t="s">
        <v>3521</v>
      </c>
      <c r="X73" s="8" t="s">
        <v>3534</v>
      </c>
      <c r="Y73" s="7" t="s">
        <v>5999</v>
      </c>
      <c r="Z73" s="7" t="s">
        <v>3521</v>
      </c>
      <c r="AA73" s="11" t="str">
        <f>"BEGIN
     RETURN exists('DS_IS_RDS', '"&amp;Table362[[#This Row],[Lookup Table]]&amp;"', '"&amp;Table362[[#This Row],[Lookup Field]]&amp;"', "&amp;Table362[[#This Row],[IS Parameter]]&amp;");
END"</f>
        <v>BEGIN
     RETURN exists('DS_IS_RDS', 'T059Q', 'QSSKZ', $P_I_WithholdingTaxCode);
END</v>
      </c>
      <c r="AB73" s="11"/>
      <c r="AC73" s="10" t="s">
        <v>6663</v>
      </c>
      <c r="AD73" s="10"/>
      <c r="AE73" s="13" t="str">
        <f>IF(Table362[[#This Row],[Entity]]="Customer","KUNNR",IF(Table362[[#This Row],[Entity]]="Vendor","LIFNR","MATNR"))&amp;",BUKRS,"&amp;Table362[[#This Row],[Field]]</f>
        <v>LIFNR,BUKRS,QSSKZ</v>
      </c>
      <c r="AF73" s="13" t="str">
        <f>"VW_"&amp;Table362[[#This Row],[New Rule Name]]</f>
        <v>VW_VEN0460_WitholdingTaxRef</v>
      </c>
      <c r="AG73" s="11" t="str">
        <f>"create view "&amp;Table362[[#This Row],[View Name]]&amp;" as 
     select 
          "&amp;IF(Table362[[#This Row],[Entity]]="Customer","KUNNR",IF(Table362[[#This Row],[Entity]]="Vendor","LIFNR","MATNR"))&amp;",
          BUKRS,
          "&amp;Table362[[#This Row],[Field]]&amp;" 
     from "&amp;Table362[[#This Row],[Table]]</f>
        <v>create view VW_VEN0460_WitholdingTaxRef as 
     select 
          LIFNR,
          BUKRS,
          QSSKZ 
     from LFB1</v>
      </c>
      <c r="AH73" s="8"/>
      <c r="AI73" s="20" t="s">
        <v>7654</v>
      </c>
      <c r="AJ73" s="20"/>
      <c r="AK73" s="31">
        <v>46</v>
      </c>
      <c r="AL73" s="31"/>
    </row>
    <row r="74" spans="1:38" s="3" customFormat="1" ht="48" hidden="1" x14ac:dyDescent="0.25">
      <c r="A74" s="9">
        <v>72</v>
      </c>
      <c r="B74" s="7" t="s">
        <v>3973</v>
      </c>
      <c r="C74" s="7" t="s">
        <v>16</v>
      </c>
      <c r="D74" s="7" t="s">
        <v>5978</v>
      </c>
      <c r="E74" s="7" t="s">
        <v>5978</v>
      </c>
      <c r="F74" s="7" t="s">
        <v>5978</v>
      </c>
      <c r="G74" s="7" t="s">
        <v>6365</v>
      </c>
      <c r="H74" s="7" t="s">
        <v>6366</v>
      </c>
      <c r="I74" s="7" t="s">
        <v>3971</v>
      </c>
      <c r="J74" s="20" t="e">
        <f>VLOOKUP(V74,Table_to_BRG!A:D,3,FALSE)</f>
        <v>#N/A</v>
      </c>
      <c r="K74" s="20" t="e">
        <f>VLOOKUP(V74,Table_to_BRG!A:D,2,FALSE)</f>
        <v>#N/A</v>
      </c>
      <c r="L74" s="20"/>
      <c r="M74" s="20"/>
      <c r="N74" s="9"/>
      <c r="O74" s="54"/>
      <c r="P74" s="7" t="s">
        <v>8141</v>
      </c>
      <c r="Q74" s="11" t="str">
        <f>UPPER(LEFT(Table362[[#This Row],[Entity]],3))&amp;RIGHT("00"&amp;Table362[[#This Row],[Rule '# by Entity]],3)&amp;"0_"&amp;MID(SUBSTITUTE(Table362[[#This Row],[Rule Name]],"_","|",3),SEARCH("|",SUBSTITUTE(Table362[[#This Row],[Rule Name]],"_","|",3))+1,LEN(Table362[[#This Row],[Rule Name]]))</f>
        <v>CUS1160_TaxDepartureCountryPopulated</v>
      </c>
      <c r="R74" s="8" t="s">
        <v>8142</v>
      </c>
      <c r="S74" s="7" t="s">
        <v>21</v>
      </c>
      <c r="T74" s="7"/>
      <c r="U74" s="7" t="s">
        <v>140</v>
      </c>
      <c r="V74" s="7" t="s">
        <v>8138</v>
      </c>
      <c r="W74" s="7" t="s">
        <v>8139</v>
      </c>
      <c r="X74" s="8" t="s">
        <v>8140</v>
      </c>
      <c r="Y74" s="7" t="s">
        <v>5978</v>
      </c>
      <c r="Z74" s="7" t="s">
        <v>5978</v>
      </c>
      <c r="AA74" s="10" t="s">
        <v>281</v>
      </c>
      <c r="AB74" s="10"/>
      <c r="AC74" s="10" t="s">
        <v>6813</v>
      </c>
      <c r="AD74" s="10"/>
      <c r="AE74" s="13" t="str">
        <f>"VBELN,"&amp;Table362[[#This Row],[Field]]</f>
        <v>VBELN,LANDTX</v>
      </c>
      <c r="AF74" s="13" t="str">
        <f>"VW_"&amp;Table362[[#This Row],[New Rule Name]]</f>
        <v>VW_CUS1160_TaxDepartureCountryPopulated</v>
      </c>
      <c r="AG74" s="11"/>
      <c r="AH74" s="8" t="s">
        <v>6426</v>
      </c>
      <c r="AI74" s="20" t="s">
        <v>7652</v>
      </c>
      <c r="AJ74" s="20"/>
      <c r="AK74" s="31">
        <v>116</v>
      </c>
      <c r="AL74" s="31"/>
    </row>
    <row r="75" spans="1:38" s="3" customFormat="1" ht="60" hidden="1" x14ac:dyDescent="0.25">
      <c r="A75" s="9">
        <v>67</v>
      </c>
      <c r="B75" s="7" t="s">
        <v>3973</v>
      </c>
      <c r="C75" s="7" t="s">
        <v>1207</v>
      </c>
      <c r="D75" s="7" t="s">
        <v>6719</v>
      </c>
      <c r="E75" s="7" t="s">
        <v>6720</v>
      </c>
      <c r="F75" s="7" t="s">
        <v>6722</v>
      </c>
      <c r="G75" s="7" t="s">
        <v>6361</v>
      </c>
      <c r="H75" s="7" t="s">
        <v>6360</v>
      </c>
      <c r="I75" s="7"/>
      <c r="J75" s="20" t="str">
        <f>VLOOKUP(V75,Table_to_BRG!A:D,3,FALSE)</f>
        <v>General data</v>
      </c>
      <c r="K75" s="20" t="str">
        <f>VLOOKUP(V75,Table_to_BRG!A:D,2,FALSE)</f>
        <v>General</v>
      </c>
      <c r="L75" s="20"/>
      <c r="M75" s="20"/>
      <c r="N75" s="9"/>
      <c r="O75" s="54"/>
      <c r="P75" s="7" t="s">
        <v>8548</v>
      </c>
      <c r="Q75" s="11" t="str">
        <f>UPPER(LEFT(Table362[[#This Row],[Entity]],3))&amp;RIGHT("00"&amp;Table362[[#This Row],[Rule '# by Entity]],3)&amp;"0_"&amp;MID(SUBSTITUTE(Table362[[#This Row],[Rule Name]],"_","|",3),SEARCH("|",SUBSTITUTE(Table362[[#This Row],[Rule Name]],"_","|",3))+1,LEN(Table362[[#This Row],[Rule Name]]))</f>
        <v>VEN0150_DMEInstructionKeyRef</v>
      </c>
      <c r="R75" s="8" t="s">
        <v>8549</v>
      </c>
      <c r="S75" s="7" t="s">
        <v>2</v>
      </c>
      <c r="T75" s="7"/>
      <c r="U75" s="7" t="s">
        <v>261</v>
      </c>
      <c r="V75" s="7" t="s">
        <v>3542</v>
      </c>
      <c r="W75" s="7" t="s">
        <v>3792</v>
      </c>
      <c r="X75" s="8" t="s">
        <v>3798</v>
      </c>
      <c r="Y75" s="7" t="s">
        <v>6000</v>
      </c>
      <c r="Z75" s="7" t="s">
        <v>3792</v>
      </c>
      <c r="AA75" s="11" t="str">
        <f>"BEGIN
     RETURN exists('DS_IS_RDS', '"&amp;Table362[[#This Row],[Lookup Table]]&amp;"', '"&amp;Table362[[#This Row],[Lookup Field]]&amp;"', "&amp;Table362[[#This Row],[IS Parameter]]&amp;");
END"</f>
        <v>BEGIN
     RETURN exists('DS_IS_RDS', 'T015W', 'DTAWS', $P_I_InstructionKey);
END</v>
      </c>
      <c r="AB75" s="11"/>
      <c r="AC75" s="10" t="s">
        <v>6663</v>
      </c>
      <c r="AD75" s="10"/>
      <c r="AE75" s="13" t="str">
        <f>IF(Table362[[#This Row],[Entity]]="Customer","KUNNR",IF(Table362[[#This Row],[Entity]]="Vendor","LIFNR","MATNR"))&amp;","&amp;Table362[[#This Row],[Field]]</f>
        <v>LIFNR,DTAWS</v>
      </c>
      <c r="AF75" s="13" t="str">
        <f>"VW_"&amp;Table362[[#This Row],[New Rule Name]]</f>
        <v>VW_VEN0150_DMEInstructionKeyRef</v>
      </c>
      <c r="AG75" s="11" t="str">
        <f>"create view "&amp;Table362[[#This Row],[View Name]]&amp;" as 
     select 
          "&amp;IF(Table362[[#This Row],[Entity]]="Customer","KUNNR",IF(Table362[[#This Row],[Entity]]="Vendor","LIFNR","MATNR"))&amp;",
          "&amp;Table362[[#This Row],[Field]]&amp;" 
     from "&amp;Table362[[#This Row],[Table]]</f>
        <v>create view VW_VEN0150_DMEInstructionKeyRef as 
     select 
          LIFNR,
          DTAWS 
     from LFA1</v>
      </c>
      <c r="AH75" s="8"/>
      <c r="AI75" s="20"/>
      <c r="AJ75" s="20"/>
      <c r="AK75" s="31">
        <v>15</v>
      </c>
      <c r="AL75" s="31"/>
    </row>
    <row r="76" spans="1:38" s="3" customFormat="1" ht="108" x14ac:dyDescent="0.25">
      <c r="A76" s="9">
        <v>68</v>
      </c>
      <c r="B76" s="7" t="s">
        <v>3973</v>
      </c>
      <c r="C76" s="7" t="s">
        <v>3</v>
      </c>
      <c r="D76" s="7" t="s">
        <v>6711</v>
      </c>
      <c r="E76" s="7" t="s">
        <v>6712</v>
      </c>
      <c r="F76" s="7" t="s">
        <v>6713</v>
      </c>
      <c r="G76" s="7" t="s">
        <v>6370</v>
      </c>
      <c r="H76" s="7"/>
      <c r="I76" s="7"/>
      <c r="J76" s="20" t="str">
        <f>VLOOKUP(V76,Table_to_BRG!A:D,3,FALSE)</f>
        <v>Plant data</v>
      </c>
      <c r="K76" s="20" t="str">
        <f>VLOOKUP(V76,Table_to_BRG!A:D,2,FALSE)</f>
        <v>Plant</v>
      </c>
      <c r="L76" s="20"/>
      <c r="M76" s="20"/>
      <c r="N76" s="9"/>
      <c r="O76" s="54"/>
      <c r="P76" s="7" t="s">
        <v>8338</v>
      </c>
      <c r="Q76" s="11" t="str">
        <f>UPPER(LEFT(Table362[[#This Row],[Entity]],3))&amp;RIGHT("00"&amp;Table362[[#This Row],[Rule '# by Entity]],3)&amp;"0_"&amp;MID(SUBSTITUTE(Table362[[#This Row],[Rule Name]],"_","|",3),SEARCH("|",SUBSTITUTE(Table362[[#This Row],[Rule Name]],"_","|",3))+1,LEN(Table362[[#This Row],[Rule Name]]))</f>
        <v>MAT0650_RegionRef</v>
      </c>
      <c r="R76" s="13" t="s">
        <v>7903</v>
      </c>
      <c r="S76" s="7" t="s">
        <v>2</v>
      </c>
      <c r="T76" s="7"/>
      <c r="U76" s="7" t="s">
        <v>265</v>
      </c>
      <c r="V76" s="7" t="s">
        <v>1527</v>
      </c>
      <c r="W76" s="7" t="s">
        <v>1902</v>
      </c>
      <c r="X76" s="8" t="s">
        <v>1915</v>
      </c>
      <c r="Y76" s="7" t="s">
        <v>4225</v>
      </c>
      <c r="Z76" s="7" t="s">
        <v>4226</v>
      </c>
      <c r="AA76" s="11" t="str">
        <f>"BEGIN
     RETURN exists('DS_IS_RDS', '"&amp;Table362[[#This Row],[Lookup Table]]&amp;"', '"&amp;Table362[[#This Row],[Lookup Field]]&amp;"', "&amp;Table362[[#This Row],[IS Parameter]]&amp;");
END"</f>
        <v>BEGIN
     RETURN exists('DS_IS_RDS', 'T005S', 'BLAND', $P_I_Region);
END</v>
      </c>
      <c r="AB76" s="11" t="str">
        <f>Table362[[#This Row],[IS Parameter]]&amp;" IS NOT NULL AND rtrim("&amp;Table362[[#This Row],[IS Parameter]]&amp;", ' ') != ''"</f>
        <v>$P_I_Region IS NOT NULL AND rtrim($P_I_Region, ' ') != ''</v>
      </c>
      <c r="AC76" s="10" t="s">
        <v>6663</v>
      </c>
      <c r="AD76" s="10"/>
      <c r="AE76" s="13" t="str">
        <f>IF(Table362[[#This Row],[Entity]]="Customer","KUNNR",IF(Table362[[#This Row],[Entity]]="Vendor","LIFNR","MATNR"))&amp;",WERKS"&amp;","&amp;Table362[[#This Row],[Field]]</f>
        <v>MATNR,WERKS,HERKR</v>
      </c>
      <c r="AF76" s="13" t="str">
        <f>"VW_"&amp;Table362[[#This Row],[New Rule Name]]</f>
        <v>VW_MAT0650_RegionRef</v>
      </c>
      <c r="AG76"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VW_MAT0650_RegionRef (
     MATNR,
     WERKS,
     HERKR
     ) as select 
          MATNR,
          WERKS,
          HERKR 
     from MARC</v>
      </c>
      <c r="AH76" s="8"/>
      <c r="AI76" s="20" t="s">
        <v>7675</v>
      </c>
      <c r="AJ76" s="20"/>
      <c r="AK76" s="31">
        <v>65</v>
      </c>
      <c r="AL76" s="31"/>
    </row>
    <row r="77" spans="1:38" s="3" customFormat="1" ht="60" hidden="1" x14ac:dyDescent="0.25">
      <c r="A77" s="9">
        <v>69</v>
      </c>
      <c r="B77" s="7" t="s">
        <v>3973</v>
      </c>
      <c r="C77" s="7" t="s">
        <v>16</v>
      </c>
      <c r="D77" s="7" t="s">
        <v>6711</v>
      </c>
      <c r="E77" s="7" t="s">
        <v>6714</v>
      </c>
      <c r="F77" s="7" t="s">
        <v>6715</v>
      </c>
      <c r="G77" s="7" t="s">
        <v>6361</v>
      </c>
      <c r="H77" s="7" t="s">
        <v>6384</v>
      </c>
      <c r="I77" s="7"/>
      <c r="J77" s="20" t="str">
        <f>VLOOKUP(V77,Table_to_BRG!A:D,3,FALSE)</f>
        <v>General data</v>
      </c>
      <c r="K77" s="20" t="str">
        <f>VLOOKUP(V77,Table_to_BRG!A:D,2,FALSE)</f>
        <v>General</v>
      </c>
      <c r="L77" s="20"/>
      <c r="M77" s="20"/>
      <c r="N77" s="9"/>
      <c r="O77" s="54"/>
      <c r="P77" s="7" t="s">
        <v>7849</v>
      </c>
      <c r="Q77" s="11" t="str">
        <f>UPPER(LEFT(Table362[[#This Row],[Entity]],3))&amp;RIGHT("00"&amp;Table362[[#This Row],[Rule '# by Entity]],3)&amp;"0_"&amp;MID(SUBSTITUTE(Table362[[#This Row],[Rule Name]],"_","|",3),SEARCH("|",SUBSTITUTE(Table362[[#This Row],[Rule Name]],"_","|",3))+1,LEN(Table362[[#This Row],[Rule Name]]))</f>
        <v>CUS0200_NielsenIDRef</v>
      </c>
      <c r="R77" s="8" t="s">
        <v>8018</v>
      </c>
      <c r="S77" s="7" t="s">
        <v>21</v>
      </c>
      <c r="T77" s="7" t="s">
        <v>2</v>
      </c>
      <c r="U77" s="7" t="s">
        <v>269</v>
      </c>
      <c r="V77" s="7" t="s">
        <v>2741</v>
      </c>
      <c r="W77" s="7" t="s">
        <v>3231</v>
      </c>
      <c r="X77" s="8" t="s">
        <v>1367</v>
      </c>
      <c r="Y77" s="7" t="s">
        <v>6001</v>
      </c>
      <c r="Z77" s="7" t="s">
        <v>3231</v>
      </c>
      <c r="AA77" s="11" t="str">
        <f>"BEGIN
     RETURN exists('DS_IS_RDS', '"&amp;Table362[[#This Row],[Lookup Table]]&amp;"', '"&amp;Table362[[#This Row],[Lookup Field]]&amp;"', "&amp;Table362[[#This Row],[IS Parameter]]&amp;");
END"</f>
        <v>BEGIN
     RETURN exists('DS_IS_RDS', 'TNLS', 'NIELS', $P_I_NielsenID);
END</v>
      </c>
      <c r="AB77" s="11" t="str">
        <f>Table362[[#This Row],[IS Parameter]]&amp;" IS NOT NULL
AND "&amp; Table362[[#This Row],[IS Parameter]]&amp;" != ''"</f>
        <v>$P_I_NielsenID IS NOT NULL
AND $P_I_NielsenID != ''</v>
      </c>
      <c r="AC77" s="10" t="s">
        <v>6663</v>
      </c>
      <c r="AD77" s="10"/>
      <c r="AE77" s="13" t="str">
        <f>IF(Table362[[#This Row],[Entity]]="Customer","KUNNR",IF(Table362[[#This Row],[Entity]]="Vendor","LIFNR","MATNR"))&amp;","&amp;Table362[[#This Row],[Field]]</f>
        <v>KUNNR,NIELS</v>
      </c>
      <c r="AF77" s="13" t="str">
        <f>"VW_"&amp;Table362[[#This Row],[New Rule Name]]</f>
        <v>VW_CUS0200_NielsenIDRef</v>
      </c>
      <c r="AG77" s="11" t="str">
        <f>"create view "&amp;Table362[[#This Row],[View Name]]&amp;" as 
     select 
          "&amp;IF(Table362[[#This Row],[Entity]]="Customer","KUNNR",IF(Table362[[#This Row],[Entity]]="Vendor","LIFNR","MATNR"))&amp;",
          "&amp;Table362[[#This Row],[Field]]&amp;" 
     from "&amp;Table362[[#This Row],[Table]]</f>
        <v>create view VW_CUS0200_NielsenIDRef as 
     select 
          KUNNR,
          NIELS 
     from KNA1</v>
      </c>
      <c r="AH77" s="8"/>
      <c r="AI77" s="20"/>
      <c r="AJ77" s="20"/>
      <c r="AK77" s="31">
        <v>20</v>
      </c>
      <c r="AL77" s="31"/>
    </row>
    <row r="78" spans="1:38" s="3" customFormat="1" ht="96" x14ac:dyDescent="0.25">
      <c r="A78" s="9">
        <v>70</v>
      </c>
      <c r="B78" s="7" t="s">
        <v>3973</v>
      </c>
      <c r="C78" s="7" t="s">
        <v>3</v>
      </c>
      <c r="D78" s="7" t="s">
        <v>6711</v>
      </c>
      <c r="E78" s="7" t="s">
        <v>6712</v>
      </c>
      <c r="F78" s="7" t="s">
        <v>6729</v>
      </c>
      <c r="G78" s="7" t="s">
        <v>6382</v>
      </c>
      <c r="H78" s="7"/>
      <c r="I78" s="7"/>
      <c r="J78" s="20" t="str">
        <f>VLOOKUP(V78,Table_to_BRG!A:D,3,FALSE)</f>
        <v>Sales data</v>
      </c>
      <c r="K78" s="20" t="str">
        <f>VLOOKUP(V78,Table_to_BRG!A:D,2,FALSE)</f>
        <v>Sales</v>
      </c>
      <c r="L78" s="20"/>
      <c r="M78" s="20"/>
      <c r="N78" s="9"/>
      <c r="O78" s="54"/>
      <c r="P78" s="7" t="s">
        <v>8339</v>
      </c>
      <c r="Q78" s="11" t="str">
        <f>UPPER(LEFT(Table362[[#This Row],[Entity]],3))&amp;RIGHT("00"&amp;Table362[[#This Row],[Rule '# by Entity]],3)&amp;"0_"&amp;MID(SUBSTITUTE(Table362[[#This Row],[Rule Name]],"_","|",3),SEARCH("|",SUBSTITUTE(Table362[[#This Row],[Rule Name]],"_","|",3))+1,LEN(Table362[[#This Row],[Rule Name]]))</f>
        <v>MAT1310_AccountAssignmentGroupRef</v>
      </c>
      <c r="R78" s="8" t="s">
        <v>7904</v>
      </c>
      <c r="S78" s="7" t="s">
        <v>2</v>
      </c>
      <c r="T78" s="7"/>
      <c r="U78" s="7" t="s">
        <v>273</v>
      </c>
      <c r="V78" s="7" t="s">
        <v>2460</v>
      </c>
      <c r="W78" s="7" t="s">
        <v>2502</v>
      </c>
      <c r="X78" s="8" t="s">
        <v>2524</v>
      </c>
      <c r="Y78" s="7" t="s">
        <v>4258</v>
      </c>
      <c r="Z78" s="7" t="s">
        <v>2502</v>
      </c>
      <c r="AA78" s="11" t="str">
        <f>"BEGIN
     RETURN exists('DS_IS_RDS', '"&amp;Table362[[#This Row],[Lookup Table]]&amp;"', '"&amp;Table362[[#This Row],[Lookup Field]]&amp;"', "&amp;Table362[[#This Row],[IS Parameter]]&amp;");
END"</f>
        <v>BEGIN
     RETURN exists('DS_IS_RDS', 'TVKM', 'KTGRM', $P_I_AcctAssgnGroup);
END</v>
      </c>
      <c r="AB78" s="11" t="str">
        <f>Table362[[#This Row],[IS Parameter]]&amp;" IS NOT NULL AND rtrim("&amp;Table362[[#This Row],[IS Parameter]]&amp;", ' ') != ''"</f>
        <v>$P_I_AcctAssgnGroup IS NOT NULL AND rtrim($P_I_AcctAssgnGroup, ' ') != ''</v>
      </c>
      <c r="AC78" s="10" t="s">
        <v>6663</v>
      </c>
      <c r="AD78" s="10"/>
      <c r="AE78" s="13" t="str">
        <f>IF(Table362[[#This Row],[Entity]]="Customer","KUNNR",IF(Table362[[#This Row],[Entity]]="Vendor","LIFNR","MATNR"))&amp;",VKORG,VTWEG,"&amp;Table362[[#This Row],[Field]]</f>
        <v>MATNR,VKORG,VTWEG,KTGRM</v>
      </c>
      <c r="AF78" s="13" t="str">
        <f>"VW_"&amp;Table362[[#This Row],[New Rule Name]]</f>
        <v>VW_MAT1310_AccountAssignmentGroupRef</v>
      </c>
      <c r="AG78" s="11" t="str">
        <f>"create view "&amp;Table362[[#This Row],[View Name]]&amp;" as 
     select 
          "&amp;IF(Table362[[#This Row],[Entity]]="Customer","KUNNR",IF(Table362[[#This Row],[Entity]]="Vendor","LIFNR","MATNR"))&amp;",
          VKORG,
          VTWEG,
          "&amp;Table362[[#This Row],[Field]]&amp;" 
     from "&amp;Table362[[#This Row],[Table]]</f>
        <v>create view VW_MAT1310_AccountAssignmentGroupRef as 
     select 
          MATNR,
          VKORG,
          VTWEG,
          KTGRM 
     from MVKE</v>
      </c>
      <c r="AH78" s="8"/>
      <c r="AI78" s="20"/>
      <c r="AJ78" s="20"/>
      <c r="AK78" s="31">
        <v>131</v>
      </c>
      <c r="AL78" s="31"/>
    </row>
    <row r="79" spans="1:38" s="3" customFormat="1" ht="48" x14ac:dyDescent="0.25">
      <c r="A79" s="9">
        <v>77</v>
      </c>
      <c r="B79" s="7" t="s">
        <v>3973</v>
      </c>
      <c r="C79" s="7" t="s">
        <v>3</v>
      </c>
      <c r="D79" s="7" t="s">
        <v>6711</v>
      </c>
      <c r="E79" s="7" t="s">
        <v>6712</v>
      </c>
      <c r="F79" s="7" t="s">
        <v>6725</v>
      </c>
      <c r="G79" s="7" t="s">
        <v>6390</v>
      </c>
      <c r="H79" s="7" t="s">
        <v>6380</v>
      </c>
      <c r="I79" s="7"/>
      <c r="J79" s="20" t="str">
        <f>VLOOKUP(V79,Table_to_BRG!A:D,3,FALSE)</f>
        <v>General data</v>
      </c>
      <c r="K79" s="20" t="str">
        <f>VLOOKUP(V79,Table_to_BRG!A:D,2,FALSE)</f>
        <v>General</v>
      </c>
      <c r="L79" s="20"/>
      <c r="M79" s="20"/>
      <c r="N79" s="9"/>
      <c r="O79" s="54"/>
      <c r="P79" s="7" t="s">
        <v>8340</v>
      </c>
      <c r="Q79" s="11" t="str">
        <f>UPPER(LEFT(Table362[[#This Row],[Entity]],3))&amp;RIGHT("00"&amp;Table362[[#This Row],[Rule '# by Entity]],3)&amp;"0_"&amp;MID(SUBSTITUTE(Table362[[#This Row],[Rule Name]],"_","|",3),SEARCH("|",SUBSTITUTE(Table362[[#This Row],[Rule Name]],"_","|",3))+1,LEN(Table362[[#This Row],[Rule Name]]))</f>
        <v>MAT1370_CrossPlantCMRef</v>
      </c>
      <c r="R79" s="8" t="s">
        <v>8003</v>
      </c>
      <c r="S79" s="7" t="s">
        <v>2</v>
      </c>
      <c r="T79" s="7"/>
      <c r="U79" s="7" t="s">
        <v>299</v>
      </c>
      <c r="V79" s="7" t="s">
        <v>1526</v>
      </c>
      <c r="W79" s="7" t="s">
        <v>1707</v>
      </c>
      <c r="X79" s="8" t="s">
        <v>1724</v>
      </c>
      <c r="Y79" s="7" t="s">
        <v>1526</v>
      </c>
      <c r="Z79" s="7" t="s">
        <v>1492</v>
      </c>
      <c r="AA79" s="11" t="str">
        <f>"BEGIN
     RETURN exists('DS_IS_RDS', '"&amp;Table362[[#This Row],[Lookup Table]]&amp;"', '"&amp;Table362[[#This Row],[Lookup Field]]&amp;"', "&amp;Table362[[#This Row],[IS Parameter]]&amp;");
END"</f>
        <v>BEGIN
     RETURN exists('DS_IS_RDS', 'MARA', 'MATNR', $P_I_XPlantCM);
END</v>
      </c>
      <c r="AB79" s="11" t="str">
        <f>Table362[[#This Row],[IS Parameter]]&amp;" IS NOT NULL AND rtrim("&amp;Table362[[#This Row],[IS Parameter]]&amp;", ' ') != ''"</f>
        <v>$P_I_XPlantCM IS NOT NULL AND rtrim($P_I_XPlantCM, ' ') != ''</v>
      </c>
      <c r="AC79" s="10" t="s">
        <v>6663</v>
      </c>
      <c r="AD79" s="10"/>
      <c r="AE79" s="13" t="str">
        <f>IF(Table362[[#This Row],[Entity]]="Customer","KUNNR",IF(Table362[[#This Row],[Entity]]="Vendor","LIFNR","MATNR"))&amp;","&amp;Table362[[#This Row],[Field]]</f>
        <v>MATNR,SATNR</v>
      </c>
      <c r="AF79" s="13" t="str">
        <f>"VW_"&amp;Table362[[#This Row],[New Rule Name]]</f>
        <v>VW_MAT1370_CrossPlantCMRef</v>
      </c>
      <c r="AG79" s="11"/>
      <c r="AH79" s="8" t="s">
        <v>7736</v>
      </c>
      <c r="AI79" s="20"/>
      <c r="AJ79" s="20"/>
      <c r="AK79" s="31">
        <v>137</v>
      </c>
      <c r="AL79" s="31"/>
    </row>
    <row r="80" spans="1:38" s="3" customFormat="1" ht="96" hidden="1" x14ac:dyDescent="0.25">
      <c r="A80" s="9">
        <v>71</v>
      </c>
      <c r="B80" s="7" t="s">
        <v>3973</v>
      </c>
      <c r="C80" s="7" t="s">
        <v>1207</v>
      </c>
      <c r="D80" s="7" t="s">
        <v>6719</v>
      </c>
      <c r="E80" s="7" t="s">
        <v>6720</v>
      </c>
      <c r="F80" s="7" t="s">
        <v>6738</v>
      </c>
      <c r="G80" s="7" t="s">
        <v>6361</v>
      </c>
      <c r="H80" s="7" t="s">
        <v>6360</v>
      </c>
      <c r="I80" s="7" t="s">
        <v>3970</v>
      </c>
      <c r="J80" s="20" t="str">
        <f>VLOOKUP(V80,Table_to_BRG!A:D,3,FALSE)</f>
        <v>Bank data</v>
      </c>
      <c r="K80" s="20" t="str">
        <f>VLOOKUP(V80,Table_to_BRG!A:D,2,FALSE)</f>
        <v>Bank details</v>
      </c>
      <c r="L80" s="20"/>
      <c r="M80" s="20"/>
      <c r="N80" s="9"/>
      <c r="O80" s="54"/>
      <c r="P80" s="7" t="s">
        <v>8456</v>
      </c>
      <c r="Q80" s="11" t="str">
        <f>UPPER(LEFT(Table362[[#This Row],[Entity]],3))&amp;RIGHT("00"&amp;Table362[[#This Row],[Rule '# by Entity]],3)&amp;"0_"&amp;MID(SUBSTITUTE(Table362[[#This Row],[Rule Name]],"_","|",3),SEARCH("|",SUBSTITUTE(Table362[[#This Row],[Rule Name]],"_","|",3))+1,LEN(Table362[[#This Row],[Rule Name]]))</f>
        <v>VEN0560_BankAccountNumberPopulated</v>
      </c>
      <c r="R80" s="8" t="s">
        <v>8127</v>
      </c>
      <c r="S80" s="7" t="s">
        <v>21</v>
      </c>
      <c r="T80" s="7"/>
      <c r="U80" s="7" t="s">
        <v>277</v>
      </c>
      <c r="V80" s="7" t="s">
        <v>3802</v>
      </c>
      <c r="W80" s="7" t="s">
        <v>3169</v>
      </c>
      <c r="X80" s="8" t="s">
        <v>3186</v>
      </c>
      <c r="Y80" s="7" t="s">
        <v>5978</v>
      </c>
      <c r="Z80" s="7" t="s">
        <v>5978</v>
      </c>
      <c r="AA80" s="10" t="s">
        <v>278</v>
      </c>
      <c r="AB80" s="10"/>
      <c r="AC80" s="10" t="s">
        <v>6813</v>
      </c>
      <c r="AD80" s="10"/>
      <c r="AE80" s="13" t="str">
        <f>IF(Table362[[#This Row],[Entity]]="Customer","KUNNR",IF(Table362[[#This Row],[Entity]]="Vendor","LIFNR","MATNR"))&amp;",BANKS,BANKL,"&amp;Table362[[#This Row],[Field]]</f>
        <v>LIFNR,BANKS,BANKL,BANKN</v>
      </c>
      <c r="AF80" s="13" t="str">
        <f>"VW_"&amp;Table362[[#This Row],[New Rule Name]]</f>
        <v>VW_VEN0560_BankAccountNumberPopulated</v>
      </c>
      <c r="AG80" s="11" t="str">
        <f>"create view "&amp;Table362[[#This Row],[View Name]]&amp;" as 
     select 
          "&amp;IF(Table362[[#This Row],[Entity]]="Customer","KUNNR",IF(Table362[[#This Row],[Entity]]="Vendor","LIFNR","MATNR"))&amp;",
          BANKS, 
          BANKL, 
          "&amp;Table362[[#This Row],[Field]]&amp;" 
     from "&amp;Table362[[#This Row],[Table]]</f>
        <v>create view VW_VEN0560_BankAccountNumberPopulated as 
     select 
          LIFNR,
          BANKS, 
          BANKL, 
          BANKN 
     from LFBK</v>
      </c>
      <c r="AH80" s="8"/>
      <c r="AI80" s="20" t="s">
        <v>7631</v>
      </c>
      <c r="AJ80" s="20"/>
      <c r="AK80" s="31">
        <v>56</v>
      </c>
      <c r="AL80" s="31"/>
    </row>
    <row r="81" spans="1:38" s="3" customFormat="1" ht="84" hidden="1" x14ac:dyDescent="0.25">
      <c r="A81" s="9">
        <v>73</v>
      </c>
      <c r="B81" s="7" t="s">
        <v>3973</v>
      </c>
      <c r="C81" s="7" t="s">
        <v>16</v>
      </c>
      <c r="D81" s="7" t="s">
        <v>6719</v>
      </c>
      <c r="E81" s="7" t="s">
        <v>6720</v>
      </c>
      <c r="F81" s="7" t="s">
        <v>6721</v>
      </c>
      <c r="G81" s="7" t="s">
        <v>6358</v>
      </c>
      <c r="H81" s="7" t="s">
        <v>6360</v>
      </c>
      <c r="I81" s="7"/>
      <c r="J81" s="20" t="str">
        <f>VLOOKUP(V81,Table_to_BRG!A:D,3,FALSE)</f>
        <v>Company Code data</v>
      </c>
      <c r="K81" s="20" t="str">
        <f>VLOOKUP(V81,Table_to_BRG!A:D,2,FALSE)</f>
        <v>Company Code</v>
      </c>
      <c r="L81" s="20"/>
      <c r="M81" s="20"/>
      <c r="N81" s="9"/>
      <c r="O81" s="54"/>
      <c r="P81" s="7" t="s">
        <v>8143</v>
      </c>
      <c r="Q81" s="11" t="str">
        <f>UPPER(LEFT(Table362[[#This Row],[Entity]],3))&amp;RIGHT("00"&amp;Table362[[#This Row],[Rule '# by Entity]],3)&amp;"0_"&amp;MID(SUBSTITUTE(Table362[[#This Row],[Rule Name]],"_","|",3),SEARCH("|",SUBSTITUTE(Table362[[#This Row],[Rule Name]],"_","|",3))+1,LEN(Table362[[#This Row],[Rule Name]]))</f>
        <v>CUS0450_TermsOfPaymentKeyPopulated</v>
      </c>
      <c r="R81" s="8" t="s">
        <v>8110</v>
      </c>
      <c r="S81" s="7" t="s">
        <v>21</v>
      </c>
      <c r="T81" s="7"/>
      <c r="U81" s="7" t="s">
        <v>218</v>
      </c>
      <c r="V81" s="7" t="s">
        <v>2740</v>
      </c>
      <c r="W81" s="7" t="s">
        <v>2888</v>
      </c>
      <c r="X81" s="8" t="s">
        <v>2907</v>
      </c>
      <c r="Y81" s="7" t="s">
        <v>5978</v>
      </c>
      <c r="Z81" s="7" t="s">
        <v>5978</v>
      </c>
      <c r="AA81" s="10" t="s">
        <v>284</v>
      </c>
      <c r="AB81" s="10"/>
      <c r="AC81" s="10" t="s">
        <v>6813</v>
      </c>
      <c r="AD81" s="10"/>
      <c r="AE81" s="13" t="str">
        <f>IF(Table362[[#This Row],[Entity]]="Customer","KUNNR",IF(Table362[[#This Row],[Entity]]="Vendor","LIFNR","MATNR"))&amp;",BUKRS"&amp;","&amp;Table362[[#This Row],[Field]]</f>
        <v>KUNNR,BUKRS,ZTERM</v>
      </c>
      <c r="AF81" s="13" t="str">
        <f>"VW_"&amp;Table362[[#This Row],[New Rule Name]]</f>
        <v>VW_CUS0450_TermsOfPaymentKeyPopulated</v>
      </c>
      <c r="AG81" s="11" t="str">
        <f>"create view "&amp;Table362[[#This Row],[View Name]]&amp;" as 
     select 
          "&amp;IF(Table362[[#This Row],[Entity]]="Customer","KUNNR",IF(Table362[[#This Row],[Entity]]="Vendor","LIFNR","MATNR"))&amp;",
          BUKRS,
          "&amp;Table362[[#This Row],[Field]]&amp;" 
     from "&amp;Table362[[#This Row],[Table]]</f>
        <v>create view VW_CUS0450_TermsOfPaymentKeyPopulated as 
     select 
          KUNNR,
          BUKRS,
          ZTERM 
     from KNB1</v>
      </c>
      <c r="AH81" s="8"/>
      <c r="AI81" s="20" t="s">
        <v>6606</v>
      </c>
      <c r="AJ81" s="20"/>
      <c r="AK81" s="31">
        <v>45</v>
      </c>
      <c r="AL81" s="31"/>
    </row>
    <row r="82" spans="1:38" s="3" customFormat="1" ht="96" hidden="1" x14ac:dyDescent="0.25">
      <c r="A82" s="9">
        <v>74</v>
      </c>
      <c r="B82" s="7" t="s">
        <v>3973</v>
      </c>
      <c r="C82" s="7" t="s">
        <v>1207</v>
      </c>
      <c r="D82" s="7" t="s">
        <v>5978</v>
      </c>
      <c r="E82" s="7" t="s">
        <v>5978</v>
      </c>
      <c r="F82" s="7" t="s">
        <v>5978</v>
      </c>
      <c r="G82" s="7"/>
      <c r="H82" s="7"/>
      <c r="I82" s="7"/>
      <c r="J82" s="20" t="str">
        <f>VLOOKUP(V82,Table_to_BRG!A:D,3,FALSE)</f>
        <v>Payment advice</v>
      </c>
      <c r="K82" s="20" t="str">
        <f>VLOOKUP(V82,Table_to_BRG!A:D,2,FALSE)</f>
        <v>Payment Advice Header</v>
      </c>
      <c r="L82" s="20"/>
      <c r="M82" s="20"/>
      <c r="N82" s="9"/>
      <c r="O82" s="54"/>
      <c r="P82" s="7" t="s">
        <v>8457</v>
      </c>
      <c r="Q82" s="11" t="str">
        <f>UPPER(LEFT(Table362[[#This Row],[Entity]],3))&amp;RIGHT("00"&amp;Table362[[#This Row],[Rule '# by Entity]],3)&amp;"0_"&amp;MID(SUBSTITUTE(Table362[[#This Row],[Rule Name]],"_","|",3),SEARCH("|",SUBSTITUTE(Table362[[#This Row],[Rule Name]],"_","|",3))+1,LEN(Table362[[#This Row],[Rule Name]]))</f>
        <v>VEN0720_SelectionRuleRef</v>
      </c>
      <c r="R82" s="13" t="s">
        <v>8261</v>
      </c>
      <c r="S82" s="7" t="s">
        <v>2</v>
      </c>
      <c r="T82" s="7"/>
      <c r="U82" s="7" t="s">
        <v>287</v>
      </c>
      <c r="V82" s="7" t="s">
        <v>6941</v>
      </c>
      <c r="W82" s="7" t="s">
        <v>2905</v>
      </c>
      <c r="X82" s="8" t="s">
        <v>2923</v>
      </c>
      <c r="Y82" s="7" t="s">
        <v>6002</v>
      </c>
      <c r="Z82" s="7" t="s">
        <v>2905</v>
      </c>
      <c r="AA82" s="11" t="str">
        <f>"BEGIN
     RETURN exists('DS_IS_RDS', '"&amp;Table362[[#This Row],[Lookup Table]]&amp;"', '"&amp;Table362[[#This Row],[Lookup Field]]&amp;"', "&amp;Table362[[#This Row],[IS Parameter]]&amp;");
END"</f>
        <v>BEGIN
     RETURN exists('DS_IS_RDS', 'T053A', 'SREGL', $P_I_SelectionRule);
END</v>
      </c>
      <c r="AB82" s="11"/>
      <c r="AC82" s="10" t="s">
        <v>6663</v>
      </c>
      <c r="AD82" s="10"/>
      <c r="AE82" s="13" t="s">
        <v>6942</v>
      </c>
      <c r="AF82" s="13" t="str">
        <f>"VW_"&amp;Table362[[#This Row],[New Rule Name]]</f>
        <v>VW_VEN0720_SelectionRuleRef</v>
      </c>
      <c r="AG82" s="11" t="str">
        <f>"create view "&amp;Table362[[#This Row],[View Name]]&amp;" as 
     select 
          BUKRS,
          KOART,
          KONTO,
          AVSID,
          "&amp;Table362[[#This Row],[Field]]&amp;" 
     from "&amp;Table362[[#This Row],[Table]]</f>
        <v>create view VW_VEN0720_SelectionRuleRef as 
     select 
          BUKRS,
          KOART,
          KONTO,
          AVSID,
          SREGL 
     from AVIK</v>
      </c>
      <c r="AH82" s="8"/>
      <c r="AI82" s="20" t="s">
        <v>7637</v>
      </c>
      <c r="AJ82" s="20"/>
      <c r="AK82" s="31">
        <v>72</v>
      </c>
      <c r="AL82" s="31"/>
    </row>
    <row r="83" spans="1:38" s="3" customFormat="1" ht="72" hidden="1" x14ac:dyDescent="0.25">
      <c r="A83" s="9">
        <v>75</v>
      </c>
      <c r="B83" s="7" t="s">
        <v>3973</v>
      </c>
      <c r="C83" s="7" t="s">
        <v>1207</v>
      </c>
      <c r="D83" s="7" t="s">
        <v>6711</v>
      </c>
      <c r="E83" s="7" t="s">
        <v>6733</v>
      </c>
      <c r="F83" s="7" t="s">
        <v>6739</v>
      </c>
      <c r="G83" s="7" t="s">
        <v>6387</v>
      </c>
      <c r="H83" s="7"/>
      <c r="I83" s="7"/>
      <c r="J83" s="20" t="str">
        <f>VLOOKUP(V83,Table_to_BRG!A:D,3,FALSE)</f>
        <v>Purchasing data</v>
      </c>
      <c r="K83" s="20" t="str">
        <f>VLOOKUP(V83,Table_to_BRG!A:D,2,FALSE)</f>
        <v>Purchasing org.</v>
      </c>
      <c r="L83" s="20"/>
      <c r="M83" s="20"/>
      <c r="N83" s="9"/>
      <c r="O83" s="54"/>
      <c r="P83" s="7" t="s">
        <v>8458</v>
      </c>
      <c r="Q83" s="11" t="str">
        <f>UPPER(LEFT(Table362[[#This Row],[Entity]],3))&amp;RIGHT("00"&amp;Table362[[#This Row],[Rule '# by Entity]],3)&amp;"0_"&amp;MID(SUBSTITUTE(Table362[[#This Row],[Rule Name]],"_","|",3),SEARCH("|",SUBSTITUTE(Table362[[#This Row],[Rule Name]],"_","|",3))+1,LEN(Table362[[#This Row],[Rule Name]]))</f>
        <v>VEN0640_PriceMarkingAgreedRef</v>
      </c>
      <c r="R83" s="8" t="s">
        <v>8280</v>
      </c>
      <c r="S83" s="7" t="s">
        <v>2</v>
      </c>
      <c r="T83" s="7"/>
      <c r="U83" s="7" t="s">
        <v>291</v>
      </c>
      <c r="V83" s="7" t="s">
        <v>3818</v>
      </c>
      <c r="W83" s="7" t="s">
        <v>3913</v>
      </c>
      <c r="X83" s="8" t="s">
        <v>3941</v>
      </c>
      <c r="Y83" s="7" t="s">
        <v>6003</v>
      </c>
      <c r="Z83" s="7" t="s">
        <v>3913</v>
      </c>
      <c r="AA83" s="11" t="str">
        <f>"BEGIN
     RETURN exists('DS_IS_RDS', '"&amp;Table362[[#This Row],[Lookup Table]]&amp;"', '"&amp;Table362[[#This Row],[Lookup Field]]&amp;"', "&amp;Table362[[#This Row],[IS Parameter]]&amp;");
END"</f>
        <v>BEGIN
     RETURN exists('DS_IS_RDS', 'TWYAZ', 'LIPRE', $P_I_PriceMarkingAgreed);
END</v>
      </c>
      <c r="AB83" s="11"/>
      <c r="AC83" s="10" t="s">
        <v>6663</v>
      </c>
      <c r="AD83" s="10"/>
      <c r="AE83" s="13" t="str">
        <f>IF(Table362[[#This Row],[Entity]]="Customer","KUNNR",IF(Table362[[#This Row],[Entity]]="Vendor","LIFNR","MATNR"))&amp;",EKORG,"&amp;Table362[[#This Row],[Field]]</f>
        <v>LIFNR,EKORG,LIPRE</v>
      </c>
      <c r="AF83" s="13" t="str">
        <f>"VW_"&amp;Table362[[#This Row],[New Rule Name]]</f>
        <v>VW_VEN0640_PriceMarkingAgreedRef</v>
      </c>
      <c r="AG83" s="11" t="str">
        <f>"create view "&amp;Table362[[#This Row],[View Name]]&amp;" as 
     select 
          "&amp;IF(Table362[[#This Row],[Entity]]="Customer","KUNNR",IF(Table362[[#This Row],[Entity]]="Vendor","LIFNR","MATNR"))&amp;",
          EKORG,
          "&amp;Table362[[#This Row],[Field]]&amp;" 
     from "&amp;Table362[[#This Row],[Table]]</f>
        <v>create view VW_VEN0640_PriceMarkingAgreedRef as 
     select 
          LIFNR,
          EKORG,
          LIPRE 
     from LFM1</v>
      </c>
      <c r="AH83" s="8"/>
      <c r="AI83" s="20"/>
      <c r="AJ83" s="20"/>
      <c r="AK83" s="31">
        <v>64</v>
      </c>
      <c r="AL83" s="31"/>
    </row>
    <row r="84" spans="1:38" s="3" customFormat="1" ht="96" x14ac:dyDescent="0.25">
      <c r="A84" s="9">
        <v>76</v>
      </c>
      <c r="B84" s="7" t="s">
        <v>3973</v>
      </c>
      <c r="C84" s="7" t="s">
        <v>3</v>
      </c>
      <c r="D84" s="7" t="s">
        <v>6711</v>
      </c>
      <c r="E84" s="7" t="s">
        <v>6712</v>
      </c>
      <c r="F84" s="7" t="s">
        <v>6729</v>
      </c>
      <c r="G84" s="7" t="s">
        <v>6382</v>
      </c>
      <c r="H84" s="7"/>
      <c r="I84" s="7"/>
      <c r="J84" s="20" t="str">
        <f>VLOOKUP(V84,Table_to_BRG!A:D,3,FALSE)</f>
        <v>Sales data</v>
      </c>
      <c r="K84" s="20" t="str">
        <f>VLOOKUP(V84,Table_to_BRG!A:D,2,FALSE)</f>
        <v>Sales</v>
      </c>
      <c r="L84" s="20"/>
      <c r="M84" s="20"/>
      <c r="N84" s="9"/>
      <c r="O84" s="54"/>
      <c r="P84" s="7" t="s">
        <v>8341</v>
      </c>
      <c r="Q84" s="11" t="str">
        <f>UPPER(LEFT(Table362[[#This Row],[Entity]],3))&amp;RIGHT("00"&amp;Table362[[#This Row],[Rule '# by Entity]],3)&amp;"0_"&amp;MID(SUBSTITUTE(Table362[[#This Row],[Rule Name]],"_","|",3),SEARCH("|",SUBSTITUTE(Table362[[#This Row],[Rule Name]],"_","|",3))+1,LEN(Table362[[#This Row],[Rule Name]]))</f>
        <v>MAT1300_MaterialPricingGroupRef</v>
      </c>
      <c r="R84" s="8" t="s">
        <v>7917</v>
      </c>
      <c r="S84" s="7" t="s">
        <v>2</v>
      </c>
      <c r="T84" s="7"/>
      <c r="U84" s="7" t="s">
        <v>295</v>
      </c>
      <c r="V84" s="7" t="s">
        <v>2460</v>
      </c>
      <c r="W84" s="7" t="s">
        <v>2500</v>
      </c>
      <c r="X84" s="8" t="s">
        <v>2523</v>
      </c>
      <c r="Y84" s="7" t="s">
        <v>6004</v>
      </c>
      <c r="Z84" s="7" t="s">
        <v>2500</v>
      </c>
      <c r="AA84" s="11" t="str">
        <f>"BEGIN
     RETURN exists('DS_IS_RDS', '"&amp;Table362[[#This Row],[Lookup Table]]&amp;"', '"&amp;Table362[[#This Row],[Lookup Field]]&amp;"', "&amp;Table362[[#This Row],[IS Parameter]]&amp;");
END"</f>
        <v>BEGIN
     RETURN exists('DS_IS_RDS', 'T178', 'KONDM', $P_I_MaterialPricingGroup);
END</v>
      </c>
      <c r="AB84" s="11" t="str">
        <f>Table362[[#This Row],[IS Parameter]]&amp;" IS NOT NULL AND rtrim("&amp;Table362[[#This Row],[IS Parameter]]&amp;", ' ') != ''"</f>
        <v>$P_I_MaterialPricingGroup IS NOT NULL AND rtrim($P_I_MaterialPricingGroup, ' ') != ''</v>
      </c>
      <c r="AC84" s="10" t="s">
        <v>6663</v>
      </c>
      <c r="AD84" s="10"/>
      <c r="AE84" s="13" t="str">
        <f>IF(Table362[[#This Row],[Entity]]="Customer","KUNNR",IF(Table362[[#This Row],[Entity]]="Vendor","LIFNR","MATNR"))&amp;",VKORG,VTWEG,"&amp;Table362[[#This Row],[Field]]</f>
        <v>MATNR,VKORG,VTWEG,KONDM</v>
      </c>
      <c r="AF84" s="13" t="str">
        <f>"VW_"&amp;Table362[[#This Row],[New Rule Name]]</f>
        <v>VW_MAT1300_MaterialPricingGroupRef</v>
      </c>
      <c r="AG84" s="11" t="str">
        <f>"create view "&amp;Table362[[#This Row],[View Name]]&amp;" as 
     select 
          "&amp;IF(Table362[[#This Row],[Entity]]="Customer","KUNNR",IF(Table362[[#This Row],[Entity]]="Vendor","LIFNR","MATNR"))&amp;",
          VKORG,
          VTWEG,
          "&amp;Table362[[#This Row],[Field]]&amp;" 
     from "&amp;Table362[[#This Row],[Table]]</f>
        <v>create view VW_MAT1300_MaterialPricingGroupRef as 
     select 
          MATNR,
          VKORG,
          VTWEG,
          KONDM 
     from MVKE</v>
      </c>
      <c r="AH84" s="8"/>
      <c r="AI84" s="20"/>
      <c r="AJ84" s="20"/>
      <c r="AK84" s="31">
        <v>130</v>
      </c>
      <c r="AL84" s="31"/>
    </row>
    <row r="85" spans="1:38" s="3" customFormat="1" ht="60" x14ac:dyDescent="0.25">
      <c r="A85" s="9">
        <v>78</v>
      </c>
      <c r="B85" s="7" t="s">
        <v>3973</v>
      </c>
      <c r="C85" s="7" t="s">
        <v>3</v>
      </c>
      <c r="D85" s="7" t="s">
        <v>6711</v>
      </c>
      <c r="E85" s="7" t="s">
        <v>6712</v>
      </c>
      <c r="F85" s="7" t="s">
        <v>6725</v>
      </c>
      <c r="G85" s="7" t="s">
        <v>6385</v>
      </c>
      <c r="H85" s="7"/>
      <c r="I85" s="7"/>
      <c r="J85" s="20" t="str">
        <f>VLOOKUP(V85,Table_to_BRG!A:D,3,FALSE)</f>
        <v>General data</v>
      </c>
      <c r="K85" s="20" t="str">
        <f>VLOOKUP(V85,Table_to_BRG!A:D,2,FALSE)</f>
        <v>General</v>
      </c>
      <c r="L85" s="20"/>
      <c r="M85" s="20"/>
      <c r="N85" s="9"/>
      <c r="O85" s="54"/>
      <c r="P85" s="7" t="s">
        <v>8342</v>
      </c>
      <c r="Q85" s="11" t="str">
        <f>UPPER(LEFT(Table362[[#This Row],[Entity]],3))&amp;RIGHT("00"&amp;Table362[[#This Row],[Rule '# by Entity]],3)&amp;"0_"&amp;MID(SUBSTITUTE(Table362[[#This Row],[Rule Name]],"_","|",3),SEARCH("|",SUBSTITUTE(Table362[[#This Row],[Rule Name]],"_","|",3))+1,LEN(Table362[[#This Row],[Rule Name]]))</f>
        <v>MAT0050_IndustrySectorRef</v>
      </c>
      <c r="R85" s="8" t="s">
        <v>7915</v>
      </c>
      <c r="S85" s="7" t="s">
        <v>2</v>
      </c>
      <c r="T85" s="7"/>
      <c r="U85" s="7" t="s">
        <v>303</v>
      </c>
      <c r="V85" s="7" t="s">
        <v>1526</v>
      </c>
      <c r="W85" s="7" t="s">
        <v>1615</v>
      </c>
      <c r="X85" s="8" t="s">
        <v>1638</v>
      </c>
      <c r="Y85" s="7" t="s">
        <v>4177</v>
      </c>
      <c r="Z85" s="7" t="s">
        <v>1615</v>
      </c>
      <c r="AA85" s="11" t="str">
        <f>"BEGIN
     RETURN exists('DS_IS_RDS', '"&amp;Table362[[#This Row],[Lookup Table]]&amp;"', '"&amp;Table362[[#This Row],[Lookup Field]]&amp;"', "&amp;Table362[[#This Row],[IS Parameter]]&amp;");
END"</f>
        <v>BEGIN
     RETURN exists('DS_IS_RDS', 'T137', 'MBRSH', $P_I_IndustrySector);
END</v>
      </c>
      <c r="AB85" s="11" t="str">
        <f>Table362[[#This Row],[IS Parameter]]&amp;" IS NOT NULL AND rtrim("&amp;Table362[[#This Row],[IS Parameter]]&amp;", ' ') != ''"</f>
        <v>$P_I_IndustrySector IS NOT NULL AND rtrim($P_I_IndustrySector, ' ') != ''</v>
      </c>
      <c r="AC85" s="10" t="s">
        <v>6663</v>
      </c>
      <c r="AD85" s="10"/>
      <c r="AE85" s="13" t="str">
        <f>IF(Table362[[#This Row],[Entity]]="Customer","KUNNR",IF(Table362[[#This Row],[Entity]]="Vendor","LIFNR","MATNR"))&amp;","&amp;Table362[[#This Row],[Field]]</f>
        <v>MATNR,MBRSH</v>
      </c>
      <c r="AF85" s="13" t="str">
        <f>"VW_"&amp;Table362[[#This Row],[New Rule Name]]</f>
        <v>VW_MAT0050_IndustrySectorRef</v>
      </c>
      <c r="AG85" s="11" t="str">
        <f>"create view "&amp;Table362[[#This Row],[View Name]]&amp;" as 
     select 
          "&amp;IF(Table362[[#This Row],[Entity]]="Customer","KUNNR",IF(Table362[[#This Row],[Entity]]="Vendor","LIFNR","MATNR"))&amp;",
          "&amp;Table362[[#This Row],[Field]]&amp;" 
     from "&amp;Table362[[#This Row],[Table]]</f>
        <v>create view VW_MAT0050_IndustrySectorRef as 
     select 
          MATNR,
          MBRSH 
     from MARA</v>
      </c>
      <c r="AH85" s="8"/>
      <c r="AI85" s="20"/>
      <c r="AJ85" s="20"/>
      <c r="AK85" s="31">
        <v>5</v>
      </c>
      <c r="AL85" s="31"/>
    </row>
    <row r="86" spans="1:38" s="3" customFormat="1" ht="96" hidden="1" x14ac:dyDescent="0.25">
      <c r="A86" s="9">
        <v>79</v>
      </c>
      <c r="B86" s="7" t="s">
        <v>3973</v>
      </c>
      <c r="C86" s="7" t="s">
        <v>16</v>
      </c>
      <c r="D86" s="7" t="s">
        <v>6711</v>
      </c>
      <c r="E86" s="7" t="s">
        <v>6714</v>
      </c>
      <c r="F86" s="7" t="s">
        <v>6724</v>
      </c>
      <c r="G86" s="7" t="s">
        <v>6365</v>
      </c>
      <c r="H86" s="7" t="s">
        <v>2759</v>
      </c>
      <c r="I86" s="7"/>
      <c r="J86" s="20" t="str">
        <f>VLOOKUP(V86,Table_to_BRG!A:D,3,FALSE)</f>
        <v>Customer sales data</v>
      </c>
      <c r="K86" s="20" t="str">
        <f>VLOOKUP(V86,Table_to_BRG!A:D,2,FALSE)</f>
        <v>Sales</v>
      </c>
      <c r="L86" s="20"/>
      <c r="M86" s="20"/>
      <c r="N86" s="9"/>
      <c r="O86" s="54"/>
      <c r="P86" s="7" t="s">
        <v>7850</v>
      </c>
      <c r="Q86" s="11" t="str">
        <f>UPPER(LEFT(Table362[[#This Row],[Entity]],3))&amp;RIGHT("00"&amp;Table362[[#This Row],[Rule '# by Entity]],3)&amp;"0_"&amp;MID(SUBSTITUTE(Table362[[#This Row],[Rule Name]],"_","|",3),SEARCH("|",SUBSTITUTE(Table362[[#This Row],[Rule Name]],"_","|",3))+1,LEN(Table362[[#This Row],[Rule Name]]))</f>
        <v>CUS0960_CustomerGroupRef</v>
      </c>
      <c r="R86" s="8" t="s">
        <v>8019</v>
      </c>
      <c r="S86" s="7" t="s">
        <v>2</v>
      </c>
      <c r="T86" s="7"/>
      <c r="U86" s="7" t="s">
        <v>307</v>
      </c>
      <c r="V86" s="7" t="s">
        <v>3334</v>
      </c>
      <c r="W86" s="7" t="s">
        <v>3409</v>
      </c>
      <c r="X86" s="8" t="s">
        <v>6351</v>
      </c>
      <c r="Y86" s="7" t="s">
        <v>5862</v>
      </c>
      <c r="Z86" s="7" t="s">
        <v>3409</v>
      </c>
      <c r="AA86" s="11" t="str">
        <f>"BEGIN
     RETURN exists('DS_IS_RDS', '"&amp;Table362[[#This Row],[Lookup Table]]&amp;"', '"&amp;Table362[[#This Row],[Lookup Field]]&amp;"', "&amp;Table362[[#This Row],[IS Parameter]]&amp;");
END"</f>
        <v>BEGIN
     RETURN exists('DS_IS_RDS', 'T151', 'KDGRP', $P_I_CustomerGroup);
END</v>
      </c>
      <c r="AB86" s="11" t="str">
        <f>Table362[[#This Row],[IS Parameter]]&amp;" IS NOT NULL
AND "&amp; Table362[[#This Row],[IS Parameter]]&amp;" != ''"</f>
        <v>$P_I_CustomerGroup IS NOT NULL
AND $P_I_CustomerGroup != ''</v>
      </c>
      <c r="AC86" s="10" t="s">
        <v>6663</v>
      </c>
      <c r="AD86" s="10"/>
      <c r="AE86" s="13" t="str">
        <f>IF(Table362[[#This Row],[Entity]]="Customer","KUNNR",IF(Table362[[#This Row],[Entity]]="Vendor","LIFNR","MATNR"))&amp;",VKORG,VTWEG,SPART,"&amp;Table362[[#This Row],[Field]]</f>
        <v>KUNNR,VKORG,VTWEG,SPART,KDGRP</v>
      </c>
      <c r="AF86" s="13" t="str">
        <f>"VW_"&amp;Table362[[#This Row],[New Rule Name]]</f>
        <v>VW_CUS0960_CustomerGroupRef</v>
      </c>
      <c r="AG86" s="11" t="str">
        <f>"create view "&amp;Table362[[#This Row],[View Name]]&amp;" as 
     select 
          "&amp;IF(Table362[[#This Row],[Entity]]="Customer","KUNNR",IF(Table362[[#This Row],[Entity]]="Vendor","LIFNR","MATNR"))&amp;",
          VKORG,
          VTWEG,
          SPART,
          "&amp;Table362[[#This Row],[Field]]&amp;" 
     from "&amp;Table362[[#This Row],[Table]]</f>
        <v>create view VW_CUS0960_CustomerGroupRef as 
     select 
          KUNNR,
          VKORG,
          VTWEG,
          SPART,
          KDGRP 
     from KNVV</v>
      </c>
      <c r="AH86" s="8"/>
      <c r="AI86" s="20"/>
      <c r="AJ86" s="20"/>
      <c r="AK86" s="31">
        <v>96</v>
      </c>
      <c r="AL86" s="31"/>
    </row>
    <row r="87" spans="1:38" s="3" customFormat="1" ht="72" x14ac:dyDescent="0.25">
      <c r="A87" s="9">
        <v>80</v>
      </c>
      <c r="B87" s="7" t="s">
        <v>3973</v>
      </c>
      <c r="C87" s="7" t="s">
        <v>3</v>
      </c>
      <c r="D87" s="7" t="s">
        <v>6711</v>
      </c>
      <c r="E87" s="7" t="s">
        <v>6712</v>
      </c>
      <c r="F87" s="7" t="s">
        <v>6730</v>
      </c>
      <c r="G87" s="7" t="s">
        <v>6645</v>
      </c>
      <c r="H87" s="7" t="s">
        <v>6646</v>
      </c>
      <c r="I87" s="7"/>
      <c r="J87" s="20" t="str">
        <f>VLOOKUP(V87,Table_to_BRG!A:D,3,FALSE)</f>
        <v>Warehouse data</v>
      </c>
      <c r="K87" s="20" t="str">
        <f>VLOOKUP(V87,Table_to_BRG!A:D,2,FALSE)</f>
        <v>Material Data for Each Warehouse Number</v>
      </c>
      <c r="L87" s="20"/>
      <c r="M87" s="20"/>
      <c r="N87" s="9"/>
      <c r="O87" s="54"/>
      <c r="P87" s="7" t="s">
        <v>8343</v>
      </c>
      <c r="Q87" s="11" t="str">
        <f>UPPER(LEFT(Table362[[#This Row],[Entity]],3))&amp;RIGHT("00"&amp;Table362[[#This Row],[Rule '# by Entity]],3)&amp;"0_"&amp;MID(SUBSTITUTE(Table362[[#This Row],[Rule Name]],"_","|",3),SEARCH("|",SUBSTITUTE(Table362[[#This Row],[Rule Name]],"_","|",3))+1,LEN(Table362[[#This Row],[Rule Name]]))</f>
        <v>MAT1120_2StepPickingIsValid</v>
      </c>
      <c r="R87" s="8" t="s">
        <v>8165</v>
      </c>
      <c r="S87" s="7" t="s">
        <v>4135</v>
      </c>
      <c r="T87" s="7" t="s">
        <v>2</v>
      </c>
      <c r="U87" s="7" t="s">
        <v>6088</v>
      </c>
      <c r="V87" s="7" t="s">
        <v>2594</v>
      </c>
      <c r="W87" s="7" t="s">
        <v>2578</v>
      </c>
      <c r="X87" s="8" t="s">
        <v>2592</v>
      </c>
      <c r="Y87" s="7" t="s">
        <v>5978</v>
      </c>
      <c r="Z87" s="7" t="s">
        <v>5978</v>
      </c>
      <c r="AA87" s="10" t="s">
        <v>8580</v>
      </c>
      <c r="AB87" s="11" t="str">
        <f>Table362[[#This Row],[IS Parameter]]&amp;" IS NOT NULL AND rtrim("&amp;Table362[[#This Row],[IS Parameter]]&amp;", ' ') != ''"</f>
        <v>$P_I_2StepPicking IS NOT NULL AND rtrim($P_I_2StepPicking, ' ') != ''</v>
      </c>
      <c r="AC87" s="13" t="s">
        <v>7792</v>
      </c>
      <c r="AD87"/>
      <c r="AE87" s="13" t="str">
        <f>IF(Table362[[#This Row],[Entity]]="Customer","KUNNR",IF(Table362[[#This Row],[Entity]]="Vendor","LIFNR","MATNR"))&amp;",LGNUM,"&amp;Table362[[#This Row],[Field]]</f>
        <v>MATNR,LGNUM,L2SKR</v>
      </c>
      <c r="AF87" s="13" t="str">
        <f>"VW_"&amp;Table362[[#This Row],[New Rule Name]]</f>
        <v>VW_MAT1120_2StepPickingIsValid</v>
      </c>
      <c r="AG87" s="11" t="str">
        <f>"create view "&amp;Table362[[#This Row],[View Name]]&amp;" as 
     select 
          "&amp;IF(Table362[[#This Row],[Entity]]="Customer","KUNNR",IF(Table362[[#This Row],[Entity]]="Vendor","LIFNR","MATNR"))&amp;",
          LGNUM,
          "&amp;Table362[[#This Row],[Field]]&amp;" 
     from "&amp;Table362[[#This Row],[Table]]</f>
        <v>create view VW_MAT1120_2StepPickingIsValid as 
     select 
          MATNR,
          LGNUM,
          L2SKR 
     from MLGN</v>
      </c>
      <c r="AH87" s="8"/>
      <c r="AI87" s="20"/>
      <c r="AJ87" s="20"/>
      <c r="AK87" s="31">
        <v>112</v>
      </c>
      <c r="AL87" s="31"/>
    </row>
    <row r="88" spans="1:38" s="3" customFormat="1" ht="120" x14ac:dyDescent="0.25">
      <c r="A88" s="9">
        <v>81</v>
      </c>
      <c r="B88" s="7" t="s">
        <v>3973</v>
      </c>
      <c r="C88" s="7" t="s">
        <v>3</v>
      </c>
      <c r="D88" s="7" t="s">
        <v>6711</v>
      </c>
      <c r="E88" s="7" t="s">
        <v>6712</v>
      </c>
      <c r="F88" s="7" t="s">
        <v>6713</v>
      </c>
      <c r="G88" s="7" t="s">
        <v>6703</v>
      </c>
      <c r="H88" s="7" t="s">
        <v>6376</v>
      </c>
      <c r="I88" s="7"/>
      <c r="J88" s="20" t="str">
        <f>VLOOKUP(V88,Table_to_BRG!A:D,3,FALSE)</f>
        <v>Plant data</v>
      </c>
      <c r="K88" s="20" t="str">
        <f>VLOOKUP(V88,Table_to_BRG!A:D,2,FALSE)</f>
        <v>Plant</v>
      </c>
      <c r="L88" s="20"/>
      <c r="M88" s="20"/>
      <c r="N88" s="9"/>
      <c r="O88" s="54"/>
      <c r="P88" s="7" t="s">
        <v>8344</v>
      </c>
      <c r="Q88" s="11" t="str">
        <f>UPPER(LEFT(Table362[[#This Row],[Entity]],3))&amp;RIGHT("00"&amp;Table362[[#This Row],[Rule '# by Entity]],3)&amp;"0_"&amp;MID(SUBSTITUTE(Table362[[#This Row],[Rule Name]],"_","|",3),SEARCH("|",SUBSTITUTE(Table362[[#This Row],[Rule Name]],"_","|",3))+1,LEN(Table362[[#This Row],[Rule Name]]))</f>
        <v>MAT0510_RequirementsGroupIsValid</v>
      </c>
      <c r="R88" s="8" t="s">
        <v>8166</v>
      </c>
      <c r="S88" s="7" t="s">
        <v>4135</v>
      </c>
      <c r="T88" s="7" t="s">
        <v>2</v>
      </c>
      <c r="U88" s="7" t="s">
        <v>314</v>
      </c>
      <c r="V88" s="7" t="s">
        <v>1527</v>
      </c>
      <c r="W88" s="7" t="s">
        <v>2223</v>
      </c>
      <c r="X88" s="8" t="s">
        <v>8552</v>
      </c>
      <c r="Y88" s="7" t="s">
        <v>5978</v>
      </c>
      <c r="Z88" s="7" t="s">
        <v>5978</v>
      </c>
      <c r="AA88" s="10" t="s">
        <v>8581</v>
      </c>
      <c r="AB88" s="11" t="str">
        <f>Table362[[#This Row],[IS Parameter]]&amp;" IS NULL"</f>
        <v>$P_I_RequirementGroup IS NULL</v>
      </c>
      <c r="AC88" s="13" t="s">
        <v>7792</v>
      </c>
      <c r="AD88"/>
      <c r="AE88" s="13" t="str">
        <f>IF(Table362[[#This Row],[Entity]]="Customer","KUNNR",IF(Table362[[#This Row],[Entity]]="Vendor","LIFNR","MATNR"))&amp;",WERKS"&amp;","&amp;Table362[[#This Row],[Field]]</f>
        <v>MATNR,WERKS,KZBED</v>
      </c>
      <c r="AF88" s="13" t="str">
        <f>"VW_"&amp;Table362[[#This Row],[New Rule Name]]</f>
        <v>VW_MAT0510_RequirementsGroupIsValid</v>
      </c>
      <c r="AG88"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VW_MAT0510_RequirementsGroupIsValid (
     MATNR,
     WERKS,
     KZBED
     ) as select 
          MATNR,
          WERKS,
          KZBED 
     from MARC</v>
      </c>
      <c r="AH88" s="8"/>
      <c r="AI88" s="20"/>
      <c r="AJ88" s="20"/>
      <c r="AK88" s="31">
        <v>51</v>
      </c>
      <c r="AL88" s="31"/>
    </row>
    <row r="89" spans="1:38" s="3" customFormat="1" ht="84" x14ac:dyDescent="0.25">
      <c r="A89" s="9">
        <v>82</v>
      </c>
      <c r="B89" s="7" t="s">
        <v>3973</v>
      </c>
      <c r="C89" s="7" t="s">
        <v>3</v>
      </c>
      <c r="D89" s="7" t="s">
        <v>6711</v>
      </c>
      <c r="E89" s="7" t="s">
        <v>6712</v>
      </c>
      <c r="F89" s="7" t="s">
        <v>6729</v>
      </c>
      <c r="G89" s="7" t="s">
        <v>6381</v>
      </c>
      <c r="H89" s="7"/>
      <c r="I89" s="7"/>
      <c r="J89" s="20" t="str">
        <f>VLOOKUP(V89,Table_to_BRG!A:D,3,FALSE)</f>
        <v>Sales data</v>
      </c>
      <c r="K89" s="20" t="str">
        <f>VLOOKUP(V89,Table_to_BRG!A:D,2,FALSE)</f>
        <v>Sales</v>
      </c>
      <c r="L89" s="20"/>
      <c r="M89" s="20"/>
      <c r="N89" s="9"/>
      <c r="O89" s="54"/>
      <c r="P89" s="7" t="s">
        <v>8345</v>
      </c>
      <c r="Q89" s="11" t="str">
        <f>UPPER(LEFT(Table362[[#This Row],[Entity]],3))&amp;RIGHT("00"&amp;Table362[[#This Row],[Rule '# by Entity]],3)&amp;"0_"&amp;MID(SUBSTITUTE(Table362[[#This Row],[Rule Name]],"_","|",3),SEARCH("|",SUBSTITUTE(Table362[[#This Row],[Rule Name]],"_","|",3))+1,LEN(Table362[[#This Row],[Rule Name]]))</f>
        <v>MAT1230_DistributionChannelPopulated</v>
      </c>
      <c r="R89" s="8" t="s">
        <v>7989</v>
      </c>
      <c r="S89" s="7" t="s">
        <v>21</v>
      </c>
      <c r="T89"/>
      <c r="U89" s="7" t="s">
        <v>318</v>
      </c>
      <c r="V89" s="7" t="s">
        <v>2460</v>
      </c>
      <c r="W89" s="7" t="s">
        <v>2435</v>
      </c>
      <c r="X89" s="8" t="s">
        <v>8618</v>
      </c>
      <c r="Y89" s="7" t="s">
        <v>5978</v>
      </c>
      <c r="Z89" s="7" t="s">
        <v>5978</v>
      </c>
      <c r="AA89" s="10" t="s">
        <v>319</v>
      </c>
      <c r="AB89" s="10"/>
      <c r="AC89" s="10" t="s">
        <v>6813</v>
      </c>
      <c r="AD89" s="10"/>
      <c r="AE89" s="13" t="str">
        <f>IF(Table362[[#This Row],[Entity]]="Customer","KUNNR",IF(Table362[[#This Row],[Entity]]="Vendor","LIFNR","MATNR"))&amp;",VKORG,VTWEG,"&amp;Table362[[#This Row],[Field]]</f>
        <v>MATNR,VKORG,VTWEG,VTWEG</v>
      </c>
      <c r="AF89" s="13" t="str">
        <f>"VW_"&amp;Table362[[#This Row],[New Rule Name]]</f>
        <v>VW_MAT1230_DistributionChannelPopulated</v>
      </c>
      <c r="AG89" s="11" t="str">
        <f>"create view "&amp;Table362[[#This Row],[View Name]]&amp;" as 
     select 
          "&amp;IF(Table362[[#This Row],[Entity]]="Customer","KUNNR",IF(Table362[[#This Row],[Entity]]="Vendor","LIFNR","MATNR"))&amp;",
          VKORG,
          "&amp;Table362[[#This Row],[Field]]&amp;" 
     from "&amp;Table362[[#This Row],[Table]]</f>
        <v>create view VW_MAT1230_DistributionChannelPopulated as 
     select 
          MATNR,
          VKORG,
          VTWEG 
     from MVKE</v>
      </c>
      <c r="AH89" s="8"/>
      <c r="AI89" s="20" t="s">
        <v>6518</v>
      </c>
      <c r="AJ89" s="20"/>
      <c r="AK89" s="31">
        <v>123</v>
      </c>
      <c r="AL89" s="31"/>
    </row>
    <row r="90" spans="1:38" s="3" customFormat="1" ht="60" hidden="1" x14ac:dyDescent="0.25">
      <c r="A90" s="9">
        <v>84</v>
      </c>
      <c r="B90" s="7" t="s">
        <v>3973</v>
      </c>
      <c r="C90" s="7" t="s">
        <v>1207</v>
      </c>
      <c r="D90" s="7" t="s">
        <v>6719</v>
      </c>
      <c r="E90" s="7" t="s">
        <v>6720</v>
      </c>
      <c r="F90" s="7" t="s">
        <v>6722</v>
      </c>
      <c r="G90" s="7" t="s">
        <v>6361</v>
      </c>
      <c r="H90" s="7" t="s">
        <v>6363</v>
      </c>
      <c r="I90" s="7" t="s">
        <v>3967</v>
      </c>
      <c r="J90" s="20" t="str">
        <f>VLOOKUP(V90,Table_to_BRG!A:D,3,FALSE)</f>
        <v>General data</v>
      </c>
      <c r="K90" s="20" t="str">
        <f>VLOOKUP(V90,Table_to_BRG!A:D,2,FALSE)</f>
        <v>General</v>
      </c>
      <c r="L90" s="20"/>
      <c r="M90" s="20"/>
      <c r="N90" s="9"/>
      <c r="O90" s="54"/>
      <c r="P90" s="7" t="s">
        <v>8459</v>
      </c>
      <c r="Q90" s="11" t="str">
        <f>UPPER(LEFT(Table362[[#This Row],[Entity]],3))&amp;RIGHT("00"&amp;Table362[[#This Row],[Rule '# by Entity]],3)&amp;"0_"&amp;MID(SUBSTITUTE(Table362[[#This Row],[Rule Name]],"_","|",3),SEARCH("|",SUBSTITUTE(Table362[[#This Row],[Rule Name]],"_","|",3))+1,LEN(Table362[[#This Row],[Rule Name]]))</f>
        <v>VEN0050_CityPopulated</v>
      </c>
      <c r="R90" s="8" t="s">
        <v>8288</v>
      </c>
      <c r="S90" s="7" t="s">
        <v>21</v>
      </c>
      <c r="T90" s="7"/>
      <c r="U90" s="7" t="s">
        <v>326</v>
      </c>
      <c r="V90" s="7" t="s">
        <v>3542</v>
      </c>
      <c r="W90" s="8" t="s">
        <v>2705</v>
      </c>
      <c r="X90" s="8" t="s">
        <v>1203</v>
      </c>
      <c r="Y90" s="7" t="s">
        <v>5978</v>
      </c>
      <c r="Z90" s="7" t="s">
        <v>5978</v>
      </c>
      <c r="AA90" s="10" t="s">
        <v>327</v>
      </c>
      <c r="AB90" s="10"/>
      <c r="AC90" s="10" t="s">
        <v>6813</v>
      </c>
      <c r="AD90" s="10"/>
      <c r="AE90" s="13" t="str">
        <f>IF(Table362[[#This Row],[Entity]]="Customer","KUNNR",IF(Table362[[#This Row],[Entity]]="Vendor","LIFNR","MATNR"))&amp;","&amp;Table362[[#This Row],[Field]]</f>
        <v>LIFNR,ORT01</v>
      </c>
      <c r="AF90" s="13" t="str">
        <f>"VW_"&amp;Table362[[#This Row],[New Rule Name]]</f>
        <v>VW_VEN0050_CityPopulated</v>
      </c>
      <c r="AG90" s="11" t="str">
        <f>"create view "&amp;Table362[[#This Row],[View Name]]&amp;" as 
     select 
          "&amp;IF(Table362[[#This Row],[Entity]]="Customer","KUNNR",IF(Table362[[#This Row],[Entity]]="Vendor","LIFNR","MATNR"))&amp;",
          "&amp;Table362[[#This Row],[Field]]&amp;" 
     from "&amp;Table362[[#This Row],[Table]]</f>
        <v>create view VW_VEN0050_CityPopulated as 
     select 
          LIFNR,
          ORT01 
     from LFA1</v>
      </c>
      <c r="AH90" s="8"/>
      <c r="AI90" s="20" t="s">
        <v>7671</v>
      </c>
      <c r="AJ90" s="20"/>
      <c r="AK90" s="31">
        <v>5</v>
      </c>
      <c r="AL90" s="31"/>
    </row>
    <row r="91" spans="1:38" s="3" customFormat="1" ht="96" hidden="1" x14ac:dyDescent="0.25">
      <c r="A91" s="9">
        <v>85</v>
      </c>
      <c r="B91" s="7" t="s">
        <v>3973</v>
      </c>
      <c r="C91" s="7" t="s">
        <v>16</v>
      </c>
      <c r="D91" s="7" t="s">
        <v>6711</v>
      </c>
      <c r="E91" s="7" t="s">
        <v>6714</v>
      </c>
      <c r="F91" s="7" t="s">
        <v>6724</v>
      </c>
      <c r="G91" s="7" t="s">
        <v>6365</v>
      </c>
      <c r="H91" s="7" t="s">
        <v>2759</v>
      </c>
      <c r="I91" s="7"/>
      <c r="J91" s="20" t="str">
        <f>VLOOKUP(V91,Table_to_BRG!A:D,3,FALSE)</f>
        <v>Customer sales data</v>
      </c>
      <c r="K91" s="20" t="str">
        <f>VLOOKUP(V91,Table_to_BRG!A:D,2,FALSE)</f>
        <v>Sales</v>
      </c>
      <c r="L91" s="20"/>
      <c r="M91" s="20"/>
      <c r="N91" s="9"/>
      <c r="O91" s="54"/>
      <c r="P91" s="7" t="s">
        <v>7851</v>
      </c>
      <c r="Q91" s="11" t="str">
        <f>UPPER(LEFT(Table362[[#This Row],[Entity]],3))&amp;RIGHT("00"&amp;Table362[[#This Row],[Rule '# by Entity]],3)&amp;"0_"&amp;MID(SUBSTITUTE(Table362[[#This Row],[Rule Name]],"_","|",3),SEARCH("|",SUBSTITUTE(Table362[[#This Row],[Rule Name]],"_","|",3))+1,LEN(Table362[[#This Row],[Rule Name]]))</f>
        <v>CUS1080_UnitOfMeasureGroupRef</v>
      </c>
      <c r="R91" s="13" t="s">
        <v>8020</v>
      </c>
      <c r="S91" s="7" t="s">
        <v>4135</v>
      </c>
      <c r="T91" s="7" t="s">
        <v>2</v>
      </c>
      <c r="U91" s="7" t="s">
        <v>330</v>
      </c>
      <c r="V91" s="7" t="s">
        <v>3334</v>
      </c>
      <c r="W91" s="7" t="s">
        <v>2063</v>
      </c>
      <c r="X91" s="8" t="s">
        <v>2072</v>
      </c>
      <c r="Y91" s="7" t="s">
        <v>5843</v>
      </c>
      <c r="Z91" s="7" t="s">
        <v>2063</v>
      </c>
      <c r="AA91" s="11" t="str">
        <f>"BEGIN
     RETURN exists('DS_IS_RDS', '"&amp;Table362[[#This Row],[Lookup Table]]&amp;"', '"&amp;Table362[[#This Row],[Lookup Field]]&amp;"', "&amp;Table362[[#This Row],[IS Parameter]]&amp;");
END"</f>
        <v>BEGIN
     RETURN exists('DS_IS_RDS', 'TWMEG', 'MEGRU', $P_I_UOMGroup);
END</v>
      </c>
      <c r="AB91" s="11" t="str">
        <f>Table362[[#This Row],[IS Parameter]]&amp;" IS NOT NULL
AND "&amp; Table362[[#This Row],[IS Parameter]]&amp;" != ''"</f>
        <v>$P_I_UOMGroup IS NOT NULL
AND $P_I_UOMGroup != ''</v>
      </c>
      <c r="AC91" s="10" t="s">
        <v>6663</v>
      </c>
      <c r="AD91" s="10"/>
      <c r="AE91" s="13" t="str">
        <f>IF(Table362[[#This Row],[Entity]]="Customer","KUNNR",IF(Table362[[#This Row],[Entity]]="Vendor","LIFNR","MATNR"))&amp;",VKORG,VTWEG,SPART,"&amp;Table362[[#This Row],[Field]]</f>
        <v>KUNNR,VKORG,VTWEG,SPART,MEGRU</v>
      </c>
      <c r="AF91" s="13" t="str">
        <f>"VW_"&amp;Table362[[#This Row],[New Rule Name]]</f>
        <v>VW_CUS1080_UnitOfMeasureGroupRef</v>
      </c>
      <c r="AG91" s="11" t="str">
        <f>"create view "&amp;Table362[[#This Row],[View Name]]&amp;" as 
     select 
          "&amp;IF(Table362[[#This Row],[Entity]]="Customer","KUNNR",IF(Table362[[#This Row],[Entity]]="Vendor","LIFNR","MATNR"))&amp;",
          VKORG,
          VTWEG,
          SPART,
          "&amp;Table362[[#This Row],[Field]]&amp;" 
     from "&amp;Table362[[#This Row],[Table]]</f>
        <v>create view VW_CUS1080_UnitOfMeasureGroupRef as 
     select 
          KUNNR,
          VKORG,
          VTWEG,
          SPART,
          MEGRU 
     from KNVV</v>
      </c>
      <c r="AH91" s="8"/>
      <c r="AI91" s="20" t="s">
        <v>7728</v>
      </c>
      <c r="AJ91" s="20"/>
      <c r="AK91" s="31">
        <v>108</v>
      </c>
      <c r="AL91" s="31"/>
    </row>
    <row r="92" spans="1:38" s="38" customFormat="1" ht="48" hidden="1" x14ac:dyDescent="0.25">
      <c r="A92" s="14">
        <v>90</v>
      </c>
      <c r="B92" s="15" t="s">
        <v>3973</v>
      </c>
      <c r="C92" s="15" t="s">
        <v>16</v>
      </c>
      <c r="D92" s="15" t="s">
        <v>6711</v>
      </c>
      <c r="E92" s="15" t="s">
        <v>6714</v>
      </c>
      <c r="F92" s="15" t="s">
        <v>6742</v>
      </c>
      <c r="G92" s="15" t="s">
        <v>6361</v>
      </c>
      <c r="H92" s="15" t="s">
        <v>6362</v>
      </c>
      <c r="I92" s="15" t="s">
        <v>1403</v>
      </c>
      <c r="J92" s="27" t="str">
        <f>VLOOKUP(V92,Table_to_BRG!A:D,3,FALSE)</f>
        <v>Contact data</v>
      </c>
      <c r="K92" s="27" t="str">
        <f>VLOOKUP(V92,Table_to_BRG!A:D,2,FALSE)</f>
        <v>Contact partner</v>
      </c>
      <c r="L92" s="27"/>
      <c r="M92" s="27"/>
      <c r="N92" s="14" t="s">
        <v>6465</v>
      </c>
      <c r="O92" s="54" t="str">
        <f>"Duplicate of rule "&amp;A156</f>
        <v>Duplicate of rule 149</v>
      </c>
      <c r="P92" s="16" t="s">
        <v>8230</v>
      </c>
      <c r="Q92" s="17"/>
      <c r="R92" s="16" t="s">
        <v>8167</v>
      </c>
      <c r="S92" s="15" t="s">
        <v>2</v>
      </c>
      <c r="T92" s="15"/>
      <c r="U92" s="15" t="s">
        <v>549</v>
      </c>
      <c r="V92" s="39" t="s">
        <v>3001</v>
      </c>
      <c r="W92" s="39" t="s">
        <v>3669</v>
      </c>
      <c r="X92" s="40" t="s">
        <v>3679</v>
      </c>
      <c r="Y92" s="15" t="s">
        <v>5978</v>
      </c>
      <c r="Z92" s="15" t="s">
        <v>5978</v>
      </c>
      <c r="AA92" s="26" t="s">
        <v>346</v>
      </c>
      <c r="AB92" s="26"/>
      <c r="AC92" s="26"/>
      <c r="AD92" s="26"/>
      <c r="AE92" s="18"/>
      <c r="AF92" s="18"/>
      <c r="AG92" s="17"/>
      <c r="AH92" s="16"/>
      <c r="AI92" s="27" t="s">
        <v>6521</v>
      </c>
      <c r="AJ92" s="27"/>
      <c r="AK92" s="36"/>
      <c r="AL92" s="52"/>
    </row>
    <row r="93" spans="1:38" s="3" customFormat="1" ht="72" x14ac:dyDescent="0.25">
      <c r="A93" s="9">
        <v>86</v>
      </c>
      <c r="B93" s="7" t="s">
        <v>3973</v>
      </c>
      <c r="C93" s="7" t="s">
        <v>3</v>
      </c>
      <c r="D93" s="7" t="s">
        <v>6711</v>
      </c>
      <c r="E93" s="7" t="s">
        <v>6712</v>
      </c>
      <c r="F93" s="7" t="s">
        <v>6729</v>
      </c>
      <c r="G93" s="7" t="s">
        <v>6382</v>
      </c>
      <c r="H93" s="7"/>
      <c r="I93" s="7"/>
      <c r="J93" s="20" t="str">
        <f>VLOOKUP(V93,Table_to_BRG!A:D,3,FALSE)</f>
        <v>Sales data</v>
      </c>
      <c r="K93" s="20" t="str">
        <f>VLOOKUP(V93,Table_to_BRG!A:D,2,FALSE)</f>
        <v>Sales</v>
      </c>
      <c r="L93" s="20"/>
      <c r="M93" s="20"/>
      <c r="N93" s="9"/>
      <c r="O93" s="54"/>
      <c r="P93" s="7" t="s">
        <v>8346</v>
      </c>
      <c r="Q93" s="11" t="str">
        <f>UPPER(LEFT(Table362[[#This Row],[Entity]],3))&amp;RIGHT("00"&amp;Table362[[#This Row],[Rule '# by Entity]],3)&amp;"0_"&amp;MID(SUBSTITUTE(Table362[[#This Row],[Rule Name]],"_","|",3),SEARCH("|",SUBSTITUTE(Table362[[#This Row],[Rule Name]],"_","|",3))+1,LEN(Table362[[#This Row],[Rule Name]]))</f>
        <v>MAT1240_DistributionChannelRef</v>
      </c>
      <c r="R93" s="8" t="s">
        <v>7916</v>
      </c>
      <c r="S93" s="7" t="s">
        <v>2</v>
      </c>
      <c r="T93" s="7"/>
      <c r="U93" s="7" t="s">
        <v>617</v>
      </c>
      <c r="V93" s="7" t="s">
        <v>2460</v>
      </c>
      <c r="W93" s="7" t="s">
        <v>2435</v>
      </c>
      <c r="X93" s="8" t="s">
        <v>8618</v>
      </c>
      <c r="Y93" s="7" t="s">
        <v>4244</v>
      </c>
      <c r="Z93" s="7" t="s">
        <v>2435</v>
      </c>
      <c r="AA93" s="11" t="str">
        <f>"BEGIN
     RETURN exists('DS_IS_RDS', '"&amp;Table362[[#This Row],[Lookup Table]]&amp;"', '"&amp;Table362[[#This Row],[Lookup Field]]&amp;"', "&amp;Table362[[#This Row],[IS Parameter]]&amp;");
END"</f>
        <v>BEGIN
     RETURN exists('DS_IS_RDS', 'TVTW', 'VTWEG', $P_I_DistributionChannel);
END</v>
      </c>
      <c r="AB93" s="11" t="str">
        <f>Table362[[#This Row],[IS Parameter]]&amp;" IS NOT NULL AND rtrim("&amp;Table362[[#This Row],[IS Parameter]]&amp;", ' ') != ''"</f>
        <v>$P_I_DistributionChannel IS NOT NULL AND rtrim($P_I_DistributionChannel, ' ') != ''</v>
      </c>
      <c r="AC93" s="10" t="s">
        <v>6663</v>
      </c>
      <c r="AD93" s="10"/>
      <c r="AE93" s="13" t="str">
        <f>IF(Table362[[#This Row],[Entity]]="Customer","KUNNR",IF(Table362[[#This Row],[Entity]]="Vendor","LIFNR","MATNR"))&amp;",VKORG,VTWEG,"&amp;Table362[[#This Row],[Field]]</f>
        <v>MATNR,VKORG,VTWEG,VTWEG</v>
      </c>
      <c r="AF93" s="13" t="str">
        <f>"VW_"&amp;Table362[[#This Row],[New Rule Name]]</f>
        <v>VW_MAT1240_DistributionChannelRef</v>
      </c>
      <c r="AG93" s="11" t="str">
        <f>"create view "&amp;Table362[[#This Row],[View Name]]&amp;" as 
     select 
          "&amp;IF(Table362[[#This Row],[Entity]]="Customer","KUNNR",IF(Table362[[#This Row],[Entity]]="Vendor","LIFNR","MATNR"))&amp;",
          VKORG,
          "&amp;Table362[[#This Row],[Field]]&amp;" 
     from "&amp;Table362[[#This Row],[Table]]</f>
        <v>create view VW_MAT1240_DistributionChannelRef as 
     select 
          MATNR,
          VKORG,
          VTWEG 
     from MVKE</v>
      </c>
      <c r="AH93" s="8"/>
      <c r="AI93" s="20"/>
      <c r="AJ93" s="20"/>
      <c r="AK93" s="31">
        <v>124</v>
      </c>
      <c r="AL93" s="31"/>
    </row>
    <row r="94" spans="1:38" s="3" customFormat="1" ht="72" x14ac:dyDescent="0.25">
      <c r="A94" s="9">
        <v>87</v>
      </c>
      <c r="B94" s="7" t="s">
        <v>3973</v>
      </c>
      <c r="C94" s="7" t="s">
        <v>3</v>
      </c>
      <c r="D94" s="7" t="s">
        <v>6711</v>
      </c>
      <c r="E94" s="7" t="s">
        <v>6712</v>
      </c>
      <c r="F94" s="7" t="s">
        <v>6729</v>
      </c>
      <c r="G94" s="7" t="s">
        <v>6382</v>
      </c>
      <c r="H94" s="7"/>
      <c r="I94" s="7"/>
      <c r="J94" s="20" t="str">
        <f>VLOOKUP(V94,Table_to_BRG!A:D,3,FALSE)</f>
        <v>Sales data</v>
      </c>
      <c r="K94" s="20" t="str">
        <f>VLOOKUP(V94,Table_to_BRG!A:D,2,FALSE)</f>
        <v>Sales</v>
      </c>
      <c r="L94" s="20"/>
      <c r="M94" s="20"/>
      <c r="N94" s="9"/>
      <c r="O94" s="54"/>
      <c r="P94" s="7" t="s">
        <v>8644</v>
      </c>
      <c r="Q94" s="11" t="str">
        <f>UPPER(LEFT(Table362[[#This Row],[Entity]],3))&amp;RIGHT("00"&amp;Table362[[#This Row],[Rule '# by Entity]],3)&amp;"0_"&amp;MID(SUBSTITUTE(Table362[[#This Row],[Rule Name]],"_","|",3),SEARCH("|",SUBSTITUTE(Table362[[#This Row],[Rule Name]],"_","|",3))+1,LEN(Table362[[#This Row],[Rule Name]]))</f>
        <v>MAT1220_SalesOrgRef</v>
      </c>
      <c r="R94" s="8" t="s">
        <v>7918</v>
      </c>
      <c r="S94" s="7" t="s">
        <v>2</v>
      </c>
      <c r="T94" s="7"/>
      <c r="U94" s="7" t="s">
        <v>91</v>
      </c>
      <c r="V94" s="7" t="s">
        <v>2460</v>
      </c>
      <c r="W94" s="7" t="s">
        <v>2434</v>
      </c>
      <c r="X94" s="8" t="s">
        <v>8619</v>
      </c>
      <c r="Y94" s="7" t="s">
        <v>4285</v>
      </c>
      <c r="Z94" s="7" t="s">
        <v>2434</v>
      </c>
      <c r="AA94" s="11" t="str">
        <f>"BEGIN
     RETURN exists('DS_IS_RDS', '"&amp;Table362[[#This Row],[Lookup Table]]&amp;"', '"&amp;Table362[[#This Row],[Lookup Field]]&amp;"', "&amp;Table362[[#This Row],[IS Parameter]]&amp;");
END"</f>
        <v>BEGIN
     RETURN exists('DS_IS_RDS', 'TVKO', 'VKORG', $P_I_SalesOrg);
END</v>
      </c>
      <c r="AB94" s="11" t="str">
        <f>Table362[[#This Row],[IS Parameter]]&amp;" IS NOT NULL AND rtrim("&amp;Table362[[#This Row],[IS Parameter]]&amp;", ' ') != ''"</f>
        <v>$P_I_SalesOrg IS NOT NULL AND rtrim($P_I_SalesOrg, ' ') != ''</v>
      </c>
      <c r="AC94" s="10" t="s">
        <v>6663</v>
      </c>
      <c r="AD94" s="10"/>
      <c r="AE94" s="13" t="str">
        <f>IF(Table362[[#This Row],[Entity]]="Customer","KUNNR",IF(Table362[[#This Row],[Entity]]="Vendor","LIFNR","MATNR"))&amp;","&amp;Table362[[#This Row],[Field]]</f>
        <v>MATNR,VKORG</v>
      </c>
      <c r="AF94" s="13" t="str">
        <f>"VW_"&amp;Table362[[#This Row],[New Rule Name]]</f>
        <v>VW_MAT1220_SalesOrgRef</v>
      </c>
      <c r="AG94" s="11" t="str">
        <f>"create view "&amp;Table362[[#This Row],[View Name]]&amp;" as 
     select 
          "&amp;IF(Table362[[#This Row],[Entity]]="Customer","KUNNR",IF(Table362[[#This Row],[Entity]]="Vendor","LIFNR","MATNR"))&amp;",
          "&amp;Table362[[#This Row],[Field]]&amp;" 
     from "&amp;Table362[[#This Row],[Table]]&amp;"
     group by MATNR,VKORG"</f>
        <v>create view VW_MAT1220_SalesOrgRef as 
     select 
          MATNR,
          VKORG 
     from MVKE
     group by MATNR,VKORG</v>
      </c>
      <c r="AH94" s="8"/>
      <c r="AI94" s="20" t="s">
        <v>7724</v>
      </c>
      <c r="AJ94" s="20"/>
      <c r="AK94" s="31">
        <v>122</v>
      </c>
      <c r="AL94" s="31"/>
    </row>
    <row r="95" spans="1:38" s="3" customFormat="1" ht="60" hidden="1" x14ac:dyDescent="0.25">
      <c r="A95" s="9">
        <v>88</v>
      </c>
      <c r="B95" s="7" t="s">
        <v>3973</v>
      </c>
      <c r="C95" s="7" t="s">
        <v>1207</v>
      </c>
      <c r="D95" s="7" t="s">
        <v>6719</v>
      </c>
      <c r="E95" s="7" t="s">
        <v>6720</v>
      </c>
      <c r="F95" s="7" t="s">
        <v>6732</v>
      </c>
      <c r="G95" s="7" t="s">
        <v>6358</v>
      </c>
      <c r="H95" s="7" t="s">
        <v>6386</v>
      </c>
      <c r="I95" s="7"/>
      <c r="J95" s="20" t="str">
        <f>VLOOKUP(V95,Table_to_BRG!A:D,3,FALSE)</f>
        <v>Company Code data</v>
      </c>
      <c r="K95" s="20" t="str">
        <f>VLOOKUP(V95,Table_to_BRG!A:D,2,FALSE)</f>
        <v>Company Code</v>
      </c>
      <c r="L95" s="20"/>
      <c r="M95" s="20"/>
      <c r="N95" s="9"/>
      <c r="O95" s="54"/>
      <c r="P95" s="7" t="s">
        <v>8460</v>
      </c>
      <c r="Q95" s="11" t="str">
        <f>UPPER(LEFT(Table362[[#This Row],[Entity]],3))&amp;RIGHT("00"&amp;Table362[[#This Row],[Rule '# by Entity]],3)&amp;"0_"&amp;MID(SUBSTITUTE(Table362[[#This Row],[Rule Name]],"_","|",3),SEARCH("|",SUBSTITUTE(Table362[[#This Row],[Rule Name]],"_","|",3))+1,LEN(Table362[[#This Row],[Rule Name]]))</f>
        <v>VEN0320_CompanyCodePopulated</v>
      </c>
      <c r="R95" s="8" t="s">
        <v>8105</v>
      </c>
      <c r="S95" s="7" t="s">
        <v>21</v>
      </c>
      <c r="T95" s="7"/>
      <c r="U95" s="7" t="s">
        <v>36</v>
      </c>
      <c r="V95" s="8" t="s">
        <v>3543</v>
      </c>
      <c r="W95" s="7" t="s">
        <v>2706</v>
      </c>
      <c r="X95" s="8" t="s">
        <v>1190</v>
      </c>
      <c r="Y95" s="7" t="s">
        <v>5978</v>
      </c>
      <c r="Z95" s="7" t="s">
        <v>5978</v>
      </c>
      <c r="AA95" s="10" t="s">
        <v>37</v>
      </c>
      <c r="AB95" s="10"/>
      <c r="AC95" s="10" t="s">
        <v>6813</v>
      </c>
      <c r="AD95" s="10"/>
      <c r="AE95" s="13" t="str">
        <f>IF(Table362[[#This Row],[Entity]]="Customer","KUNNR",IF(Table362[[#This Row],[Entity]]="Vendor","LIFNR","MATNR"))&amp;","&amp;Table362[[#This Row],[Field]]</f>
        <v>LIFNR,BUKRS</v>
      </c>
      <c r="AF95" s="13" t="str">
        <f>"VW_"&amp;Table362[[#This Row],[New Rule Name]]</f>
        <v>VW_VEN0320_CompanyCodePopulated</v>
      </c>
      <c r="AG95" s="11" t="str">
        <f>"create view "&amp;Table362[[#This Row],[View Name]]&amp;" as 
     select 
          "&amp;IF(Table362[[#This Row],[Entity]]="Customer","KUNNR",IF(Table362[[#This Row],[Entity]]="Vendor","LIFNR","MATNR"))&amp;",
          "&amp;Table362[[#This Row],[Field]]&amp;" 
     from "&amp;Table362[[#This Row],[Table]]</f>
        <v>create view VW_VEN0320_CompanyCodePopulated as 
     select 
          LIFNR,
          BUKRS 
     from LFB1</v>
      </c>
      <c r="AH95" s="8" t="s">
        <v>6492</v>
      </c>
      <c r="AI95" s="20" t="s">
        <v>7641</v>
      </c>
      <c r="AJ95" s="20"/>
      <c r="AK95" s="31">
        <v>32</v>
      </c>
      <c r="AL95" s="31"/>
    </row>
    <row r="96" spans="1:38" s="3" customFormat="1" ht="108" x14ac:dyDescent="0.25">
      <c r="A96" s="9">
        <v>89</v>
      </c>
      <c r="B96" s="7" t="s">
        <v>3973</v>
      </c>
      <c r="C96" s="7" t="s">
        <v>3</v>
      </c>
      <c r="D96" s="7" t="s">
        <v>6711</v>
      </c>
      <c r="E96" s="7" t="s">
        <v>6712</v>
      </c>
      <c r="F96" s="7" t="s">
        <v>6713</v>
      </c>
      <c r="G96" s="7" t="s">
        <v>6703</v>
      </c>
      <c r="H96" s="7" t="s">
        <v>6375</v>
      </c>
      <c r="I96" s="7"/>
      <c r="J96" s="20" t="str">
        <f>VLOOKUP(V96,Table_to_BRG!A:D,3,FALSE)</f>
        <v>Plant data</v>
      </c>
      <c r="K96" s="20" t="str">
        <f>VLOOKUP(V96,Table_to_BRG!A:D,2,FALSE)</f>
        <v>Plant</v>
      </c>
      <c r="L96" s="20"/>
      <c r="M96" s="20"/>
      <c r="N96" s="9"/>
      <c r="O96" s="54"/>
      <c r="P96" s="7" t="s">
        <v>8347</v>
      </c>
      <c r="Q96" s="11" t="str">
        <f>UPPER(LEFT(Table362[[#This Row],[Entity]],3))&amp;RIGHT("00"&amp;Table362[[#This Row],[Rule '# by Entity]],3)&amp;"0_"&amp;MID(SUBSTITUTE(Table362[[#This Row],[Rule Name]],"_","|",3),SEARCH("|",SUBSTITUTE(Table362[[#This Row],[Rule Name]],"_","|",3))+1,LEN(Table362[[#This Row],[Rule Name]]))</f>
        <v>MAT0950_CrossProjectIsValid</v>
      </c>
      <c r="R96" s="8" t="s">
        <v>8168</v>
      </c>
      <c r="S96" s="7" t="s">
        <v>4135</v>
      </c>
      <c r="T96" s="7" t="s">
        <v>2</v>
      </c>
      <c r="U96" s="7" t="s">
        <v>341</v>
      </c>
      <c r="V96" s="7" t="s">
        <v>1527</v>
      </c>
      <c r="W96" s="7" t="s">
        <v>2181</v>
      </c>
      <c r="X96" s="8" t="s">
        <v>2189</v>
      </c>
      <c r="Y96" s="7" t="s">
        <v>5978</v>
      </c>
      <c r="Z96" s="7" t="s">
        <v>5978</v>
      </c>
      <c r="AA96" s="10" t="s">
        <v>8582</v>
      </c>
      <c r="AB96" s="11" t="str">
        <f>Table362[[#This Row],[IS Parameter]]&amp;" IS NOT NULL AND rtrim("&amp;Table362[[#This Row],[IS Parameter]]&amp;", ' ') != ''"</f>
        <v>$P_I_CrossProjectDomain IS NOT NULL AND rtrim($P_I_CrossProjectDomain, ' ') != ''</v>
      </c>
      <c r="AC96" s="13" t="s">
        <v>7792</v>
      </c>
      <c r="AD96"/>
      <c r="AE96" s="13" t="str">
        <f>IF(Table362[[#This Row],[Entity]]="Customer","KUNNR",IF(Table362[[#This Row],[Entity]]="Vendor","LIFNR","MATNR"))&amp;",WERKS"&amp;","&amp;Table362[[#This Row],[Field]]</f>
        <v>MATNR,WERKS,KZPSP</v>
      </c>
      <c r="AF96" s="13" t="str">
        <f>"VW_"&amp;Table362[[#This Row],[New Rule Name]]</f>
        <v>VW_MAT0950_CrossProjectIsValid</v>
      </c>
      <c r="AG96"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VW_MAT0950_CrossProjectIsValid (
     MATNR,
     WERKS,
     KZPSP
     ) as select 
          MATNR,
          WERKS,
          KZPSP 
     from MARC</v>
      </c>
      <c r="AH96" s="8"/>
      <c r="AI96" s="20"/>
      <c r="AJ96" s="20"/>
      <c r="AK96" s="31">
        <v>95</v>
      </c>
      <c r="AL96" s="31"/>
    </row>
    <row r="97" spans="1:38" s="3" customFormat="1" ht="84" hidden="1" x14ac:dyDescent="0.25">
      <c r="A97" s="9">
        <v>91</v>
      </c>
      <c r="B97" s="7" t="s">
        <v>3973</v>
      </c>
      <c r="C97" s="7" t="s">
        <v>16</v>
      </c>
      <c r="D97" s="7" t="s">
        <v>6719</v>
      </c>
      <c r="E97" s="7" t="s">
        <v>6720</v>
      </c>
      <c r="F97" s="7" t="s">
        <v>6743</v>
      </c>
      <c r="G97" s="7" t="s">
        <v>6652</v>
      </c>
      <c r="H97" s="7" t="s">
        <v>6360</v>
      </c>
      <c r="I97" s="7" t="s">
        <v>3970</v>
      </c>
      <c r="J97" s="20" t="str">
        <f>VLOOKUP(V97,Table_to_BRG!A:D,3,FALSE)</f>
        <v>Bank data</v>
      </c>
      <c r="K97" s="20" t="str">
        <f>VLOOKUP(V97,Table_to_BRG!A:D,2,FALSE)</f>
        <v>Bank Details</v>
      </c>
      <c r="L97" s="20"/>
      <c r="M97" s="20"/>
      <c r="N97" s="9"/>
      <c r="O97" s="54"/>
      <c r="P97" s="7" t="s">
        <v>8082</v>
      </c>
      <c r="Q97" s="11" t="str">
        <f>UPPER(LEFT(Table362[[#This Row],[Entity]],3))&amp;RIGHT("00"&amp;Table362[[#This Row],[Rule '# by Entity]],3)&amp;"0_"&amp;MID(SUBSTITUTE(Table362[[#This Row],[Rule Name]],"_","|",3),SEARCH("|",SUBSTITUTE(Table362[[#This Row],[Rule Name]],"_","|",3))+1,LEN(Table362[[#This Row],[Rule Name]]))</f>
        <v>CUS0660_BankCountryKeyPopulated</v>
      </c>
      <c r="R97" s="8" t="s">
        <v>8111</v>
      </c>
      <c r="S97" s="7" t="s">
        <v>21</v>
      </c>
      <c r="T97" s="7"/>
      <c r="U97" s="7" t="s">
        <v>349</v>
      </c>
      <c r="V97" s="7" t="s">
        <v>3198</v>
      </c>
      <c r="W97" s="7" t="s">
        <v>3167</v>
      </c>
      <c r="X97" s="8" t="s">
        <v>1416</v>
      </c>
      <c r="Y97" s="7" t="s">
        <v>5978</v>
      </c>
      <c r="Z97" s="7" t="s">
        <v>5978</v>
      </c>
      <c r="AA97" s="10" t="s">
        <v>350</v>
      </c>
      <c r="AB97" s="10"/>
      <c r="AC97" s="10" t="s">
        <v>6813</v>
      </c>
      <c r="AD97" s="10"/>
      <c r="AE97" s="13" t="str">
        <f>IF(Table362[[#This Row],[Entity]]="Customer","KUNNR",IF(Table362[[#This Row],[Entity]]="Vendor","LIFNR","MATNR"))&amp;","&amp;Table362[[#This Row],[Field]]</f>
        <v>KUNNR,BANKS</v>
      </c>
      <c r="AF97" s="13" t="str">
        <f>"VW_"&amp;Table362[[#This Row],[New Rule Name]]</f>
        <v>VW_CUS0660_BankCountryKeyPopulated</v>
      </c>
      <c r="AG97" s="11" t="str">
        <f>"create view "&amp;Table362[[#This Row],[View Name]]&amp;" as 
     select
          "&amp;IF(Table362[[#This Row],[Entity]]="Customer","KUNNR",IF(Table362[[#This Row],[Entity]]="Vendor","LIFNR","MATNR"))&amp;",
          "&amp;Table362[[#This Row],[Field]]&amp;" 
     from "&amp;Table362[[#This Row],[Table]]&amp;"
     group by KUNNR,BANKS"</f>
        <v>create view VW_CUS0660_BankCountryKeyPopulated as 
     select
          KUNNR,
          BANKS 
     from KNBK
     group by KUNNR,BANKS</v>
      </c>
      <c r="AH97" s="8"/>
      <c r="AI97" s="20" t="s">
        <v>7642</v>
      </c>
      <c r="AJ97" s="20"/>
      <c r="AK97" s="31">
        <v>66</v>
      </c>
      <c r="AL97" s="31"/>
    </row>
    <row r="98" spans="1:38" s="3" customFormat="1" ht="84" hidden="1" x14ac:dyDescent="0.25">
      <c r="A98" s="9">
        <v>92</v>
      </c>
      <c r="B98" s="7" t="s">
        <v>3973</v>
      </c>
      <c r="C98" s="7" t="s">
        <v>1207</v>
      </c>
      <c r="D98" s="7" t="s">
        <v>6711</v>
      </c>
      <c r="E98" s="7" t="s">
        <v>6733</v>
      </c>
      <c r="F98" s="7" t="s">
        <v>6739</v>
      </c>
      <c r="G98" s="7" t="s">
        <v>6387</v>
      </c>
      <c r="H98" s="7"/>
      <c r="I98" s="7"/>
      <c r="J98" s="20" t="str">
        <f>VLOOKUP(V98,Table_to_BRG!A:D,3,FALSE)</f>
        <v>Purchasing data</v>
      </c>
      <c r="K98" s="20" t="str">
        <f>VLOOKUP(V98,Table_to_BRG!A:D,2,FALSE)</f>
        <v>Purchasing org.</v>
      </c>
      <c r="L98" s="20"/>
      <c r="M98" s="20"/>
      <c r="N98" s="9"/>
      <c r="O98" s="54"/>
      <c r="P98" s="7" t="s">
        <v>8461</v>
      </c>
      <c r="Q98" s="11" t="str">
        <f>UPPER(LEFT(Table362[[#This Row],[Entity]],3))&amp;RIGHT("00"&amp;Table362[[#This Row],[Rule '# by Entity]],3)&amp;"0_"&amp;MID(SUBSTITUTE(Table362[[#This Row],[Rule Name]],"_","|",3),SEARCH("|",SUBSTITUTE(Table362[[#This Row],[Rule Name]],"_","|",3))+1,LEN(Table362[[#This Row],[Rule Name]]))</f>
        <v>VEN0620_PricingDateControlIsValid</v>
      </c>
      <c r="R98" s="8" t="s">
        <v>8287</v>
      </c>
      <c r="S98" s="7" t="s">
        <v>2</v>
      </c>
      <c r="T98" s="7"/>
      <c r="U98" s="7" t="s">
        <v>353</v>
      </c>
      <c r="V98" s="7" t="s">
        <v>3818</v>
      </c>
      <c r="W98" s="7" t="s">
        <v>3892</v>
      </c>
      <c r="X98" s="8" t="s">
        <v>3919</v>
      </c>
      <c r="Y98" s="7"/>
      <c r="Z98" s="7" t="s">
        <v>5978</v>
      </c>
      <c r="AA98" s="10" t="s">
        <v>354</v>
      </c>
      <c r="AB98" s="10"/>
      <c r="AC98" s="13" t="s">
        <v>6924</v>
      </c>
      <c r="AD98" s="11"/>
      <c r="AE98" s="13" t="str">
        <f>IF(Table362[[#This Row],[Entity]]="Customer","KUNNR",IF(Table362[[#This Row],[Entity]]="Vendor","LIFNR","MATNR"))&amp;",EKORG,"&amp;Table362[[#This Row],[Field]]</f>
        <v>LIFNR,EKORG,MEPRF</v>
      </c>
      <c r="AF98" s="13" t="str">
        <f>"VW_"&amp;Table362[[#This Row],[New Rule Name]]</f>
        <v>VW_VEN0620_PricingDateControlIsValid</v>
      </c>
      <c r="AG98" s="11" t="str">
        <f>"create view "&amp;Table362[[#This Row],[View Name]]&amp;" as 
     select 
          "&amp;IF(Table362[[#This Row],[Entity]]="Customer","KUNNR",IF(Table362[[#This Row],[Entity]]="Vendor","LIFNR","MATNR"))&amp;",
          EKORG,
          "&amp;Table362[[#This Row],[Field]]&amp;" 
     from "&amp;Table362[[#This Row],[Table]]</f>
        <v>create view VW_VEN0620_PricingDateControlIsValid as 
     select 
          LIFNR,
          EKORG,
          MEPRF 
     from LFM1</v>
      </c>
      <c r="AH98" s="8"/>
      <c r="AI98" s="20"/>
      <c r="AJ98" s="20"/>
      <c r="AK98" s="31">
        <v>62</v>
      </c>
      <c r="AL98" s="31"/>
    </row>
    <row r="99" spans="1:38" s="38" customFormat="1" ht="48" hidden="1" x14ac:dyDescent="0.25">
      <c r="A99" s="14">
        <v>97</v>
      </c>
      <c r="B99" s="15" t="s">
        <v>3973</v>
      </c>
      <c r="C99" s="15" t="s">
        <v>16</v>
      </c>
      <c r="D99" s="15" t="s">
        <v>6711</v>
      </c>
      <c r="E99" s="15" t="s">
        <v>6714</v>
      </c>
      <c r="F99" s="15" t="s">
        <v>6715</v>
      </c>
      <c r="G99" s="15" t="s">
        <v>6361</v>
      </c>
      <c r="H99" s="15" t="s">
        <v>3967</v>
      </c>
      <c r="I99" s="15" t="s">
        <v>3967</v>
      </c>
      <c r="J99" s="27" t="str">
        <f>VLOOKUP(V99,Table_to_BRG!A:D,3,FALSE)</f>
        <v>General data</v>
      </c>
      <c r="K99" s="27" t="str">
        <f>VLOOKUP(V99,Table_to_BRG!A:D,2,FALSE)</f>
        <v>General</v>
      </c>
      <c r="L99" s="27"/>
      <c r="M99" s="27"/>
      <c r="N99" s="14" t="s">
        <v>6465</v>
      </c>
      <c r="O99" s="54" t="str">
        <f>"Superceded by rule "&amp;A998</f>
        <v>Superceded by rule 378</v>
      </c>
      <c r="P99" s="16" t="s">
        <v>368</v>
      </c>
      <c r="Q99" s="17"/>
      <c r="R99" s="16" t="s">
        <v>6495</v>
      </c>
      <c r="S99" s="15" t="s">
        <v>139</v>
      </c>
      <c r="T99" s="15"/>
      <c r="U99" s="16" t="s">
        <v>6095</v>
      </c>
      <c r="V99" s="15" t="s">
        <v>2741</v>
      </c>
      <c r="W99" s="16" t="s">
        <v>6353</v>
      </c>
      <c r="X99" s="16" t="s">
        <v>6354</v>
      </c>
      <c r="Y99" s="15" t="s">
        <v>5978</v>
      </c>
      <c r="Z99" s="15" t="s">
        <v>5978</v>
      </c>
      <c r="AA99" s="26" t="s">
        <v>6514</v>
      </c>
      <c r="AB99" s="26"/>
      <c r="AC99" s="26"/>
      <c r="AD99" s="26"/>
      <c r="AE99" s="18"/>
      <c r="AF99" s="18"/>
      <c r="AG99" s="17"/>
      <c r="AH99" s="16" t="s">
        <v>5880</v>
      </c>
      <c r="AI99" s="27" t="s">
        <v>7681</v>
      </c>
      <c r="AJ99" s="27"/>
      <c r="AK99" s="36"/>
      <c r="AL99" s="52"/>
    </row>
    <row r="100" spans="1:38" s="3" customFormat="1" ht="84" x14ac:dyDescent="0.25">
      <c r="A100" s="9">
        <v>93</v>
      </c>
      <c r="B100" s="7" t="s">
        <v>3973</v>
      </c>
      <c r="C100" s="7" t="s">
        <v>3</v>
      </c>
      <c r="D100" s="7" t="s">
        <v>6711</v>
      </c>
      <c r="E100" s="7" t="s">
        <v>6712</v>
      </c>
      <c r="F100" s="7" t="s">
        <v>6729</v>
      </c>
      <c r="G100" s="7" t="s">
        <v>6382</v>
      </c>
      <c r="H100" s="7"/>
      <c r="I100" s="7"/>
      <c r="J100" s="20" t="str">
        <f>VLOOKUP(V100,Table_to_BRG!A:D,3,FALSE)</f>
        <v>Sales data</v>
      </c>
      <c r="K100" s="20" t="str">
        <f>VLOOKUP(V100,Table_to_BRG!A:D,2,FALSE)</f>
        <v>Sales</v>
      </c>
      <c r="L100" s="20"/>
      <c r="M100" s="20"/>
      <c r="N100" s="9"/>
      <c r="O100" s="54"/>
      <c r="P100" s="7" t="s">
        <v>8348</v>
      </c>
      <c r="Q100" s="11" t="str">
        <f>UPPER(LEFT(Table362[[#This Row],[Entity]],3))&amp;RIGHT("00"&amp;Table362[[#This Row],[Rule '# by Entity]],3)&amp;"0_"&amp;MID(SUBSTITUTE(Table362[[#This Row],[Rule Name]],"_","|",3),SEARCH("|",SUBSTITUTE(Table362[[#This Row],[Rule Name]],"_","|",3))+1,LEN(Table362[[#This Row],[Rule Name]]))</f>
        <v>MAT1360_MaterialGroup5Ref</v>
      </c>
      <c r="R100" s="8" t="s">
        <v>7921</v>
      </c>
      <c r="S100" s="7" t="s">
        <v>2</v>
      </c>
      <c r="T100" s="7"/>
      <c r="U100" s="7" t="s">
        <v>357</v>
      </c>
      <c r="V100" s="7" t="s">
        <v>2460</v>
      </c>
      <c r="W100" s="7" t="s">
        <v>2511</v>
      </c>
      <c r="X100" s="8" t="s">
        <v>2531</v>
      </c>
      <c r="Y100" s="7" t="s">
        <v>6005</v>
      </c>
      <c r="Z100" s="7" t="s">
        <v>2511</v>
      </c>
      <c r="AA100" s="11" t="str">
        <f>"BEGIN
     RETURN exists('DS_IS_RDS', '"&amp;Table362[[#This Row],[Lookup Table]]&amp;"', '"&amp;Table362[[#This Row],[Lookup Field]]&amp;"', "&amp;Table362[[#This Row],[IS Parameter]]&amp;");
END"</f>
        <v>BEGIN
     RETURN exists('DS_IS_RDS', 'TVM5', 'MVGR5', $P_I_MatGroup5);
END</v>
      </c>
      <c r="AB100" s="11" t="str">
        <f>Table362[[#This Row],[IS Parameter]]&amp;" IS NOT NULL AND rtrim("&amp;Table362[[#This Row],[IS Parameter]]&amp;", ' ') != ''"</f>
        <v>$P_I_MatGroup5 IS NOT NULL AND rtrim($P_I_MatGroup5, ' ') != ''</v>
      </c>
      <c r="AC100" s="10" t="s">
        <v>6663</v>
      </c>
      <c r="AD100" s="10"/>
      <c r="AE100" s="13" t="str">
        <f>IF(Table362[[#This Row],[Entity]]="Customer","KUNNR",IF(Table362[[#This Row],[Entity]]="Vendor","LIFNR","MATNR"))&amp;",VKORG,VTWEG,"&amp;Table362[[#This Row],[Field]]</f>
        <v>MATNR,VKORG,VTWEG,MVGR5</v>
      </c>
      <c r="AF100" s="13" t="str">
        <f>"VW_"&amp;Table362[[#This Row],[New Rule Name]]</f>
        <v>VW_MAT1360_MaterialGroup5Ref</v>
      </c>
      <c r="AG100" s="11" t="str">
        <f>"create view "&amp;Table362[[#This Row],[View Name]]&amp;" as 
     select 
          "&amp;IF(Table362[[#This Row],[Entity]]="Customer","KUNNR",IF(Table362[[#This Row],[Entity]]="Vendor","LIFNR","MATNR"))&amp;",
          VKORG,
          VTWEG,
          "&amp;Table362[[#This Row],[Field]]&amp;" 
     from "&amp;Table362[[#This Row],[Table]]</f>
        <v>create view VW_MAT1360_MaterialGroup5Ref as 
     select 
          MATNR,
          VKORG,
          VTWEG,
          MVGR5 
     from MVKE</v>
      </c>
      <c r="AH100" s="8"/>
      <c r="AI100" s="20" t="s">
        <v>6666</v>
      </c>
      <c r="AJ100" s="20"/>
      <c r="AK100" s="31">
        <v>136</v>
      </c>
      <c r="AL100" s="31"/>
    </row>
    <row r="101" spans="1:38" s="3" customFormat="1" ht="48" hidden="1" x14ac:dyDescent="0.25">
      <c r="A101" s="9">
        <v>94</v>
      </c>
      <c r="B101" s="7" t="s">
        <v>3973</v>
      </c>
      <c r="C101" s="7" t="s">
        <v>16</v>
      </c>
      <c r="D101" s="7" t="s">
        <v>6716</v>
      </c>
      <c r="E101" s="7" t="s">
        <v>6717</v>
      </c>
      <c r="F101" s="7" t="s">
        <v>6718</v>
      </c>
      <c r="G101" s="7" t="s">
        <v>6365</v>
      </c>
      <c r="H101" s="7" t="s">
        <v>6366</v>
      </c>
      <c r="I101" s="7" t="s">
        <v>3971</v>
      </c>
      <c r="J101" s="20" t="str">
        <f>VLOOKUP(V101,Table_to_BRG!A:D,3,FALSE)</f>
        <v>Tax data</v>
      </c>
      <c r="K101" s="20" t="str">
        <f>VLOOKUP(V101,Table_to_BRG!A:D,2,FALSE)</f>
        <v>Tax indicator</v>
      </c>
      <c r="L101" s="20"/>
      <c r="M101" s="20"/>
      <c r="N101" s="9"/>
      <c r="O101" s="54"/>
      <c r="P101" s="7" t="s">
        <v>8083</v>
      </c>
      <c r="Q101" s="11" t="str">
        <f>UPPER(LEFT(Table362[[#This Row],[Entity]],3))&amp;RIGHT("00"&amp;Table362[[#This Row],[Rule '# by Entity]],3)&amp;"0_"&amp;MID(SUBSTITUTE(Table362[[#This Row],[Rule Name]],"_","|",3),SEARCH("|",SUBSTITUTE(Table362[[#This Row],[Rule Name]],"_","|",3))+1,LEN(Table362[[#This Row],[Rule Name]]))</f>
        <v>CUS0720_TaxCategoryPopulated</v>
      </c>
      <c r="R101" s="8" t="s">
        <v>8112</v>
      </c>
      <c r="S101" s="7" t="s">
        <v>21</v>
      </c>
      <c r="T101" s="7"/>
      <c r="U101" s="8" t="s">
        <v>6090</v>
      </c>
      <c r="V101" s="7" t="s">
        <v>3328</v>
      </c>
      <c r="W101" s="7" t="s">
        <v>3304</v>
      </c>
      <c r="X101" s="8" t="s">
        <v>3320</v>
      </c>
      <c r="Y101" s="7" t="s">
        <v>5978</v>
      </c>
      <c r="Z101" s="7" t="s">
        <v>5978</v>
      </c>
      <c r="AA101" s="10" t="s">
        <v>6089</v>
      </c>
      <c r="AB101" s="10"/>
      <c r="AC101" s="10" t="s">
        <v>6813</v>
      </c>
      <c r="AD101" s="10"/>
      <c r="AE101" s="13" t="str">
        <f>IF(Table362[[#This Row],[Entity]]="Customer","KUNNR",IF(Table362[[#This Row],[Entity]]="Vendor","LIFNR","MATNR"))&amp;",ALAND"&amp;","&amp;Table362[[#This Row],[Field]]</f>
        <v>KUNNR,ALAND,TATYP</v>
      </c>
      <c r="AF101" s="13" t="str">
        <f>"VW_"&amp;Table362[[#This Row],[New Rule Name]]</f>
        <v>VW_CUS0720_TaxCategoryPopulated</v>
      </c>
      <c r="AG101" s="11"/>
      <c r="AH101" s="8"/>
      <c r="AI101" s="20" t="s">
        <v>7653</v>
      </c>
      <c r="AJ101" s="20"/>
      <c r="AK101" s="31">
        <v>72</v>
      </c>
      <c r="AL101" s="31"/>
    </row>
    <row r="102" spans="1:38" s="3" customFormat="1" ht="60" x14ac:dyDescent="0.25">
      <c r="A102" s="9">
        <v>95</v>
      </c>
      <c r="B102" s="7" t="s">
        <v>3973</v>
      </c>
      <c r="C102" s="7" t="s">
        <v>3</v>
      </c>
      <c r="D102" s="7" t="s">
        <v>6711</v>
      </c>
      <c r="E102" s="7" t="s">
        <v>6712</v>
      </c>
      <c r="F102" s="7" t="s">
        <v>6725</v>
      </c>
      <c r="G102" s="7" t="s">
        <v>6385</v>
      </c>
      <c r="H102" s="7"/>
      <c r="I102" s="7"/>
      <c r="J102" s="20" t="str">
        <f>VLOOKUP(V102,Table_to_BRG!A:D,3,FALSE)</f>
        <v>General data</v>
      </c>
      <c r="K102" s="20" t="str">
        <f>VLOOKUP(V102,Table_to_BRG!A:D,2,FALSE)</f>
        <v>General</v>
      </c>
      <c r="L102" s="20"/>
      <c r="M102" s="20"/>
      <c r="N102" s="9"/>
      <c r="O102" s="54"/>
      <c r="P102" s="7" t="s">
        <v>8349</v>
      </c>
      <c r="Q102" s="11" t="str">
        <f>UPPER(LEFT(Table362[[#This Row],[Entity]],3))&amp;RIGHT("00"&amp;Table362[[#This Row],[Rule '# by Entity]],3)&amp;"0_"&amp;MID(SUBSTITUTE(Table362[[#This Row],[Rule Name]],"_","|",3),SEARCH("|",SUBSTITUTE(Table362[[#This Row],[Rule Name]],"_","|",3))+1,LEN(Table362[[#This Row],[Rule Name]]))</f>
        <v>MAT0110_LaboratoryOfficeRef</v>
      </c>
      <c r="R102" s="8" t="s">
        <v>7922</v>
      </c>
      <c r="S102" s="7" t="s">
        <v>2</v>
      </c>
      <c r="T102" s="7"/>
      <c r="U102" s="7" t="s">
        <v>365</v>
      </c>
      <c r="V102" s="7" t="s">
        <v>1526</v>
      </c>
      <c r="W102" s="7" t="s">
        <v>1622</v>
      </c>
      <c r="X102" s="8" t="s">
        <v>1644</v>
      </c>
      <c r="Y102" s="7" t="s">
        <v>6006</v>
      </c>
      <c r="Z102" s="7" t="s">
        <v>1622</v>
      </c>
      <c r="AA102" s="11" t="str">
        <f>"BEGIN
     RETURN exists('DS_IS_RDS', '"&amp;Table362[[#This Row],[Lookup Table]]&amp;"', '"&amp;Table362[[#This Row],[Lookup Field]]&amp;"', "&amp;Table362[[#This Row],[IS Parameter]]&amp;");
END"</f>
        <v>BEGIN
     RETURN exists('DS_IS_RDS', 'T024L', 'LABOR', $P_I_LabOffice);
END</v>
      </c>
      <c r="AB102" s="11" t="str">
        <f>Table362[[#This Row],[IS Parameter]]&amp;" IS NOT NULL AND rtrim("&amp;Table362[[#This Row],[IS Parameter]]&amp;", ' ') != ''"</f>
        <v>$P_I_LabOffice IS NOT NULL AND rtrim($P_I_LabOffice, ' ') != ''</v>
      </c>
      <c r="AC102" s="10" t="s">
        <v>6663</v>
      </c>
      <c r="AD102" s="10"/>
      <c r="AE102" s="13" t="str">
        <f>IF(Table362[[#This Row],[Entity]]="Customer","KUNNR",IF(Table362[[#This Row],[Entity]]="Vendor","LIFNR","MATNR"))&amp;","&amp;Table362[[#This Row],[Field]]</f>
        <v>MATNR,LABOR</v>
      </c>
      <c r="AF102" s="13" t="str">
        <f>"VW_"&amp;Table362[[#This Row],[New Rule Name]]</f>
        <v>VW_MAT0110_LaboratoryOfficeRef</v>
      </c>
      <c r="AG102" s="11" t="str">
        <f>"create view "&amp;Table362[[#This Row],[View Name]]&amp;" as 
     select 
          "&amp;IF(Table362[[#This Row],[Entity]]="Customer","KUNNR",IF(Table362[[#This Row],[Entity]]="Vendor","LIFNR","MATNR"))&amp;",
          "&amp;Table362[[#This Row],[Field]]&amp;" 
     from "&amp;Table362[[#This Row],[Table]]</f>
        <v>create view VW_MAT0110_LaboratoryOfficeRef as 
     select 
          MATNR,
          LABOR 
     from MARA</v>
      </c>
      <c r="AH102" s="8"/>
      <c r="AI102" s="20"/>
      <c r="AJ102" s="20"/>
      <c r="AK102" s="31">
        <v>11</v>
      </c>
      <c r="AL102" s="31"/>
    </row>
    <row r="103" spans="1:38" s="3" customFormat="1" ht="84" hidden="1" x14ac:dyDescent="0.25">
      <c r="A103" s="9">
        <v>96</v>
      </c>
      <c r="B103" s="7" t="s">
        <v>3973</v>
      </c>
      <c r="C103" s="7" t="s">
        <v>16</v>
      </c>
      <c r="D103" s="7" t="s">
        <v>6719</v>
      </c>
      <c r="E103" s="7" t="s">
        <v>6720</v>
      </c>
      <c r="F103" s="7" t="s">
        <v>6744</v>
      </c>
      <c r="G103" s="7" t="s">
        <v>6651</v>
      </c>
      <c r="H103" s="7" t="s">
        <v>6359</v>
      </c>
      <c r="I103" s="7" t="s">
        <v>6421</v>
      </c>
      <c r="J103" s="20" t="str">
        <f>VLOOKUP(V103,Table_to_BRG!A:D,3,FALSE)</f>
        <v>Dunning data</v>
      </c>
      <c r="K103" s="20" t="str">
        <f>VLOOKUP(V103,Table_to_BRG!A:D,2,FALSE)</f>
        <v>Dunning</v>
      </c>
      <c r="L103" s="20"/>
      <c r="M103" s="20"/>
      <c r="N103" s="9"/>
      <c r="O103" s="54"/>
      <c r="P103" s="7" t="s">
        <v>7852</v>
      </c>
      <c r="Q103" s="11" t="str">
        <f>UPPER(LEFT(Table362[[#This Row],[Entity]],3))&amp;RIGHT("00"&amp;Table362[[#This Row],[Rule '# by Entity]],3)&amp;"0_"&amp;MID(SUBSTITUTE(Table362[[#This Row],[Rule Name]],"_","|",3),SEARCH("|",SUBSTITUTE(Table362[[#This Row],[Rule Name]],"_","|",3))+1,LEN(Table362[[#This Row],[Rule Name]]))</f>
        <v>CUS0650_DunningClerkRef</v>
      </c>
      <c r="R103" s="13" t="s">
        <v>8021</v>
      </c>
      <c r="S103" s="7" t="s">
        <v>2</v>
      </c>
      <c r="T103" s="7"/>
      <c r="U103" s="7" t="s">
        <v>144</v>
      </c>
      <c r="V103" s="7" t="s">
        <v>2827</v>
      </c>
      <c r="W103" s="7" t="s">
        <v>2792</v>
      </c>
      <c r="X103" s="8" t="s">
        <v>6352</v>
      </c>
      <c r="Y103" s="7" t="s">
        <v>4233</v>
      </c>
      <c r="Z103" s="7" t="s">
        <v>2792</v>
      </c>
      <c r="AA103" s="11" t="str">
        <f>"BEGIN
     RETURN exists('DS_IS_RDS', '"&amp;Table362[[#This Row],[Lookup Table]]&amp;"', '"&amp;Table362[[#This Row],[Lookup Field]]&amp;"', "&amp;Table362[[#This Row],[IS Parameter]]&amp;");
END"</f>
        <v>BEGIN
     RETURN exists('DS_IS_RDS', 'T001S', 'BUSAB', $P_I_DunningClerk);
END</v>
      </c>
      <c r="AB103" s="11" t="str">
        <f>Table362[[#This Row],[IS Parameter]]&amp;" IS NOT NULL
AND "&amp; Table362[[#This Row],[IS Parameter]]&amp;" != ''"</f>
        <v>$P_I_DunningClerk IS NOT NULL
AND $P_I_DunningClerk != ''</v>
      </c>
      <c r="AC103" s="10" t="s">
        <v>6663</v>
      </c>
      <c r="AD103" s="10"/>
      <c r="AE103" s="13" t="str">
        <f>IF(Table362[[#This Row],[Entity]]="Customer","KUNNR",IF(Table362[[#This Row],[Entity]]="Vendor","LIFNR","MATNR"))&amp;",BUKRS,MABER"&amp;","&amp;Table362[[#This Row],[Field]]</f>
        <v>KUNNR,BUKRS,MABER,BUSAB</v>
      </c>
      <c r="AF103" s="13" t="str">
        <f>"VW_"&amp;Table362[[#This Row],[New Rule Name]]</f>
        <v>VW_CUS0650_DunningClerkRef</v>
      </c>
      <c r="AG103" s="11" t="str">
        <f>"create view "&amp;Table362[[#This Row],[View Name]]&amp;" as 
     select 
          "&amp;IF(Table362[[#This Row],[Entity]]="Customer","KUNNR",IF(Table362[[#This Row],[Entity]]="Vendor","LIFNR","MATNR"))&amp;",
          BUKRS,
          MABER,
          "&amp;Table362[[#This Row],[Field]]&amp;" 
     from "&amp;Table362[[#This Row],[Table]]</f>
        <v>create view VW_CUS0650_DunningClerkRef as 
     select 
          KUNNR,
          BUKRS,
          MABER,
          BUSAB 
     from KNB5</v>
      </c>
      <c r="AH103" s="8"/>
      <c r="AI103" s="20" t="s">
        <v>6442</v>
      </c>
      <c r="AJ103" s="20"/>
      <c r="AK103" s="31">
        <v>65</v>
      </c>
      <c r="AL103" s="31"/>
    </row>
    <row r="104" spans="1:38" s="3" customFormat="1" ht="96" hidden="1" x14ac:dyDescent="0.25">
      <c r="A104" s="9">
        <v>98</v>
      </c>
      <c r="B104" s="7" t="s">
        <v>3973</v>
      </c>
      <c r="C104" s="7" t="s">
        <v>16</v>
      </c>
      <c r="D104" s="7" t="s">
        <v>6711</v>
      </c>
      <c r="E104" s="7" t="s">
        <v>6714</v>
      </c>
      <c r="F104" s="7" t="s">
        <v>6724</v>
      </c>
      <c r="G104" s="7" t="s">
        <v>6365</v>
      </c>
      <c r="H104" s="7" t="s">
        <v>2759</v>
      </c>
      <c r="I104" s="7"/>
      <c r="J104" s="20" t="str">
        <f>VLOOKUP(V104,Table_to_BRG!A:D,3,FALSE)</f>
        <v>Customer sales data</v>
      </c>
      <c r="K104" s="20" t="str">
        <f>VLOOKUP(V104,Table_to_BRG!A:D,2,FALSE)</f>
        <v>Sales</v>
      </c>
      <c r="L104" s="20"/>
      <c r="M104" s="20"/>
      <c r="N104" s="9"/>
      <c r="O104" s="54"/>
      <c r="P104" s="7" t="s">
        <v>7853</v>
      </c>
      <c r="Q104" s="11" t="str">
        <f>UPPER(LEFT(Table362[[#This Row],[Entity]],3))&amp;RIGHT("00"&amp;Table362[[#This Row],[Rule '# by Entity]],3)&amp;"0_"&amp;MID(SUBSTITUTE(Table362[[#This Row],[Rule Name]],"_","|",3),SEARCH("|",SUBSTITUTE(Table362[[#This Row],[Rule Name]],"_","|",3))+1,LEN(Table362[[#This Row],[Rule Name]]))</f>
        <v>CUS0970_SalesDistrictRef</v>
      </c>
      <c r="R104" s="13" t="s">
        <v>8195</v>
      </c>
      <c r="S104" s="7" t="s">
        <v>2</v>
      </c>
      <c r="T104" s="7"/>
      <c r="U104" s="7" t="s">
        <v>373</v>
      </c>
      <c r="V104" s="7" t="s">
        <v>3334</v>
      </c>
      <c r="W104" s="7" t="s">
        <v>3404</v>
      </c>
      <c r="X104" s="8" t="s">
        <v>6355</v>
      </c>
      <c r="Y104" s="7" t="s">
        <v>5813</v>
      </c>
      <c r="Z104" s="7" t="s">
        <v>3404</v>
      </c>
      <c r="AA104" s="11" t="str">
        <f>"BEGIN
     RETURN exists('DS_IS_RDS', '"&amp;Table362[[#This Row],[Lookup Table]]&amp;"', '"&amp;Table362[[#This Row],[Lookup Field]]&amp;"', "&amp;Table362[[#This Row],[IS Parameter]]&amp;");
END"</f>
        <v>BEGIN
     RETURN exists('DS_IS_RDS', 'T171', 'BZIRK', $P_I_SalesDistrict);
END</v>
      </c>
      <c r="AB104" s="11" t="str">
        <f>Table362[[#This Row],[IS Parameter]]&amp;" IS NOT NULL
AND "&amp; Table362[[#This Row],[IS Parameter]]&amp;" != ''"</f>
        <v>$P_I_SalesDistrict IS NOT NULL
AND $P_I_SalesDistrict != ''</v>
      </c>
      <c r="AC104" s="10" t="s">
        <v>6663</v>
      </c>
      <c r="AD104" s="10"/>
      <c r="AE104" s="13" t="str">
        <f>IF(Table362[[#This Row],[Entity]]="Customer","KUNNR",IF(Table362[[#This Row],[Entity]]="Vendor","LIFNR","MATNR"))&amp;",VKORG,VTWEG,SPART,"&amp;Table362[[#This Row],[Field]]</f>
        <v>KUNNR,VKORG,VTWEG,SPART,BZIRK</v>
      </c>
      <c r="AF104" s="13" t="str">
        <f>"VW_"&amp;Table362[[#This Row],[New Rule Name]]</f>
        <v>VW_CUS0970_SalesDistrictRef</v>
      </c>
      <c r="AG104" s="11" t="str">
        <f>"create view "&amp;Table362[[#This Row],[View Name]]&amp;" as 
     select 
          "&amp;IF(Table362[[#This Row],[Entity]]="Customer","KUNNR",IF(Table362[[#This Row],[Entity]]="Vendor","LIFNR","MATNR"))&amp;",
          VKORG,
          VTWEG,
          SPART,
          "&amp;Table362[[#This Row],[Field]]&amp;" 
     from "&amp;Table362[[#This Row],[Table]]</f>
        <v>create view VW_CUS0970_SalesDistrictRef as 
     select 
          KUNNR,
          VKORG,
          VTWEG,
          SPART,
          BZIRK 
     from KNVV</v>
      </c>
      <c r="AH104" s="8"/>
      <c r="AI104" s="20" t="s">
        <v>7726</v>
      </c>
      <c r="AJ104" s="20"/>
      <c r="AK104" s="31">
        <v>97</v>
      </c>
      <c r="AL104" s="31"/>
    </row>
    <row r="105" spans="1:38" s="3" customFormat="1" ht="120" x14ac:dyDescent="0.25">
      <c r="A105" s="9">
        <v>99</v>
      </c>
      <c r="B105" s="7" t="s">
        <v>3973</v>
      </c>
      <c r="C105" s="7" t="s">
        <v>3</v>
      </c>
      <c r="D105" s="7" t="s">
        <v>6711</v>
      </c>
      <c r="E105" s="7" t="s">
        <v>6712</v>
      </c>
      <c r="F105" s="7" t="s">
        <v>6713</v>
      </c>
      <c r="G105" s="7" t="s">
        <v>6370</v>
      </c>
      <c r="H105" s="7"/>
      <c r="I105" s="7"/>
      <c r="J105" s="20" t="str">
        <f>VLOOKUP(V105,Table_to_BRG!A:D,3,FALSE)</f>
        <v>Plant data</v>
      </c>
      <c r="K105" s="20" t="str">
        <f>VLOOKUP(V105,Table_to_BRG!A:D,2,FALSE)</f>
        <v>Plant</v>
      </c>
      <c r="L105" s="20"/>
      <c r="M105" s="20"/>
      <c r="N105" s="9"/>
      <c r="O105" s="54"/>
      <c r="P105" s="7" t="s">
        <v>8350</v>
      </c>
      <c r="Q105" s="11" t="str">
        <f>UPPER(LEFT(Table362[[#This Row],[Entity]],3))&amp;RIGHT("00"&amp;Table362[[#This Row],[Rule '# by Entity]],3)&amp;"0_"&amp;MID(SUBSTITUTE(Table362[[#This Row],[Rule Name]],"_","|",3),SEARCH("|",SUBSTITUTE(Table362[[#This Row],[Rule Name]],"_","|",3))+1,LEN(Table362[[#This Row],[Rule Name]]))</f>
        <v>MAT0790_ExemptionCertificateIsValid</v>
      </c>
      <c r="R105" s="8" t="s">
        <v>8169</v>
      </c>
      <c r="S105" s="7" t="s">
        <v>4135</v>
      </c>
      <c r="T105" s="7" t="s">
        <v>2</v>
      </c>
      <c r="U105" s="7" t="s">
        <v>377</v>
      </c>
      <c r="V105" s="7" t="s">
        <v>1527</v>
      </c>
      <c r="W105" s="7" t="s">
        <v>1905</v>
      </c>
      <c r="X105" s="8" t="s">
        <v>1918</v>
      </c>
      <c r="Y105" s="7" t="s">
        <v>5978</v>
      </c>
      <c r="Z105" s="7" t="s">
        <v>5978</v>
      </c>
      <c r="AA105" s="10" t="s">
        <v>8583</v>
      </c>
      <c r="AB105" s="11" t="str">
        <f>Table362[[#This Row],[IS Parameter]]&amp;" IS NOT NULL AND rtrim("&amp;Table362[[#This Row],[IS Parameter]]&amp;", ' ') != ''"</f>
        <v>$P_I_ExcemptionCertificate IS NOT NULL AND rtrim($P_I_ExcemptionCertificate, ' ') != ''</v>
      </c>
      <c r="AC105" s="13" t="s">
        <v>7792</v>
      </c>
      <c r="AD105"/>
      <c r="AE105" s="13" t="str">
        <f>IF(Table362[[#This Row],[Entity]]="Customer","KUNNR",IF(Table362[[#This Row],[Entity]]="Vendor","LIFNR","MATNR"))&amp;",WERKS"&amp;","&amp;Table362[[#This Row],[Field]]</f>
        <v>MATNR,WERKS,PRENC</v>
      </c>
      <c r="AF105" s="13" t="str">
        <f>"VW_"&amp;Table362[[#This Row],[New Rule Name]]</f>
        <v>VW_MAT0790_ExemptionCertificateIsValid</v>
      </c>
      <c r="AG105"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VW_MAT0790_ExemptionCertificateIsValid (
     MATNR,
     WERKS,
     PRENC
     ) as select 
          MATNR,
          WERKS,
          PRENC 
     from MARC</v>
      </c>
      <c r="AH105" s="8"/>
      <c r="AI105" s="20"/>
      <c r="AJ105" s="20"/>
      <c r="AK105" s="31">
        <v>79</v>
      </c>
      <c r="AL105" s="31"/>
    </row>
    <row r="106" spans="1:38" s="3" customFormat="1" ht="48" hidden="1" x14ac:dyDescent="0.25">
      <c r="A106" s="9">
        <v>104</v>
      </c>
      <c r="B106" s="7" t="s">
        <v>3973</v>
      </c>
      <c r="C106" s="7" t="s">
        <v>1207</v>
      </c>
      <c r="D106" s="7" t="s">
        <v>5978</v>
      </c>
      <c r="E106" s="7" t="s">
        <v>5978</v>
      </c>
      <c r="F106" s="7" t="s">
        <v>5978</v>
      </c>
      <c r="G106" s="7"/>
      <c r="H106" s="7"/>
      <c r="I106" s="7" t="s">
        <v>6436</v>
      </c>
      <c r="J106" s="20" t="e">
        <f>VLOOKUP(V106,Table_to_BRG!A:D,3,FALSE)</f>
        <v>#N/A</v>
      </c>
      <c r="K106" s="20" t="e">
        <f>VLOOKUP(V106,Table_to_BRG!A:D,2,FALSE)</f>
        <v>#N/A</v>
      </c>
      <c r="L106" s="20"/>
      <c r="M106" s="20"/>
      <c r="N106" s="9" t="s">
        <v>6465</v>
      </c>
      <c r="O106" s="54" t="s">
        <v>8306</v>
      </c>
      <c r="P106" s="7" t="s">
        <v>8462</v>
      </c>
      <c r="Q106" s="11"/>
      <c r="R106" s="8" t="s">
        <v>393</v>
      </c>
      <c r="S106" s="7" t="s">
        <v>21</v>
      </c>
      <c r="T106" s="7"/>
      <c r="U106" s="7" t="s">
        <v>394</v>
      </c>
      <c r="V106" s="23"/>
      <c r="W106" s="23"/>
      <c r="X106" s="24"/>
      <c r="Y106" s="7" t="s">
        <v>5978</v>
      </c>
      <c r="Z106" s="7" t="s">
        <v>5978</v>
      </c>
      <c r="AA106" s="10" t="s">
        <v>395</v>
      </c>
      <c r="AB106" s="10"/>
      <c r="AC106" s="10" t="s">
        <v>6813</v>
      </c>
      <c r="AD106" s="10"/>
      <c r="AE106" s="13"/>
      <c r="AF106" s="13"/>
      <c r="AG106" s="11"/>
      <c r="AH106" s="8"/>
      <c r="AI106" s="20" t="s">
        <v>6529</v>
      </c>
      <c r="AJ106" s="20"/>
      <c r="AK106" s="31"/>
      <c r="AL106" s="31"/>
    </row>
    <row r="107" spans="1:38" s="3" customFormat="1" ht="84" hidden="1" x14ac:dyDescent="0.25">
      <c r="A107" s="9">
        <v>100</v>
      </c>
      <c r="B107" s="7" t="s">
        <v>3973</v>
      </c>
      <c r="C107" s="7" t="s">
        <v>1207</v>
      </c>
      <c r="D107" s="7" t="s">
        <v>6711</v>
      </c>
      <c r="E107" s="7" t="s">
        <v>6733</v>
      </c>
      <c r="F107" s="7" t="s">
        <v>6739</v>
      </c>
      <c r="G107" s="7" t="s">
        <v>6387</v>
      </c>
      <c r="H107" s="7"/>
      <c r="I107" s="7"/>
      <c r="J107" s="20" t="str">
        <f>VLOOKUP(V107,Table_to_BRG!A:D,3,FALSE)</f>
        <v>Purchasing data</v>
      </c>
      <c r="K107" s="20" t="str">
        <f>VLOOKUP(V107,Table_to_BRG!A:D,2,FALSE)</f>
        <v>Purchasing org.</v>
      </c>
      <c r="L107" s="20"/>
      <c r="M107" s="20"/>
      <c r="N107" s="9"/>
      <c r="O107" s="54"/>
      <c r="P107" s="7" t="s">
        <v>8463</v>
      </c>
      <c r="Q107" s="11" t="str">
        <f>UPPER(LEFT(Table362[[#This Row],[Entity]],3))&amp;RIGHT("00"&amp;Table362[[#This Row],[Rule '# by Entity]],3)&amp;"0_"&amp;MID(SUBSTITUTE(Table362[[#This Row],[Rule Name]],"_","|",3),SEARCH("|",SUBSTITUTE(Table362[[#This Row],[Rule Name]],"_","|",3))+1,LEN(Table362[[#This Row],[Rule Name]]))</f>
        <v>VEN0680_PROACTControlProfileRef</v>
      </c>
      <c r="R107" s="8" t="s">
        <v>8279</v>
      </c>
      <c r="S107" s="7" t="s">
        <v>2</v>
      </c>
      <c r="T107" s="7"/>
      <c r="U107" s="7" t="s">
        <v>381</v>
      </c>
      <c r="V107" s="7" t="s">
        <v>3818</v>
      </c>
      <c r="W107" s="7" t="s">
        <v>3903</v>
      </c>
      <c r="X107" s="8" t="s">
        <v>3931</v>
      </c>
      <c r="Y107" s="7" t="s">
        <v>6007</v>
      </c>
      <c r="Z107" s="7" t="s">
        <v>3903</v>
      </c>
      <c r="AA107" s="11" t="str">
        <f>"BEGIN
     RETURN exists('DS_IS_RDS', '"&amp;Table362[[#This Row],[Lookup Table]]&amp;"', '"&amp;Table362[[#This Row],[Lookup Field]]&amp;"', "&amp;Table362[[#This Row],[IS Parameter]]&amp;");
END"</f>
        <v>BEGIN
     RETURN exists('DS_IS_RDS', 'TWVMO', 'PAPRF', $P_I_ProactControlProfile);
END</v>
      </c>
      <c r="AB107" s="11"/>
      <c r="AC107" s="10" t="s">
        <v>6663</v>
      </c>
      <c r="AD107" s="10"/>
      <c r="AE107" s="13" t="str">
        <f>IF(Table362[[#This Row],[Entity]]="Customer","KUNNR",IF(Table362[[#This Row],[Entity]]="Vendor","LIFNR","MATNR"))&amp;",EKORG,"&amp;Table362[[#This Row],[Field]]</f>
        <v>LIFNR,EKORG,PAPRF</v>
      </c>
      <c r="AF107" s="13" t="str">
        <f>"VW_"&amp;Table362[[#This Row],[New Rule Name]]</f>
        <v>VW_VEN0680_PROACTControlProfileRef</v>
      </c>
      <c r="AG107" s="11" t="str">
        <f>"create view "&amp;Table362[[#This Row],[View Name]]&amp;" as 
     select 
          "&amp;IF(Table362[[#This Row],[Entity]]="Customer","KUNNR",IF(Table362[[#This Row],[Entity]]="Vendor","LIFNR","MATNR"))&amp;",
          EKORG,
          "&amp;Table362[[#This Row],[Field]]&amp;" 
     from "&amp;Table362[[#This Row],[Table]]</f>
        <v>create view VW_VEN0680_PROACTControlProfileRef as 
     select 
          LIFNR,
          EKORG,
          PAPRF 
     from LFM1</v>
      </c>
      <c r="AH107" s="8"/>
      <c r="AI107" s="20"/>
      <c r="AJ107" s="20"/>
      <c r="AK107" s="31">
        <v>68</v>
      </c>
      <c r="AL107" s="31"/>
    </row>
    <row r="108" spans="1:38" s="3" customFormat="1" ht="108" hidden="1" x14ac:dyDescent="0.25">
      <c r="A108" s="9">
        <v>101</v>
      </c>
      <c r="B108" s="7" t="s">
        <v>3973</v>
      </c>
      <c r="C108" s="7" t="s">
        <v>16</v>
      </c>
      <c r="D108" s="7" t="s">
        <v>6716</v>
      </c>
      <c r="E108" s="7" t="s">
        <v>6717</v>
      </c>
      <c r="F108" s="7" t="s">
        <v>6718</v>
      </c>
      <c r="G108" s="7" t="s">
        <v>6365</v>
      </c>
      <c r="H108" s="7" t="s">
        <v>6366</v>
      </c>
      <c r="I108" s="7" t="s">
        <v>6436</v>
      </c>
      <c r="J108" s="20" t="str">
        <f>VLOOKUP(V108,Table_to_BRG!A:D,3,FALSE)</f>
        <v>Licenses</v>
      </c>
      <c r="K108" s="20" t="str">
        <f>VLOOKUP(V108,Table_to_BRG!A:D,2,FALSE)</f>
        <v>Licenses</v>
      </c>
      <c r="L108" s="20"/>
      <c r="M108" s="20"/>
      <c r="N108" s="9"/>
      <c r="O108" s="54"/>
      <c r="P108" s="7" t="s">
        <v>8144</v>
      </c>
      <c r="Q108" s="11" t="str">
        <f>UPPER(LEFT(Table362[[#This Row],[Entity]],3))&amp;RIGHT("00"&amp;Table362[[#This Row],[Rule '# by Entity]],3)&amp;"0_"&amp;MID(SUBSTITUTE(Table362[[#This Row],[Rule Name]],"_","|",3),SEARCH("|",SUBSTITUTE(Table362[[#This Row],[Rule Name]],"_","|",3))+1,LEN(Table362[[#This Row],[Rule Name]]))</f>
        <v>CUS0840_LicenseValidToDatePopulated</v>
      </c>
      <c r="R108" s="8" t="s">
        <v>8072</v>
      </c>
      <c r="S108" s="7" t="s">
        <v>4135</v>
      </c>
      <c r="T108" s="7" t="s">
        <v>2</v>
      </c>
      <c r="U108" s="7" t="s">
        <v>27</v>
      </c>
      <c r="V108" s="7" t="s">
        <v>3327</v>
      </c>
      <c r="W108" s="7" t="s">
        <v>3309</v>
      </c>
      <c r="X108" s="8" t="s">
        <v>3325</v>
      </c>
      <c r="Y108" s="7" t="s">
        <v>5978</v>
      </c>
      <c r="Z108" s="7" t="s">
        <v>5978</v>
      </c>
      <c r="AA108" s="10" t="s">
        <v>8606</v>
      </c>
      <c r="AB108" s="11" t="str">
        <f>Table362[[#This Row],[IS Parameter]]&amp;" IS NOT NULL"</f>
        <v>$P_I_LicenseValidToDate IS NOT NULL</v>
      </c>
      <c r="AC108" s="10" t="s">
        <v>6813</v>
      </c>
      <c r="AD108" s="10"/>
      <c r="AE108" s="13" t="str">
        <f>IF(Table362[[#This Row],[Entity]]="Customer","KUNNR",IF(Table362[[#This Row],[Entity]]="Vendor","LIFNR","MATNR"))&amp;",ALAND,TATYP,LICNR"&amp;","&amp;Table362[[#This Row],[Field]]</f>
        <v>KUNNR,ALAND,TATYP,LICNR,DATBI</v>
      </c>
      <c r="AF108" s="13" t="str">
        <f>"VW_"&amp;Table362[[#This Row],[New Rule Name]]</f>
        <v>VW_CUS0840_LicenseValidToDatePopulated</v>
      </c>
      <c r="AG108" s="11" t="str">
        <f>"create view "&amp;Table362[[#This Row],[View Name]]&amp;" as 
     select
          "&amp;IF(Table362[[#This Row],[Entity]]="Customer","KUNNR",IF(Table362[[#This Row],[Entity]]="Vendor","LIFNR","MATNR"))&amp;",
          ALAND,
          TATYP,
          LICNR,
          "&amp;Table362[[#This Row],[Field]]&amp;" 
     from "&amp;Table362[[#This Row],[Table]]</f>
        <v>create view VW_CUS0840_LicenseValidToDatePopulated as 
     select
          KUNNR,
          ALAND,
          TATYP,
          LICNR,
          DATBI 
     from KNVL</v>
      </c>
      <c r="AH108" s="8"/>
      <c r="AI108" s="20" t="s">
        <v>6534</v>
      </c>
      <c r="AJ108" s="20"/>
      <c r="AK108" s="31">
        <v>84</v>
      </c>
      <c r="AL108" s="31"/>
    </row>
    <row r="109" spans="1:38" s="3" customFormat="1" ht="72" x14ac:dyDescent="0.25">
      <c r="A109" s="9">
        <v>102</v>
      </c>
      <c r="B109" s="7" t="s">
        <v>3973</v>
      </c>
      <c r="C109" s="7" t="s">
        <v>3</v>
      </c>
      <c r="D109" s="7" t="s">
        <v>6711</v>
      </c>
      <c r="E109" s="7" t="s">
        <v>6712</v>
      </c>
      <c r="F109" s="7" t="s">
        <v>6725</v>
      </c>
      <c r="G109" s="7" t="s">
        <v>6385</v>
      </c>
      <c r="H109" s="7"/>
      <c r="I109" s="7"/>
      <c r="J109" s="20" t="str">
        <f>VLOOKUP(V109,Table_to_BRG!A:D,3,FALSE)</f>
        <v>General data</v>
      </c>
      <c r="K109" s="20" t="str">
        <f>VLOOKUP(V109,Table_to_BRG!A:D,2,FALSE)</f>
        <v>General</v>
      </c>
      <c r="L109" s="20"/>
      <c r="M109" s="20"/>
      <c r="N109" s="9"/>
      <c r="O109" s="54"/>
      <c r="P109" s="7" t="s">
        <v>8351</v>
      </c>
      <c r="Q109" s="11" t="str">
        <f>UPPER(LEFT(Table362[[#This Row],[Entity]],3))&amp;RIGHT("00"&amp;Table362[[#This Row],[Rule '# by Entity]],3)&amp;"0_"&amp;MID(SUBSTITUTE(Table362[[#This Row],[Rule Name]],"_","|",3),SEARCH("|",SUBSTITUTE(Table362[[#This Row],[Rule Name]],"_","|",3))+1,LEN(Table362[[#This Row],[Rule Name]]))</f>
        <v>MAT0310_GeneralItemCategoryGroupRef</v>
      </c>
      <c r="R109" s="8" t="s">
        <v>7925</v>
      </c>
      <c r="S109" s="7" t="s">
        <v>2</v>
      </c>
      <c r="T109" s="7"/>
      <c r="U109" s="7" t="s">
        <v>386</v>
      </c>
      <c r="V109" s="7" t="s">
        <v>1526</v>
      </c>
      <c r="W109" s="7" t="s">
        <v>1625</v>
      </c>
      <c r="X109" s="8" t="s">
        <v>1647</v>
      </c>
      <c r="Y109" s="7" t="s">
        <v>4180</v>
      </c>
      <c r="Z109" s="7" t="s">
        <v>2503</v>
      </c>
      <c r="AA109" s="11" t="str">
        <f>"BEGIN
     RETURN exists('DS_IS_RDS', '"&amp;Table362[[#This Row],[Lookup Table]]&amp;"', '"&amp;Table362[[#This Row],[Lookup Field]]&amp;"', "&amp;Table362[[#This Row],[IS Parameter]]&amp;");
END"</f>
        <v>BEGIN
     RETURN exists('DS_IS_RDS', 'TPTM', 'MTPOS', $P_I_GenItemCatGroup);
END</v>
      </c>
      <c r="AB109" s="11" t="str">
        <f>Table362[[#This Row],[IS Parameter]]&amp;" IS NOT NULL AND rtrim("&amp;Table362[[#This Row],[IS Parameter]]&amp;", ' ') != ''"</f>
        <v>$P_I_GenItemCatGroup IS NOT NULL AND rtrim($P_I_GenItemCatGroup, ' ') != ''</v>
      </c>
      <c r="AC109" s="10" t="s">
        <v>6663</v>
      </c>
      <c r="AD109" s="10"/>
      <c r="AE109" s="13" t="str">
        <f>IF(Table362[[#This Row],[Entity]]="Customer","KUNNR",IF(Table362[[#This Row],[Entity]]="Vendor","LIFNR","MATNR"))&amp;","&amp;Table362[[#This Row],[Field]]</f>
        <v>MATNR,MTPOS_MARA</v>
      </c>
      <c r="AF109" s="13" t="str">
        <f>"VW_"&amp;Table362[[#This Row],[New Rule Name]]</f>
        <v>VW_MAT0310_GeneralItemCategoryGroupRef</v>
      </c>
      <c r="AG109" s="11" t="str">
        <f>"create view "&amp;Table362[[#This Row],[View Name]]&amp;" as 
     select 
          "&amp;IF(Table362[[#This Row],[Entity]]="Customer","KUNNR",IF(Table362[[#This Row],[Entity]]="Vendor","LIFNR","MATNR"))&amp;",
          "&amp;Table362[[#This Row],[Field]]&amp;" 
     from "&amp;Table362[[#This Row],[Table]]</f>
        <v>create view VW_MAT0310_GeneralItemCategoryGroupRef as 
     select 
          MATNR,
          MTPOS_MARA 
     from MARA</v>
      </c>
      <c r="AH109" s="8"/>
      <c r="AI109" s="20"/>
      <c r="AJ109" s="20"/>
      <c r="AK109" s="31">
        <v>31</v>
      </c>
      <c r="AL109" s="31"/>
    </row>
    <row r="110" spans="1:38" s="3" customFormat="1" ht="84" x14ac:dyDescent="0.25">
      <c r="A110" s="9">
        <v>103</v>
      </c>
      <c r="B110" s="7" t="s">
        <v>3973</v>
      </c>
      <c r="C110" s="7" t="s">
        <v>3</v>
      </c>
      <c r="D110" s="7" t="s">
        <v>5978</v>
      </c>
      <c r="E110" s="7" t="s">
        <v>5978</v>
      </c>
      <c r="F110" s="7" t="s">
        <v>5978</v>
      </c>
      <c r="G110" s="7" t="s">
        <v>6687</v>
      </c>
      <c r="H110" s="7" t="s">
        <v>6688</v>
      </c>
      <c r="I110" s="7"/>
      <c r="J110" s="20" t="str">
        <f>VLOOKUP(V110,Table_to_BRG!A:D,3,FALSE)</f>
        <v>Warehouse data</v>
      </c>
      <c r="K110" s="20" t="str">
        <f>VLOOKUP(V110,Table_to_BRG!A:D,2,FALSE)</f>
        <v>Material Data for Each Warehouse Number</v>
      </c>
      <c r="L110" s="20"/>
      <c r="M110" s="20"/>
      <c r="N110" s="9"/>
      <c r="O110" s="54"/>
      <c r="P110" s="7" t="s">
        <v>8352</v>
      </c>
      <c r="Q110" s="11" t="str">
        <f>UPPER(LEFT(Table362[[#This Row],[Entity]],3))&amp;RIGHT("00"&amp;Table362[[#This Row],[Rule '# by Entity]],3)&amp;"0_"&amp;MID(SUBSTITUTE(Table362[[#This Row],[Rule Name]],"_","|",3),SEARCH("|",SUBSTITUTE(Table362[[#This Row],[Rule Name]],"_","|",3))+1,LEN(Table362[[#This Row],[Rule Name]]))</f>
        <v>MAT1190_StockRemovalorReplacementRef</v>
      </c>
      <c r="R110" s="8" t="s">
        <v>7923</v>
      </c>
      <c r="S110" s="7" t="s">
        <v>2</v>
      </c>
      <c r="T110" s="7"/>
      <c r="U110" s="7" t="s">
        <v>390</v>
      </c>
      <c r="V110" s="7" t="s">
        <v>2594</v>
      </c>
      <c r="W110" s="8" t="s">
        <v>2572</v>
      </c>
      <c r="X110" s="8" t="s">
        <v>2586</v>
      </c>
      <c r="Y110" s="7" t="s">
        <v>6008</v>
      </c>
      <c r="Z110" s="7" t="s">
        <v>6009</v>
      </c>
      <c r="AA110" s="11" t="str">
        <f>"BEGIN
     RETURN exists('DS_IS_RDS', '"&amp;Table362[[#This Row],[Lookup Table]]&amp;"', '"&amp;Table362[[#This Row],[Lookup Field]]&amp;"', "&amp;Table362[[#This Row],[IS Parameter]]&amp;");
END"</f>
        <v>BEGIN
     RETURN exists('DS_IS_RDS', 'T305', 'LGTKZ', $P_I_StockRemovalReplacement);
END</v>
      </c>
      <c r="AB110" s="11" t="str">
        <f>Table362[[#This Row],[IS Parameter]]&amp;" IS NOT NULL AND rtrim("&amp;Table362[[#This Row],[IS Parameter]]&amp;", ' ') != ''"</f>
        <v>$P_I_StockRemovalReplacement IS NOT NULL AND rtrim($P_I_StockRemovalReplacement, ' ') != ''</v>
      </c>
      <c r="AC110" s="10" t="s">
        <v>6663</v>
      </c>
      <c r="AD110" s="10"/>
      <c r="AE110" s="13" t="str">
        <f>IF(Table362[[#This Row],[Entity]]="Customer","KUNNR",IF(Table362[[#This Row],[Entity]]="Vendor","LIFNR","MATNR"))&amp;",LGNUM,"&amp;Table362[[#This Row],[Field]]</f>
        <v>MATNR,LGNUM,LTKZA</v>
      </c>
      <c r="AF110" s="13" t="str">
        <f>"VW_"&amp;Table362[[#This Row],[New Rule Name]]</f>
        <v>VW_MAT1190_StockRemovalorReplacementRef</v>
      </c>
      <c r="AG110" s="11" t="str">
        <f>"create view "&amp;Table362[[#This Row],[View Name]]&amp;" as 
     select 
          "&amp;IF(Table362[[#This Row],[Entity]]="Customer","KUNNR",IF(Table362[[#This Row],[Entity]]="Vendor","LIFNR","MATNR"))&amp;",
          LGNUM,
          "&amp;Table362[[#This Row],[Field]]&amp;" 
     from "&amp;Table362[[#This Row],[Table]]</f>
        <v>create view VW_MAT1190_StockRemovalorReplacementRef as 
     select 
          MATNR,
          LGNUM,
          LTKZA 
     from MLGN</v>
      </c>
      <c r="AH110" s="8" t="s">
        <v>7754</v>
      </c>
      <c r="AI110" s="20"/>
      <c r="AJ110" s="20"/>
      <c r="AK110" s="31">
        <v>119</v>
      </c>
      <c r="AL110" s="31"/>
    </row>
    <row r="111" spans="1:38" s="3" customFormat="1" ht="72" hidden="1" x14ac:dyDescent="0.25">
      <c r="A111" s="9">
        <v>105</v>
      </c>
      <c r="B111" s="7" t="s">
        <v>3973</v>
      </c>
      <c r="C111" s="7" t="s">
        <v>1207</v>
      </c>
      <c r="D111" s="7" t="s">
        <v>6719</v>
      </c>
      <c r="E111" s="7" t="s">
        <v>6720</v>
      </c>
      <c r="F111" s="7" t="s">
        <v>6732</v>
      </c>
      <c r="G111" s="7" t="s">
        <v>6358</v>
      </c>
      <c r="H111" s="7" t="s">
        <v>6360</v>
      </c>
      <c r="I111" s="7" t="s">
        <v>3970</v>
      </c>
      <c r="J111" s="20" t="str">
        <f>VLOOKUP(V111,Table_to_BRG!A:D,3,FALSE)</f>
        <v>Company Code data</v>
      </c>
      <c r="K111" s="20" t="str">
        <f>VLOOKUP(V111,Table_to_BRG!A:D,2,FALSE)</f>
        <v>Company Code</v>
      </c>
      <c r="L111" s="20"/>
      <c r="M111" s="20"/>
      <c r="N111" s="9"/>
      <c r="O111" s="54"/>
      <c r="P111" s="7" t="s">
        <v>8464</v>
      </c>
      <c r="Q111" s="11" t="str">
        <f>UPPER(LEFT(Table362[[#This Row],[Entity]],3))&amp;RIGHT("00"&amp;Table362[[#This Row],[Rule '# by Entity]],3)&amp;"0_"&amp;MID(SUBSTITUTE(Table362[[#This Row],[Rule Name]],"_","|",3),SEARCH("|",SUBSTITUTE(Table362[[#This Row],[Rule Name]],"_","|",3))+1,LEN(Table362[[#This Row],[Rule Name]]))</f>
        <v>VEN0450_HouseBankRef</v>
      </c>
      <c r="R111" s="13" t="s">
        <v>8252</v>
      </c>
      <c r="S111" s="7" t="s">
        <v>2</v>
      </c>
      <c r="T111" s="7"/>
      <c r="U111" s="7" t="s">
        <v>398</v>
      </c>
      <c r="V111" s="7" t="s">
        <v>3543</v>
      </c>
      <c r="W111" s="7" t="s">
        <v>2897</v>
      </c>
      <c r="X111" s="8" t="s">
        <v>2916</v>
      </c>
      <c r="Y111" s="7" t="s">
        <v>5774</v>
      </c>
      <c r="Z111" s="7" t="s">
        <v>2897</v>
      </c>
      <c r="AA111" s="11" t="str">
        <f>"BEGIN
     RETURN exists('DS_IS_RDS', '"&amp;Table362[[#This Row],[Lookup Table]]&amp;"', '"&amp;Table362[[#This Row],[Lookup Field]]&amp;"', "&amp;Table362[[#This Row],[IS Parameter]]&amp;");
END"</f>
        <v>BEGIN
     RETURN exists('DS_IS_RDS', 'T012', 'HBKID', $P_I_HouseBank);
END</v>
      </c>
      <c r="AB111" s="11"/>
      <c r="AC111" s="10" t="s">
        <v>6663</v>
      </c>
      <c r="AD111" s="10"/>
      <c r="AE111" s="13" t="str">
        <f>IF(Table362[[#This Row],[Entity]]="Customer","KUNNR",IF(Table362[[#This Row],[Entity]]="Vendor","LIFNR","MATNR"))&amp;",BUKRS,"&amp;Table362[[#This Row],[Field]]</f>
        <v>LIFNR,BUKRS,HBKID</v>
      </c>
      <c r="AF111" s="13" t="str">
        <f>"VW_"&amp;Table362[[#This Row],[New Rule Name]]</f>
        <v>VW_VEN0450_HouseBankRef</v>
      </c>
      <c r="AG111" s="11" t="str">
        <f>"create view "&amp;Table362[[#This Row],[View Name]]&amp;" as 
     select 
          "&amp;IF(Table362[[#This Row],[Entity]]="Customer","KUNNR",IF(Table362[[#This Row],[Entity]]="Vendor","LIFNR","MATNR"))&amp;",
          BUKRS,
          "&amp;Table362[[#This Row],[Field]]&amp;" 
     from "&amp;Table362[[#This Row],[Table]]</f>
        <v>create view VW_VEN0450_HouseBankRef as 
     select 
          LIFNR,
          BUKRS,
          HBKID 
     from LFB1</v>
      </c>
      <c r="AH111" s="8"/>
      <c r="AI111" s="20" t="s">
        <v>7563</v>
      </c>
      <c r="AJ111" s="20"/>
      <c r="AK111" s="31">
        <v>45</v>
      </c>
      <c r="AL111" s="31"/>
    </row>
    <row r="112" spans="1:38" s="3" customFormat="1" ht="72" hidden="1" x14ac:dyDescent="0.25">
      <c r="A112" s="9">
        <v>106</v>
      </c>
      <c r="B112" s="7" t="s">
        <v>3973</v>
      </c>
      <c r="C112" s="7" t="s">
        <v>1207</v>
      </c>
      <c r="D112" s="7" t="s">
        <v>6711</v>
      </c>
      <c r="E112" s="7" t="s">
        <v>6714</v>
      </c>
      <c r="F112" s="7" t="s">
        <v>6742</v>
      </c>
      <c r="G112" s="7" t="s">
        <v>6361</v>
      </c>
      <c r="H112" s="7" t="s">
        <v>6362</v>
      </c>
      <c r="I112" s="7"/>
      <c r="J112" s="20" t="str">
        <f>VLOOKUP(V112,Table_to_BRG!A:D,3,FALSE)</f>
        <v>Contact data</v>
      </c>
      <c r="K112" s="20" t="str">
        <f>VLOOKUP(V112,Table_to_BRG!A:D,2,FALSE)</f>
        <v>Contact partner</v>
      </c>
      <c r="L112" s="20"/>
      <c r="M112" s="20"/>
      <c r="N112" s="9" t="s">
        <v>6465</v>
      </c>
      <c r="O112" s="54" t="s">
        <v>7565</v>
      </c>
      <c r="P112" s="7" t="s">
        <v>8465</v>
      </c>
      <c r="Q112" s="11" t="str">
        <f>UPPER(LEFT(Table362[[#This Row],[Entity]],3))&amp;RIGHT("00"&amp;Table362[[#This Row],[Rule '# by Entity]],3)&amp;"0_"&amp;MID(SUBSTITUTE(Table362[[#This Row],[Rule Name]],"_","|",3),SEARCH("|",SUBSTITUTE(Table362[[#This Row],[Rule Name]],"_","|",3))+1,LEN(Table362[[#This Row],[Rule Name]]))</f>
        <v>VEN000_MaritalStatusRef</v>
      </c>
      <c r="R112" s="13" t="s">
        <v>6487</v>
      </c>
      <c r="S112" s="7" t="s">
        <v>2</v>
      </c>
      <c r="T112" s="7"/>
      <c r="U112" s="7" t="s">
        <v>402</v>
      </c>
      <c r="V112" s="8" t="s">
        <v>3001</v>
      </c>
      <c r="W112" s="8" t="s">
        <v>3670</v>
      </c>
      <c r="X112" s="8" t="s">
        <v>6439</v>
      </c>
      <c r="Y112" s="7" t="s">
        <v>5744</v>
      </c>
      <c r="Z112" s="7" t="s">
        <v>3670</v>
      </c>
      <c r="AA112" s="11" t="str">
        <f>"BEGIN
     RETURN exists('DS_IS_RDS', '"&amp;Table362[[#This Row],[Lookup Table]]&amp;"', '"&amp;Table362[[#This Row],[Lookup Field]]&amp;"', "&amp;Table362[[#This Row],[IS Parameter]]&amp;");
END"</f>
        <v>BEGIN
     RETURN exists('DS_IS_RDS', 'T502T', 'FAMST', $P_I_MaritalStatus);
END</v>
      </c>
      <c r="AB112" s="11"/>
      <c r="AC112" s="10" t="s">
        <v>6663</v>
      </c>
      <c r="AD112" s="10"/>
      <c r="AE112" s="13" t="str">
        <f>"PARNR,LIFNR,"&amp;Table362[[#This Row],[Field]]</f>
        <v>PARNR,LIFNR,FAMST</v>
      </c>
      <c r="AF112" s="13" t="str">
        <f>"VW_"&amp;Table362[[#This Row],[New Rule Name]]</f>
        <v>VW_VEN000_MaritalStatusRef</v>
      </c>
      <c r="AG112" s="11" t="str">
        <f>"create view "&amp;Table362[[#This Row],[View Name]]&amp;" as 
     select 
          PARNR,
          LIFNR,
          "&amp;Table362[[#This Row],[Field]]&amp;" 
     from "&amp;Table362[[#This Row],[Table]]</f>
        <v>create view VW_VEN000_MaritalStatusRef as 
     select 
          PARNR,
          LIFNR,
          FAMST 
     from KNVK</v>
      </c>
      <c r="AH112" s="8"/>
      <c r="AI112" s="20" t="s">
        <v>7567</v>
      </c>
      <c r="AJ112" s="20"/>
      <c r="AK112" s="36"/>
      <c r="AL112" s="31"/>
    </row>
    <row r="113" spans="1:38" s="3" customFormat="1" ht="72" hidden="1" x14ac:dyDescent="0.25">
      <c r="A113" s="9">
        <v>107</v>
      </c>
      <c r="B113" s="7" t="s">
        <v>3973</v>
      </c>
      <c r="C113" s="7" t="s">
        <v>1207</v>
      </c>
      <c r="D113" s="7" t="s">
        <v>6711</v>
      </c>
      <c r="E113" s="7" t="s">
        <v>6733</v>
      </c>
      <c r="F113" s="7" t="s">
        <v>6739</v>
      </c>
      <c r="G113" s="7" t="s">
        <v>6387</v>
      </c>
      <c r="H113" s="7"/>
      <c r="I113" s="7"/>
      <c r="J113" s="20" t="str">
        <f>VLOOKUP(V113,Table_to_BRG!A:D,3,FALSE)</f>
        <v>Purchasing data</v>
      </c>
      <c r="K113" s="20" t="str">
        <f>VLOOKUP(V113,Table_to_BRG!A:D,2,FALSE)</f>
        <v>Purchasing org.</v>
      </c>
      <c r="L113" s="20"/>
      <c r="M113" s="20"/>
      <c r="N113" s="9"/>
      <c r="O113" s="54"/>
      <c r="P113" s="7" t="s">
        <v>8466</v>
      </c>
      <c r="Q113" s="11" t="str">
        <f>UPPER(LEFT(Table362[[#This Row],[Entity]],3))&amp;RIGHT("00"&amp;Table362[[#This Row],[Rule '# by Entity]],3)&amp;"0_"&amp;MID(SUBSTITUTE(Table362[[#This Row],[Rule Name]],"_","|",3),SEARCH("|",SUBSTITUTE(Table362[[#This Row],[Rule Name]],"_","|",3))+1,LEN(Table362[[#This Row],[Rule Name]]))</f>
        <v>VEN0570_POCurrencyPopulated</v>
      </c>
      <c r="R113" s="8" t="s">
        <v>8289</v>
      </c>
      <c r="S113" s="7" t="s">
        <v>21</v>
      </c>
      <c r="T113" s="7"/>
      <c r="U113" s="7" t="s">
        <v>6091</v>
      </c>
      <c r="V113" s="7" t="s">
        <v>3818</v>
      </c>
      <c r="W113" s="7" t="s">
        <v>2850</v>
      </c>
      <c r="X113" s="8" t="s">
        <v>3917</v>
      </c>
      <c r="Y113" s="7" t="s">
        <v>5978</v>
      </c>
      <c r="Z113" s="7" t="s">
        <v>5978</v>
      </c>
      <c r="AA113" s="10" t="s">
        <v>406</v>
      </c>
      <c r="AB113" s="10"/>
      <c r="AC113" s="10" t="s">
        <v>6813</v>
      </c>
      <c r="AD113" s="10"/>
      <c r="AE113" s="13" t="str">
        <f>IF(Table362[[#This Row],[Entity]]="Customer","KUNNR",IF(Table362[[#This Row],[Entity]]="Vendor","LIFNR","MATNR"))&amp;",EKORG,"&amp;Table362[[#This Row],[Field]]</f>
        <v>LIFNR,EKORG,WAERS</v>
      </c>
      <c r="AF113" s="13" t="str">
        <f>"VW_"&amp;Table362[[#This Row],[New Rule Name]]</f>
        <v>VW_VEN0570_POCurrencyPopulated</v>
      </c>
      <c r="AG113" s="11" t="str">
        <f>"create view "&amp;Table362[[#This Row],[View Name]]&amp;" as 
     select 
          "&amp;IF(Table362[[#This Row],[Entity]]="Customer","KUNNR",IF(Table362[[#This Row],[Entity]]="Vendor","LIFNR","MATNR"))&amp;",
          EKORG,
          "&amp;Table362[[#This Row],[Field]]&amp;" 
     from "&amp;Table362[[#This Row],[Table]]</f>
        <v>create view VW_VEN0570_POCurrencyPopulated as 
     select 
          LIFNR,
          EKORG,
          WAERS 
     from LFM1</v>
      </c>
      <c r="AH113" s="8"/>
      <c r="AI113" s="20" t="s">
        <v>7811</v>
      </c>
      <c r="AJ113" s="20"/>
      <c r="AK113" s="31">
        <v>57</v>
      </c>
      <c r="AL113" s="31"/>
    </row>
    <row r="114" spans="1:38" s="3" customFormat="1" ht="96" x14ac:dyDescent="0.25">
      <c r="A114" s="9">
        <v>108</v>
      </c>
      <c r="B114" s="7" t="s">
        <v>3973</v>
      </c>
      <c r="C114" s="7" t="s">
        <v>3</v>
      </c>
      <c r="D114" s="7" t="s">
        <v>6711</v>
      </c>
      <c r="E114" s="7" t="s">
        <v>6712</v>
      </c>
      <c r="F114" s="7" t="s">
        <v>6729</v>
      </c>
      <c r="G114" s="7" t="s">
        <v>6381</v>
      </c>
      <c r="H114" s="7"/>
      <c r="I114" s="7"/>
      <c r="J114" s="20" t="str">
        <f>VLOOKUP(V114,Table_to_BRG!A:D,3,FALSE)</f>
        <v>Sales data</v>
      </c>
      <c r="K114" s="20" t="str">
        <f>VLOOKUP(V114,Table_to_BRG!A:D,2,FALSE)</f>
        <v>Sales</v>
      </c>
      <c r="L114" s="20"/>
      <c r="M114" s="20"/>
      <c r="N114" s="9"/>
      <c r="O114" s="54"/>
      <c r="P114" s="7" t="s">
        <v>8353</v>
      </c>
      <c r="Q114" s="11" t="str">
        <f>UPPER(LEFT(Table362[[#This Row],[Entity]],3))&amp;RIGHT("00"&amp;Table362[[#This Row],[Rule '# by Entity]],3)&amp;"0_"&amp;MID(SUBSTITUTE(Table362[[#This Row],[Rule Name]],"_","|",3),SEARCH("|",SUBSTITUTE(Table362[[#This Row],[Rule Name]],"_","|",3))+1,LEN(Table362[[#This Row],[Rule Name]]))</f>
        <v>MAT1280_CrossDistributionChainStatusRef</v>
      </c>
      <c r="R114" s="8" t="s">
        <v>7924</v>
      </c>
      <c r="S114" s="7" t="s">
        <v>2</v>
      </c>
      <c r="T114" s="7"/>
      <c r="U114" s="7" t="s">
        <v>409</v>
      </c>
      <c r="V114" s="7" t="s">
        <v>2460</v>
      </c>
      <c r="W114" s="7" t="s">
        <v>2440</v>
      </c>
      <c r="X114" s="8" t="s">
        <v>2453</v>
      </c>
      <c r="Y114" s="7" t="s">
        <v>6010</v>
      </c>
      <c r="Z114" s="7" t="s">
        <v>2440</v>
      </c>
      <c r="AA114" s="11" t="str">
        <f>"BEGIN
     RETURN exists('DS_IS_RDS', '"&amp;Table362[[#This Row],[Lookup Table]]&amp;"', '"&amp;Table362[[#This Row],[Lookup Field]]&amp;"', "&amp;Table362[[#This Row],[IS Parameter]]&amp;");
END"</f>
        <v>BEGIN
     RETURN exists('DS_IS_RDS', 'TVMS', 'VMSTA', $P_I_XDistrChainStatus);
END</v>
      </c>
      <c r="AB114" s="11" t="str">
        <f>Table362[[#This Row],[IS Parameter]]&amp;" IS NOT NULL AND rtrim("&amp;Table362[[#This Row],[IS Parameter]]&amp;", ' ') != ''"</f>
        <v>$P_I_XDistrChainStatus IS NOT NULL AND rtrim($P_I_XDistrChainStatus, ' ') != ''</v>
      </c>
      <c r="AC114" s="10" t="s">
        <v>6663</v>
      </c>
      <c r="AD114" s="10"/>
      <c r="AE114" s="13" t="str">
        <f>IF(Table362[[#This Row],[Entity]]="Customer","KUNNR",IF(Table362[[#This Row],[Entity]]="Vendor","LIFNR","MATNR"))&amp;",VKORG,VTWEG,"&amp;Table362[[#This Row],[Field]]</f>
        <v>MATNR,VKORG,VTWEG,VMSTA</v>
      </c>
      <c r="AF114" s="13" t="str">
        <f>"VW_"&amp;Table362[[#This Row],[New Rule Name]]</f>
        <v>VW_MAT1280_CrossDistributionChainStatusRef</v>
      </c>
      <c r="AG114" s="11" t="str">
        <f>"create view "&amp;Table362[[#This Row],[View Name]]&amp;" as 
     select 
          "&amp;IF(Table362[[#This Row],[Entity]]="Customer","KUNNR",IF(Table362[[#This Row],[Entity]]="Vendor","LIFNR","MATNR"))&amp;",
          VKORG,
          VTWEG,
          "&amp;Table362[[#This Row],[Field]]&amp;" 
     from "&amp;Table362[[#This Row],[Table]]</f>
        <v>create view VW_MAT1280_CrossDistributionChainStatusRef as 
     select 
          MATNR,
          VKORG,
          VTWEG,
          VMSTA 
     from MVKE</v>
      </c>
      <c r="AH114" s="8"/>
      <c r="AI114" s="20"/>
      <c r="AJ114" s="20"/>
      <c r="AK114" s="31">
        <v>128</v>
      </c>
      <c r="AL114" s="31"/>
    </row>
    <row r="115" spans="1:38" s="3" customFormat="1" ht="60" hidden="1" x14ac:dyDescent="0.25">
      <c r="A115" s="9">
        <v>109</v>
      </c>
      <c r="B115" s="7" t="s">
        <v>3973</v>
      </c>
      <c r="C115" s="7" t="s">
        <v>16</v>
      </c>
      <c r="D115" s="7" t="s">
        <v>6711</v>
      </c>
      <c r="E115" s="7" t="s">
        <v>6714</v>
      </c>
      <c r="F115" s="7" t="s">
        <v>6715</v>
      </c>
      <c r="G115" s="7" t="s">
        <v>6361</v>
      </c>
      <c r="H115" s="7" t="s">
        <v>3967</v>
      </c>
      <c r="I115" s="7" t="s">
        <v>3967</v>
      </c>
      <c r="J115" s="20" t="str">
        <f>VLOOKUP(V115,Table_to_BRG!A:D,3,FALSE)</f>
        <v>General data</v>
      </c>
      <c r="K115" s="20" t="str">
        <f>VLOOKUP(V115,Table_to_BRG!A:D,2,FALSE)</f>
        <v>General</v>
      </c>
      <c r="L115" s="20"/>
      <c r="M115" s="20"/>
      <c r="N115" s="9"/>
      <c r="O115" s="54"/>
      <c r="P115" s="7" t="s">
        <v>8084</v>
      </c>
      <c r="Q115" s="11" t="str">
        <f>UPPER(LEFT(Table362[[#This Row],[Entity]],3))&amp;RIGHT("00"&amp;Table362[[#This Row],[Rule '# by Entity]],3)&amp;"0_"&amp;MID(SUBSTITUTE(Table362[[#This Row],[Rule Name]],"_","|",3),SEARCH("|",SUBSTITUTE(Table362[[#This Row],[Rule Name]],"_","|",3))+1,LEN(Table362[[#This Row],[Rule Name]]))</f>
        <v>CUS0070_RegionPopulated</v>
      </c>
      <c r="R115" s="8" t="s">
        <v>8113</v>
      </c>
      <c r="S115" s="7" t="s">
        <v>21</v>
      </c>
      <c r="T115" s="7"/>
      <c r="U115" s="7" t="s">
        <v>265</v>
      </c>
      <c r="V115" s="8" t="s">
        <v>2741</v>
      </c>
      <c r="W115" s="8" t="s">
        <v>2959</v>
      </c>
      <c r="X115" s="8" t="s">
        <v>6424</v>
      </c>
      <c r="Y115" s="7" t="s">
        <v>5978</v>
      </c>
      <c r="Z115" s="7" t="s">
        <v>5978</v>
      </c>
      <c r="AA115" s="10" t="s">
        <v>413</v>
      </c>
      <c r="AB115" s="10"/>
      <c r="AC115" s="10" t="s">
        <v>6813</v>
      </c>
      <c r="AD115" s="10"/>
      <c r="AE115" s="13" t="str">
        <f>IF(Table362[[#This Row],[Entity]]="Customer","KUNNR",IF(Table362[[#This Row],[Entity]]="Vendor","LIFNR","MATNR"))&amp;","&amp;Table362[[#This Row],[Field]]</f>
        <v>KUNNR,REGIO</v>
      </c>
      <c r="AF115" s="13" t="str">
        <f>"VW_"&amp;Table362[[#This Row],[New Rule Name]]</f>
        <v>VW_CUS0070_RegionPopulated</v>
      </c>
      <c r="AG115" s="11" t="str">
        <f>"create view "&amp;Table362[[#This Row],[View Name]]&amp;" as 
     select 
          "&amp;Table362[[#This Row],[Table]]&amp;",
          "&amp;Table362[[#This Row],[Field]]&amp;" 
     from "&amp;Table362[[#This Row],[Table]]</f>
        <v>create view VW_CUS0070_RegionPopulated as 
     select 
          KNA1,
          REGIO 
     from KNA1</v>
      </c>
      <c r="AH115" s="8"/>
      <c r="AI115" s="20" t="s">
        <v>7676</v>
      </c>
      <c r="AJ115" s="20"/>
      <c r="AK115" s="31">
        <v>7</v>
      </c>
      <c r="AL115" s="31"/>
    </row>
    <row r="116" spans="1:38" s="3" customFormat="1" ht="72" hidden="1" x14ac:dyDescent="0.25">
      <c r="A116" s="9">
        <v>110</v>
      </c>
      <c r="B116" s="7" t="s">
        <v>3973</v>
      </c>
      <c r="C116" s="7" t="s">
        <v>1207</v>
      </c>
      <c r="D116" s="7" t="s">
        <v>6719</v>
      </c>
      <c r="E116" s="7" t="s">
        <v>6720</v>
      </c>
      <c r="F116" s="7" t="s">
        <v>6722</v>
      </c>
      <c r="G116" s="7" t="s">
        <v>6361</v>
      </c>
      <c r="H116" s="7" t="s">
        <v>3967</v>
      </c>
      <c r="I116" s="7" t="s">
        <v>3967</v>
      </c>
      <c r="J116" s="20" t="str">
        <f>VLOOKUP(V116,Table_to_BRG!A:D,3,FALSE)</f>
        <v>General data</v>
      </c>
      <c r="K116" s="20" t="str">
        <f>VLOOKUP(V116,Table_to_BRG!A:D,2,FALSE)</f>
        <v>General</v>
      </c>
      <c r="L116" s="20"/>
      <c r="M116" s="20"/>
      <c r="N116" s="9" t="s">
        <v>6465</v>
      </c>
      <c r="O116" s="54" t="str">
        <f>"Replaced by Rule "&amp;A995</f>
        <v>Replaced by Rule 375</v>
      </c>
      <c r="P116" s="7" t="s">
        <v>8467</v>
      </c>
      <c r="Q116" s="11" t="str">
        <f>UPPER(LEFT(Table362[[#This Row],[Entity]],3))&amp;RIGHT("00"&amp;Table362[[#This Row],[Rule '# by Entity]],3)&amp;"0_"&amp;MID(SUBSTITUTE(Table362[[#This Row],[Rule Name]],"_","|",3),SEARCH("|",SUBSTITUTE(Table362[[#This Row],[Rule Name]],"_","|",3))+1,LEN(Table362[[#This Row],[Rule Name]]))</f>
        <v>VEN000_PostalCodeAndCityPopulated</v>
      </c>
      <c r="R116" s="8" t="s">
        <v>6593</v>
      </c>
      <c r="S116" s="7" t="s">
        <v>21</v>
      </c>
      <c r="T116" s="7"/>
      <c r="U116" s="7" t="s">
        <v>752</v>
      </c>
      <c r="V116" s="7" t="s">
        <v>3542</v>
      </c>
      <c r="W116" s="8" t="s">
        <v>2957</v>
      </c>
      <c r="X116" s="8" t="s">
        <v>1394</v>
      </c>
      <c r="Y116" s="7" t="s">
        <v>5978</v>
      </c>
      <c r="Z116" s="7" t="s">
        <v>5978</v>
      </c>
      <c r="AA116" s="10" t="s">
        <v>417</v>
      </c>
      <c r="AB116" s="10"/>
      <c r="AC116" s="10" t="s">
        <v>6813</v>
      </c>
      <c r="AD116" s="10"/>
      <c r="AE116" s="13" t="str">
        <f>IF(Table362[[#This Row],[Entity]]="Customer","KUNNR",IF(Table362[[#This Row],[Entity]]="Vendor","LIFNR","MATNR"))&amp;","&amp;Table362[[#This Row],[Field]]</f>
        <v>LIFNR,PSTLZ</v>
      </c>
      <c r="AF116" s="13" t="str">
        <f>"VW_"&amp;Table362[[#This Row],[New Rule Name]]</f>
        <v>VW_VEN000_PostalCodeAndCityPopulated</v>
      </c>
      <c r="AG116" s="11" t="str">
        <f>"create view "&amp;Table362[[#This Row],[View Name]]&amp;" as 
     select 
          "&amp;IF(Table362[[#This Row],[Entity]]="Customer","KUNNR",IF(Table362[[#This Row],[Entity]]="Vendor","LIFNR","MATNR"))&amp;",
          "&amp;Table362[[#This Row],[Field]]&amp;" 
     from "&amp;Table362[[#This Row],[Table]]</f>
        <v>create view VW_VEN000_PostalCodeAndCityPopulated as 
     select 
          LIFNR,
          PSTLZ 
     from LFA1</v>
      </c>
      <c r="AH116" s="8"/>
      <c r="AI116" s="20" t="s">
        <v>7673</v>
      </c>
      <c r="AJ116" s="20"/>
      <c r="AK116" s="31"/>
      <c r="AL116" s="31"/>
    </row>
    <row r="117" spans="1:38" s="3" customFormat="1" ht="72" hidden="1" x14ac:dyDescent="0.25">
      <c r="A117" s="9">
        <v>111</v>
      </c>
      <c r="B117" s="7" t="s">
        <v>3973</v>
      </c>
      <c r="C117" s="7" t="s">
        <v>1207</v>
      </c>
      <c r="D117" s="7" t="s">
        <v>6711</v>
      </c>
      <c r="E117" s="7" t="s">
        <v>6733</v>
      </c>
      <c r="F117" s="7" t="s">
        <v>6739</v>
      </c>
      <c r="G117" s="7" t="s">
        <v>6387</v>
      </c>
      <c r="H117" s="7"/>
      <c r="I117" s="7"/>
      <c r="J117" s="20" t="str">
        <f>VLOOKUP(V117,Table_to_BRG!A:D,3,FALSE)</f>
        <v>Purchasing data</v>
      </c>
      <c r="K117" s="20" t="str">
        <f>VLOOKUP(V117,Table_to_BRG!A:D,2,FALSE)</f>
        <v>Purchasing org.</v>
      </c>
      <c r="L117" s="20"/>
      <c r="M117" s="20"/>
      <c r="N117" s="9"/>
      <c r="O117" s="54"/>
      <c r="P117" s="7" t="s">
        <v>8468</v>
      </c>
      <c r="Q117" s="11" t="str">
        <f>UPPER(LEFT(Table362[[#This Row],[Entity]],3))&amp;RIGHT("00"&amp;Table362[[#This Row],[Rule '# by Entity]],3)&amp;"0_"&amp;MID(SUBSTITUTE(Table362[[#This Row],[Rule Name]],"_","|",3),SEARCH("|",SUBSTITUTE(Table362[[#This Row],[Rule Name]],"_","|",3))+1,LEN(Table362[[#This Row],[Rule Name]]))</f>
        <v>VEN0660_UnitOfMeasureGroupRef</v>
      </c>
      <c r="R117" s="13" t="s">
        <v>8278</v>
      </c>
      <c r="S117" s="7" t="s">
        <v>2</v>
      </c>
      <c r="T117" s="7"/>
      <c r="U117" s="7" t="s">
        <v>330</v>
      </c>
      <c r="V117" s="7" t="s">
        <v>3818</v>
      </c>
      <c r="W117" s="7" t="s">
        <v>2063</v>
      </c>
      <c r="X117" s="8" t="s">
        <v>2072</v>
      </c>
      <c r="Y117" s="7" t="s">
        <v>5843</v>
      </c>
      <c r="Z117" s="7" t="s">
        <v>2063</v>
      </c>
      <c r="AA117" s="11" t="str">
        <f>"BEGIN
     RETURN exists('DS_IS_RDS', '"&amp;Table362[[#This Row],[Lookup Table]]&amp;"', '"&amp;Table362[[#This Row],[Lookup Field]]&amp;"', "&amp;Table362[[#This Row],[IS Parameter]]&amp;");
END"</f>
        <v>BEGIN
     RETURN exists('DS_IS_RDS', 'TWMEG', 'MEGRU', $P_I_UOMGroup);
END</v>
      </c>
      <c r="AB117" s="11"/>
      <c r="AC117" s="10" t="s">
        <v>6663</v>
      </c>
      <c r="AD117" s="10"/>
      <c r="AE117" s="13" t="str">
        <f>IF(Table362[[#This Row],[Entity]]="Customer","KUNNR",IF(Table362[[#This Row],[Entity]]="Vendor","LIFNR","MATNR"))&amp;",EKORG,"&amp;Table362[[#This Row],[Field]]</f>
        <v>LIFNR,EKORG,MEGRU</v>
      </c>
      <c r="AF117" s="13" t="str">
        <f>"VW_"&amp;Table362[[#This Row],[New Rule Name]]</f>
        <v>VW_VEN0660_UnitOfMeasureGroupRef</v>
      </c>
      <c r="AG117" s="11" t="str">
        <f>"create view "&amp;Table362[[#This Row],[View Name]]&amp;" as 
     select 
          "&amp;IF(Table362[[#This Row],[Entity]]="Customer","KUNNR",IF(Table362[[#This Row],[Entity]]="Vendor","LIFNR","MATNR"))&amp;",
          EKORG,
          "&amp;Table362[[#This Row],[Field]]&amp;" 
     from "&amp;Table362[[#This Row],[Table]]</f>
        <v>create view VW_VEN0660_UnitOfMeasureGroupRef as 
     select 
          LIFNR,
          EKORG,
          MEGRU 
     from LFM1</v>
      </c>
      <c r="AH117" s="8"/>
      <c r="AI117" s="20" t="s">
        <v>7639</v>
      </c>
      <c r="AJ117" s="20"/>
      <c r="AK117" s="31">
        <v>66</v>
      </c>
      <c r="AL117" s="31"/>
    </row>
    <row r="118" spans="1:38" s="3" customFormat="1" ht="60" hidden="1" x14ac:dyDescent="0.25">
      <c r="A118" s="9">
        <v>112</v>
      </c>
      <c r="B118" s="7" t="s">
        <v>3973</v>
      </c>
      <c r="C118" s="7" t="s">
        <v>3</v>
      </c>
      <c r="D118" s="7" t="s">
        <v>6711</v>
      </c>
      <c r="E118" s="7" t="s">
        <v>6712</v>
      </c>
      <c r="F118" s="7" t="s">
        <v>6725</v>
      </c>
      <c r="G118" s="7" t="s">
        <v>6703</v>
      </c>
      <c r="H118" s="7" t="s">
        <v>6373</v>
      </c>
      <c r="I118" s="7"/>
      <c r="J118" s="20" t="str">
        <f>VLOOKUP(V118,Table_to_BRG!A:D,3,FALSE)</f>
        <v>General data</v>
      </c>
      <c r="K118" s="20" t="str">
        <f>VLOOKUP(V118,Table_to_BRG!A:D,2,FALSE)</f>
        <v>General</v>
      </c>
      <c r="L118" s="20"/>
      <c r="M118" s="20"/>
      <c r="N118" s="9" t="s">
        <v>6465</v>
      </c>
      <c r="O118" s="54" t="s">
        <v>8567</v>
      </c>
      <c r="P118" s="7" t="s">
        <v>8354</v>
      </c>
      <c r="Q118" s="11" t="str">
        <f>UPPER(LEFT(Table362[[#This Row],[Entity]],3))&amp;RIGHT("00"&amp;Table362[[#This Row],[Rule '# by Entity]],3)&amp;"0_"&amp;MID(SUBSTITUTE(Table362[[#This Row],[Rule Name]],"_","|",3),SEARCH("|",SUBSTITUTE(Table362[[#This Row],[Rule Name]],"_","|",3))+1,LEN(Table362[[#This Row],[Rule Name]]))</f>
        <v>MAT000_MaterialNumberPopulated</v>
      </c>
      <c r="R118" s="8" t="s">
        <v>8002</v>
      </c>
      <c r="S118" s="7" t="s">
        <v>21</v>
      </c>
      <c r="T118" s="7"/>
      <c r="U118" s="7" t="s">
        <v>421</v>
      </c>
      <c r="V118" s="7" t="s">
        <v>1526</v>
      </c>
      <c r="W118" s="7" t="s">
        <v>1492</v>
      </c>
      <c r="X118" s="8" t="s">
        <v>1636</v>
      </c>
      <c r="Y118" s="7" t="s">
        <v>5978</v>
      </c>
      <c r="Z118" s="7" t="s">
        <v>5978</v>
      </c>
      <c r="AA118" s="10" t="s">
        <v>422</v>
      </c>
      <c r="AB118" s="10"/>
      <c r="AC118" s="10" t="s">
        <v>6813</v>
      </c>
      <c r="AD118" s="10"/>
      <c r="AE118" s="13" t="str">
        <f>IF(Table362[[#This Row],[Entity]]="Customer","KUNNR",IF(Table362[[#This Row],[Entity]]="Vendor","LIFNR","MATNR"))&amp;","&amp;Table362[[#This Row],[Field]]</f>
        <v>MATNR,MATNR</v>
      </c>
      <c r="AF118" s="13" t="str">
        <f>"VW_"&amp;Table362[[#This Row],[New Rule Name]]</f>
        <v>VW_MAT000_MaterialNumberPopulated</v>
      </c>
      <c r="AG118" s="11" t="str">
        <f>"create view "&amp;Table362[[#This Row],[View Name]]&amp;" as 
     select 
          "&amp;IF(Table362[[#This Row],[Entity]]="Customer","KUNNR",IF(Table362[[#This Row],[Entity]]="Vendor","LIFNR","MATNR"))&amp;",
          "&amp;Table362[[#This Row],[Field]]&amp;" 
     from "&amp;Table362[[#This Row],[Table]]</f>
        <v>create view VW_MAT000_MaterialNumberPopulated as 
     select 
          MATNR,
          MATNR 
     from MARA</v>
      </c>
      <c r="AH118" s="8"/>
      <c r="AI118" s="20"/>
      <c r="AJ118" s="20"/>
      <c r="AK118" s="31"/>
      <c r="AL118" s="31"/>
    </row>
    <row r="119" spans="1:38" s="3" customFormat="1" ht="120" x14ac:dyDescent="0.25">
      <c r="A119" s="9">
        <v>113</v>
      </c>
      <c r="B119" s="7" t="s">
        <v>3973</v>
      </c>
      <c r="C119" s="7" t="s">
        <v>3</v>
      </c>
      <c r="D119" s="7" t="s">
        <v>6711</v>
      </c>
      <c r="E119" s="7" t="s">
        <v>6712</v>
      </c>
      <c r="F119" s="7" t="s">
        <v>6713</v>
      </c>
      <c r="G119" s="7" t="s">
        <v>6378</v>
      </c>
      <c r="H119" s="7"/>
      <c r="I119" s="7"/>
      <c r="J119" s="20" t="str">
        <f>VLOOKUP(V119,Table_to_BRG!A:D,3,FALSE)</f>
        <v>Plant data</v>
      </c>
      <c r="K119" s="20" t="str">
        <f>VLOOKUP(V119,Table_to_BRG!A:D,2,FALSE)</f>
        <v>Plant</v>
      </c>
      <c r="L119" s="20"/>
      <c r="M119" s="20"/>
      <c r="N119" s="9"/>
      <c r="O119" s="54"/>
      <c r="P119" s="7" t="s">
        <v>8355</v>
      </c>
      <c r="Q119" s="11" t="str">
        <f>UPPER(LEFT(Table362[[#This Row],[Entity]],3))&amp;RIGHT("00"&amp;Table362[[#This Row],[Rule '# by Entity]],3)&amp;"0_"&amp;MID(SUBSTITUTE(Table362[[#This Row],[Rule Name]],"_","|",3),SEARCH("|",SUBSTITUTE(Table362[[#This Row],[Rule Name]],"_","|",3))+1,LEN(Table362[[#This Row],[Rule Name]]))</f>
        <v>MAT0710_CertificateTypeRefeference</v>
      </c>
      <c r="R119" s="8" t="s">
        <v>7926</v>
      </c>
      <c r="S119" s="7" t="s">
        <v>2</v>
      </c>
      <c r="T119" s="7"/>
      <c r="U119" s="7" t="s">
        <v>425</v>
      </c>
      <c r="V119" s="7" t="s">
        <v>1527</v>
      </c>
      <c r="W119" s="7" t="s">
        <v>2370</v>
      </c>
      <c r="X119" s="8" t="s">
        <v>1318</v>
      </c>
      <c r="Y119" s="7" t="s">
        <v>6011</v>
      </c>
      <c r="Z119" s="7" t="s">
        <v>6012</v>
      </c>
      <c r="AA119" s="11" t="str">
        <f>"BEGIN
     RETURN exists('DS_IS_RDS', '"&amp;Table362[[#This Row],[Lookup Table]]&amp;"', '"&amp;Table362[[#This Row],[Lookup Field]]&amp;"', "&amp;Table362[[#This Row],[IS Parameter]]&amp;");
END"</f>
        <v>BEGIN
     RETURN exists('DS_IS_RDS', 'TQ05', 'ZGTYP', $P_I_CertificateType);
END</v>
      </c>
      <c r="AB119" s="11" t="str">
        <f>Table362[[#This Row],[IS Parameter]]&amp;" IS NOT NULL AND rtrim("&amp;Table362[[#This Row],[IS Parameter]]&amp;", ' ') != ''"</f>
        <v>$P_I_CertificateType IS NOT NULL AND rtrim($P_I_CertificateType, ' ') != ''</v>
      </c>
      <c r="AC119" s="10" t="s">
        <v>6663</v>
      </c>
      <c r="AD119" s="10"/>
      <c r="AE119" s="13" t="str">
        <f>IF(Table362[[#This Row],[Entity]]="Customer","KUNNR",IF(Table362[[#This Row],[Entity]]="Vendor","LIFNR","MATNR"))&amp;",WERKS"&amp;","&amp;Table362[[#This Row],[Field]]</f>
        <v>MATNR,WERKS,QZGTP</v>
      </c>
      <c r="AF119" s="13" t="str">
        <f>"VW_"&amp;Table362[[#This Row],[New Rule Name]]</f>
        <v>VW_MAT0710_CertificateTypeRefeference</v>
      </c>
      <c r="AG119"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VW_MAT0710_CertificateTypeRefeference (
     MATNR,
     WERKS,
     QZGTP
     ) as select 
          MATNR,
          WERKS,
          QZGTP 
     from MARC</v>
      </c>
      <c r="AH119" s="8"/>
      <c r="AI119" s="20"/>
      <c r="AJ119" s="20"/>
      <c r="AK119" s="31">
        <v>71</v>
      </c>
      <c r="AL119" s="31"/>
    </row>
    <row r="120" spans="1:38" s="3" customFormat="1" ht="72" x14ac:dyDescent="0.25">
      <c r="A120" s="9">
        <v>114</v>
      </c>
      <c r="B120" s="7" t="s">
        <v>3973</v>
      </c>
      <c r="C120" s="7" t="s">
        <v>3</v>
      </c>
      <c r="D120" s="7" t="s">
        <v>5978</v>
      </c>
      <c r="E120" s="7" t="s">
        <v>5978</v>
      </c>
      <c r="F120" s="7" t="s">
        <v>5978</v>
      </c>
      <c r="G120" s="7" t="s">
        <v>6687</v>
      </c>
      <c r="H120" s="7" t="s">
        <v>6686</v>
      </c>
      <c r="I120" s="7"/>
      <c r="J120" s="20" t="str">
        <f>VLOOKUP(V120,Table_to_BRG!A:D,3,FALSE)</f>
        <v>Storage data</v>
      </c>
      <c r="K120" s="20" t="str">
        <f>VLOOKUP(V120,Table_to_BRG!A:D,2,FALSE)</f>
        <v>Material Data for Each Storage Type</v>
      </c>
      <c r="L120" s="20"/>
      <c r="M120" s="20"/>
      <c r="N120" s="9"/>
      <c r="O120" s="54"/>
      <c r="P120" s="7" t="s">
        <v>8356</v>
      </c>
      <c r="Q120" s="11" t="str">
        <f>UPPER(LEFT(Table362[[#This Row],[Entity]],3))&amp;RIGHT("00"&amp;Table362[[#This Row],[Rule '# by Entity]],3)&amp;"0_"&amp;MID(SUBSTITUTE(Table362[[#This Row],[Rule Name]],"_","|",3),SEARCH("|",SUBSTITUTE(Table362[[#This Row],[Rule Name]],"_","|",3))+1,LEN(Table362[[#This Row],[Rule Name]]))</f>
        <v>MAT1130_PickingStorageTypeRef</v>
      </c>
      <c r="R120" s="8" t="s">
        <v>7927</v>
      </c>
      <c r="S120" s="7" t="s">
        <v>2</v>
      </c>
      <c r="T120" s="7"/>
      <c r="U120" s="7" t="s">
        <v>429</v>
      </c>
      <c r="V120" s="7" t="s">
        <v>6886</v>
      </c>
      <c r="W120" s="7" t="s">
        <v>6013</v>
      </c>
      <c r="X120" s="8" t="s">
        <v>8553</v>
      </c>
      <c r="Y120" s="7" t="s">
        <v>4216</v>
      </c>
      <c r="Z120" s="7" t="s">
        <v>6013</v>
      </c>
      <c r="AA120" s="11" t="str">
        <f>"BEGIN
     RETURN exists('DS_IS_RDS', '"&amp;Table362[[#This Row],[Lookup Table]]&amp;"', '"&amp;Table362[[#This Row],[Lookup Field]]&amp;"', "&amp;Table362[[#This Row],[IS Parameter]]&amp;");
END"</f>
        <v>BEGIN
     RETURN exists('DS_IS_RDS', 'T301', 'LGTYP', $P_I_Warehouse);
END</v>
      </c>
      <c r="AB120" s="11" t="str">
        <f>Table362[[#This Row],[IS Parameter]]&amp;" IS NOT NULL AND rtrim("&amp;Table362[[#This Row],[IS Parameter]]&amp;", ' ') != ''"</f>
        <v>$P_I_Warehouse IS NOT NULL AND rtrim($P_I_Warehouse, ' ') != ''</v>
      </c>
      <c r="AC120" s="10" t="s">
        <v>6663</v>
      </c>
      <c r="AD120" s="10"/>
      <c r="AE120" s="13" t="str">
        <f>IF(Table362[[#This Row],[Entity]]="Customer","KUNNR",IF(Table362[[#This Row],[Entity]]="Vendor","LIFNR","MATNR"))&amp;",LGNUM,"&amp;Table362[[#This Row],[Field]]</f>
        <v>MATNR,LGNUM,LGTYP</v>
      </c>
      <c r="AF120" s="13" t="str">
        <f>"VW_"&amp;Table362[[#This Row],[New Rule Name]]</f>
        <v>VW_MAT1130_PickingStorageTypeRef</v>
      </c>
      <c r="AG120" s="11" t="str">
        <f>"create view "&amp;Table362[[#This Row],[View Name]]&amp;" as 
     select 
          "&amp;IF(Table362[[#This Row],[Entity]]="Customer","KUNNR",IF(Table362[[#This Row],[Entity]]="Vendor","LIFNR","MATNR"))&amp;",
          LGNUM,
          "&amp;Table362[[#This Row],[Field]]&amp;" 
     from "&amp;Table362[[#This Row],[Table]]</f>
        <v>create view VW_MAT1130_PickingStorageTypeRef as 
     select 
          MATNR,
          LGNUM,
          LGTYP 
     from MLGT</v>
      </c>
      <c r="AH120" s="8"/>
      <c r="AI120" s="20" t="s">
        <v>7807</v>
      </c>
      <c r="AJ120" s="20"/>
      <c r="AK120" s="31">
        <v>113</v>
      </c>
      <c r="AL120" s="31"/>
    </row>
    <row r="121" spans="1:38" s="3" customFormat="1" ht="84" hidden="1" x14ac:dyDescent="0.25">
      <c r="A121" s="9">
        <v>115</v>
      </c>
      <c r="B121" s="7" t="s">
        <v>3973</v>
      </c>
      <c r="C121" s="7" t="s">
        <v>16</v>
      </c>
      <c r="D121" s="7" t="s">
        <v>6716</v>
      </c>
      <c r="E121" s="7" t="s">
        <v>6717</v>
      </c>
      <c r="F121" s="7" t="s">
        <v>6723</v>
      </c>
      <c r="G121" s="7" t="s">
        <v>6365</v>
      </c>
      <c r="H121" s="7" t="s">
        <v>6366</v>
      </c>
      <c r="I121" s="7" t="s">
        <v>3971</v>
      </c>
      <c r="J121" s="20" t="str">
        <f>VLOOKUP(V121,Table_to_BRG!A:D,3,FALSE)</f>
        <v>Tax data</v>
      </c>
      <c r="K121" s="20" t="str">
        <f>VLOOKUP(V121,Table_to_BRG!A:D,2,FALSE)</f>
        <v>Tax indicator</v>
      </c>
      <c r="L121" s="20"/>
      <c r="M121" s="20"/>
      <c r="N121" s="9"/>
      <c r="O121" s="54"/>
      <c r="P121" s="7" t="s">
        <v>7854</v>
      </c>
      <c r="Q121" s="11" t="str">
        <f>UPPER(LEFT(Table362[[#This Row],[Entity]],3))&amp;RIGHT("00"&amp;Table362[[#This Row],[Rule '# by Entity]],3)&amp;"0_"&amp;MID(SUBSTITUTE(Table362[[#This Row],[Rule Name]],"_","|",3),SEARCH("|",SUBSTITUTE(Table362[[#This Row],[Rule Name]],"_","|",3))+1,LEN(Table362[[#This Row],[Rule Name]]))</f>
        <v>CUS0750_TaxClassificationRef</v>
      </c>
      <c r="R121" s="13" t="s">
        <v>8022</v>
      </c>
      <c r="S121" s="7" t="s">
        <v>2</v>
      </c>
      <c r="T121" s="7"/>
      <c r="U121" s="7" t="s">
        <v>52</v>
      </c>
      <c r="V121" s="7" t="s">
        <v>3328</v>
      </c>
      <c r="W121" s="7" t="s">
        <v>3305</v>
      </c>
      <c r="X121" s="8" t="s">
        <v>6467</v>
      </c>
      <c r="Y121" s="7" t="s">
        <v>5707</v>
      </c>
      <c r="Z121" s="7" t="s">
        <v>3305</v>
      </c>
      <c r="AA121" s="11" t="str">
        <f>"BEGIN
     RETURN exists('DS_IS_RDS', '"&amp;Table362[[#This Row],[Lookup Table]]&amp;"', '"&amp;Table362[[#This Row],[Lookup Field]]&amp;"', "&amp;Table362[[#This Row],[IS Parameter]]&amp;");
END"</f>
        <v>BEGIN
     RETURN exists('DS_IS_RDS', 'TSKD', 'TAXKD', $P_I_TaxClassification);
END</v>
      </c>
      <c r="AB121" s="11" t="str">
        <f>Table362[[#This Row],[IS Parameter]]&amp;" IS NOT NULL
AND "&amp; Table362[[#This Row],[IS Parameter]]&amp;" != ''"</f>
        <v>$P_I_TaxClassification IS NOT NULL
AND $P_I_TaxClassification != ''</v>
      </c>
      <c r="AC121" s="10" t="s">
        <v>6663</v>
      </c>
      <c r="AD121" s="10"/>
      <c r="AE121" s="13" t="str">
        <f>IF(Table362[[#This Row],[Entity]]="Customer","KUNNR",IF(Table362[[#This Row],[Entity]]="Vendor","LIFNR","MATNR"))&amp;",ALAND,TATYP"&amp;","&amp;Table362[[#This Row],[Field]]</f>
        <v>KUNNR,ALAND,TATYP,TAXKD</v>
      </c>
      <c r="AF121" s="13" t="str">
        <f>"VW_"&amp;Table362[[#This Row],[New Rule Name]]</f>
        <v>VW_CUS0750_TaxClassificationRef</v>
      </c>
      <c r="AG121" s="11" t="str">
        <f>"create view "&amp;Table362[[#This Row],[View Name]]&amp;" as 
     select 
          "&amp;IF(Table362[[#This Row],[Entity]]="Customer","KUNNR",IF(Table362[[#This Row],[Entity]]="Vendor","LIFNR","MATNR"))&amp;",
          ALAND,
          TATYP,
          "&amp;Table362[[#This Row],[Field]]&amp;" 
     from "&amp;Table362[[#This Row],[Table]]</f>
        <v>create view VW_CUS0750_TaxClassificationRef as 
     select 
          KUNNR,
          ALAND,
          TATYP,
          TAXKD 
     from KNVI</v>
      </c>
      <c r="AH121" s="8"/>
      <c r="AI121" s="20" t="s">
        <v>7651</v>
      </c>
      <c r="AJ121" s="20"/>
      <c r="AK121" s="31">
        <v>75</v>
      </c>
      <c r="AL121" s="31"/>
    </row>
    <row r="122" spans="1:38" s="3" customFormat="1" ht="72" hidden="1" x14ac:dyDescent="0.25">
      <c r="A122" s="9">
        <v>116</v>
      </c>
      <c r="B122" s="7" t="s">
        <v>3973</v>
      </c>
      <c r="C122" s="7" t="s">
        <v>1207</v>
      </c>
      <c r="D122" s="7" t="s">
        <v>6719</v>
      </c>
      <c r="E122" s="7" t="s">
        <v>6720</v>
      </c>
      <c r="F122" s="7" t="s">
        <v>6732</v>
      </c>
      <c r="G122" s="7" t="s">
        <v>6358</v>
      </c>
      <c r="H122" s="7" t="s">
        <v>6386</v>
      </c>
      <c r="I122" s="7"/>
      <c r="J122" s="20" t="str">
        <f>VLOOKUP(V122,Table_to_BRG!A:D,3,FALSE)</f>
        <v>Company Code data</v>
      </c>
      <c r="K122" s="20" t="str">
        <f>VLOOKUP(V122,Table_to_BRG!A:D,2,FALSE)</f>
        <v>Company Code</v>
      </c>
      <c r="L122" s="20"/>
      <c r="M122" s="20"/>
      <c r="N122" s="9"/>
      <c r="O122" s="54"/>
      <c r="P122" s="7" t="s">
        <v>8469</v>
      </c>
      <c r="Q122" s="11" t="str">
        <f>UPPER(LEFT(Table362[[#This Row],[Entity]],3))&amp;RIGHT("00"&amp;Table362[[#This Row],[Rule '# by Entity]],3)&amp;"0_"&amp;MID(SUBSTITUTE(Table362[[#This Row],[Rule Name]],"_","|",3),SEARCH("|",SUBSTITUTE(Table362[[#This Row],[Rule Name]],"_","|",3))+1,LEN(Table362[[#This Row],[Rule Name]]))</f>
        <v>VEN0350_ReconAccountPopulated</v>
      </c>
      <c r="R122" s="8" t="s">
        <v>8121</v>
      </c>
      <c r="S122" s="7" t="s">
        <v>21</v>
      </c>
      <c r="T122" s="7"/>
      <c r="U122" s="7" t="s">
        <v>436</v>
      </c>
      <c r="V122" s="7" t="s">
        <v>3543</v>
      </c>
      <c r="W122" s="7" t="s">
        <v>2708</v>
      </c>
      <c r="X122" s="8" t="s">
        <v>2725</v>
      </c>
      <c r="Y122" s="7" t="s">
        <v>5978</v>
      </c>
      <c r="Z122" s="7" t="s">
        <v>5978</v>
      </c>
      <c r="AA122" s="10" t="s">
        <v>437</v>
      </c>
      <c r="AB122" s="10"/>
      <c r="AC122" s="10" t="s">
        <v>6813</v>
      </c>
      <c r="AD122" s="10"/>
      <c r="AE122" s="13" t="str">
        <f>IF(Table362[[#This Row],[Entity]]="Customer","KUNNR",IF(Table362[[#This Row],[Entity]]="Vendor","LIFNR","MATNR"))&amp;",BUKRS,"&amp;Table362[[#This Row],[Field]]</f>
        <v>LIFNR,BUKRS,AKONT</v>
      </c>
      <c r="AF122" s="13" t="str">
        <f>"VW_"&amp;Table362[[#This Row],[New Rule Name]]</f>
        <v>VW_VEN0350_ReconAccountPopulated</v>
      </c>
      <c r="AG122" s="11" t="str">
        <f>"create view "&amp;Table362[[#This Row],[View Name]]&amp;" as 
     select 
          "&amp;IF(Table362[[#This Row],[Entity]]="Customer","KUNNR",IF(Table362[[#This Row],[Entity]]="Vendor","LIFNR","MATNR"))&amp;",
          BUKRS,
          "&amp;Table362[[#This Row],[Field]]&amp;" 
     from "&amp;Table362[[#This Row],[Table]]</f>
        <v>create view VW_VEN0350_ReconAccountPopulated as 
     select 
          LIFNR,
          BUKRS,
          AKONT 
     from LFB1</v>
      </c>
      <c r="AH122" s="8"/>
      <c r="AI122" s="20"/>
      <c r="AJ122" s="20"/>
      <c r="AK122" s="31">
        <v>35</v>
      </c>
      <c r="AL122" s="31"/>
    </row>
    <row r="123" spans="1:38" s="38" customFormat="1" ht="72" hidden="1" x14ac:dyDescent="0.25">
      <c r="A123" s="14">
        <v>121</v>
      </c>
      <c r="B123" s="15" t="s">
        <v>3973</v>
      </c>
      <c r="C123" s="15" t="s">
        <v>16</v>
      </c>
      <c r="D123" s="15" t="s">
        <v>6711</v>
      </c>
      <c r="E123" s="15" t="s">
        <v>6714</v>
      </c>
      <c r="F123" s="15" t="s">
        <v>6715</v>
      </c>
      <c r="G123" s="15" t="s">
        <v>6361</v>
      </c>
      <c r="H123" s="15" t="s">
        <v>3967</v>
      </c>
      <c r="I123" s="15" t="s">
        <v>3967</v>
      </c>
      <c r="J123" s="27" t="str">
        <f>VLOOKUP(V123,Table_to_BRG!A:D,3,FALSE)</f>
        <v>General data</v>
      </c>
      <c r="K123" s="27" t="str">
        <f>VLOOKUP(V123,Table_to_BRG!A:D,2,FALSE)</f>
        <v>General</v>
      </c>
      <c r="L123" s="27"/>
      <c r="M123" s="27"/>
      <c r="N123" s="14" t="s">
        <v>6465</v>
      </c>
      <c r="O123" s="54" t="str">
        <f>"Superceded by rule "&amp;A998</f>
        <v>Superceded by rule 378</v>
      </c>
      <c r="P123" s="16" t="s">
        <v>454</v>
      </c>
      <c r="Q123" s="17"/>
      <c r="R123" s="16" t="s">
        <v>6497</v>
      </c>
      <c r="S123" s="15" t="s">
        <v>139</v>
      </c>
      <c r="T123" s="15"/>
      <c r="U123" s="16" t="s">
        <v>6095</v>
      </c>
      <c r="V123" s="16" t="s">
        <v>2741</v>
      </c>
      <c r="W123" s="16" t="s">
        <v>6430</v>
      </c>
      <c r="X123" s="16" t="s">
        <v>6354</v>
      </c>
      <c r="Y123" s="15" t="s">
        <v>5978</v>
      </c>
      <c r="Z123" s="15" t="s">
        <v>5978</v>
      </c>
      <c r="AA123" s="26" t="s">
        <v>456</v>
      </c>
      <c r="AB123" s="26"/>
      <c r="AC123" s="26"/>
      <c r="AD123" s="26"/>
      <c r="AE123" s="18"/>
      <c r="AF123" s="18"/>
      <c r="AG123" s="17"/>
      <c r="AH123" s="16" t="s">
        <v>5881</v>
      </c>
      <c r="AI123" s="27" t="s">
        <v>7682</v>
      </c>
      <c r="AJ123" s="27"/>
      <c r="AK123" s="36"/>
      <c r="AL123" s="52"/>
    </row>
    <row r="124" spans="1:38" s="3" customFormat="1" ht="84" hidden="1" x14ac:dyDescent="0.25">
      <c r="A124" s="9">
        <v>117</v>
      </c>
      <c r="B124" s="7" t="s">
        <v>3973</v>
      </c>
      <c r="C124" s="7" t="s">
        <v>1207</v>
      </c>
      <c r="D124" s="7" t="s">
        <v>6719</v>
      </c>
      <c r="E124" s="7" t="s">
        <v>6720</v>
      </c>
      <c r="F124" s="7" t="s">
        <v>6732</v>
      </c>
      <c r="G124" s="7" t="s">
        <v>6358</v>
      </c>
      <c r="H124" s="7" t="s">
        <v>6359</v>
      </c>
      <c r="I124" s="7" t="s">
        <v>6421</v>
      </c>
      <c r="J124" s="20" t="str">
        <f>VLOOKUP(V124,Table_to_BRG!A:D,3,FALSE)</f>
        <v>Company Code data</v>
      </c>
      <c r="K124" s="20" t="str">
        <f>VLOOKUP(V124,Table_to_BRG!A:D,2,FALSE)</f>
        <v>Company Code</v>
      </c>
      <c r="L124" s="20"/>
      <c r="M124" s="20"/>
      <c r="N124" s="9"/>
      <c r="O124" s="54"/>
      <c r="P124" s="7" t="s">
        <v>8470</v>
      </c>
      <c r="Q124" s="11" t="str">
        <f>UPPER(LEFT(Table362[[#This Row],[Entity]],3))&amp;RIGHT("00"&amp;Table362[[#This Row],[Rule '# by Entity]],3)&amp;"0_"&amp;MID(SUBSTITUTE(Table362[[#This Row],[Rule Name]],"_","|",3),SEARCH("|",SUBSTITUTE(Table362[[#This Row],[Rule Name]],"_","|",3))+1,LEN(Table362[[#This Row],[Rule Name]]))</f>
        <v>VEN0480_DunningNoticeGroupingKeyRef</v>
      </c>
      <c r="R124" s="8" t="s">
        <v>8258</v>
      </c>
      <c r="S124" s="7" t="s">
        <v>2</v>
      </c>
      <c r="T124" s="7"/>
      <c r="U124" s="7" t="s">
        <v>440</v>
      </c>
      <c r="V124" s="7" t="s">
        <v>3543</v>
      </c>
      <c r="W124" s="7" t="s">
        <v>2793</v>
      </c>
      <c r="X124" s="8" t="s">
        <v>2811</v>
      </c>
      <c r="Y124" s="7" t="s">
        <v>6014</v>
      </c>
      <c r="Z124" s="7" t="s">
        <v>2793</v>
      </c>
      <c r="AA124" s="11" t="str">
        <f>"BEGIN
     RETURN exists('DS_IS_RDS', '"&amp;Table362[[#This Row],[Lookup Table]]&amp;"', '"&amp;Table362[[#This Row],[Lookup Field]]&amp;"', "&amp;Table362[[#This Row],[IS Parameter]]&amp;");
END"</f>
        <v>BEGIN
     RETURN exists('DS_IS_RDS', 'T047R', 'MGRUP', $P_I_DunningNoticeGroupingkey);
END</v>
      </c>
      <c r="AB124" s="11"/>
      <c r="AC124" s="10" t="s">
        <v>6663</v>
      </c>
      <c r="AD124" s="10"/>
      <c r="AE124" s="13" t="str">
        <f>IF(Table362[[#This Row],[Entity]]="Customer","KUNNR",IF(Table362[[#This Row],[Entity]]="Vendor","LIFNR","MATNR"))&amp;",BUKRS,"&amp;Table362[[#This Row],[Field]]</f>
        <v>LIFNR,BUKRS,MGRUP</v>
      </c>
      <c r="AF124" s="13" t="str">
        <f>"VW_"&amp;Table362[[#This Row],[New Rule Name]]</f>
        <v>VW_VEN0480_DunningNoticeGroupingKeyRef</v>
      </c>
      <c r="AG124" s="11" t="str">
        <f>"create view "&amp;Table362[[#This Row],[View Name]]&amp;" as 
     select 
          "&amp;IF(Table362[[#This Row],[Entity]]="Customer","KUNNR",IF(Table362[[#This Row],[Entity]]="Vendor","LIFNR","MATNR"))&amp;",
          BUKRS,
          "&amp;Table362[[#This Row],[Field]]&amp;" 
     from "&amp;Table362[[#This Row],[Table]]</f>
        <v>create view VW_VEN0480_DunningNoticeGroupingKeyRef as 
     select 
          LIFNR,
          BUKRS,
          MGRUP 
     from LFB1</v>
      </c>
      <c r="AH124" s="8"/>
      <c r="AI124" s="20" t="s">
        <v>6443</v>
      </c>
      <c r="AJ124" s="20"/>
      <c r="AK124" s="31">
        <v>48</v>
      </c>
      <c r="AL124" s="31"/>
    </row>
    <row r="125" spans="1:38" s="3" customFormat="1" ht="60" hidden="1" x14ac:dyDescent="0.25">
      <c r="A125" s="9">
        <v>118</v>
      </c>
      <c r="B125" s="7" t="s">
        <v>3973</v>
      </c>
      <c r="C125" s="7" t="s">
        <v>16</v>
      </c>
      <c r="D125" s="7" t="s">
        <v>6711</v>
      </c>
      <c r="E125" s="7" t="s">
        <v>6714</v>
      </c>
      <c r="F125" s="7" t="s">
        <v>6715</v>
      </c>
      <c r="G125" s="7" t="s">
        <v>6361</v>
      </c>
      <c r="H125" s="7" t="s">
        <v>3969</v>
      </c>
      <c r="I125" s="7" t="s">
        <v>3969</v>
      </c>
      <c r="J125" s="20" t="str">
        <f>VLOOKUP(V125,Table_to_BRG!A:D,3,FALSE)</f>
        <v>General data</v>
      </c>
      <c r="K125" s="20" t="str">
        <f>VLOOKUP(V125,Table_to_BRG!A:D,2,FALSE)</f>
        <v>General</v>
      </c>
      <c r="L125" s="20"/>
      <c r="M125" s="20"/>
      <c r="N125" s="9"/>
      <c r="O125" s="54"/>
      <c r="P125" s="7" t="s">
        <v>8137</v>
      </c>
      <c r="Q125" s="11" t="str">
        <f>UPPER(LEFT(Table362[[#This Row],[Entity]],3))&amp;RIGHT("00"&amp;Table362[[#This Row],[Rule '# by Entity]],3)&amp;"0_"&amp;MID(SUBSTITUTE(Table362[[#This Row],[Rule Name]],"_","|",3),SEARCH("|",SUBSTITUTE(Table362[[#This Row],[Rule Name]],"_","|",3))+1,LEN(Table362[[#This Row],[Rule Name]]))</f>
        <v>CUS0100_PhoneNumber1Populated</v>
      </c>
      <c r="R125" s="8" t="s">
        <v>8136</v>
      </c>
      <c r="S125" s="7" t="s">
        <v>21</v>
      </c>
      <c r="T125" s="7"/>
      <c r="U125" s="7" t="s">
        <v>6084</v>
      </c>
      <c r="V125" s="7" t="s">
        <v>2741</v>
      </c>
      <c r="W125" s="8" t="s">
        <v>2965</v>
      </c>
      <c r="X125" s="8" t="s">
        <v>2975</v>
      </c>
      <c r="Y125" s="7" t="s">
        <v>5978</v>
      </c>
      <c r="Z125" s="7" t="s">
        <v>5978</v>
      </c>
      <c r="AA125" s="10" t="s">
        <v>6603</v>
      </c>
      <c r="AB125" s="10"/>
      <c r="AC125" s="10" t="s">
        <v>6813</v>
      </c>
      <c r="AD125" s="10"/>
      <c r="AE125" s="13" t="str">
        <f>IF(Table362[[#This Row],[Entity]]="Customer","KUNNR",IF(Table362[[#This Row],[Entity]]="Vendor","LIFNR","MATNR"))&amp;","&amp;Table362[[#This Row],[Field]]</f>
        <v>KUNNR,TELF1</v>
      </c>
      <c r="AF125" s="13" t="str">
        <f>"VW_"&amp;Table362[[#This Row],[New Rule Name]]</f>
        <v>VW_CUS0100_PhoneNumber1Populated</v>
      </c>
      <c r="AG125" s="11" t="str">
        <f>"create view "&amp;Table362[[#This Row],[View Name]]&amp;" as 
     select 
          "&amp;Table362[[#This Row],[Table]]&amp;",
          "&amp;Table362[[#This Row],[Field]]&amp;" 
     from "&amp;Table362[[#This Row],[Table]]</f>
        <v>create view VW_CUS0100_PhoneNumber1Populated as 
     select 
          KNA1,
          TELF1 
     from KNA1</v>
      </c>
      <c r="AH125" s="8"/>
      <c r="AI125" s="20" t="s">
        <v>6778</v>
      </c>
      <c r="AJ125" s="20"/>
      <c r="AK125" s="31">
        <v>10</v>
      </c>
      <c r="AL125" s="31"/>
    </row>
    <row r="126" spans="1:38" s="3" customFormat="1" ht="60" hidden="1" x14ac:dyDescent="0.25">
      <c r="A126" s="9">
        <v>119</v>
      </c>
      <c r="B126" s="7" t="s">
        <v>3973</v>
      </c>
      <c r="C126" s="7" t="s">
        <v>16</v>
      </c>
      <c r="D126" s="7" t="s">
        <v>6711</v>
      </c>
      <c r="E126" s="7" t="s">
        <v>6714</v>
      </c>
      <c r="F126" s="7" t="s">
        <v>6715</v>
      </c>
      <c r="G126" s="7" t="s">
        <v>6361</v>
      </c>
      <c r="H126" s="7" t="s">
        <v>6360</v>
      </c>
      <c r="I126" s="7"/>
      <c r="J126" s="20" t="str">
        <f>VLOOKUP(V126,Table_to_BRG!A:D,3,FALSE)</f>
        <v>General data</v>
      </c>
      <c r="K126" s="20" t="str">
        <f>VLOOKUP(V126,Table_to_BRG!A:D,2,FALSE)</f>
        <v>General</v>
      </c>
      <c r="L126" s="20"/>
      <c r="M126" s="20"/>
      <c r="N126" s="9"/>
      <c r="O126" s="54"/>
      <c r="P126" s="7" t="s">
        <v>7855</v>
      </c>
      <c r="Q126" s="11" t="str">
        <f>UPPER(LEFT(Table362[[#This Row],[Entity]],3))&amp;RIGHT("00"&amp;Table362[[#This Row],[Rule '# by Entity]],3)&amp;"0_"&amp;MID(SUBSTITUTE(Table362[[#This Row],[Rule Name]],"_","|",3),SEARCH("|",SUBSTITUTE(Table362[[#This Row],[Rule Name]],"_","|",3))+1,LEN(Table362[[#This Row],[Rule Name]]))</f>
        <v>CUS0330_PaymentBlockRef</v>
      </c>
      <c r="R126" s="13" t="s">
        <v>8194</v>
      </c>
      <c r="S126" s="7" t="s">
        <v>21</v>
      </c>
      <c r="T126" s="7" t="s">
        <v>2</v>
      </c>
      <c r="U126" s="7" t="s">
        <v>448</v>
      </c>
      <c r="V126" s="8" t="s">
        <v>2741</v>
      </c>
      <c r="W126" s="8" t="s">
        <v>6698</v>
      </c>
      <c r="X126" s="8" t="s">
        <v>6699</v>
      </c>
      <c r="Y126" s="7" t="s">
        <v>4203</v>
      </c>
      <c r="Z126" s="7" t="s">
        <v>2895</v>
      </c>
      <c r="AA126" s="11" t="str">
        <f>"BEGIN
     RETURN exists('DS_IS_RDS', '"&amp;Table362[[#This Row],[Lookup Table]]&amp;"', '"&amp;Table362[[#This Row],[Lookup Field]]&amp;"', "&amp;Table362[[#This Row],[IS Parameter]]&amp;");
END"</f>
        <v>BEGIN
     RETURN exists('DS_IS_RDS', 'T008', 'ZAHLS', $P_I_PaymentBlock);
END</v>
      </c>
      <c r="AB126" s="11" t="str">
        <f>Table362[[#This Row],[IS Parameter]]&amp;" IS NOT NULL
AND "&amp; Table362[[#This Row],[IS Parameter]]&amp;" != ''"</f>
        <v>$P_I_PaymentBlock IS NOT NULL
AND $P_I_PaymentBlock != ''</v>
      </c>
      <c r="AC126" s="10" t="s">
        <v>6663</v>
      </c>
      <c r="AD126" s="10"/>
      <c r="AE126" s="13" t="str">
        <f>IF(Table362[[#This Row],[Entity]]="Customer","KUNNR",IF(Table362[[#This Row],[Entity]]="Vendor","LIFNR","MATNR"))&amp;","&amp;Table362[[#This Row],[Field]]</f>
        <v>KUNNR,SPERZ</v>
      </c>
      <c r="AF126" s="13" t="str">
        <f>"VW_"&amp;Table362[[#This Row],[New Rule Name]]</f>
        <v>VW_CUS0330_PaymentBlockRef</v>
      </c>
      <c r="AG126" s="11" t="str">
        <f>"create view "&amp;Table362[[#This Row],[View Name]]&amp;" as 
     select 
          "&amp;IF(Table362[[#This Row],[Entity]]="Customer","KUNNR",IF(Table362[[#This Row],[Entity]]="Vendor","LIFNR","MATNR"))&amp;",
          "&amp;Table362[[#This Row],[Field]]&amp;" 
     from "&amp;Table362[[#This Row],[Table]]</f>
        <v>create view VW_CUS0330_PaymentBlockRef as 
     select 
          KUNNR,
          SPERZ 
     from KNA1</v>
      </c>
      <c r="AH126" s="8" t="s">
        <v>6697</v>
      </c>
      <c r="AI126" s="20" t="s">
        <v>7568</v>
      </c>
      <c r="AJ126" s="20"/>
      <c r="AK126" s="31">
        <v>33</v>
      </c>
      <c r="AL126" s="31"/>
    </row>
    <row r="127" spans="1:38" s="3" customFormat="1" ht="84" hidden="1" x14ac:dyDescent="0.25">
      <c r="A127" s="9">
        <v>120</v>
      </c>
      <c r="B127" s="7" t="s">
        <v>3973</v>
      </c>
      <c r="C127" s="7" t="s">
        <v>1207</v>
      </c>
      <c r="D127" s="7" t="s">
        <v>6711</v>
      </c>
      <c r="E127" s="7" t="s">
        <v>6714</v>
      </c>
      <c r="F127" s="7" t="s">
        <v>6742</v>
      </c>
      <c r="G127" s="7" t="s">
        <v>6361</v>
      </c>
      <c r="H127" s="7" t="s">
        <v>6362</v>
      </c>
      <c r="I127" s="7"/>
      <c r="J127" s="20" t="str">
        <f>VLOOKUP(V127,Table_to_BRG!A:D,3,FALSE)</f>
        <v>Contact data</v>
      </c>
      <c r="K127" s="20" t="str">
        <f>VLOOKUP(V127,Table_to_BRG!A:D,2,FALSE)</f>
        <v>Contact partner</v>
      </c>
      <c r="L127" s="20"/>
      <c r="M127" s="20"/>
      <c r="N127" s="9"/>
      <c r="O127" s="54"/>
      <c r="P127" s="7" t="s">
        <v>8471</v>
      </c>
      <c r="Q127" s="11" t="str">
        <f>UPPER(LEFT(Table362[[#This Row],[Entity]],3))&amp;RIGHT("00"&amp;Table362[[#This Row],[Rule '# by Entity]],3)&amp;"0_"&amp;MID(SUBSTITUTE(Table362[[#This Row],[Rule Name]],"_","|",3),SEARCH("|",SUBSTITUTE(Table362[[#This Row],[Rule Name]],"_","|",3))+1,LEN(Table362[[#This Row],[Rule Name]]))</f>
        <v>VEN0740_ContactPersonDepartmentRef</v>
      </c>
      <c r="R127" s="13" t="s">
        <v>8272</v>
      </c>
      <c r="S127" s="7" t="s">
        <v>2</v>
      </c>
      <c r="T127" s="7"/>
      <c r="U127" s="7" t="s">
        <v>452</v>
      </c>
      <c r="V127" s="8" t="s">
        <v>3001</v>
      </c>
      <c r="W127" s="8" t="s">
        <v>2994</v>
      </c>
      <c r="X127" s="8" t="s">
        <v>2998</v>
      </c>
      <c r="Y127" s="7" t="s">
        <v>5682</v>
      </c>
      <c r="Z127" s="7" t="s">
        <v>2994</v>
      </c>
      <c r="AA127" s="11" t="str">
        <f>"BEGIN
     RETURN exists('DS_IS_RDS', '"&amp;Table362[[#This Row],[Lookup Table]]&amp;"', '"&amp;Table362[[#This Row],[Lookup Field]]&amp;"', "&amp;Table362[[#This Row],[IS Parameter]]&amp;");
END"</f>
        <v>BEGIN
     RETURN exists('DS_IS_RDS', 'TSAB', 'ABTNR', $P_I_Department);
END</v>
      </c>
      <c r="AB127" s="11"/>
      <c r="AC127" s="10" t="s">
        <v>6663</v>
      </c>
      <c r="AD127" s="10"/>
      <c r="AE127" s="13" t="str">
        <f>"PARNR,LIFNR,"&amp;Table362[[#This Row],[Field]]</f>
        <v>PARNR,LIFNR,ABTNR</v>
      </c>
      <c r="AF127" s="13" t="str">
        <f>"VW_"&amp;Table362[[#This Row],[New Rule Name]]</f>
        <v>VW_VEN0740_ContactPersonDepartmentRef</v>
      </c>
      <c r="AG127" s="11" t="str">
        <f>"create view "&amp;Table362[[#This Row],[View Name]]&amp;" as 
     select 
          PARNR,
          LIFNR,
          "&amp;Table362[[#This Row],[Field]]&amp;" 
     from "&amp;Table362[[#This Row],[Table]]</f>
        <v>create view VW_VEN0740_ContactPersonDepartmentRef as 
     select 
          PARNR,
          LIFNR,
          ABTNR 
     from KNVK</v>
      </c>
      <c r="AH127" s="8"/>
      <c r="AI127" s="20" t="s">
        <v>7569</v>
      </c>
      <c r="AJ127" s="20"/>
      <c r="AK127" s="31">
        <v>74</v>
      </c>
      <c r="AL127" s="31"/>
    </row>
    <row r="128" spans="1:38" s="38" customFormat="1" ht="72" hidden="1" x14ac:dyDescent="0.25">
      <c r="A128" s="14">
        <v>126</v>
      </c>
      <c r="B128" s="15" t="s">
        <v>3973</v>
      </c>
      <c r="C128" s="15" t="s">
        <v>1207</v>
      </c>
      <c r="D128" s="15" t="s">
        <v>6719</v>
      </c>
      <c r="E128" s="15" t="s">
        <v>6720</v>
      </c>
      <c r="F128" s="15" t="s">
        <v>6722</v>
      </c>
      <c r="G128" s="15" t="s">
        <v>6361</v>
      </c>
      <c r="H128" s="15" t="s">
        <v>3967</v>
      </c>
      <c r="I128" s="15" t="s">
        <v>3967</v>
      </c>
      <c r="J128" s="27" t="str">
        <f>VLOOKUP(V128,Table_to_BRG!A:D,3,FALSE)</f>
        <v>General data</v>
      </c>
      <c r="K128" s="27" t="str">
        <f>VLOOKUP(V128,Table_to_BRG!A:D,2,FALSE)</f>
        <v>General</v>
      </c>
      <c r="L128" s="27"/>
      <c r="M128" s="27"/>
      <c r="N128" s="14" t="s">
        <v>6465</v>
      </c>
      <c r="O128" s="54" t="str">
        <f>"Superceded by rule "&amp;A997</f>
        <v>Superceded by rule 377</v>
      </c>
      <c r="P128" s="16" t="s">
        <v>473</v>
      </c>
      <c r="Q128" s="17"/>
      <c r="R128" s="16" t="s">
        <v>6497</v>
      </c>
      <c r="S128" s="15" t="s">
        <v>139</v>
      </c>
      <c r="T128" s="15"/>
      <c r="U128" s="16" t="s">
        <v>6095</v>
      </c>
      <c r="V128" s="15" t="s">
        <v>3542</v>
      </c>
      <c r="W128" s="16" t="s">
        <v>6430</v>
      </c>
      <c r="X128" s="16" t="s">
        <v>6354</v>
      </c>
      <c r="Y128" s="15" t="s">
        <v>5978</v>
      </c>
      <c r="Z128" s="15" t="s">
        <v>5978</v>
      </c>
      <c r="AA128" s="26" t="s">
        <v>456</v>
      </c>
      <c r="AB128" s="26"/>
      <c r="AC128" s="26"/>
      <c r="AD128" s="26"/>
      <c r="AE128" s="18"/>
      <c r="AF128" s="18"/>
      <c r="AG128" s="17"/>
      <c r="AH128" s="16" t="s">
        <v>5881</v>
      </c>
      <c r="AI128" s="27" t="s">
        <v>7683</v>
      </c>
      <c r="AJ128" s="27"/>
      <c r="AK128" s="52"/>
      <c r="AL128" s="52"/>
    </row>
    <row r="129" spans="1:38" s="38" customFormat="1" ht="60" hidden="1" x14ac:dyDescent="0.25">
      <c r="A129" s="14">
        <v>127</v>
      </c>
      <c r="B129" s="15" t="s">
        <v>3973</v>
      </c>
      <c r="C129" s="15" t="s">
        <v>1207</v>
      </c>
      <c r="D129" s="15" t="s">
        <v>6719</v>
      </c>
      <c r="E129" s="15" t="s">
        <v>6720</v>
      </c>
      <c r="F129" s="15" t="s">
        <v>6722</v>
      </c>
      <c r="G129" s="15" t="s">
        <v>6361</v>
      </c>
      <c r="H129" s="15" t="s">
        <v>3967</v>
      </c>
      <c r="I129" s="15" t="s">
        <v>3967</v>
      </c>
      <c r="J129" s="27" t="str">
        <f>VLOOKUP(V129,Table_to_BRG!A:D,3,FALSE)</f>
        <v>General data</v>
      </c>
      <c r="K129" s="27" t="str">
        <f>VLOOKUP(V129,Table_to_BRG!A:D,2,FALSE)</f>
        <v>General</v>
      </c>
      <c r="L129" s="27"/>
      <c r="M129" s="27"/>
      <c r="N129" s="14" t="s">
        <v>6465</v>
      </c>
      <c r="O129" s="54" t="str">
        <f>"Superceded by rule "&amp;A997</f>
        <v>Superceded by rule 377</v>
      </c>
      <c r="P129" s="16" t="s">
        <v>474</v>
      </c>
      <c r="Q129" s="17"/>
      <c r="R129" s="16" t="s">
        <v>6496</v>
      </c>
      <c r="S129" s="15" t="s">
        <v>139</v>
      </c>
      <c r="T129" s="15"/>
      <c r="U129" s="16" t="s">
        <v>6095</v>
      </c>
      <c r="V129" s="15" t="s">
        <v>3542</v>
      </c>
      <c r="W129" s="16" t="s">
        <v>6353</v>
      </c>
      <c r="X129" s="16" t="s">
        <v>6354</v>
      </c>
      <c r="Y129" s="15" t="s">
        <v>5978</v>
      </c>
      <c r="Z129" s="15" t="s">
        <v>5978</v>
      </c>
      <c r="AA129" s="26" t="s">
        <v>6515</v>
      </c>
      <c r="AB129" s="26"/>
      <c r="AC129" s="26"/>
      <c r="AD129" s="26"/>
      <c r="AE129" s="18"/>
      <c r="AF129" s="18"/>
      <c r="AG129" s="17"/>
      <c r="AH129" s="16" t="s">
        <v>5882</v>
      </c>
      <c r="AI129" s="27" t="s">
        <v>7684</v>
      </c>
      <c r="AJ129" s="27"/>
      <c r="AK129" s="52"/>
      <c r="AL129" s="52"/>
    </row>
    <row r="130" spans="1:38" s="38" customFormat="1" ht="48" hidden="1" x14ac:dyDescent="0.25">
      <c r="A130" s="14">
        <v>128</v>
      </c>
      <c r="B130" s="15" t="s">
        <v>3973</v>
      </c>
      <c r="C130" s="15" t="s">
        <v>1207</v>
      </c>
      <c r="D130" s="15" t="s">
        <v>6719</v>
      </c>
      <c r="E130" s="15" t="s">
        <v>6720</v>
      </c>
      <c r="F130" s="15" t="s">
        <v>6722</v>
      </c>
      <c r="G130" s="15"/>
      <c r="H130" s="15"/>
      <c r="I130" s="15" t="s">
        <v>3971</v>
      </c>
      <c r="J130" s="27" t="str">
        <f>VLOOKUP(V130,Table_to_BRG!A:D,3,FALSE)</f>
        <v>General data</v>
      </c>
      <c r="K130" s="27" t="str">
        <f>VLOOKUP(V130,Table_to_BRG!A:D,2,FALSE)</f>
        <v>General</v>
      </c>
      <c r="L130" s="27"/>
      <c r="M130" s="27"/>
      <c r="N130" s="14" t="s">
        <v>6465</v>
      </c>
      <c r="O130" s="54" t="str">
        <f>"Superceded by rule "&amp;A1009</f>
        <v>Superceded by rule 389</v>
      </c>
      <c r="P130" s="16" t="s">
        <v>476</v>
      </c>
      <c r="Q130" s="17"/>
      <c r="R130" s="16" t="s">
        <v>477</v>
      </c>
      <c r="S130" s="15" t="s">
        <v>139</v>
      </c>
      <c r="T130" s="15"/>
      <c r="U130" s="16" t="s">
        <v>6616</v>
      </c>
      <c r="V130" s="15" t="s">
        <v>3542</v>
      </c>
      <c r="W130" s="16" t="s">
        <v>6427</v>
      </c>
      <c r="X130" s="16" t="s">
        <v>6428</v>
      </c>
      <c r="Y130" s="15" t="s">
        <v>5978</v>
      </c>
      <c r="Z130" s="15" t="s">
        <v>5978</v>
      </c>
      <c r="AA130" s="26" t="s">
        <v>6617</v>
      </c>
      <c r="AB130" s="26"/>
      <c r="AC130" s="26"/>
      <c r="AD130" s="26"/>
      <c r="AE130" s="18"/>
      <c r="AF130" s="18"/>
      <c r="AG130" s="17"/>
      <c r="AH130" s="16" t="s">
        <v>5883</v>
      </c>
      <c r="AI130" s="27" t="s">
        <v>7662</v>
      </c>
      <c r="AJ130" s="27"/>
      <c r="AK130" s="52"/>
      <c r="AL130" s="52"/>
    </row>
    <row r="131" spans="1:38" s="3" customFormat="1" ht="84" hidden="1" x14ac:dyDescent="0.25">
      <c r="A131" s="9">
        <v>122</v>
      </c>
      <c r="B131" s="7" t="s">
        <v>3973</v>
      </c>
      <c r="C131" s="7" t="s">
        <v>16</v>
      </c>
      <c r="D131" s="7" t="s">
        <v>6719</v>
      </c>
      <c r="E131" s="7" t="s">
        <v>6720</v>
      </c>
      <c r="F131" s="7" t="s">
        <v>6721</v>
      </c>
      <c r="G131" s="7" t="s">
        <v>6358</v>
      </c>
      <c r="H131" s="7" t="s">
        <v>6360</v>
      </c>
      <c r="I131" s="7"/>
      <c r="J131" s="20" t="str">
        <f>VLOOKUP(V131,Table_to_BRG!A:D,3,FALSE)</f>
        <v>Company Code data</v>
      </c>
      <c r="K131" s="20" t="str">
        <f>VLOOKUP(V131,Table_to_BRG!A:D,2,FALSE)</f>
        <v>Company Code</v>
      </c>
      <c r="L131" s="20"/>
      <c r="M131" s="20"/>
      <c r="N131" s="9"/>
      <c r="O131" s="54"/>
      <c r="P131" s="7" t="s">
        <v>7856</v>
      </c>
      <c r="Q131" s="11" t="str">
        <f>UPPER(LEFT(Table362[[#This Row],[Entity]],3))&amp;RIGHT("00"&amp;Table362[[#This Row],[Rule '# by Entity]],3)&amp;"0_"&amp;MID(SUBSTITUTE(Table362[[#This Row],[Rule Name]],"_","|",3),SEARCH("|",SUBSTITUTE(Table362[[#This Row],[Rule Name]],"_","|",3))+1,LEN(Table362[[#This Row],[Rule Name]]))</f>
        <v>CUS0610_ReasonCodeConversionRef</v>
      </c>
      <c r="R131" s="13" t="s">
        <v>8023</v>
      </c>
      <c r="S131" s="7" t="s">
        <v>2</v>
      </c>
      <c r="T131" s="7"/>
      <c r="U131" s="7" t="s">
        <v>459</v>
      </c>
      <c r="V131" s="7" t="s">
        <v>2740</v>
      </c>
      <c r="W131" s="7" t="s">
        <v>2904</v>
      </c>
      <c r="X131" s="8" t="s">
        <v>2922</v>
      </c>
      <c r="Y131" s="7" t="s">
        <v>6015</v>
      </c>
      <c r="Z131" s="7" t="s">
        <v>2904</v>
      </c>
      <c r="AA131" s="11" t="str">
        <f>"BEGIN
     RETURN exists('DS_IS_RDS', '"&amp;Table362[[#This Row],[Lookup Table]]&amp;"', '"&amp;Table362[[#This Row],[Lookup Field]]&amp;"', "&amp;Table362[[#This Row],[IS Parameter]]&amp;");
END"</f>
        <v>BEGIN
     RETURN exists('DS_IS_RDS', 'T053V', 'VRSDG', $P_I_ReasonCodeConversion);
END</v>
      </c>
      <c r="AB131" s="11" t="str">
        <f>Table362[[#This Row],[IS Parameter]]&amp;" IS NOT NULL
AND "&amp; Table362[[#This Row],[IS Parameter]]&amp;" != ''"</f>
        <v>$P_I_ReasonCodeConversion IS NOT NULL
AND $P_I_ReasonCodeConversion != ''</v>
      </c>
      <c r="AC131" s="10" t="s">
        <v>6663</v>
      </c>
      <c r="AD131" s="10"/>
      <c r="AE131" s="13" t="str">
        <f>IF(Table362[[#This Row],[Entity]]="Customer","KUNNR",IF(Table362[[#This Row],[Entity]]="Vendor","LIFNR","MATNR"))&amp;",BUKRS"&amp;","&amp;Table362[[#This Row],[Field]]</f>
        <v>KUNNR,BUKRS,VRSDG</v>
      </c>
      <c r="AF131" s="13" t="str">
        <f>"VW_"&amp;Table362[[#This Row],[New Rule Name]]</f>
        <v>VW_CUS0610_ReasonCodeConversionRef</v>
      </c>
      <c r="AG131" s="11" t="str">
        <f>"create view "&amp;Table362[[#This Row],[View Name]]&amp;" as 
     select 
          "&amp;IF(Table362[[#This Row],[Entity]]="Customer","KUNNR",IF(Table362[[#This Row],[Entity]]="Vendor","LIFNR","MATNR"))&amp;",
          BUKRS,
          "&amp;Table362[[#This Row],[Field]]&amp;" 
     from "&amp;Table362[[#This Row],[Table]]</f>
        <v>create view VW_CUS0610_ReasonCodeConversionRef as 
     select 
          KUNNR,
          BUKRS,
          VRSDG 
     from KNB1</v>
      </c>
      <c r="AH131" s="8"/>
      <c r="AI131" s="20"/>
      <c r="AJ131" s="20"/>
      <c r="AK131" s="31">
        <v>61</v>
      </c>
      <c r="AL131" s="31"/>
    </row>
    <row r="132" spans="1:38" s="3" customFormat="1" ht="60" x14ac:dyDescent="0.25">
      <c r="A132" s="9">
        <v>123</v>
      </c>
      <c r="B132" s="7" t="s">
        <v>3973</v>
      </c>
      <c r="C132" s="7" t="s">
        <v>3</v>
      </c>
      <c r="D132" s="7" t="s">
        <v>6711</v>
      </c>
      <c r="E132" s="7" t="s">
        <v>6712</v>
      </c>
      <c r="F132" s="7" t="s">
        <v>6725</v>
      </c>
      <c r="G132" s="7" t="s">
        <v>6385</v>
      </c>
      <c r="H132" s="7"/>
      <c r="I132" s="7"/>
      <c r="J132" s="20" t="str">
        <f>VLOOKUP(V132,Table_to_BRG!A:D,3,FALSE)</f>
        <v>General data</v>
      </c>
      <c r="K132" s="20" t="str">
        <f>VLOOKUP(V132,Table_to_BRG!A:D,2,FALSE)</f>
        <v>General</v>
      </c>
      <c r="L132" s="20"/>
      <c r="M132" s="20"/>
      <c r="N132" s="9"/>
      <c r="O132" s="54"/>
      <c r="P132" s="7" t="s">
        <v>8357</v>
      </c>
      <c r="Q132" s="11" t="str">
        <f>UPPER(LEFT(Table362[[#This Row],[Entity]],3))&amp;RIGHT("00"&amp;Table362[[#This Row],[Rule '# by Entity]],3)&amp;"0_"&amp;MID(SUBSTITUTE(Table362[[#This Row],[Rule Name]],"_","|",3),SEARCH("|",SUBSTITUTE(Table362[[#This Row],[Rule Name]],"_","|",3))+1,LEN(Table362[[#This Row],[Rule Name]]))</f>
        <v>MAT0090_BaseUnitofMeasureRef</v>
      </c>
      <c r="R132" s="8" t="s">
        <v>7928</v>
      </c>
      <c r="S132" s="7" t="s">
        <v>2</v>
      </c>
      <c r="T132" s="7"/>
      <c r="U132" s="7" t="s">
        <v>463</v>
      </c>
      <c r="V132" s="7" t="s">
        <v>1526</v>
      </c>
      <c r="W132" s="7" t="s">
        <v>1496</v>
      </c>
      <c r="X132" s="8" t="s">
        <v>8621</v>
      </c>
      <c r="Y132" s="7" t="s">
        <v>4142</v>
      </c>
      <c r="Z132" s="7" t="s">
        <v>4143</v>
      </c>
      <c r="AA132" s="11" t="str">
        <f>"BEGIN
     RETURN exists('DS_IS_RDS', '"&amp;Table362[[#This Row],[Lookup Table]]&amp;"', '"&amp;Table362[[#This Row],[Lookup Field]]&amp;"', "&amp;Table362[[#This Row],[IS Parameter]]&amp;");
END"</f>
        <v>BEGIN
     RETURN exists('DS_IS_RDS', 'T006A', 'MSEHI', $P_I_BaseUOM);
END</v>
      </c>
      <c r="AB132" s="11" t="str">
        <f>Table362[[#This Row],[IS Parameter]]&amp;" IS NOT NULL AND rtrim("&amp;Table362[[#This Row],[IS Parameter]]&amp;", ' ') != ''"</f>
        <v>$P_I_BaseUOM IS NOT NULL AND rtrim($P_I_BaseUOM, ' ') != ''</v>
      </c>
      <c r="AC132" s="10" t="s">
        <v>6663</v>
      </c>
      <c r="AD132" s="10"/>
      <c r="AE132" s="13" t="str">
        <f>IF(Table362[[#This Row],[Entity]]="Customer","KUNNR",IF(Table362[[#This Row],[Entity]]="Vendor","LIFNR","MATNR"))&amp;","&amp;Table362[[#This Row],[Field]]</f>
        <v>MATNR,MEINS</v>
      </c>
      <c r="AF132" s="13" t="str">
        <f>"VW_"&amp;Table362[[#This Row],[New Rule Name]]</f>
        <v>VW_MAT0090_BaseUnitofMeasureRef</v>
      </c>
      <c r="AG132" s="11" t="str">
        <f>"create view "&amp;Table362[[#This Row],[View Name]]&amp;" as 
     select 
          "&amp;IF(Table362[[#This Row],[Entity]]="Customer","KUNNR",IF(Table362[[#This Row],[Entity]]="Vendor","LIFNR","MATNR"))&amp;",
          "&amp;Table362[[#This Row],[Field]]&amp;" 
     from "&amp;Table362[[#This Row],[Table]]</f>
        <v>create view VW_MAT0090_BaseUnitofMeasureRef as 
     select 
          MATNR,
          MEINS 
     from MARA</v>
      </c>
      <c r="AH132" s="8"/>
      <c r="AI132" s="20" t="s">
        <v>7729</v>
      </c>
      <c r="AJ132" s="20"/>
      <c r="AK132" s="31">
        <v>9</v>
      </c>
      <c r="AL132" s="31"/>
    </row>
    <row r="133" spans="1:38" s="3" customFormat="1" ht="84" hidden="1" x14ac:dyDescent="0.25">
      <c r="A133" s="9">
        <v>124</v>
      </c>
      <c r="B133" s="7" t="s">
        <v>3973</v>
      </c>
      <c r="C133" s="7" t="s">
        <v>1207</v>
      </c>
      <c r="D133" s="7" t="s">
        <v>6719</v>
      </c>
      <c r="E133" s="7" t="s">
        <v>6720</v>
      </c>
      <c r="F133" s="7" t="s">
        <v>6732</v>
      </c>
      <c r="G133" s="7" t="s">
        <v>6358</v>
      </c>
      <c r="H133" s="7" t="s">
        <v>6386</v>
      </c>
      <c r="I133" s="7"/>
      <c r="J133" s="20" t="str">
        <f>VLOOKUP(V133,Table_to_BRG!A:D,3,FALSE)</f>
        <v>Company Code data</v>
      </c>
      <c r="K133" s="20" t="str">
        <f>VLOOKUP(V133,Table_to_BRG!A:D,2,FALSE)</f>
        <v>Company Code</v>
      </c>
      <c r="L133" s="20"/>
      <c r="M133" s="20"/>
      <c r="N133" s="9"/>
      <c r="O133" s="54"/>
      <c r="P133" s="7" t="s">
        <v>8472</v>
      </c>
      <c r="Q133" s="11" t="str">
        <f>UPPER(LEFT(Table362[[#This Row],[Entity]],3))&amp;RIGHT("00"&amp;Table362[[#This Row],[Rule '# by Entity]],3)&amp;"0_"&amp;MID(SUBSTITUTE(Table362[[#This Row],[Rule Name]],"_","|",3),SEARCH("|",SUBSTITUTE(Table362[[#This Row],[Rule Name]],"_","|",3))+1,LEN(Table362[[#This Row],[Rule Name]]))</f>
        <v>VEN0380_InterestCalculationIndicatorRef</v>
      </c>
      <c r="R133" s="13" t="s">
        <v>8262</v>
      </c>
      <c r="S133" s="7" t="s">
        <v>2</v>
      </c>
      <c r="T133" s="7"/>
      <c r="U133" s="7" t="s">
        <v>467</v>
      </c>
      <c r="V133" s="7" t="s">
        <v>3543</v>
      </c>
      <c r="W133" s="7" t="s">
        <v>2715</v>
      </c>
      <c r="X133" s="8" t="s">
        <v>2732</v>
      </c>
      <c r="Y133" s="7" t="s">
        <v>6016</v>
      </c>
      <c r="Z133" s="7" t="s">
        <v>2715</v>
      </c>
      <c r="AA133" s="11" t="str">
        <f>"BEGIN
     RETURN exists('DS_IS_RDS', '"&amp;Table362[[#This Row],[Lookup Table]]&amp;"', '"&amp;Table362[[#This Row],[Lookup Field]]&amp;"', "&amp;Table362[[#This Row],[IS Parameter]]&amp;");
END"</f>
        <v>BEGIN
     RETURN exists('DS_IS_RDS', 'T056', 'VZSKZ', $P_I_InterestCalcInd);
END</v>
      </c>
      <c r="AB133" s="11"/>
      <c r="AC133" s="10" t="s">
        <v>6663</v>
      </c>
      <c r="AD133" s="10"/>
      <c r="AE133" s="13" t="str">
        <f>IF(Table362[[#This Row],[Entity]]="Customer","KUNNR",IF(Table362[[#This Row],[Entity]]="Vendor","LIFNR","MATNR"))&amp;",BUKRS,"&amp;Table362[[#This Row],[Field]]</f>
        <v>LIFNR,BUKRS,VZSKZ</v>
      </c>
      <c r="AF133" s="13" t="str">
        <f>"VW_"&amp;Table362[[#This Row],[New Rule Name]]</f>
        <v>VW_VEN0380_InterestCalculationIndicatorRef</v>
      </c>
      <c r="AG133" s="11" t="str">
        <f>"create view "&amp;Table362[[#This Row],[View Name]]&amp;" as 
     select 
          "&amp;IF(Table362[[#This Row],[Entity]]="Customer","KUNNR",IF(Table362[[#This Row],[Entity]]="Vendor","LIFNR","MATNR"))&amp;",
          BUKRS,
          "&amp;Table362[[#This Row],[Field]]&amp;" 
     from "&amp;Table362[[#This Row],[Table]]</f>
        <v>create view VW_VEN0380_InterestCalculationIndicatorRef as 
     select 
          LIFNR,
          BUKRS,
          VZSKZ 
     from LFB1</v>
      </c>
      <c r="AH133" s="8"/>
      <c r="AI133" s="20" t="s">
        <v>7571</v>
      </c>
      <c r="AJ133" s="20"/>
      <c r="AK133" s="31">
        <v>38</v>
      </c>
      <c r="AL133" s="31"/>
    </row>
    <row r="134" spans="1:38" s="3" customFormat="1" ht="72" x14ac:dyDescent="0.25">
      <c r="A134" s="9">
        <v>125</v>
      </c>
      <c r="B134" s="7" t="s">
        <v>3973</v>
      </c>
      <c r="C134" s="7" t="s">
        <v>3</v>
      </c>
      <c r="D134" s="7" t="s">
        <v>6711</v>
      </c>
      <c r="E134" s="7" t="s">
        <v>6712</v>
      </c>
      <c r="F134" s="7" t="s">
        <v>6725</v>
      </c>
      <c r="G134" s="7" t="s">
        <v>6371</v>
      </c>
      <c r="H134" s="7" t="s">
        <v>6372</v>
      </c>
      <c r="I134" s="7"/>
      <c r="J134" s="20" t="str">
        <f>VLOOKUP(V134,Table_to_BRG!A:D,3,FALSE)</f>
        <v>General data</v>
      </c>
      <c r="K134" s="20" t="str">
        <f>VLOOKUP(V134,Table_to_BRG!A:D,2,FALSE)</f>
        <v>General</v>
      </c>
      <c r="L134" s="20"/>
      <c r="M134" s="20"/>
      <c r="N134" s="9"/>
      <c r="O134" s="54"/>
      <c r="P134" s="7" t="s">
        <v>8358</v>
      </c>
      <c r="Q134" s="11" t="str">
        <f>UPPER(LEFT(Table362[[#This Row],[Entity]],3))&amp;RIGHT("00"&amp;Table362[[#This Row],[Rule '# by Entity]],3)&amp;"0_"&amp;MID(SUBSTITUTE(Table362[[#This Row],[Rule Name]],"_","|",3),SEARCH("|",SUBSTITUTE(Table362[[#This Row],[Rule Name]],"_","|",3))+1,LEN(Table362[[#This Row],[Rule Name]]))</f>
        <v>MAT0290_PeriodIndicatorforSLEDRef</v>
      </c>
      <c r="R134" s="8" t="s">
        <v>7929</v>
      </c>
      <c r="S134" s="7" t="s">
        <v>2</v>
      </c>
      <c r="T134" s="7"/>
      <c r="U134" s="7" t="s">
        <v>471</v>
      </c>
      <c r="V134" s="7" t="s">
        <v>1526</v>
      </c>
      <c r="W134" s="7" t="s">
        <v>1986</v>
      </c>
      <c r="X134" s="8" t="s">
        <v>8620</v>
      </c>
      <c r="Y134" s="7" t="s">
        <v>6017</v>
      </c>
      <c r="Z134" s="7" t="s">
        <v>1986</v>
      </c>
      <c r="AA134" s="11" t="str">
        <f>"BEGIN
     RETURN exists('DS_IS_RDS', '"&amp;Table362[[#This Row],[Lookup Table]]&amp;"', '"&amp;Table362[[#This Row],[Lookup Field]]&amp;"', "&amp;Table362[[#This Row],[IS Parameter]]&amp;");
END"</f>
        <v>BEGIN
     RETURN exists('DS_IS_RDS', 'PRDKZT', 'IPRKZ', $P_I_PeriodIndForSLED);
END</v>
      </c>
      <c r="AB134" s="11" t="str">
        <f>Table362[[#This Row],[IS Parameter]]&amp;" IS NOT NULL AND rtrim("&amp;Table362[[#This Row],[IS Parameter]]&amp;", ' ') != ''"</f>
        <v>$P_I_PeriodIndForSLED IS NOT NULL AND rtrim($P_I_PeriodIndForSLED, ' ') != ''</v>
      </c>
      <c r="AC134" s="10" t="s">
        <v>6663</v>
      </c>
      <c r="AD134" s="10"/>
      <c r="AE134" s="13" t="str">
        <f>IF(Table362[[#This Row],[Entity]]="Customer","KUNNR",IF(Table362[[#This Row],[Entity]]="Vendor","LIFNR","MATNR"))&amp;","&amp;Table362[[#This Row],[Field]]</f>
        <v>MATNR,IPRKZ</v>
      </c>
      <c r="AF134" s="13" t="str">
        <f>"VW_"&amp;Table362[[#This Row],[New Rule Name]]</f>
        <v>VW_MAT0290_PeriodIndicatorforSLEDRef</v>
      </c>
      <c r="AG134" s="11" t="str">
        <f>"create view "&amp;Table362[[#This Row],[View Name]]&amp;" as 
     select 
          "&amp;IF(Table362[[#This Row],[Entity]]="Customer","KUNNR",IF(Table362[[#This Row],[Entity]]="Vendor","LIFNR","MATNR"))&amp;",
          "&amp;Table362[[#This Row],[Field]]&amp;" 
     from "&amp;Table362[[#This Row],[Table]]</f>
        <v>create view VW_MAT0290_PeriodIndicatorforSLEDRef as 
     select 
          MATNR,
          IPRKZ 
     from MARA</v>
      </c>
      <c r="AH134" s="8"/>
      <c r="AI134" s="20"/>
      <c r="AJ134" s="20"/>
      <c r="AK134" s="31">
        <v>29</v>
      </c>
      <c r="AL134" s="31"/>
    </row>
    <row r="135" spans="1:38" s="3" customFormat="1" ht="108" hidden="1" x14ac:dyDescent="0.25">
      <c r="A135" s="9">
        <v>129</v>
      </c>
      <c r="B135" s="7" t="s">
        <v>3973</v>
      </c>
      <c r="C135" s="7" t="s">
        <v>16</v>
      </c>
      <c r="D135" s="7" t="s">
        <v>6711</v>
      </c>
      <c r="E135" s="7" t="s">
        <v>6714</v>
      </c>
      <c r="F135" s="7" t="s">
        <v>6724</v>
      </c>
      <c r="G135" s="7" t="s">
        <v>6361</v>
      </c>
      <c r="H135" s="7" t="s">
        <v>6362</v>
      </c>
      <c r="I135" s="7"/>
      <c r="J135" s="20" t="str">
        <f>VLOOKUP(V135,Table_to_BRG!A:D,3,FALSE)</f>
        <v>Contact data</v>
      </c>
      <c r="K135" s="20" t="str">
        <f>VLOOKUP(V135,Table_to_BRG!A:D,2,FALSE)</f>
        <v>Contact partner</v>
      </c>
      <c r="L135" s="20"/>
      <c r="M135" s="20"/>
      <c r="N135" s="9"/>
      <c r="O135" s="54"/>
      <c r="P135" s="7" t="s">
        <v>8085</v>
      </c>
      <c r="Q135" s="11" t="str">
        <f>UPPER(LEFT(Table362[[#This Row],[Entity]],3))&amp;RIGHT("00"&amp;Table362[[#This Row],[Rule '# by Entity]],3)&amp;"0_"&amp;MID(SUBSTITUTE(Table362[[#This Row],[Rule Name]],"_","|",3),SEARCH("|",SUBSTITUTE(Table362[[#This Row],[Rule Name]],"_","|",3))+1,LEN(Table362[[#This Row],[Rule Name]]))</f>
        <v>CUS0760_ContactPersonDepartmentPopulated</v>
      </c>
      <c r="R135" s="8" t="s">
        <v>8114</v>
      </c>
      <c r="S135" s="7" t="s">
        <v>21</v>
      </c>
      <c r="T135" s="7"/>
      <c r="U135" s="7" t="s">
        <v>6092</v>
      </c>
      <c r="V135" s="7" t="s">
        <v>3001</v>
      </c>
      <c r="W135" s="7" t="s">
        <v>2994</v>
      </c>
      <c r="X135" s="8" t="s">
        <v>2998</v>
      </c>
      <c r="Y135" s="7" t="s">
        <v>5978</v>
      </c>
      <c r="Z135" s="7" t="s">
        <v>5978</v>
      </c>
      <c r="AA135" s="10" t="s">
        <v>482</v>
      </c>
      <c r="AB135" s="10"/>
      <c r="AC135" s="10" t="s">
        <v>6813</v>
      </c>
      <c r="AD135" s="10"/>
      <c r="AE135" s="13" t="s">
        <v>6944</v>
      </c>
      <c r="AF135" s="13" t="str">
        <f>"VW_"&amp;Table362[[#This Row],[New Rule Name]]</f>
        <v>VW_CUS0760_ContactPersonDepartmentPopulated</v>
      </c>
      <c r="AG135" s="11" t="str">
        <f>"create view "&amp;Table362[[#This Row],[View Name]]&amp;" as 
     select 
          "&amp;IF(Table362[[#This Row],[Entity]]="Customer","KUNNR",IF(Table362[[#This Row],[Entity]]="Vendor","LIFNR","MATNR"))&amp;",
          VKORG,
          VTWEG,
          SPART,
          "&amp;Table362[[#This Row],[Field]]&amp;" 
     from "&amp;Table362[[#This Row],[Table]]</f>
        <v>create view VW_CUS0760_ContactPersonDepartmentPopulated as 
     select 
          KUNNR,
          VKORG,
          VTWEG,
          SPART,
          ABTNR 
     from KNVK</v>
      </c>
      <c r="AH135" s="8"/>
      <c r="AI135" s="20"/>
      <c r="AJ135" s="20"/>
      <c r="AK135" s="31">
        <v>76</v>
      </c>
      <c r="AL135" s="31"/>
    </row>
    <row r="136" spans="1:38" s="3" customFormat="1" ht="84" x14ac:dyDescent="0.25">
      <c r="A136" s="9">
        <v>130</v>
      </c>
      <c r="B136" s="7" t="s">
        <v>3973</v>
      </c>
      <c r="C136" s="7" t="s">
        <v>3</v>
      </c>
      <c r="D136" s="7" t="s">
        <v>6711</v>
      </c>
      <c r="E136" s="7" t="s">
        <v>6712</v>
      </c>
      <c r="F136" s="7" t="s">
        <v>6713</v>
      </c>
      <c r="G136" s="7" t="s">
        <v>6379</v>
      </c>
      <c r="H136" s="7" t="s">
        <v>6380</v>
      </c>
      <c r="I136" s="7"/>
      <c r="J136" s="20" t="str">
        <f>VLOOKUP(V136,Table_to_BRG!A:D,3,FALSE)</f>
        <v>Plant data</v>
      </c>
      <c r="K136" s="20" t="str">
        <f>VLOOKUP(V136,Table_to_BRG!A:D,2,FALSE)</f>
        <v>Plant</v>
      </c>
      <c r="L136" s="20"/>
      <c r="M136" s="20"/>
      <c r="N136" s="9"/>
      <c r="O136" s="54"/>
      <c r="P136" s="7" t="s">
        <v>8359</v>
      </c>
      <c r="Q136" s="11" t="str">
        <f>UPPER(LEFT(Table362[[#This Row],[Entity]],3))&amp;RIGHT("00"&amp;Table362[[#This Row],[Rule '# by Entity]],3)&amp;"0_"&amp;MID(SUBSTITUTE(Table362[[#This Row],[Rule Name]],"_","|",3),SEARCH("|",SUBSTITUTE(Table362[[#This Row],[Rule Name]],"_","|",3))+1,LEN(Table362[[#This Row],[Rule Name]]))</f>
        <v>MAT0340_PlantRef</v>
      </c>
      <c r="R136" s="8" t="s">
        <v>7930</v>
      </c>
      <c r="S136" s="7" t="s">
        <v>2</v>
      </c>
      <c r="T136" s="7" t="s">
        <v>2</v>
      </c>
      <c r="U136" s="7" t="s">
        <v>485</v>
      </c>
      <c r="V136" s="7" t="s">
        <v>1527</v>
      </c>
      <c r="W136" s="7" t="s">
        <v>1495</v>
      </c>
      <c r="X136" s="8" t="s">
        <v>1265</v>
      </c>
      <c r="Y136" s="7" t="s">
        <v>4145</v>
      </c>
      <c r="Z136" s="7" t="s">
        <v>1495</v>
      </c>
      <c r="AA136" s="11" t="str">
        <f>"BEGIN
     RETURN exists('DS_IS_RDS', '"&amp;Table362[[#This Row],[Lookup Table]]&amp;"', '"&amp;Table362[[#This Row],[Lookup Field]]&amp;"', "&amp;Table362[[#This Row],[IS Parameter]]&amp;");
END"</f>
        <v>BEGIN
     RETURN exists('DS_IS_RDS', 'T001W', 'WERKS', $P_I_Plant);
END</v>
      </c>
      <c r="AB136" s="11" t="str">
        <f>Table362[[#This Row],[IS Parameter]]&amp;" IS NOT NULL AND rtrim("&amp;Table362[[#This Row],[IS Parameter]]&amp;", ' ') != ''"</f>
        <v>$P_I_Plant IS NOT NULL AND rtrim($P_I_Plant, ' ') != ''</v>
      </c>
      <c r="AC136" s="10" t="s">
        <v>6663</v>
      </c>
      <c r="AD136" s="10"/>
      <c r="AE136" s="13" t="str">
        <f>IF(Table362[[#This Row],[Entity]]="Customer","KUNNR",IF(Table362[[#This Row],[Entity]]="Vendor","LIFNR","MATNR"))&amp;","&amp;Table362[[#This Row],[Field]]</f>
        <v>MATNR,WERKS</v>
      </c>
      <c r="AF136" s="13" t="str">
        <f>"VW_"&amp;Table362[[#This Row],[New Rule Name]]</f>
        <v>VW_MAT0340_PlantRef</v>
      </c>
      <c r="AG136" s="11" t="str">
        <f>"create view "&amp;Table362[[#This Row],[View Name]]&amp;" (
     "&amp;IF(Table362[[#This Row],[Entity]]="Customer","KUNNR",IF(Table362[[#This Row],[Entity]]="Vendor","LIFNR","MATNR"))&amp;",
     "&amp;Table362[[#This Row],[Field]]&amp;"
     ) as select 
          "&amp;IF(Table362[[#This Row],[Entity]]="Customer","KUNNR",IF(Table362[[#This Row],[Entity]]="Vendor","LIFNR","MATNR"))&amp;",
          "&amp;Table362[[#This Row],[Field]]&amp;" 
     from "&amp;Table362[[#This Row],[Table]]</f>
        <v>create view VW_MAT0340_PlantRef (
     MATNR,
     WERKS
     ) as select 
          MATNR,
          WERKS 
     from MARC</v>
      </c>
      <c r="AH136" s="8"/>
      <c r="AI136" s="20" t="s">
        <v>6673</v>
      </c>
      <c r="AJ136" s="20"/>
      <c r="AK136" s="31">
        <v>34</v>
      </c>
      <c r="AL136" s="31"/>
    </row>
    <row r="137" spans="1:38" s="3" customFormat="1" ht="60" hidden="1" x14ac:dyDescent="0.25">
      <c r="A137" s="9">
        <v>131</v>
      </c>
      <c r="B137" s="7" t="s">
        <v>3973</v>
      </c>
      <c r="C137" s="7" t="s">
        <v>16</v>
      </c>
      <c r="D137" s="7" t="s">
        <v>6711</v>
      </c>
      <c r="E137" s="7" t="s">
        <v>6714</v>
      </c>
      <c r="F137" s="7" t="s">
        <v>6715</v>
      </c>
      <c r="G137" s="7" t="s">
        <v>6361</v>
      </c>
      <c r="H137" s="7" t="s">
        <v>6384</v>
      </c>
      <c r="I137" s="7"/>
      <c r="J137" s="20" t="str">
        <f>VLOOKUP(V137,Table_to_BRG!A:D,3,FALSE)</f>
        <v>General data</v>
      </c>
      <c r="K137" s="20" t="str">
        <f>VLOOKUP(V137,Table_to_BRG!A:D,2,FALSE)</f>
        <v>General</v>
      </c>
      <c r="L137" s="20"/>
      <c r="M137" s="20"/>
      <c r="N137" s="9"/>
      <c r="O137" s="54"/>
      <c r="P137" s="7" t="s">
        <v>7857</v>
      </c>
      <c r="Q137" s="11" t="str">
        <f>UPPER(LEFT(Table362[[#This Row],[Entity]],3))&amp;RIGHT("00"&amp;Table362[[#This Row],[Rule '# by Entity]],3)&amp;"0_"&amp;MID(SUBSTITUTE(Table362[[#This Row],[Rule Name]],"_","|",3),SEARCH("|",SUBSTITUTE(Table362[[#This Row],[Rule Name]],"_","|",3))+1,LEN(Table362[[#This Row],[Rule Name]]))</f>
        <v>CUS0180_ClassificationRef</v>
      </c>
      <c r="R137" s="13" t="s">
        <v>8024</v>
      </c>
      <c r="S137" s="7" t="s">
        <v>21</v>
      </c>
      <c r="T137" s="7" t="s">
        <v>2</v>
      </c>
      <c r="U137" s="7" t="s">
        <v>489</v>
      </c>
      <c r="V137" s="7" t="s">
        <v>2741</v>
      </c>
      <c r="W137" s="7" t="s">
        <v>3233</v>
      </c>
      <c r="X137" s="8" t="s">
        <v>6468</v>
      </c>
      <c r="Y137" s="7" t="s">
        <v>5742</v>
      </c>
      <c r="Z137" s="7" t="s">
        <v>3233</v>
      </c>
      <c r="AA137" s="11" t="str">
        <f>"BEGIN
     RETURN exists('DS_IS_RDS', '"&amp;Table362[[#This Row],[Lookup Table]]&amp;"', '"&amp;Table362[[#This Row],[Lookup Field]]&amp;"', "&amp;Table362[[#This Row],[IS Parameter]]&amp;");
END"</f>
        <v>BEGIN
     RETURN exists('DS_IS_RDS', 'TKUKL', 'KUKLA', $P_I_Classification);
END</v>
      </c>
      <c r="AB137" s="11" t="str">
        <f>Table362[[#This Row],[IS Parameter]]&amp;" IS NOT NULL
AND "&amp; Table362[[#This Row],[IS Parameter]]&amp;" != ''"</f>
        <v>$P_I_Classification IS NOT NULL
AND $P_I_Classification != ''</v>
      </c>
      <c r="AC137" s="10" t="s">
        <v>6663</v>
      </c>
      <c r="AD137" s="10"/>
      <c r="AE137" s="13" t="str">
        <f>IF(Table362[[#This Row],[Entity]]="Customer","KUNNR",IF(Table362[[#This Row],[Entity]]="Vendor","LIFNR","MATNR"))&amp;","&amp;Table362[[#This Row],[Field]]</f>
        <v>KUNNR,KUKLA</v>
      </c>
      <c r="AF137" s="13" t="str">
        <f>"VW_"&amp;Table362[[#This Row],[New Rule Name]]</f>
        <v>VW_CUS0180_ClassificationRef</v>
      </c>
      <c r="AG137" s="11" t="str">
        <f>"create view "&amp;Table362[[#This Row],[View Name]]&amp;" as 
     select 
          "&amp;IF(Table362[[#This Row],[Entity]]="Customer","KUNNR",IF(Table362[[#This Row],[Entity]]="Vendor","LIFNR","MATNR"))&amp;",
          "&amp;Table362[[#This Row],[Field]]&amp;" 
     from "&amp;Table362[[#This Row],[Table]]</f>
        <v>create view VW_CUS0180_ClassificationRef as 
     select 
          KUNNR,
          KUKLA 
     from KNA1</v>
      </c>
      <c r="AH137" s="8"/>
      <c r="AI137" s="20"/>
      <c r="AJ137" s="20"/>
      <c r="AK137" s="31">
        <v>18</v>
      </c>
      <c r="AL137" s="31"/>
    </row>
    <row r="138" spans="1:38" s="3" customFormat="1" ht="72" hidden="1" x14ac:dyDescent="0.25">
      <c r="A138" s="9">
        <v>132</v>
      </c>
      <c r="B138" s="7" t="s">
        <v>3973</v>
      </c>
      <c r="C138" s="7" t="s">
        <v>1207</v>
      </c>
      <c r="D138" s="7" t="s">
        <v>6719</v>
      </c>
      <c r="E138" s="7" t="s">
        <v>6720</v>
      </c>
      <c r="F138" s="7" t="s">
        <v>6722</v>
      </c>
      <c r="G138" s="7" t="s">
        <v>6358</v>
      </c>
      <c r="H138" s="7" t="s">
        <v>6386</v>
      </c>
      <c r="I138" s="7"/>
      <c r="J138" s="20" t="str">
        <f>VLOOKUP(V138,Table_to_BRG!A:D,3,FALSE)</f>
        <v>Company Code data</v>
      </c>
      <c r="K138" s="20" t="str">
        <f>VLOOKUP(V138,Table_to_BRG!A:D,2,FALSE)</f>
        <v>Company Code</v>
      </c>
      <c r="L138" s="20"/>
      <c r="M138" s="20"/>
      <c r="N138" s="9"/>
      <c r="O138" s="54"/>
      <c r="P138" s="7" t="s">
        <v>8473</v>
      </c>
      <c r="Q138" s="11" t="str">
        <f>UPPER(LEFT(Table362[[#This Row],[Entity]],3))&amp;RIGHT("00"&amp;Table362[[#This Row],[Rule '# by Entity]],3)&amp;"0_"&amp;MID(SUBSTITUTE(Table362[[#This Row],[Rule Name]],"_","|",3),SEARCH("|",SUBSTITUTE(Table362[[#This Row],[Rule Name]],"_","|",3))+1,LEN(Table362[[#This Row],[Rule Name]]))</f>
        <v>VEN0440_InterestCycleIsValid</v>
      </c>
      <c r="R138" s="8" t="s">
        <v>8158</v>
      </c>
      <c r="S138" s="7" t="s">
        <v>2</v>
      </c>
      <c r="T138" s="7"/>
      <c r="U138" s="7" t="s">
        <v>72</v>
      </c>
      <c r="V138" s="7" t="s">
        <v>3543</v>
      </c>
      <c r="W138" s="7" t="s">
        <v>2717</v>
      </c>
      <c r="X138" s="8" t="s">
        <v>2734</v>
      </c>
      <c r="Y138" s="7"/>
      <c r="Z138" s="7" t="s">
        <v>5978</v>
      </c>
      <c r="AA138" s="10" t="s">
        <v>73</v>
      </c>
      <c r="AB138" s="10"/>
      <c r="AC138" s="13" t="s">
        <v>7792</v>
      </c>
      <c r="AD138"/>
      <c r="AE138" s="13" t="str">
        <f>IF(Table362[[#This Row],[Entity]]="Customer","KUNNR",IF(Table362[[#This Row],[Entity]]="Vendor","LIFNR","MATNR"))&amp;","&amp;Table362[[#This Row],[Field]]</f>
        <v>LIFNR,ZINRT</v>
      </c>
      <c r="AF138" s="13" t="str">
        <f>"VW_"&amp;Table362[[#This Row],[New Rule Name]]</f>
        <v>VW_VEN0440_InterestCycleIsValid</v>
      </c>
      <c r="AG138" s="11" t="str">
        <f>"create view "&amp;Table362[[#This Row],[View Name]]&amp;" as 
     select 
          "&amp;IF(Table362[[#This Row],[Entity]]="Customer","KUNNR",IF(Table362[[#This Row],[Entity]]="Vendor","LIFNR","MATNR"))&amp;",
          "&amp;Table362[[#This Row],[Field]]&amp;" 
     from "&amp;Table362[[#This Row],[Table]]</f>
        <v>create view VW_VEN0440_InterestCycleIsValid as 
     select 
          LIFNR,
          ZINRT 
     from LFB1</v>
      </c>
      <c r="AH138" s="8"/>
      <c r="AI138" s="20" t="s">
        <v>6526</v>
      </c>
      <c r="AJ138" s="20"/>
      <c r="AK138" s="31">
        <v>44</v>
      </c>
      <c r="AL138" s="31"/>
    </row>
    <row r="139" spans="1:38" s="3" customFormat="1" ht="84" hidden="1" x14ac:dyDescent="0.25">
      <c r="A139" s="9">
        <v>133</v>
      </c>
      <c r="B139" s="7" t="s">
        <v>3973</v>
      </c>
      <c r="C139" s="7" t="s">
        <v>16</v>
      </c>
      <c r="D139" s="7" t="s">
        <v>6719</v>
      </c>
      <c r="E139" s="7" t="s">
        <v>6720</v>
      </c>
      <c r="F139" s="7" t="s">
        <v>6721</v>
      </c>
      <c r="G139" s="7" t="s">
        <v>6358</v>
      </c>
      <c r="H139" s="7" t="s">
        <v>6383</v>
      </c>
      <c r="I139" s="7"/>
      <c r="J139" s="20" t="str">
        <f>VLOOKUP(V139,Table_to_BRG!A:D,3,FALSE)</f>
        <v>Company Code data</v>
      </c>
      <c r="K139" s="20" t="str">
        <f>VLOOKUP(V139,Table_to_BRG!A:D,2,FALSE)</f>
        <v>Company Code</v>
      </c>
      <c r="L139" s="20"/>
      <c r="M139" s="20"/>
      <c r="N139" s="9"/>
      <c r="O139" s="54"/>
      <c r="P139" s="7" t="s">
        <v>8152</v>
      </c>
      <c r="Q139" s="11" t="str">
        <f>UPPER(LEFT(Table362[[#This Row],[Entity]],3))&amp;RIGHT("00"&amp;Table362[[#This Row],[Rule '# by Entity]],3)&amp;"0_"&amp;MID(SUBSTITUTE(Table362[[#This Row],[Rule Name]],"_","|",3),SEARCH("|",SUBSTITUTE(Table362[[#This Row],[Rule Name]],"_","|",3))+1,LEN(Table362[[#This Row],[Rule Name]]))</f>
        <v>CUS0480_InterestCalcIndicatorRef</v>
      </c>
      <c r="R139" s="13" t="s">
        <v>8025</v>
      </c>
      <c r="S139" s="7" t="s">
        <v>2</v>
      </c>
      <c r="T139" s="7"/>
      <c r="U139" s="7" t="s">
        <v>467</v>
      </c>
      <c r="V139" s="7" t="s">
        <v>2740</v>
      </c>
      <c r="W139" s="7" t="s">
        <v>2715</v>
      </c>
      <c r="X139" s="8" t="s">
        <v>6469</v>
      </c>
      <c r="Y139" s="7" t="s">
        <v>6016</v>
      </c>
      <c r="Z139" s="7" t="s">
        <v>2715</v>
      </c>
      <c r="AA139" s="11" t="str">
        <f>"BEGIN
     RETURN exists('DS_IS_RDS', '"&amp;Table362[[#This Row],[Lookup Table]]&amp;"', '"&amp;Table362[[#This Row],[Lookup Field]]&amp;"', "&amp;Table362[[#This Row],[IS Parameter]]&amp;");
END"</f>
        <v>BEGIN
     RETURN exists('DS_IS_RDS', 'T056', 'VZSKZ', $P_I_InterestCalcInd);
END</v>
      </c>
      <c r="AB139" s="11" t="str">
        <f>Table362[[#This Row],[IS Parameter]]&amp;" IS NOT NULL
AND "&amp; Table362[[#This Row],[IS Parameter]]&amp;" != ''"</f>
        <v>$P_I_InterestCalcInd IS NOT NULL
AND $P_I_InterestCalcInd != ''</v>
      </c>
      <c r="AC139" s="10" t="s">
        <v>6663</v>
      </c>
      <c r="AD139" s="10"/>
      <c r="AE139" s="13" t="str">
        <f>IF(Table362[[#This Row],[Entity]]="Customer","KUNNR",IF(Table362[[#This Row],[Entity]]="Vendor","LIFNR","MATNR"))&amp;",BUKRS"&amp;","&amp;Table362[[#This Row],[Field]]</f>
        <v>KUNNR,BUKRS,VZSKZ</v>
      </c>
      <c r="AF139" s="13" t="str">
        <f>"VW_"&amp;Table362[[#This Row],[New Rule Name]]</f>
        <v>VW_CUS0480_InterestCalcIndicatorRef</v>
      </c>
      <c r="AG139" s="11" t="str">
        <f>"create view "&amp;Table362[[#This Row],[View Name]]&amp;" as 
     select 
          "&amp;IF(Table362[[#This Row],[Entity]]="Customer","KUNNR",IF(Table362[[#This Row],[Entity]]="Vendor","LIFNR","MATNR"))&amp;",
          BUKRS,
          "&amp;Table362[[#This Row],[Field]]&amp;" 
     from "&amp;Table362[[#This Row],[Table]]</f>
        <v>create view VW_CUS0480_InterestCalcIndicatorRef as 
     select 
          KUNNR,
          BUKRS,
          VZSKZ 
     from KNB1</v>
      </c>
      <c r="AH139" s="8"/>
      <c r="AI139" s="20" t="s">
        <v>7572</v>
      </c>
      <c r="AJ139" s="20"/>
      <c r="AK139" s="31">
        <v>48</v>
      </c>
      <c r="AL139" s="31"/>
    </row>
    <row r="140" spans="1:38" s="3" customFormat="1" ht="72" x14ac:dyDescent="0.25">
      <c r="A140" s="9">
        <v>134</v>
      </c>
      <c r="B140" s="7" t="s">
        <v>3973</v>
      </c>
      <c r="C140" s="7" t="s">
        <v>3</v>
      </c>
      <c r="D140" s="7" t="s">
        <v>6711</v>
      </c>
      <c r="E140" s="7" t="s">
        <v>6712</v>
      </c>
      <c r="F140" s="7" t="s">
        <v>6725</v>
      </c>
      <c r="G140" s="7" t="s">
        <v>6385</v>
      </c>
      <c r="H140" s="7"/>
      <c r="I140" s="7"/>
      <c r="J140" s="20" t="str">
        <f>VLOOKUP(V140,Table_to_BRG!A:D,3,FALSE)</f>
        <v>General data</v>
      </c>
      <c r="K140" s="20" t="str">
        <f>VLOOKUP(V140,Table_to_BRG!A:D,2,FALSE)</f>
        <v>General</v>
      </c>
      <c r="L140" s="20"/>
      <c r="M140" s="20"/>
      <c r="N140" s="9"/>
      <c r="O140" s="54"/>
      <c r="P140" s="7" t="s">
        <v>8360</v>
      </c>
      <c r="Q140" s="11" t="str">
        <f>UPPER(LEFT(Table362[[#This Row],[Entity]],3))&amp;RIGHT("00"&amp;Table362[[#This Row],[Rule '# by Entity]],3)&amp;"0_"&amp;MID(SUBSTITUTE(Table362[[#This Row],[Rule Name]],"_","|",3),SEARCH("|",SUBSTITUTE(Table362[[#This Row],[Rule Name]],"_","|",3))+1,LEN(Table362[[#This Row],[Rule Name]]))</f>
        <v>MAT0080_BaseUnitOfMeasurePopulated</v>
      </c>
      <c r="R140" s="8" t="s">
        <v>7988</v>
      </c>
      <c r="S140" s="7" t="s">
        <v>21</v>
      </c>
      <c r="T140"/>
      <c r="U140" s="7" t="s">
        <v>463</v>
      </c>
      <c r="V140" s="7" t="s">
        <v>1526</v>
      </c>
      <c r="W140" s="7" t="s">
        <v>1496</v>
      </c>
      <c r="X140" s="8" t="s">
        <v>8621</v>
      </c>
      <c r="Y140" s="7" t="s">
        <v>5978</v>
      </c>
      <c r="Z140" s="7" t="s">
        <v>5978</v>
      </c>
      <c r="AA140" s="10" t="s">
        <v>495</v>
      </c>
      <c r="AB140" s="10"/>
      <c r="AC140" s="10" t="s">
        <v>6813</v>
      </c>
      <c r="AD140" s="10"/>
      <c r="AE140" s="13" t="str">
        <f>IF(Table362[[#This Row],[Entity]]="Customer","KUNNR",IF(Table362[[#This Row],[Entity]]="Vendor","LIFNR","MATNR"))&amp;","&amp;Table362[[#This Row],[Field]]</f>
        <v>MATNR,MEINS</v>
      </c>
      <c r="AF140" s="13" t="str">
        <f>"VW_"&amp;Table362[[#This Row],[New Rule Name]]</f>
        <v>VW_MAT0080_BaseUnitOfMeasurePopulated</v>
      </c>
      <c r="AG140" s="11" t="str">
        <f>"create view "&amp;Table362[[#This Row],[View Name]]&amp;" as 
     select 
          "&amp;IF(Table362[[#This Row],[Entity]]="Customer","KUNNR",IF(Table362[[#This Row],[Entity]]="Vendor","LIFNR","MATNR"))&amp;",
          "&amp;Table362[[#This Row],[Field]]&amp;" 
     from "&amp;Table362[[#This Row],[Table]]</f>
        <v>create view VW_MAT0080_BaseUnitOfMeasurePopulated as 
     select 
          MATNR,
          MEINS 
     from MARA</v>
      </c>
      <c r="AH140" s="8"/>
      <c r="AI140" s="20" t="s">
        <v>7729</v>
      </c>
      <c r="AJ140" s="20"/>
      <c r="AK140" s="31">
        <v>8</v>
      </c>
      <c r="AL140" s="31"/>
    </row>
    <row r="141" spans="1:38" s="3" customFormat="1" ht="108" x14ac:dyDescent="0.25">
      <c r="A141" s="9">
        <v>135</v>
      </c>
      <c r="B141" s="7" t="s">
        <v>3973</v>
      </c>
      <c r="C141" s="7" t="s">
        <v>3</v>
      </c>
      <c r="D141" s="7" t="s">
        <v>6711</v>
      </c>
      <c r="E141" s="7" t="s">
        <v>6712</v>
      </c>
      <c r="F141" s="7" t="s">
        <v>6713</v>
      </c>
      <c r="G141" s="7" t="s">
        <v>6703</v>
      </c>
      <c r="H141" s="7" t="s">
        <v>6376</v>
      </c>
      <c r="I141" s="7"/>
      <c r="J141" s="20" t="str">
        <f>VLOOKUP(V141,Table_to_BRG!A:D,3,FALSE)</f>
        <v>Plant data</v>
      </c>
      <c r="K141" s="20" t="str">
        <f>VLOOKUP(V141,Table_to_BRG!A:D,2,FALSE)</f>
        <v>Plant</v>
      </c>
      <c r="L141" s="20"/>
      <c r="M141" s="20"/>
      <c r="N141" s="9"/>
      <c r="O141" s="54"/>
      <c r="P141" s="7" t="s">
        <v>8361</v>
      </c>
      <c r="Q141" s="11" t="str">
        <f>UPPER(LEFT(Table362[[#This Row],[Entity]],3))&amp;RIGHT("00"&amp;Table362[[#This Row],[Rule '# by Entity]],3)&amp;"0_"&amp;MID(SUBSTITUTE(Table362[[#This Row],[Rule Name]],"_","|",3),SEARCH("|",SUBSTITUTE(Table362[[#This Row],[Rule Name]],"_","|",3))+1,LEN(Table362[[#This Row],[Rule Name]]))</f>
        <v>MAT0840_ActionControlRef</v>
      </c>
      <c r="R141" s="8" t="s">
        <v>7931</v>
      </c>
      <c r="S141" s="7" t="s">
        <v>2</v>
      </c>
      <c r="T141" s="7"/>
      <c r="U141" s="7" t="s">
        <v>498</v>
      </c>
      <c r="V141" s="7" t="s">
        <v>1527</v>
      </c>
      <c r="W141" s="7" t="s">
        <v>2230</v>
      </c>
      <c r="X141" s="8" t="s">
        <v>2248</v>
      </c>
      <c r="Y141" s="7" t="s">
        <v>6018</v>
      </c>
      <c r="Z141" s="7" t="s">
        <v>2230</v>
      </c>
      <c r="AA141" s="11" t="str">
        <f>"BEGIN
     RETURN exists('DS_IS_RDS', '"&amp;Table362[[#This Row],[Lookup Table]]&amp;"', '"&amp;Table362[[#This Row],[Lookup Field]]&amp;"', "&amp;Table362[[#This Row],[IS Parameter]]&amp;");
END"</f>
        <v>BEGIN
     RETURN exists('DS_IS_RDS', 'T46AC', 'MDACH', $P_I_ActionControl);
END</v>
      </c>
      <c r="AB141" s="11" t="str">
        <f>Table362[[#This Row],[IS Parameter]]&amp;" IS NOT NULL AND rtrim("&amp;Table362[[#This Row],[IS Parameter]]&amp;", ' ') != ''"</f>
        <v>$P_I_ActionControl IS NOT NULL AND rtrim($P_I_ActionControl, ' ') != ''</v>
      </c>
      <c r="AC141" s="10" t="s">
        <v>6663</v>
      </c>
      <c r="AD141" s="10"/>
      <c r="AE141" s="13" t="str">
        <f>IF(Table362[[#This Row],[Entity]]="Customer","KUNNR",IF(Table362[[#This Row],[Entity]]="Vendor","LIFNR","MATNR"))&amp;",WERKS"&amp;","&amp;Table362[[#This Row],[Field]]</f>
        <v>MATNR,WERKS,MDACH</v>
      </c>
      <c r="AF141" s="13" t="str">
        <f>"VW_"&amp;Table362[[#This Row],[New Rule Name]]</f>
        <v>VW_MAT0840_ActionControlRef</v>
      </c>
      <c r="AG141"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VW_MAT0840_ActionControlRef (
     MATNR,
     WERKS,
     MDACH
     ) as select 
          MATNR,
          WERKS,
          MDACH 
     from MARC</v>
      </c>
      <c r="AH141" s="8"/>
      <c r="AI141" s="20"/>
      <c r="AJ141" s="20"/>
      <c r="AK141" s="31">
        <v>84</v>
      </c>
      <c r="AL141" s="31"/>
    </row>
    <row r="142" spans="1:38" s="3" customFormat="1" ht="48" hidden="1" x14ac:dyDescent="0.25">
      <c r="A142" s="9">
        <v>140</v>
      </c>
      <c r="B142" s="7" t="s">
        <v>3973</v>
      </c>
      <c r="C142" s="7" t="s">
        <v>1207</v>
      </c>
      <c r="D142" s="7" t="s">
        <v>6719</v>
      </c>
      <c r="E142" s="7" t="s">
        <v>6720</v>
      </c>
      <c r="F142" s="7" t="s">
        <v>6722</v>
      </c>
      <c r="G142" s="7" t="s">
        <v>6358</v>
      </c>
      <c r="H142" s="7"/>
      <c r="I142" s="7"/>
      <c r="J142" s="20" t="str">
        <f>VLOOKUP(V142,Table_to_BRG!A:D,3,FALSE)</f>
        <v>Company Code data</v>
      </c>
      <c r="K142" s="20" t="str">
        <f>VLOOKUP(V142,Table_to_BRG!A:D,2,FALSE)</f>
        <v>Company Code</v>
      </c>
      <c r="L142" s="20"/>
      <c r="M142" s="20"/>
      <c r="N142" s="9"/>
      <c r="O142" s="54"/>
      <c r="P142" s="7" t="s">
        <v>8474</v>
      </c>
      <c r="Q142" s="11" t="str">
        <f>UPPER(LEFT(Table362[[#This Row],[Entity]],3))&amp;RIGHT("00"&amp;Table362[[#This Row],[Rule '# by Entity]],3)&amp;"0_"&amp;MID(SUBSTITUTE(Table362[[#This Row],[Rule Name]],"_","|",3),SEARCH("|",SUBSTITUTE(Table362[[#This Row],[Rule Name]],"_","|",3))+1,LEN(Table362[[#This Row],[Rule Name]]))</f>
        <v>VEN0330_CompanyCodeRef</v>
      </c>
      <c r="R142" s="8" t="s">
        <v>8545</v>
      </c>
      <c r="S142" s="7" t="s">
        <v>2</v>
      </c>
      <c r="T142" s="7"/>
      <c r="U142" s="7" t="s">
        <v>36</v>
      </c>
      <c r="V142" s="8" t="s">
        <v>3543</v>
      </c>
      <c r="W142" s="7" t="s">
        <v>2706</v>
      </c>
      <c r="X142" s="8" t="s">
        <v>1190</v>
      </c>
      <c r="Y142" s="7" t="s">
        <v>2739</v>
      </c>
      <c r="Z142" s="7" t="s">
        <v>2706</v>
      </c>
      <c r="AA142" s="11" t="str">
        <f>"BEGIN
     RETURN exists('DS_IS_RDS', '"&amp;Table362[[#This Row],[Lookup Table]]&amp;"', '"&amp;Table362[[#This Row],[Lookup Field]]&amp;"', "&amp;Table362[[#This Row],[IS Parameter]]&amp;");
END"</f>
        <v>BEGIN
     RETURN exists('DS_IS_RDS', 'T001', 'BUKRS', $P_I_CompanyCode);
END</v>
      </c>
      <c r="AB142" s="11"/>
      <c r="AC142" s="10" t="s">
        <v>6663</v>
      </c>
      <c r="AD142" s="10"/>
      <c r="AE142" s="13" t="str">
        <f>IF(Table362[[#This Row],[Entity]]="Customer","KUNNR",IF(Table362[[#This Row],[Entity]]="Vendor","LIFNR","MATNR"))&amp;","&amp;Table362[[#This Row],[Field]]</f>
        <v>LIFNR,BUKRS</v>
      </c>
      <c r="AF142" s="13" t="str">
        <f>"VW_"&amp;Table362[[#This Row],[New Rule Name]]</f>
        <v>VW_VEN0330_CompanyCodeRef</v>
      </c>
      <c r="AG142" s="11" t="str">
        <f>"create view VW_"&amp;Table362[[#This Row],[Table]]&amp;Table362[[#This Row],[Field]]&amp;" as select "&amp;IF(Table362[[#This Row],[Entity]]="Customer","KUNNR",IF(Table362[[#This Row],[Entity]]="Vendor","LIFNR","MATNR"))&amp;","&amp;Table362[[#This Row],[Field]]&amp;" from "&amp;Table362[[#This Row],[Table]]</f>
        <v>create view VW_LFB1BUKRS as select LIFNR,BUKRS from LFB1</v>
      </c>
      <c r="AH142" s="8"/>
      <c r="AI142" s="20"/>
      <c r="AJ142" s="20"/>
      <c r="AK142" s="31">
        <v>33</v>
      </c>
      <c r="AL142" s="31"/>
    </row>
    <row r="143" spans="1:38" s="3" customFormat="1" ht="60" hidden="1" x14ac:dyDescent="0.25">
      <c r="A143" s="9">
        <v>136</v>
      </c>
      <c r="B143" s="7" t="s">
        <v>3973</v>
      </c>
      <c r="C143" s="7" t="s">
        <v>16</v>
      </c>
      <c r="D143" s="7" t="s">
        <v>6711</v>
      </c>
      <c r="E143" s="7" t="s">
        <v>6714</v>
      </c>
      <c r="F143" s="7" t="s">
        <v>6715</v>
      </c>
      <c r="G143" s="7" t="s">
        <v>6361</v>
      </c>
      <c r="H143" s="7" t="s">
        <v>6384</v>
      </c>
      <c r="I143" s="7"/>
      <c r="J143" s="20" t="str">
        <f>VLOOKUP(V143,Table_to_BRG!A:D,3,FALSE)</f>
        <v>General data</v>
      </c>
      <c r="K143" s="20" t="str">
        <f>VLOOKUP(V143,Table_to_BRG!A:D,2,FALSE)</f>
        <v>General</v>
      </c>
      <c r="L143" s="20"/>
      <c r="M143" s="20"/>
      <c r="N143" s="9"/>
      <c r="O143" s="54"/>
      <c r="P143" s="7" t="s">
        <v>7858</v>
      </c>
      <c r="Q143" s="11" t="str">
        <f>UPPER(LEFT(Table362[[#This Row],[Entity]],3))&amp;RIGHT("00"&amp;Table362[[#This Row],[Rule '# by Entity]],3)&amp;"0_"&amp;MID(SUBSTITUTE(Table362[[#This Row],[Rule Name]],"_","|",3),SEARCH("|",SUBSTITUTE(Table362[[#This Row],[Rule Name]],"_","|",3))+1,LEN(Table362[[#This Row],[Rule Name]]))</f>
        <v>CUS0320_FIYearVariantRef</v>
      </c>
      <c r="R143" s="13" t="s">
        <v>8026</v>
      </c>
      <c r="S143" s="7" t="s">
        <v>21</v>
      </c>
      <c r="T143" s="7" t="s">
        <v>2</v>
      </c>
      <c r="U143" s="7" t="s">
        <v>79</v>
      </c>
      <c r="V143" s="7" t="s">
        <v>2741</v>
      </c>
      <c r="W143" s="7" t="s">
        <v>1868</v>
      </c>
      <c r="X143" s="8" t="s">
        <v>1447</v>
      </c>
      <c r="Y143" s="7" t="s">
        <v>5973</v>
      </c>
      <c r="Z143" s="7" t="s">
        <v>1868</v>
      </c>
      <c r="AA143" s="11" t="str">
        <f>"BEGIN
     RETURN exists('DS_IS_RDS', '"&amp;Table362[[#This Row],[Lookup Table]]&amp;"', '"&amp;Table362[[#This Row],[Lookup Field]]&amp;"', "&amp;Table362[[#This Row],[IS Parameter]]&amp;");
END"</f>
        <v>BEGIN
     RETURN exists('DS_IS_RDS', 'T009', 'PERIV', $P_I_FIYearVariant);
END</v>
      </c>
      <c r="AB143" s="11" t="str">
        <f>Table362[[#This Row],[IS Parameter]]&amp;" IS NOT NULL
AND "&amp; Table362[[#This Row],[IS Parameter]]&amp;" != ''"</f>
        <v>$P_I_FIYearVariant IS NOT NULL
AND $P_I_FIYearVariant != ''</v>
      </c>
      <c r="AC143" s="10" t="s">
        <v>6663</v>
      </c>
      <c r="AD143" s="10"/>
      <c r="AE143" s="13" t="str">
        <f>IF(Table362[[#This Row],[Entity]]="Customer","KUNNR",IF(Table362[[#This Row],[Entity]]="Vendor","LIFNR","MATNR"))&amp;","&amp;Table362[[#This Row],[Field]]</f>
        <v>KUNNR,PERIV</v>
      </c>
      <c r="AF143" s="13" t="str">
        <f>"VW_"&amp;Table362[[#This Row],[New Rule Name]]</f>
        <v>VW_CUS0320_FIYearVariantRef</v>
      </c>
      <c r="AG143" s="11" t="str">
        <f>"create view "&amp;Table362[[#This Row],[View Name]]&amp;" as 
     select 
          "&amp;IF(Table362[[#This Row],[Entity]]="Customer","KUNNR",IF(Table362[[#This Row],[Entity]]="Vendor","LIFNR","MATNR"))&amp;",
          "&amp;Table362[[#This Row],[Field]]&amp;" 
     from "&amp;Table362[[#This Row],[Table]]</f>
        <v>create view VW_CUS0320_FIYearVariantRef as 
     select 
          KUNNR,
          PERIV 
     from KNA1</v>
      </c>
      <c r="AH143" s="8"/>
      <c r="AI143" s="20" t="s">
        <v>7720</v>
      </c>
      <c r="AJ143" s="20"/>
      <c r="AK143" s="31">
        <v>32</v>
      </c>
      <c r="AL143" s="31"/>
    </row>
    <row r="144" spans="1:38" s="3" customFormat="1" ht="72" hidden="1" x14ac:dyDescent="0.25">
      <c r="A144" s="9">
        <v>137</v>
      </c>
      <c r="B144" s="7" t="s">
        <v>3973</v>
      </c>
      <c r="C144" s="7" t="s">
        <v>1207</v>
      </c>
      <c r="D144" s="7" t="s">
        <v>6719</v>
      </c>
      <c r="E144" s="7" t="s">
        <v>6720</v>
      </c>
      <c r="F144" s="7" t="s">
        <v>6732</v>
      </c>
      <c r="G144" s="7" t="s">
        <v>6358</v>
      </c>
      <c r="H144" s="7" t="s">
        <v>6386</v>
      </c>
      <c r="I144" s="7"/>
      <c r="J144" s="20" t="str">
        <f>VLOOKUP(V144,Table_to_BRG!A:D,3,FALSE)</f>
        <v>Company Code data</v>
      </c>
      <c r="K144" s="20" t="str">
        <f>VLOOKUP(V144,Table_to_BRG!A:D,2,FALSE)</f>
        <v>Company Code</v>
      </c>
      <c r="L144" s="20"/>
      <c r="M144" s="20"/>
      <c r="N144" s="9"/>
      <c r="O144" s="54"/>
      <c r="P144" s="7" t="s">
        <v>8475</v>
      </c>
      <c r="Q144" s="11" t="str">
        <f>UPPER(LEFT(Table362[[#This Row],[Entity]],3))&amp;RIGHT("00"&amp;Table362[[#This Row],[Rule '# by Entity]],3)&amp;"0_"&amp;MID(SUBSTITUTE(Table362[[#This Row],[Rule Name]],"_","|",3),SEARCH("|",SUBSTITUTE(Table362[[#This Row],[Rule Name]],"_","|",3))+1,LEN(Table362[[#This Row],[Rule Name]]))</f>
        <v>VEN0340_SortKeyRef</v>
      </c>
      <c r="R144" s="8" t="s">
        <v>8283</v>
      </c>
      <c r="S144" s="7" t="s">
        <v>2</v>
      </c>
      <c r="T144" s="7"/>
      <c r="U144" s="7" t="s">
        <v>504</v>
      </c>
      <c r="V144" s="7" t="s">
        <v>3543</v>
      </c>
      <c r="W144" s="7" t="s">
        <v>2709</v>
      </c>
      <c r="X144" s="8" t="s">
        <v>2726</v>
      </c>
      <c r="Y144" s="7" t="s">
        <v>4182</v>
      </c>
      <c r="Z144" s="7" t="s">
        <v>2709</v>
      </c>
      <c r="AA144" s="11" t="str">
        <f>"BEGIN
     RETURN exists('DS_IS_RDS', '"&amp;Table362[[#This Row],[Lookup Table]]&amp;"', '"&amp;Table362[[#This Row],[Lookup Field]]&amp;"', "&amp;Table362[[#This Row],[IS Parameter]]&amp;");
END"</f>
        <v>BEGIN
     RETURN exists('DS_IS_RDS', 'TZUN', 'ZUAWA', $P_I_SortKey);
END</v>
      </c>
      <c r="AB144" s="11"/>
      <c r="AC144" s="10" t="s">
        <v>6663</v>
      </c>
      <c r="AD144" s="10"/>
      <c r="AE144" s="13" t="str">
        <f>IF(Table362[[#This Row],[Entity]]="Customer","KUNNR",IF(Table362[[#This Row],[Entity]]="Vendor","LIFNR","MATNR"))&amp;",BUKRS,"&amp;Table362[[#This Row],[Field]]</f>
        <v>LIFNR,BUKRS,ZUAWA</v>
      </c>
      <c r="AF144" s="13" t="str">
        <f>"VW_"&amp;Table362[[#This Row],[New Rule Name]]</f>
        <v>VW_VEN0340_SortKeyRef</v>
      </c>
      <c r="AG144" s="11" t="str">
        <f>"create view "&amp;Table362[[#This Row],[View Name]]&amp;" as 
     select 
          "&amp;IF(Table362[[#This Row],[Entity]]="Customer","KUNNR",IF(Table362[[#This Row],[Entity]]="Vendor","LIFNR","MATNR"))&amp;",
          BUKRS,
          "&amp;Table362[[#This Row],[Field]]&amp;" 
     from "&amp;Table362[[#This Row],[Table]]</f>
        <v>create view VW_VEN0340_SortKeyRef as 
     select 
          LIFNR,
          BUKRS,
          ZUAWA 
     from LFB1</v>
      </c>
      <c r="AH144" s="8"/>
      <c r="AI144" s="20" t="s">
        <v>7573</v>
      </c>
      <c r="AJ144" s="20"/>
      <c r="AK144" s="31">
        <v>34</v>
      </c>
      <c r="AL144" s="31"/>
    </row>
    <row r="145" spans="1:38" s="3" customFormat="1" ht="96" x14ac:dyDescent="0.25">
      <c r="A145" s="9">
        <v>138</v>
      </c>
      <c r="B145" s="7" t="s">
        <v>3973</v>
      </c>
      <c r="C145" s="7" t="s">
        <v>3</v>
      </c>
      <c r="D145" s="7" t="s">
        <v>6711</v>
      </c>
      <c r="E145" s="7" t="s">
        <v>6712</v>
      </c>
      <c r="F145" s="7" t="s">
        <v>6745</v>
      </c>
      <c r="G145" s="7" t="s">
        <v>6369</v>
      </c>
      <c r="H145" s="7"/>
      <c r="I145" s="7"/>
      <c r="J145" s="20" t="str">
        <f>VLOOKUP(V145,Table_to_BRG!A:D,3,FALSE)</f>
        <v>Valuation data</v>
      </c>
      <c r="K145" s="20" t="str">
        <f>VLOOKUP(V145,Table_to_BRG!A:D,2,FALSE)</f>
        <v>Valuation</v>
      </c>
      <c r="L145" s="20"/>
      <c r="M145" s="20"/>
      <c r="N145" s="9"/>
      <c r="O145" s="54"/>
      <c r="P145" s="7" t="s">
        <v>8362</v>
      </c>
      <c r="Q145" s="11" t="str">
        <f>UPPER(LEFT(Table362[[#This Row],[Entity]],3))&amp;RIGHT("00"&amp;Table362[[#This Row],[Rule '# by Entity]],3)&amp;"0_"&amp;MID(SUBSTITUTE(Table362[[#This Row],[Rule Name]],"_","|",3),SEARCH("|",SUBSTITUTE(Table362[[#This Row],[Rule Name]],"_","|",3))+1,LEN(Table362[[#This Row],[Rule Name]]))</f>
        <v>MAT1070_PriceDeterminationIsValid</v>
      </c>
      <c r="R145" s="8" t="s">
        <v>8170</v>
      </c>
      <c r="S145" s="7" t="s">
        <v>4135</v>
      </c>
      <c r="T145" s="7" t="s">
        <v>2</v>
      </c>
      <c r="U145" s="7" t="s">
        <v>508</v>
      </c>
      <c r="V145" s="7" t="s">
        <v>1528</v>
      </c>
      <c r="W145" s="7" t="s">
        <v>1499</v>
      </c>
      <c r="X145" s="8" t="s">
        <v>1513</v>
      </c>
      <c r="Y145" s="7" t="s">
        <v>5978</v>
      </c>
      <c r="Z145" s="7" t="s">
        <v>5978</v>
      </c>
      <c r="AA145" s="10" t="s">
        <v>8584</v>
      </c>
      <c r="AB145" s="11" t="str">
        <f>Table362[[#This Row],[IS Parameter]]&amp;" IS NULL"</f>
        <v>$P_I_PriceDetermination IS NULL</v>
      </c>
      <c r="AC145" s="13" t="s">
        <v>7792</v>
      </c>
      <c r="AD145"/>
      <c r="AE145" s="13" t="str">
        <f>IF(Table362[[#This Row],[Entity]]="Customer","KUNNR",IF(Table362[[#This Row],[Entity]]="Vendor","LIFNR","MATNR"))&amp;",BWKEY,BWTAR,"&amp;Table362[[#This Row],[Field]]</f>
        <v>MATNR,BWKEY,BWTAR,MLAST</v>
      </c>
      <c r="AF145" s="13" t="str">
        <f>"VW_"&amp;Table362[[#This Row],[New Rule Name]]</f>
        <v>VW_MAT1070_PriceDeterminationIsValid</v>
      </c>
      <c r="AG145" s="11" t="str">
        <f>"create view "&amp;Table362[[#This Row],[View Name]]&amp;" as 
     select 
          "&amp;IF(Table362[[#This Row],[Entity]]="Customer","KUNNR",IF(Table362[[#This Row],[Entity]]="Vendor","LIFNR","MATNR"))&amp;",
          BWKEY,
          BWTAR,
          "&amp;Table362[[#This Row],[Field]]&amp;" 
     from "&amp;Table362[[#This Row],[Table]]</f>
        <v>create view VW_MAT1070_PriceDeterminationIsValid as 
     select 
          MATNR,
          BWKEY,
          BWTAR,
          MLAST 
     from MBEW</v>
      </c>
      <c r="AH145" s="8"/>
      <c r="AI145" s="20"/>
      <c r="AJ145" s="20"/>
      <c r="AK145" s="31">
        <v>107</v>
      </c>
      <c r="AL145" s="31"/>
    </row>
    <row r="146" spans="1:38" s="3" customFormat="1" ht="96" hidden="1" x14ac:dyDescent="0.25">
      <c r="A146" s="9">
        <v>139</v>
      </c>
      <c r="B146" s="7" t="s">
        <v>3973</v>
      </c>
      <c r="C146" s="7" t="s">
        <v>16</v>
      </c>
      <c r="D146" s="7" t="s">
        <v>6711</v>
      </c>
      <c r="E146" s="7" t="s">
        <v>6714</v>
      </c>
      <c r="F146" s="7" t="s">
        <v>6724</v>
      </c>
      <c r="G146" s="7" t="s">
        <v>6365</v>
      </c>
      <c r="H146" s="7" t="s">
        <v>6368</v>
      </c>
      <c r="I146" s="7"/>
      <c r="J146" s="20" t="str">
        <f>VLOOKUP(V146,Table_to_BRG!A:D,3,FALSE)</f>
        <v>Customer sales data</v>
      </c>
      <c r="K146" s="20" t="str">
        <f>VLOOKUP(V146,Table_to_BRG!A:D,2,FALSE)</f>
        <v>Sales</v>
      </c>
      <c r="L146" s="20"/>
      <c r="M146" s="20"/>
      <c r="N146" s="9"/>
      <c r="O146" s="54"/>
      <c r="P146" s="7" t="s">
        <v>7859</v>
      </c>
      <c r="Q146" s="11" t="str">
        <f>UPPER(LEFT(Table362[[#This Row],[Entity]],3))&amp;RIGHT("00"&amp;Table362[[#This Row],[Rule '# by Entity]],3)&amp;"0_"&amp;MID(SUBSTITUTE(Table362[[#This Row],[Rule Name]],"_","|",3),SEARCH("|",SUBSTITUTE(Table362[[#This Row],[Rule Name]],"_","|",3))+1,LEN(Table362[[#This Row],[Rule Name]]))</f>
        <v>CUS1030_ShippingConditionsRef</v>
      </c>
      <c r="R146" s="13" t="s">
        <v>8027</v>
      </c>
      <c r="S146" s="7" t="s">
        <v>2</v>
      </c>
      <c r="T146" s="7"/>
      <c r="U146" s="7" t="s">
        <v>512</v>
      </c>
      <c r="V146" s="7" t="s">
        <v>3334</v>
      </c>
      <c r="W146" s="7" t="s">
        <v>3457</v>
      </c>
      <c r="X146" s="8" t="s">
        <v>3466</v>
      </c>
      <c r="Y146" s="7" t="s">
        <v>5766</v>
      </c>
      <c r="Z146" s="7" t="s">
        <v>3457</v>
      </c>
      <c r="AA146" s="11" t="str">
        <f>"BEGIN
     RETURN exists('DS_IS_RDS', '"&amp;Table362[[#This Row],[Lookup Table]]&amp;"', '"&amp;Table362[[#This Row],[Lookup Field]]&amp;"', "&amp;Table362[[#This Row],[IS Parameter]]&amp;");
END"</f>
        <v>BEGIN
     RETURN exists('DS_IS_RDS', 'TVSB', 'VSBED', $P_I_ShippingCondition);
END</v>
      </c>
      <c r="AB146" s="11" t="str">
        <f>Table362[[#This Row],[IS Parameter]]&amp;" IS NOT NULL
AND "&amp; Table362[[#This Row],[IS Parameter]]&amp;" != ''"</f>
        <v>$P_I_ShippingCondition IS NOT NULL
AND $P_I_ShippingCondition != ''</v>
      </c>
      <c r="AC146" s="10" t="s">
        <v>6663</v>
      </c>
      <c r="AD146" s="10"/>
      <c r="AE146" s="13" t="str">
        <f>IF(Table362[[#This Row],[Entity]]="Customer","KUNNR",IF(Table362[[#This Row],[Entity]]="Vendor","LIFNR","MATNR"))&amp;",VKORG,VTWEG,SPART,"&amp;Table362[[#This Row],[Field]]</f>
        <v>KUNNR,VKORG,VTWEG,SPART,VSBED</v>
      </c>
      <c r="AF146" s="13" t="str">
        <f>"VW_"&amp;Table362[[#This Row],[New Rule Name]]</f>
        <v>VW_CUS1030_ShippingConditionsRef</v>
      </c>
      <c r="AG146" s="11" t="str">
        <f>"create view "&amp;Table362[[#This Row],[View Name]]&amp;" as 
     select 
          "&amp;IF(Table362[[#This Row],[Entity]]="Customer","KUNNR",IF(Table362[[#This Row],[Entity]]="Vendor","LIFNR","MATNR"))&amp;",
          VKORG,
          VTWEG,
          SPART,
          "&amp;Table362[[#This Row],[Field]]&amp;" 
     from "&amp;Table362[[#This Row],[Table]]</f>
        <v>create view VW_CUS1030_ShippingConditionsRef as 
     select 
          KUNNR,
          VKORG,
          VTWEG,
          SPART,
          VSBED 
     from KNVV</v>
      </c>
      <c r="AH146" s="13"/>
      <c r="AI146" s="20" t="s">
        <v>7575</v>
      </c>
      <c r="AJ146" s="20"/>
      <c r="AK146" s="31">
        <v>103</v>
      </c>
      <c r="AL146" s="31"/>
    </row>
    <row r="147" spans="1:38" s="3" customFormat="1" ht="60" x14ac:dyDescent="0.25">
      <c r="A147" s="9">
        <v>141</v>
      </c>
      <c r="B147" s="7" t="s">
        <v>3973</v>
      </c>
      <c r="C147" s="7" t="s">
        <v>3</v>
      </c>
      <c r="D147" s="7" t="s">
        <v>6711</v>
      </c>
      <c r="E147" s="7" t="s">
        <v>6712</v>
      </c>
      <c r="F147" s="7" t="s">
        <v>6725</v>
      </c>
      <c r="G147" s="7" t="s">
        <v>6371</v>
      </c>
      <c r="H147" s="7" t="s">
        <v>6372</v>
      </c>
      <c r="I147" s="7"/>
      <c r="J147" s="20" t="str">
        <f>VLOOKUP(V147,Table_to_BRG!A:D,3,FALSE)</f>
        <v>General data</v>
      </c>
      <c r="K147" s="20" t="str">
        <f>VLOOKUP(V147,Table_to_BRG!A:D,2,FALSE)</f>
        <v>General</v>
      </c>
      <c r="L147" s="20"/>
      <c r="M147" s="20"/>
      <c r="N147" s="9"/>
      <c r="O147" s="54"/>
      <c r="P147" s="7" t="s">
        <v>8363</v>
      </c>
      <c r="Q147" s="11" t="str">
        <f>UPPER(LEFT(Table362[[#This Row],[Entity]],3))&amp;RIGHT("00"&amp;Table362[[#This Row],[Rule '# by Entity]],3)&amp;"0_"&amp;MID(SUBSTITUTE(Table362[[#This Row],[Rule Name]],"_","|",3),SEARCH("|",SUBSTITUTE(Table362[[#This Row],[Rule Name]],"_","|",3))+1,LEN(Table362[[#This Row],[Rule Name]]))</f>
        <v>MAT0210_LabFormRef</v>
      </c>
      <c r="R147" s="8" t="s">
        <v>7932</v>
      </c>
      <c r="S147" s="7" t="s">
        <v>2</v>
      </c>
      <c r="T147" s="7"/>
      <c r="U147" s="7" t="s">
        <v>519</v>
      </c>
      <c r="V147" s="7" t="s">
        <v>1526</v>
      </c>
      <c r="W147" s="7" t="s">
        <v>1977</v>
      </c>
      <c r="X147" s="8" t="s">
        <v>6670</v>
      </c>
      <c r="Y147" s="7" t="s">
        <v>6019</v>
      </c>
      <c r="Z147" s="7" t="s">
        <v>1977</v>
      </c>
      <c r="AA147" s="11" t="str">
        <f>"BEGIN
     RETURN exists('DS_IS_RDS', '"&amp;Table362[[#This Row],[Lookup Table]]&amp;"', '"&amp;Table362[[#This Row],[Lookup Field]]&amp;"', "&amp;Table362[[#This Row],[IS Parameter]]&amp;");
END"</f>
        <v>BEGIN
     RETURN exists('DS_IS_RDS', 'T6WP4', 'ETIFO', $P_I_LabForm);
END</v>
      </c>
      <c r="AB147" s="11" t="str">
        <f>Table362[[#This Row],[IS Parameter]]&amp;" IS NOT NULL AND rtrim("&amp;Table362[[#This Row],[IS Parameter]]&amp;", ' ') != ''"</f>
        <v>$P_I_LabForm IS NOT NULL AND rtrim($P_I_LabForm, ' ') != ''</v>
      </c>
      <c r="AC147" s="10" t="s">
        <v>6663</v>
      </c>
      <c r="AD147" s="10"/>
      <c r="AE147" s="13" t="str">
        <f>IF(Table362[[#This Row],[Entity]]="Customer","KUNNR",IF(Table362[[#This Row],[Entity]]="Vendor","LIFNR","MATNR"))&amp;","&amp;Table362[[#This Row],[Field]]</f>
        <v>MATNR,ETIFO</v>
      </c>
      <c r="AF147" s="13" t="str">
        <f>"VW_"&amp;Table362[[#This Row],[New Rule Name]]</f>
        <v>VW_MAT0210_LabFormRef</v>
      </c>
      <c r="AG147" s="11" t="str">
        <f>"create view "&amp;Table362[[#This Row],[View Name]]&amp;" as 
     select 
          "&amp;IF(Table362[[#This Row],[Entity]]="Customer","KUNNR",IF(Table362[[#This Row],[Entity]]="Vendor","LIFNR","MATNR"))&amp;",
          "&amp;Table362[[#This Row],[Field]]&amp;" 
     from "&amp;Table362[[#This Row],[Table]]</f>
        <v>create view VW_MAT0210_LabFormRef as 
     select 
          MATNR,
          ETIFO 
     from MARA</v>
      </c>
      <c r="AH147" s="8"/>
      <c r="AI147" s="20"/>
      <c r="AJ147" s="20"/>
      <c r="AK147" s="31">
        <v>21</v>
      </c>
      <c r="AL147" s="31"/>
    </row>
    <row r="148" spans="1:38" s="3" customFormat="1" ht="60" hidden="1" x14ac:dyDescent="0.25">
      <c r="A148" s="9">
        <v>142</v>
      </c>
      <c r="B148" s="7" t="s">
        <v>3973</v>
      </c>
      <c r="C148" s="7" t="s">
        <v>1207</v>
      </c>
      <c r="D148" s="7" t="s">
        <v>6719</v>
      </c>
      <c r="E148" s="7" t="s">
        <v>6720</v>
      </c>
      <c r="F148" s="7" t="s">
        <v>6722</v>
      </c>
      <c r="G148" s="7" t="s">
        <v>6361</v>
      </c>
      <c r="H148" s="7" t="s">
        <v>3967</v>
      </c>
      <c r="I148" s="7"/>
      <c r="J148" s="20" t="str">
        <f>VLOOKUP(V148,Table_to_BRG!A:D,3,FALSE)</f>
        <v>General data</v>
      </c>
      <c r="K148" s="20" t="str">
        <f>VLOOKUP(V148,Table_to_BRG!A:D,2,FALSE)</f>
        <v>General</v>
      </c>
      <c r="L148" s="20"/>
      <c r="M148" s="20"/>
      <c r="N148" s="9"/>
      <c r="O148" s="54"/>
      <c r="P148" s="7" t="s">
        <v>8547</v>
      </c>
      <c r="Q148" s="11" t="str">
        <f>UPPER(LEFT(Table362[[#This Row],[Entity]],3))&amp;RIGHT("00"&amp;Table362[[#This Row],[Rule '# by Entity]],3)&amp;"0_"&amp;MID(SUBSTITUTE(Table362[[#This Row],[Rule Name]],"_","|",3),SEARCH("|",SUBSTITUTE(Table362[[#This Row],[Rule Name]],"_","|",3))+1,LEN(Table362[[#This Row],[Rule Name]]))</f>
        <v>VEN0220_LanguageKeyRef</v>
      </c>
      <c r="R148" s="13" t="s">
        <v>8248</v>
      </c>
      <c r="S148" s="7" t="s">
        <v>2</v>
      </c>
      <c r="T148" s="7"/>
      <c r="U148" s="7" t="s">
        <v>523</v>
      </c>
      <c r="V148" s="7" t="s">
        <v>3542</v>
      </c>
      <c r="W148" s="7" t="s">
        <v>1534</v>
      </c>
      <c r="X148" s="8" t="s">
        <v>2974</v>
      </c>
      <c r="Y148" s="7" t="s">
        <v>4188</v>
      </c>
      <c r="Z148" s="7" t="s">
        <v>1534</v>
      </c>
      <c r="AA148" s="11" t="str">
        <f>"BEGIN
     RETURN exists('DS_IS_RDS', '"&amp;Table362[[#This Row],[Lookup Table]]&amp;"', '"&amp;Table362[[#This Row],[Lookup Field]]&amp;"', "&amp;Table362[[#This Row],[IS Parameter]]&amp;");
END"</f>
        <v>BEGIN
     RETURN exists('DS_IS_RDS', 'T002', 'SPRAS', $P_I_Language);
END</v>
      </c>
      <c r="AB148" s="11"/>
      <c r="AC148" s="10" t="s">
        <v>6663</v>
      </c>
      <c r="AD148" s="10"/>
      <c r="AE148" s="13" t="str">
        <f>IF(Table362[[#This Row],[Entity]]="Customer","KUNNR",IF(Table362[[#This Row],[Entity]]="Vendor","LIFNR","MATNR"))&amp;","&amp;Table362[[#This Row],[Field]]</f>
        <v>LIFNR,SPRAS</v>
      </c>
      <c r="AF148" s="13" t="str">
        <f>"VW_"&amp;Table362[[#This Row],[New Rule Name]]</f>
        <v>VW_VEN0220_LanguageKeyRef</v>
      </c>
      <c r="AG148" s="11" t="str">
        <f>"create view "&amp;Table362[[#This Row],[View Name]]&amp;" as 
     select 
          "&amp;IF(Table362[[#This Row],[Entity]]="Customer","KUNNR",IF(Table362[[#This Row],[Entity]]="Vendor","LIFNR","MATNR"))&amp;",
          "&amp;Table362[[#This Row],[Field]]&amp;" 
     from "&amp;Table362[[#This Row],[Table]]</f>
        <v>create view VW_VEN0220_LanguageKeyRef as 
     select 
          LIFNR,
          SPRAS 
     from LFA1</v>
      </c>
      <c r="AH148" s="8"/>
      <c r="AI148" s="20" t="s">
        <v>7577</v>
      </c>
      <c r="AJ148" s="20"/>
      <c r="AK148" s="31">
        <v>22</v>
      </c>
      <c r="AL148" s="31"/>
    </row>
    <row r="149" spans="1:38" s="3" customFormat="1" ht="72" x14ac:dyDescent="0.25">
      <c r="A149" s="9">
        <v>143</v>
      </c>
      <c r="B149" s="7" t="s">
        <v>3973</v>
      </c>
      <c r="C149" s="7" t="s">
        <v>3</v>
      </c>
      <c r="D149" s="7" t="s">
        <v>6711</v>
      </c>
      <c r="E149" s="7" t="s">
        <v>6712</v>
      </c>
      <c r="F149" s="7" t="s">
        <v>6725</v>
      </c>
      <c r="G149" s="7" t="s">
        <v>6377</v>
      </c>
      <c r="H149" s="7"/>
      <c r="I149" s="7"/>
      <c r="J149" s="20" t="str">
        <f>VLOOKUP(V149,Table_to_BRG!A:D,3,FALSE)</f>
        <v>General data</v>
      </c>
      <c r="K149" s="20" t="str">
        <f>VLOOKUP(V149,Table_to_BRG!A:D,2,FALSE)</f>
        <v>General</v>
      </c>
      <c r="L149" s="20"/>
      <c r="M149" s="20"/>
      <c r="N149" s="9"/>
      <c r="O149" s="54"/>
      <c r="P149" s="7" t="s">
        <v>8364</v>
      </c>
      <c r="Q149" s="11" t="str">
        <f>UPPER(LEFT(Table362[[#This Row],[Entity]],3))&amp;RIGHT("00"&amp;Table362[[#This Row],[Rule '# by Entity]],3)&amp;"0_"&amp;MID(SUBSTITUTE(Table362[[#This Row],[Rule Name]],"_","|",3),SEARCH("|",SUBSTITUTE(Table362[[#This Row],[Rule Name]],"_","|",3))+1,LEN(Table362[[#This Row],[Rule Name]]))</f>
        <v>MAT0260_QualforFreeGoodsDiscIsValid</v>
      </c>
      <c r="R149" s="8" t="s">
        <v>8171</v>
      </c>
      <c r="S149" s="7" t="s">
        <v>4135</v>
      </c>
      <c r="T149" s="7" t="s">
        <v>2</v>
      </c>
      <c r="U149" s="7" t="s">
        <v>8586</v>
      </c>
      <c r="V149" s="7" t="s">
        <v>1526</v>
      </c>
      <c r="W149" s="7" t="s">
        <v>2299</v>
      </c>
      <c r="X149" s="8" t="s">
        <v>2321</v>
      </c>
      <c r="Y149" s="7" t="s">
        <v>5978</v>
      </c>
      <c r="Z149" s="7" t="s">
        <v>5978</v>
      </c>
      <c r="AA149" s="10" t="s">
        <v>8585</v>
      </c>
      <c r="AB149" s="11" t="str">
        <f>Table362[[#This Row],[IS Parameter]]&amp;" IS NOT NULL AND rtrim("&amp;Table362[[#This Row],[IS Parameter]]&amp;", ' ') != ''"</f>
        <v>$P_I_QualForFreeGoodsDisc IS NOT NULL AND rtrim($P_I_QualForFreeGoodsDisc, ' ') != ''</v>
      </c>
      <c r="AC149" s="13" t="s">
        <v>7792</v>
      </c>
      <c r="AD149"/>
      <c r="AE149" s="13" t="str">
        <f>IF(Table362[[#This Row],[Entity]]="Customer","KUNNR",IF(Table362[[#This Row],[Entity]]="Vendor","LIFNR","MATNR"))&amp;","&amp;Table362[[#This Row],[Field]]</f>
        <v>MATNR,NRFHG</v>
      </c>
      <c r="AF149" s="13" t="str">
        <f>"VW_"&amp;Table362[[#This Row],[New Rule Name]]</f>
        <v>VW_MAT0260_QualforFreeGoodsDiscIsValid</v>
      </c>
      <c r="AG149" s="11" t="str">
        <f>"create view "&amp;Table362[[#This Row],[View Name]]&amp;" as 
     select 
          "&amp;IF(Table362[[#This Row],[Entity]]="Customer","KUNNR",IF(Table362[[#This Row],[Entity]]="Vendor","LIFNR","MATNR"))&amp;",
          "&amp;Table362[[#This Row],[Field]]&amp;" 
     from "&amp;Table362[[#This Row],[Table]]</f>
        <v>create view VW_MAT0260_QualforFreeGoodsDiscIsValid as 
     select 
          MATNR,
          NRFHG 
     from MARA</v>
      </c>
      <c r="AH149" s="8"/>
      <c r="AI149" s="20"/>
      <c r="AJ149" s="20"/>
      <c r="AK149" s="31">
        <v>26</v>
      </c>
      <c r="AL149" s="31"/>
    </row>
    <row r="150" spans="1:38" s="3" customFormat="1" ht="108" x14ac:dyDescent="0.25">
      <c r="A150" s="9">
        <v>144</v>
      </c>
      <c r="B150" s="7" t="s">
        <v>3973</v>
      </c>
      <c r="C150" s="7" t="s">
        <v>3</v>
      </c>
      <c r="D150" s="7" t="s">
        <v>6711</v>
      </c>
      <c r="E150" s="7" t="s">
        <v>6712</v>
      </c>
      <c r="F150" s="7" t="s">
        <v>6713</v>
      </c>
      <c r="G150" s="7" t="s">
        <v>6703</v>
      </c>
      <c r="H150" s="7" t="s">
        <v>6376</v>
      </c>
      <c r="I150" s="7"/>
      <c r="J150" s="20" t="str">
        <f>VLOOKUP(V150,Table_to_BRG!A:D,3,FALSE)</f>
        <v>Plant data</v>
      </c>
      <c r="K150" s="20" t="str">
        <f>VLOOKUP(V150,Table_to_BRG!A:D,2,FALSE)</f>
        <v>Plant</v>
      </c>
      <c r="L150" s="20"/>
      <c r="M150" s="20"/>
      <c r="N150" s="9"/>
      <c r="O150" s="54"/>
      <c r="P150" s="7" t="s">
        <v>8365</v>
      </c>
      <c r="Q150" s="11" t="str">
        <f>UPPER(LEFT(Table362[[#This Row],[Entity]],3))&amp;RIGHT("00"&amp;Table362[[#This Row],[Rule '# by Entity]],3)&amp;"0_"&amp;MID(SUBSTITUTE(Table362[[#This Row],[Rule Name]],"_","|",3),SEARCH("|",SUBSTITUTE(Table362[[#This Row],[Rule Name]],"_","|",3))+1,LEN(Table362[[#This Row],[Rule Name]]))</f>
        <v>MAT0770_REMProfileRef</v>
      </c>
      <c r="R150" s="8" t="s">
        <v>7933</v>
      </c>
      <c r="S150" s="7" t="s">
        <v>2</v>
      </c>
      <c r="T150" s="7"/>
      <c r="U150" s="7" t="s">
        <v>531</v>
      </c>
      <c r="V150" s="7" t="s">
        <v>1527</v>
      </c>
      <c r="W150" s="7" t="s">
        <v>2229</v>
      </c>
      <c r="X150" s="8" t="s">
        <v>2247</v>
      </c>
      <c r="Y150" s="7" t="s">
        <v>6020</v>
      </c>
      <c r="Z150" s="7" t="s">
        <v>6021</v>
      </c>
      <c r="AA150" s="11" t="str">
        <f>"BEGIN
     RETURN exists('DS_IS_RDS', '"&amp;Table362[[#This Row],[Lookup Table]]&amp;"', '"&amp;Table362[[#This Row],[Lookup Field]]&amp;"', "&amp;Table362[[#This Row],[IS Parameter]]&amp;");
END"</f>
        <v>BEGIN
     RETURN exists('DS_IS_RDS', 'T437S', 'SFPRO', $P_I_REMProfile);
END</v>
      </c>
      <c r="AB150" s="11" t="str">
        <f>Table362[[#This Row],[IS Parameter]]&amp;" IS NOT NULL AND rtrim("&amp;Table362[[#This Row],[IS Parameter]]&amp;", ' ') != ''"</f>
        <v>$P_I_REMProfile IS NOT NULL AND rtrim($P_I_REMProfile, ' ') != ''</v>
      </c>
      <c r="AC150" s="10" t="s">
        <v>6663</v>
      </c>
      <c r="AD150" s="10"/>
      <c r="AE150" s="13" t="str">
        <f>IF(Table362[[#This Row],[Entity]]="Customer","KUNNR",IF(Table362[[#This Row],[Entity]]="Vendor","LIFNR","MATNR"))&amp;",WERKS"&amp;","&amp;Table362[[#This Row],[Field]]</f>
        <v>MATNR,WERKS,SFEPR</v>
      </c>
      <c r="AF150" s="13" t="str">
        <f>"VW_"&amp;Table362[[#This Row],[New Rule Name]]</f>
        <v>VW_MAT0770_REMProfileRef</v>
      </c>
      <c r="AG150"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VW_MAT0770_REMProfileRef (
     MATNR,
     WERKS,
     SFEPR
     ) as select 
          MATNR,
          WERKS,
          SFEPR 
     from MARC</v>
      </c>
      <c r="AH150" s="8"/>
      <c r="AI150" s="20"/>
      <c r="AJ150" s="20"/>
      <c r="AK150" s="31">
        <v>77</v>
      </c>
      <c r="AL150" s="31"/>
    </row>
    <row r="151" spans="1:38" s="3" customFormat="1" ht="72" hidden="1" x14ac:dyDescent="0.25">
      <c r="A151" s="9">
        <v>145</v>
      </c>
      <c r="B151" s="7" t="s">
        <v>3973</v>
      </c>
      <c r="C151" s="7" t="s">
        <v>16</v>
      </c>
      <c r="D151" s="7" t="s">
        <v>6719</v>
      </c>
      <c r="E151" s="7" t="s">
        <v>6720</v>
      </c>
      <c r="F151" s="7" t="s">
        <v>6721</v>
      </c>
      <c r="G151" s="7" t="s">
        <v>6358</v>
      </c>
      <c r="H151" s="7" t="s">
        <v>6641</v>
      </c>
      <c r="I151" s="7"/>
      <c r="J151" s="20" t="str">
        <f>VLOOKUP(V151,Table_to_BRG!A:D,3,FALSE)</f>
        <v>Company Code data</v>
      </c>
      <c r="K151" s="20" t="str">
        <f>VLOOKUP(V151,Table_to_BRG!A:D,2,FALSE)</f>
        <v>Company Code</v>
      </c>
      <c r="L151" s="20"/>
      <c r="M151" s="20"/>
      <c r="N151" s="9"/>
      <c r="O151" s="54"/>
      <c r="P151" s="7" t="s">
        <v>7860</v>
      </c>
      <c r="Q151" s="11" t="str">
        <f>UPPER(LEFT(Table362[[#This Row],[Entity]],3))&amp;RIGHT("00"&amp;Table362[[#This Row],[Rule '# by Entity]],3)&amp;"0_"&amp;MID(SUBSTITUTE(Table362[[#This Row],[Rule Name]],"_","|",3),SEARCH("|",SUBSTITUTE(Table362[[#This Row],[Rule Name]],"_","|",3))+1,LEN(Table362[[#This Row],[Rule Name]]))</f>
        <v>CUS0600_ReleaseGroupRef</v>
      </c>
      <c r="R151" s="13" t="s">
        <v>8028</v>
      </c>
      <c r="S151" s="7" t="s">
        <v>2</v>
      </c>
      <c r="T151" s="7"/>
      <c r="U151" s="7" t="s">
        <v>535</v>
      </c>
      <c r="V151" s="7" t="s">
        <v>2740</v>
      </c>
      <c r="W151" s="7" t="s">
        <v>3518</v>
      </c>
      <c r="X151" s="8" t="s">
        <v>3531</v>
      </c>
      <c r="Y151" s="7" t="s">
        <v>4190</v>
      </c>
      <c r="Z151" s="7" t="s">
        <v>3518</v>
      </c>
      <c r="AA151" s="11" t="str">
        <f>"BEGIN
     RETURN exists('DS_IS_RDS', '"&amp;Table362[[#This Row],[Lookup Table]]&amp;"', '"&amp;Table362[[#This Row],[Lookup Field]]&amp;"', "&amp;Table362[[#This Row],[IS Parameter]]&amp;");
END"</f>
        <v>BEGIN
     RETURN exists('DS_IS_RDS', 'VBWF08', 'FRGRP', $P_I_ReleaseGroup);
END</v>
      </c>
      <c r="AB151" s="11" t="str">
        <f>Table362[[#This Row],[IS Parameter]]&amp;" IS NOT NULL
AND "&amp; Table362[[#This Row],[IS Parameter]]&amp;" != ''"</f>
        <v>$P_I_ReleaseGroup IS NOT NULL
AND $P_I_ReleaseGroup != ''</v>
      </c>
      <c r="AC151" s="10" t="s">
        <v>6663</v>
      </c>
      <c r="AD151" s="10"/>
      <c r="AE151" s="13" t="str">
        <f>IF(Table362[[#This Row],[Entity]]="Customer","KUNNR",IF(Table362[[#This Row],[Entity]]="Vendor","LIFNR","MATNR"))&amp;",BUKRS"&amp;","&amp;Table362[[#This Row],[Field]]</f>
        <v>KUNNR,BUKRS,FRGRP</v>
      </c>
      <c r="AF151" s="13" t="str">
        <f>"VW_"&amp;Table362[[#This Row],[New Rule Name]]</f>
        <v>VW_CUS0600_ReleaseGroupRef</v>
      </c>
      <c r="AG151" s="11" t="str">
        <f>"create view "&amp;Table362[[#This Row],[View Name]]&amp;" as 
     select 
          "&amp;IF(Table362[[#This Row],[Entity]]="Customer","KUNNR",IF(Table362[[#This Row],[Entity]]="Vendor","LIFNR","MATNR"))&amp;",
          BUKRS,
          "&amp;Table362[[#This Row],[Field]]&amp;" 
     from "&amp;Table362[[#This Row],[Table]]</f>
        <v>create view VW_CUS0600_ReleaseGroupRef as 
     select 
          KUNNR,
          BUKRS,
          FRGRP 
     from KNB1</v>
      </c>
      <c r="AH151" s="8"/>
      <c r="AI151" s="20" t="s">
        <v>7579</v>
      </c>
      <c r="AJ151" s="20"/>
      <c r="AK151" s="31">
        <v>60</v>
      </c>
      <c r="AL151" s="31"/>
    </row>
    <row r="152" spans="1:38" s="3" customFormat="1" ht="60" hidden="1" x14ac:dyDescent="0.25">
      <c r="A152" s="9">
        <v>146</v>
      </c>
      <c r="B152" s="7" t="s">
        <v>3973</v>
      </c>
      <c r="C152" s="7" t="s">
        <v>16</v>
      </c>
      <c r="D152" s="7" t="s">
        <v>6711</v>
      </c>
      <c r="E152" s="7" t="s">
        <v>6714</v>
      </c>
      <c r="F152" s="7" t="s">
        <v>6715</v>
      </c>
      <c r="G152" s="7" t="s">
        <v>6361</v>
      </c>
      <c r="H152" s="7" t="s">
        <v>3967</v>
      </c>
      <c r="I152" s="7" t="s">
        <v>3967</v>
      </c>
      <c r="J152" s="20" t="str">
        <f>VLOOKUP(V152,Table_to_BRG!A:D,3,FALSE)</f>
        <v>General data</v>
      </c>
      <c r="K152" s="20" t="str">
        <f>VLOOKUP(V152,Table_to_BRG!A:D,2,FALSE)</f>
        <v>General</v>
      </c>
      <c r="L152" s="20"/>
      <c r="M152" s="20"/>
      <c r="N152" s="9" t="s">
        <v>6465</v>
      </c>
      <c r="O152" s="54" t="str">
        <f>"Duplicate of rule "&amp;A70&amp;"."</f>
        <v>Duplicate of rule 63.</v>
      </c>
      <c r="P152" s="7" t="s">
        <v>8086</v>
      </c>
      <c r="Q152" s="11" t="str">
        <f>UPPER(LEFT(Table362[[#This Row],[Entity]],3))&amp;RIGHT("00"&amp;Table362[[#This Row],[Rule '# by Entity]],3)&amp;"0_"&amp;MID(SUBSTITUTE(Table362[[#This Row],[Rule Name]],"_","|",3),SEARCH("|",SUBSTITUTE(Table362[[#This Row],[Rule Name]],"_","|",3))+1,LEN(Table362[[#This Row],[Rule Name]]))</f>
        <v>CUS000_CountryKeyPopulated</v>
      </c>
      <c r="R152" s="8" t="s">
        <v>8115</v>
      </c>
      <c r="S152" s="7" t="s">
        <v>21</v>
      </c>
      <c r="T152" s="7"/>
      <c r="U152" s="7" t="s">
        <v>140</v>
      </c>
      <c r="V152" s="8" t="s">
        <v>2741</v>
      </c>
      <c r="W152" s="8" t="s">
        <v>2958</v>
      </c>
      <c r="X152" s="8" t="s">
        <v>2969</v>
      </c>
      <c r="Y152" s="7" t="s">
        <v>5978</v>
      </c>
      <c r="Z152" s="7" t="s">
        <v>5978</v>
      </c>
      <c r="AA152" s="10" t="s">
        <v>281</v>
      </c>
      <c r="AB152" s="10"/>
      <c r="AC152" s="10" t="s">
        <v>6813</v>
      </c>
      <c r="AD152" s="10"/>
      <c r="AE152" s="13" t="str">
        <f>IF(Table362[[#This Row],[Entity]]="Customer","KUNNR",IF(Table362[[#This Row],[Entity]]="Vendor","LIFNR","MATNR"))&amp;","&amp;Table362[[#This Row],[Field]]</f>
        <v>KUNNR,LAND1</v>
      </c>
      <c r="AF152" s="13" t="str">
        <f>"VW_"&amp;Table362[[#This Row],[New Rule Name]]</f>
        <v>VW_CUS000_CountryKeyPopulated</v>
      </c>
      <c r="AG152" s="11" t="str">
        <f>"create view "&amp;Table362[[#This Row],[View Name]]&amp;" as 
     select 
          "&amp;Table362[[#This Row],[Table]]&amp;",
          "&amp;Table362[[#This Row],[Field]]&amp;" 
     from "&amp;Table362[[#This Row],[Table]]</f>
        <v>create view VW_CUS000_CountryKeyPopulated as 
     select 
          KNA1,
          LAND1 
     from KNA1</v>
      </c>
      <c r="AH152" s="8"/>
      <c r="AI152" s="20" t="s">
        <v>7636</v>
      </c>
      <c r="AJ152" s="20"/>
      <c r="AK152" s="36"/>
      <c r="AL152" s="31"/>
    </row>
    <row r="153" spans="1:38" s="3" customFormat="1" ht="48" hidden="1" x14ac:dyDescent="0.25">
      <c r="A153" s="9">
        <v>151</v>
      </c>
      <c r="B153" s="7" t="s">
        <v>3973</v>
      </c>
      <c r="C153" s="7" t="s">
        <v>1207</v>
      </c>
      <c r="D153" s="7" t="s">
        <v>6719</v>
      </c>
      <c r="E153" s="7" t="s">
        <v>6720</v>
      </c>
      <c r="F153" s="7" t="s">
        <v>6722</v>
      </c>
      <c r="G153" s="7" t="s">
        <v>6361</v>
      </c>
      <c r="H153" s="7" t="s">
        <v>6363</v>
      </c>
      <c r="I153" s="7"/>
      <c r="J153" s="20" t="str">
        <f>VLOOKUP(V153,Table_to_BRG!A:D,3,FALSE)</f>
        <v>General data</v>
      </c>
      <c r="K153" s="20" t="str">
        <f>VLOOKUP(V153,Table_to_BRG!A:D,2,FALSE)</f>
        <v>General</v>
      </c>
      <c r="L153" s="20"/>
      <c r="M153" s="20"/>
      <c r="N153" s="9"/>
      <c r="O153" s="54"/>
      <c r="P153" s="7" t="s">
        <v>8476</v>
      </c>
      <c r="Q153" s="11" t="str">
        <f>UPPER(LEFT(Table362[[#This Row],[Entity]],3))&amp;RIGHT("00"&amp;Table362[[#This Row],[Rule '# by Entity]],3)&amp;"0_"&amp;MID(SUBSTITUTE(Table362[[#This Row],[Rule Name]],"_","|",3),SEARCH("|",SUBSTITUTE(Table362[[#This Row],[Rule Name]],"_","|",3))+1,LEN(Table362[[#This Row],[Rule Name]]))</f>
        <v>VEN0240_FiscalAddressRef</v>
      </c>
      <c r="R153" s="8" t="s">
        <v>8546</v>
      </c>
      <c r="S153" s="7" t="s">
        <v>2</v>
      </c>
      <c r="T153" s="7"/>
      <c r="U153" s="7" t="s">
        <v>554</v>
      </c>
      <c r="V153" s="7" t="s">
        <v>3542</v>
      </c>
      <c r="W153" s="7" t="s">
        <v>3060</v>
      </c>
      <c r="X153" s="8" t="s">
        <v>3751</v>
      </c>
      <c r="Y153" s="7" t="s">
        <v>3542</v>
      </c>
      <c r="Z153" s="7" t="s">
        <v>3045</v>
      </c>
      <c r="AA153" s="11" t="str">
        <f>"BEGIN
     RETURN exists('DS_IS_RDS', '"&amp;Table362[[#This Row],[Lookup Table]]&amp;"', '"&amp;Table362[[#This Row],[Lookup Field]]&amp;"', "&amp;Table362[[#This Row],[IS Parameter]]&amp;");
END"</f>
        <v>BEGIN
     RETURN exists('DS_IS_RDS', 'LFA1', 'LIFNR', $P_I_FiscalAddress);
END</v>
      </c>
      <c r="AB153" s="11"/>
      <c r="AC153" s="13" t="s">
        <v>6663</v>
      </c>
      <c r="AD153"/>
      <c r="AE153" s="13" t="str">
        <f>IF(Table362[[#This Row],[Entity]]="Customer","KUNNR",IF(Table362[[#This Row],[Entity]]="Vendor","LIFNR","MATNR"))&amp;","&amp;Table362[[#This Row],[Field]]</f>
        <v>LIFNR,FISKN</v>
      </c>
      <c r="AF153" s="13" t="str">
        <f>"VW_"&amp;Table362[[#This Row],[New Rule Name]]</f>
        <v>VW_VEN0240_FiscalAddressRef</v>
      </c>
      <c r="AG153" s="11"/>
      <c r="AH153" s="8"/>
      <c r="AI153" s="20" t="s">
        <v>7667</v>
      </c>
      <c r="AJ153" s="20"/>
      <c r="AK153" s="31">
        <v>24</v>
      </c>
      <c r="AL153" s="31"/>
    </row>
    <row r="154" spans="1:38" s="3" customFormat="1" ht="120" x14ac:dyDescent="0.25">
      <c r="A154" s="9">
        <v>147</v>
      </c>
      <c r="B154" s="7" t="s">
        <v>3973</v>
      </c>
      <c r="C154" s="7" t="s">
        <v>3</v>
      </c>
      <c r="D154" s="7" t="s">
        <v>6711</v>
      </c>
      <c r="E154" s="7" t="s">
        <v>6712</v>
      </c>
      <c r="F154" s="7" t="s">
        <v>6713</v>
      </c>
      <c r="G154" s="7" t="s">
        <v>6377</v>
      </c>
      <c r="H154" s="7" t="s">
        <v>6380</v>
      </c>
      <c r="I154" s="7"/>
      <c r="J154" s="20" t="str">
        <f>VLOOKUP(V154,Table_to_BRG!A:D,3,FALSE)</f>
        <v>Plant data</v>
      </c>
      <c r="K154" s="20" t="str">
        <f>VLOOKUP(V154,Table_to_BRG!A:D,2,FALSE)</f>
        <v>Plant</v>
      </c>
      <c r="L154" s="20"/>
      <c r="M154" s="20"/>
      <c r="N154" s="9"/>
      <c r="O154" s="54"/>
      <c r="P154" s="7" t="s">
        <v>8366</v>
      </c>
      <c r="Q154" s="11" t="str">
        <f>UPPER(LEFT(Table362[[#This Row],[Entity]],3))&amp;RIGHT("00"&amp;Table362[[#This Row],[Rule '# by Entity]],3)&amp;"0_"&amp;MID(SUBSTITUTE(Table362[[#This Row],[Rule Name]],"_","|",3),SEARCH("|",SUBSTITUTE(Table362[[#This Row],[Rule Name]],"_","|",3))+1,LEN(Table362[[#This Row],[Rule Name]]))</f>
        <v>MAT0360_PlantSpecificMaterialStatusRef</v>
      </c>
      <c r="R154" s="8" t="s">
        <v>7934</v>
      </c>
      <c r="S154" s="7" t="s">
        <v>2</v>
      </c>
      <c r="T154" s="7"/>
      <c r="U154" s="7" t="s">
        <v>541</v>
      </c>
      <c r="V154" s="7" t="s">
        <v>1527</v>
      </c>
      <c r="W154" s="7" t="s">
        <v>1768</v>
      </c>
      <c r="X154" s="8" t="s">
        <v>8623</v>
      </c>
      <c r="Y154" s="7" t="s">
        <v>4230</v>
      </c>
      <c r="Z154" s="7" t="s">
        <v>1768</v>
      </c>
      <c r="AA154" s="11" t="str">
        <f>"BEGIN
     RETURN exists('DS_IS_RDS', '"&amp;Table362[[#This Row],[Lookup Table]]&amp;"', '"&amp;Table362[[#This Row],[Lookup Field]]&amp;"', "&amp;Table362[[#This Row],[IS Parameter]]&amp;");
END"</f>
        <v>BEGIN
     RETURN exists('DS_IS_RDS', 'T141', 'MMSTA', $P_I_PlantSpMatlStatus);
END</v>
      </c>
      <c r="AB154" s="11" t="str">
        <f>Table362[[#This Row],[IS Parameter]]&amp;" IS NOT NULL AND rtrim("&amp;Table362[[#This Row],[IS Parameter]]&amp;", ' ') != ''"</f>
        <v>$P_I_PlantSpMatlStatus IS NOT NULL AND rtrim($P_I_PlantSpMatlStatus, ' ') != ''</v>
      </c>
      <c r="AC154" s="10" t="s">
        <v>6663</v>
      </c>
      <c r="AD154" s="10"/>
      <c r="AE154" s="13" t="str">
        <f>IF(Table362[[#This Row],[Entity]]="Customer","KUNNR",IF(Table362[[#This Row],[Entity]]="Vendor","LIFNR","MATNR"))&amp;",WERKS"&amp;","&amp;Table362[[#This Row],[Field]]</f>
        <v>MATNR,WERKS,MMSTA</v>
      </c>
      <c r="AF154" s="13" t="str">
        <f>"VW_"&amp;Table362[[#This Row],[New Rule Name]]</f>
        <v>VW_MAT0360_PlantSpecificMaterialStatusRef</v>
      </c>
      <c r="AG154"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VW_MAT0360_PlantSpecificMaterialStatusRef (
     MATNR,
     WERKS,
     MMSTA
     ) as select 
          MATNR,
          WERKS,
          MMSTA 
     from MARC</v>
      </c>
      <c r="AH154" s="8"/>
      <c r="AI154" s="20"/>
      <c r="AJ154" s="20"/>
      <c r="AK154" s="31">
        <v>36</v>
      </c>
      <c r="AL154" s="31"/>
    </row>
    <row r="155" spans="1:38" s="3" customFormat="1" ht="60" hidden="1" x14ac:dyDescent="0.25">
      <c r="A155" s="9">
        <v>148</v>
      </c>
      <c r="B155" s="7" t="s">
        <v>3973</v>
      </c>
      <c r="C155" s="7" t="s">
        <v>16</v>
      </c>
      <c r="D155" s="7" t="s">
        <v>5978</v>
      </c>
      <c r="E155" s="7" t="s">
        <v>5978</v>
      </c>
      <c r="F155" s="7" t="s">
        <v>5978</v>
      </c>
      <c r="G155" s="7" t="s">
        <v>6361</v>
      </c>
      <c r="H155" s="7" t="s">
        <v>3967</v>
      </c>
      <c r="I155" s="7" t="s">
        <v>3967</v>
      </c>
      <c r="J155" s="20" t="str">
        <f>VLOOKUP(V155,Table_to_BRG!A:D,3,FALSE)</f>
        <v>General data</v>
      </c>
      <c r="K155" s="20" t="str">
        <f>VLOOKUP(V155,Table_to_BRG!A:D,2,FALSE)</f>
        <v>General</v>
      </c>
      <c r="L155" s="20"/>
      <c r="M155" s="20"/>
      <c r="N155" s="9"/>
      <c r="O155" s="54"/>
      <c r="P155" s="7" t="s">
        <v>8117</v>
      </c>
      <c r="Q155" s="11" t="str">
        <f>UPPER(LEFT(Table362[[#This Row],[Entity]],3))&amp;RIGHT("00"&amp;Table362[[#This Row],[Rule '# by Entity]],3)&amp;"0_"&amp;MID(SUBSTITUTE(Table362[[#This Row],[Rule Name]],"_","|",3),SEARCH("|",SUBSTITUTE(Table362[[#This Row],[Rule Name]],"_","|",3))+1,LEN(Table362[[#This Row],[Rule Name]]))</f>
        <v>CUS0040_NameOfAddressPopulated</v>
      </c>
      <c r="R155" s="8" t="s">
        <v>8116</v>
      </c>
      <c r="S155" s="7" t="s">
        <v>21</v>
      </c>
      <c r="T155" s="7"/>
      <c r="U155" s="7" t="s">
        <v>545</v>
      </c>
      <c r="V155" s="7" t="s">
        <v>2741</v>
      </c>
      <c r="W155" s="7" t="s">
        <v>2704</v>
      </c>
      <c r="X155" s="8" t="s">
        <v>1390</v>
      </c>
      <c r="Y155" s="7" t="s">
        <v>5978</v>
      </c>
      <c r="Z155" s="7" t="s">
        <v>5978</v>
      </c>
      <c r="AA155" s="10" t="s">
        <v>546</v>
      </c>
      <c r="AB155" s="10"/>
      <c r="AC155" s="10" t="s">
        <v>6813</v>
      </c>
      <c r="AD155" s="10" t="s">
        <v>6905</v>
      </c>
      <c r="AE155" s="13" t="str">
        <f>IF(Table362[[#This Row],[Entity]]="Customer","KUNNR",IF(Table362[[#This Row],[Entity]]="Vendor","LIFNR","MATNR"))&amp;","&amp;Table362[[#This Row],[Field]]</f>
        <v>KUNNR,NAME1</v>
      </c>
      <c r="AF155" s="13" t="str">
        <f>"VW_"&amp;Table362[[#This Row],[New Rule Name]]</f>
        <v>VW_CUS0040_NameOfAddressPopulated</v>
      </c>
      <c r="AG155" s="11" t="str">
        <f>"create view "&amp;Table362[[#This Row],[View Name]]&amp;" as 
     select 
          "&amp;Table362[[#This Row],[Table]]&amp;",
          "&amp;Table362[[#This Row],[Field]]&amp;" 
     from "&amp;Table362[[#This Row],[Table]]</f>
        <v>create view VW_CUS0040_NameOfAddressPopulated as 
     select 
          KNA1,
          NAME1 
     from KNA1</v>
      </c>
      <c r="AH155" s="8" t="s">
        <v>6939</v>
      </c>
      <c r="AI155" s="20" t="s">
        <v>7666</v>
      </c>
      <c r="AJ155" s="20"/>
      <c r="AK155" s="31">
        <v>4</v>
      </c>
      <c r="AL155" s="31"/>
    </row>
    <row r="156" spans="1:38" s="3" customFormat="1" ht="72" hidden="1" x14ac:dyDescent="0.25">
      <c r="A156" s="9">
        <v>149</v>
      </c>
      <c r="B156" s="7" t="s">
        <v>3973</v>
      </c>
      <c r="C156" s="7" t="s">
        <v>16</v>
      </c>
      <c r="D156" s="7" t="s">
        <v>6711</v>
      </c>
      <c r="E156" s="7" t="s">
        <v>6714</v>
      </c>
      <c r="F156" s="7" t="s">
        <v>6742</v>
      </c>
      <c r="G156" s="7" t="s">
        <v>6361</v>
      </c>
      <c r="H156" s="7" t="s">
        <v>6362</v>
      </c>
      <c r="I156" s="7" t="s">
        <v>1403</v>
      </c>
      <c r="J156" s="20" t="str">
        <f>VLOOKUP(V156,Table_to_BRG!A:D,3,FALSE)</f>
        <v>Contact data</v>
      </c>
      <c r="K156" s="20" t="str">
        <f>VLOOKUP(V156,Table_to_BRG!A:D,2,FALSE)</f>
        <v>Contact partner</v>
      </c>
      <c r="L156" s="20"/>
      <c r="M156" s="20"/>
      <c r="N156" s="9"/>
      <c r="O156" s="54"/>
      <c r="P156" s="8" t="s">
        <v>8069</v>
      </c>
      <c r="Q156" s="11" t="str">
        <f>UPPER(LEFT(Table362[[#This Row],[Entity]],3))&amp;RIGHT("00"&amp;Table362[[#This Row],[Rule '# by Entity]],3)&amp;"0_"&amp;MID(SUBSTITUTE(Table362[[#This Row],[Rule Name]],"_","|",3),SEARCH("|",SUBSTITUTE(Table362[[#This Row],[Rule Name]],"_","|",3))+1,LEN(Table362[[#This Row],[Rule Name]]))</f>
        <v>CUS0800_GenderIsValid</v>
      </c>
      <c r="R156" s="8" t="s">
        <v>8172</v>
      </c>
      <c r="S156" s="7" t="s">
        <v>4135</v>
      </c>
      <c r="T156" s="7" t="s">
        <v>2</v>
      </c>
      <c r="U156" s="7" t="s">
        <v>549</v>
      </c>
      <c r="V156" s="7" t="s">
        <v>3001</v>
      </c>
      <c r="W156" s="7" t="s">
        <v>3669</v>
      </c>
      <c r="X156" s="8" t="s">
        <v>3679</v>
      </c>
      <c r="Y156" s="7" t="s">
        <v>5978</v>
      </c>
      <c r="Z156" s="7" t="s">
        <v>5978</v>
      </c>
      <c r="AA156" s="10" t="s">
        <v>8607</v>
      </c>
      <c r="AB156" s="11" t="str">
        <f>Table362[[#This Row],[IS Parameter]]&amp;" IS NOT NULL
AND "&amp; Table362[[#This Row],[IS Parameter]]&amp;" != ''"</f>
        <v>$P_I_Gender IS NOT NULL
AND $P_I_Gender != ''</v>
      </c>
      <c r="AC156" s="13" t="s">
        <v>7792</v>
      </c>
      <c r="AD156"/>
      <c r="AE156" s="13" t="str">
        <f>"PARNR,KUNNR"&amp;","&amp;Table362[[#This Row],[Field]]</f>
        <v>PARNR,KUNNR,PARGE</v>
      </c>
      <c r="AF156" s="13" t="str">
        <f>"VW_"&amp;Table362[[#This Row],[New Rule Name]]</f>
        <v>VW_CUS0800_GenderIsValid</v>
      </c>
      <c r="AG156" s="11" t="str">
        <f>"create view "&amp;Table362[[#This Row],[View Name]]&amp;" as 
     select 
          PARNR,
          LIFNR,
          "&amp;Table362[[#This Row],[Field]]&amp;" 
     from "&amp;Table362[[#This Row],[Table]]</f>
        <v>create view VW_CUS0800_GenderIsValid as 
     select 
          PARNR,
          LIFNR,
          PARGE 
     from KNVK</v>
      </c>
      <c r="AH156" s="8"/>
      <c r="AI156" s="20" t="s">
        <v>6521</v>
      </c>
      <c r="AJ156" s="20"/>
      <c r="AK156" s="31">
        <v>80</v>
      </c>
      <c r="AL156" s="31"/>
    </row>
    <row r="157" spans="1:38" s="38" customFormat="1" ht="48" hidden="1" x14ac:dyDescent="0.25">
      <c r="A157" s="14">
        <v>155</v>
      </c>
      <c r="B157" s="15" t="s">
        <v>3973</v>
      </c>
      <c r="C157" s="15" t="s">
        <v>1207</v>
      </c>
      <c r="D157" s="15" t="s">
        <v>6719</v>
      </c>
      <c r="E157" s="15" t="s">
        <v>6720</v>
      </c>
      <c r="F157" s="15" t="s">
        <v>6722</v>
      </c>
      <c r="G157" s="15" t="s">
        <v>6361</v>
      </c>
      <c r="H157" s="15" t="s">
        <v>3967</v>
      </c>
      <c r="I157" s="15" t="s">
        <v>3967</v>
      </c>
      <c r="J157" s="27" t="str">
        <f>VLOOKUP(V157,Table_to_BRG!A:D,3,FALSE)</f>
        <v>General data</v>
      </c>
      <c r="K157" s="27" t="str">
        <f>VLOOKUP(V157,Table_to_BRG!A:D,2,FALSE)</f>
        <v>General</v>
      </c>
      <c r="L157" s="27"/>
      <c r="M157" s="27"/>
      <c r="N157" s="14" t="s">
        <v>6465</v>
      </c>
      <c r="O157" s="54" t="str">
        <f>"Superceded by rule "&amp;A997</f>
        <v>Superceded by rule 377</v>
      </c>
      <c r="P157" s="16" t="s">
        <v>566</v>
      </c>
      <c r="Q157" s="17"/>
      <c r="R157" s="16" t="s">
        <v>6495</v>
      </c>
      <c r="S157" s="15" t="s">
        <v>139</v>
      </c>
      <c r="T157" s="15"/>
      <c r="U157" s="16" t="s">
        <v>6095</v>
      </c>
      <c r="V157" s="15" t="s">
        <v>3542</v>
      </c>
      <c r="W157" s="16" t="s">
        <v>6353</v>
      </c>
      <c r="X157" s="16" t="s">
        <v>6354</v>
      </c>
      <c r="Y157" s="15" t="s">
        <v>5978</v>
      </c>
      <c r="Z157" s="15" t="s">
        <v>5978</v>
      </c>
      <c r="AA157" s="26" t="s">
        <v>6514</v>
      </c>
      <c r="AB157" s="26"/>
      <c r="AC157" s="26"/>
      <c r="AD157" s="26"/>
      <c r="AE157" s="18"/>
      <c r="AF157" s="18"/>
      <c r="AG157" s="17"/>
      <c r="AH157" s="16" t="s">
        <v>5880</v>
      </c>
      <c r="AI157" s="27" t="s">
        <v>7685</v>
      </c>
      <c r="AJ157" s="27"/>
      <c r="AK157" s="52"/>
      <c r="AL157" s="52"/>
    </row>
    <row r="158" spans="1:38" s="3" customFormat="1" ht="72" hidden="1" x14ac:dyDescent="0.25">
      <c r="A158" s="9">
        <v>150</v>
      </c>
      <c r="B158" s="7" t="s">
        <v>3973</v>
      </c>
      <c r="C158" s="7" t="s">
        <v>1207</v>
      </c>
      <c r="D158" s="7" t="s">
        <v>6719</v>
      </c>
      <c r="E158" s="7" t="s">
        <v>6720</v>
      </c>
      <c r="F158" s="7" t="s">
        <v>6732</v>
      </c>
      <c r="G158" s="7" t="s">
        <v>6358</v>
      </c>
      <c r="H158" s="7" t="s">
        <v>6359</v>
      </c>
      <c r="I158" s="7"/>
      <c r="J158" s="20" t="str">
        <f>VLOOKUP(V158,Table_to_BRG!A:D,3,FALSE)</f>
        <v>Company Code data</v>
      </c>
      <c r="K158" s="20" t="str">
        <f>VLOOKUP(V158,Table_to_BRG!A:D,2,FALSE)</f>
        <v>Company Code</v>
      </c>
      <c r="L158" s="20"/>
      <c r="M158" s="20"/>
      <c r="N158" s="9"/>
      <c r="O158" s="54"/>
      <c r="P158" s="7" t="s">
        <v>8477</v>
      </c>
      <c r="Q158" s="11" t="str">
        <f>UPPER(LEFT(Table362[[#This Row],[Entity]],3))&amp;RIGHT("00"&amp;Table362[[#This Row],[Rule '# by Entity]],3)&amp;"0_"&amp;MID(SUBSTITUTE(Table362[[#This Row],[Rule Name]],"_","|",3),SEARCH("|",SUBSTITUTE(Table362[[#This Row],[Rule Name]],"_","|",3))+1,LEN(Table362[[#This Row],[Rule Name]]))</f>
        <v>VEN0410_AccountingClerkRef</v>
      </c>
      <c r="R158" s="8" t="s">
        <v>8246</v>
      </c>
      <c r="S158" s="7" t="s">
        <v>2</v>
      </c>
      <c r="T158" s="7"/>
      <c r="U158" s="7" t="s">
        <v>151</v>
      </c>
      <c r="V158" s="7" t="s">
        <v>3543</v>
      </c>
      <c r="W158" s="7" t="s">
        <v>2792</v>
      </c>
      <c r="X158" s="8" t="s">
        <v>2812</v>
      </c>
      <c r="Y158" s="7" t="s">
        <v>4233</v>
      </c>
      <c r="Z158" s="7" t="s">
        <v>2792</v>
      </c>
      <c r="AA158" s="11" t="str">
        <f>"BEGIN
     RETURN exists('DS_IS_RDS', '"&amp;Table362[[#This Row],[Lookup Table]]&amp;"', '"&amp;Table362[[#This Row],[Lookup Field]]&amp;"', "&amp;Table362[[#This Row],[IS Parameter]]&amp;");
END"</f>
        <v>BEGIN
     RETURN exists('DS_IS_RDS', 'T001S', 'BUSAB', $P_I_AccountingClerk);
END</v>
      </c>
      <c r="AB158" s="11"/>
      <c r="AC158" s="10" t="s">
        <v>6663</v>
      </c>
      <c r="AD158" s="10"/>
      <c r="AE158" s="13" t="str">
        <f>IF(Table362[[#This Row],[Entity]]="Customer","KUNNR",IF(Table362[[#This Row],[Entity]]="Vendor","LIFNR","MATNR"))&amp;",BUKRS,"&amp;Table362[[#This Row],[Field]]</f>
        <v>LIFNR,BUKRS,BUSAB</v>
      </c>
      <c r="AF158" s="13" t="str">
        <f>"VW_"&amp;Table362[[#This Row],[New Rule Name]]</f>
        <v>VW_VEN0410_AccountingClerkRef</v>
      </c>
      <c r="AG158" s="11" t="str">
        <f>"create view "&amp;Table362[[#This Row],[View Name]]&amp;" as 
     select 
          "&amp;IF(Table362[[#This Row],[Entity]]="Customer","KUNNR",IF(Table362[[#This Row],[Entity]]="Vendor","LIFNR","MATNR"))&amp;",
          BUKRS,
          "&amp;Table362[[#This Row],[Field]]&amp;" 
     from "&amp;Table362[[#This Row],[Table]]</f>
        <v>create view VW_VEN0410_AccountingClerkRef as 
     select 
          LIFNR,
          BUKRS,
          BUSAB 
     from LFB1</v>
      </c>
      <c r="AH158" s="8"/>
      <c r="AI158" s="20" t="s">
        <v>7618</v>
      </c>
      <c r="AJ158" s="20"/>
      <c r="AK158" s="31">
        <v>41</v>
      </c>
      <c r="AL158" s="31">
        <v>6</v>
      </c>
    </row>
    <row r="159" spans="1:38" s="38" customFormat="1" ht="48" hidden="1" x14ac:dyDescent="0.25">
      <c r="A159" s="14">
        <v>157</v>
      </c>
      <c r="B159" s="15" t="s">
        <v>3973</v>
      </c>
      <c r="C159" s="15" t="s">
        <v>16</v>
      </c>
      <c r="D159" s="7" t="s">
        <v>5978</v>
      </c>
      <c r="E159" s="7" t="s">
        <v>5978</v>
      </c>
      <c r="F159" s="7" t="s">
        <v>5978</v>
      </c>
      <c r="G159" s="15"/>
      <c r="H159" s="15"/>
      <c r="I159" s="15"/>
      <c r="J159" s="27" t="str">
        <f>VLOOKUP(V159,Table_to_BRG!A:D,3,FALSE)</f>
        <v>Purchasing data</v>
      </c>
      <c r="K159" s="27" t="str">
        <f>VLOOKUP(V159,Table_to_BRG!A:D,2,FALSE)</f>
        <v>Purchasing org.</v>
      </c>
      <c r="L159" s="27"/>
      <c r="M159" s="27"/>
      <c r="N159" s="9" t="s">
        <v>6465</v>
      </c>
      <c r="O159" s="54" t="str">
        <f>"Duplicate of Vendor rule "&amp;A292&amp;".  Not relevant for customers."</f>
        <v>Duplicate of Vendor rule 288.  Not relevant for customers.</v>
      </c>
      <c r="P159" s="15" t="s">
        <v>7861</v>
      </c>
      <c r="Q159" s="11"/>
      <c r="R159" s="18" t="s">
        <v>6479</v>
      </c>
      <c r="S159" s="15" t="s">
        <v>2</v>
      </c>
      <c r="T159" s="15"/>
      <c r="U159" s="15" t="s">
        <v>573</v>
      </c>
      <c r="V159" s="48" t="s">
        <v>3818</v>
      </c>
      <c r="W159" s="48" t="s">
        <v>3900</v>
      </c>
      <c r="X159" s="49" t="s">
        <v>3928</v>
      </c>
      <c r="Y159" s="48" t="s">
        <v>6898</v>
      </c>
      <c r="Z159" s="15" t="s">
        <v>3900</v>
      </c>
      <c r="AA159" s="11" t="str">
        <f>"BEGIN
     RETURN exists('DS_IS_RDS', '"&amp;Table362[[#This Row],[Lookup Table]]&amp;"', '"&amp;Table362[[#This Row],[Lookup Field]]&amp;"', "&amp;Table362[[#This Row],[IS Parameter]]&amp;");
END"</f>
        <v>BEGIN
     RETURN exists('DS_IS_RDS', 'T615', 'ZOLLA', $P_I_OfficeOfEntry);
END</v>
      </c>
      <c r="AB159" s="11"/>
      <c r="AC159" s="10" t="s">
        <v>6663</v>
      </c>
      <c r="AD159" s="10"/>
      <c r="AE159" s="18" t="str">
        <f>IF(Table362[[#This Row],[Entity]]="Customer","KUNNR",IF(Table362[[#This Row],[Entity]]="Vendor","LIFNR","MATNR"))&amp;","&amp;Table362[[#This Row],[Field]]</f>
        <v>KUNNR,ZOLLA</v>
      </c>
      <c r="AF159" s="18"/>
      <c r="AG159" s="17" t="str">
        <f>"create view VW_"&amp;Table362[[#This Row],[Table]]&amp;Table362[[#This Row],[Field]]&amp;" as select "&amp;IF(Table362[[#This Row],[Entity]]="Customer","KUNNR",IF(Table362[[#This Row],[Entity]]="Vendor","LIFNR","MATNR"))&amp;","&amp;Table362[[#This Row],[Field]]&amp;" from "&amp;Table362[[#This Row],[Table]]</f>
        <v>create view VW_LFM1ZOLLA as select KUNNR,ZOLLA from LFM1</v>
      </c>
      <c r="AH159" s="16"/>
      <c r="AI159" s="27" t="s">
        <v>7583</v>
      </c>
      <c r="AJ159" s="27"/>
      <c r="AK159" s="36"/>
      <c r="AL159" s="52"/>
    </row>
    <row r="160" spans="1:38" s="3" customFormat="1" ht="60" hidden="1" x14ac:dyDescent="0.25">
      <c r="A160" s="9">
        <v>152</v>
      </c>
      <c r="B160" s="7" t="s">
        <v>3973</v>
      </c>
      <c r="C160" s="7" t="s">
        <v>16</v>
      </c>
      <c r="D160" s="7" t="s">
        <v>6711</v>
      </c>
      <c r="E160" s="7" t="s">
        <v>6714</v>
      </c>
      <c r="F160" s="7" t="s">
        <v>6715</v>
      </c>
      <c r="G160" s="7" t="s">
        <v>6361</v>
      </c>
      <c r="H160" s="7" t="s">
        <v>3967</v>
      </c>
      <c r="I160" s="7"/>
      <c r="J160" s="20" t="str">
        <f>VLOOKUP(V160,Table_to_BRG!A:D,3,FALSE)</f>
        <v>General data</v>
      </c>
      <c r="K160" s="20" t="str">
        <f>VLOOKUP(V160,Table_to_BRG!A:D,2,FALSE)</f>
        <v>General</v>
      </c>
      <c r="L160" s="20"/>
      <c r="M160" s="20"/>
      <c r="N160" s="9"/>
      <c r="O160" s="54"/>
      <c r="P160" s="7" t="s">
        <v>8087</v>
      </c>
      <c r="Q160" s="11" t="str">
        <f>UPPER(LEFT(Table362[[#This Row],[Entity]],3))&amp;RIGHT("00"&amp;Table362[[#This Row],[Rule '# by Entity]],3)&amp;"0_"&amp;MID(SUBSTITUTE(Table362[[#This Row],[Rule Name]],"_","|",3),SEARCH("|",SUBSTITUTE(Table362[[#This Row],[Rule Name]],"_","|",3))+1,LEN(Table362[[#This Row],[Rule Name]]))</f>
        <v>CUS0160_AccountGroupPopulated</v>
      </c>
      <c r="R160" s="53" t="s">
        <v>8203</v>
      </c>
      <c r="S160" s="7" t="s">
        <v>21</v>
      </c>
      <c r="T160" s="7"/>
      <c r="U160" s="7" t="s">
        <v>558</v>
      </c>
      <c r="V160" s="7" t="s">
        <v>2741</v>
      </c>
      <c r="W160" s="7" t="s">
        <v>2703</v>
      </c>
      <c r="X160" s="8" t="s">
        <v>2723</v>
      </c>
      <c r="Y160" s="7" t="s">
        <v>5978</v>
      </c>
      <c r="Z160" s="7" t="s">
        <v>5978</v>
      </c>
      <c r="AA160" s="10" t="s">
        <v>559</v>
      </c>
      <c r="AB160" s="10"/>
      <c r="AC160" s="10" t="s">
        <v>6813</v>
      </c>
      <c r="AD160" s="10"/>
      <c r="AE160" s="13" t="str">
        <f>IF(Table362[[#This Row],[Entity]]="Customer","KUNNR",IF(Table362[[#This Row],[Entity]]="Vendor","LIFNR","MATNR"))&amp;","&amp;Table362[[#This Row],[Field]]</f>
        <v>KUNNR,KTOKD</v>
      </c>
      <c r="AF160" s="13" t="str">
        <f>"VW_"&amp;Table362[[#This Row],[New Rule Name]]</f>
        <v>VW_CUS0160_AccountGroupPopulated</v>
      </c>
      <c r="AG160" s="11" t="str">
        <f>"create view "&amp;Table362[[#This Row],[View Name]]&amp;" as 
     select 
          "&amp;Table362[[#This Row],[Table]]&amp;",
          "&amp;Table362[[#This Row],[Field]]&amp;" 
     from "&amp;Table362[[#This Row],[Table]]</f>
        <v>create view VW_CUS0160_AccountGroupPopulated as 
     select 
          KNA1,
          KTOKD 
     from KNA1</v>
      </c>
      <c r="AH160" s="8"/>
      <c r="AI160" s="20" t="s">
        <v>7581</v>
      </c>
      <c r="AJ160" s="20"/>
      <c r="AK160" s="31">
        <v>16</v>
      </c>
      <c r="AL160" s="31">
        <v>7</v>
      </c>
    </row>
    <row r="161" spans="1:38" s="3" customFormat="1" ht="108" x14ac:dyDescent="0.25">
      <c r="A161" s="9">
        <v>153</v>
      </c>
      <c r="B161" s="7" t="s">
        <v>3973</v>
      </c>
      <c r="C161" s="7" t="s">
        <v>3</v>
      </c>
      <c r="D161" s="7" t="s">
        <v>6711</v>
      </c>
      <c r="E161" s="7" t="s">
        <v>6712</v>
      </c>
      <c r="F161" s="7" t="s">
        <v>6713</v>
      </c>
      <c r="G161" s="7" t="s">
        <v>6379</v>
      </c>
      <c r="H161" s="7" t="s">
        <v>6380</v>
      </c>
      <c r="I161" s="7"/>
      <c r="J161" s="20" t="str">
        <f>VLOOKUP(V161,Table_to_BRG!A:D,3,FALSE)</f>
        <v>Plant data</v>
      </c>
      <c r="K161" s="20" t="str">
        <f>VLOOKUP(V161,Table_to_BRG!A:D,2,FALSE)</f>
        <v>Plant</v>
      </c>
      <c r="L161" s="20"/>
      <c r="M161" s="20"/>
      <c r="N161" s="9"/>
      <c r="O161" s="54"/>
      <c r="P161" s="7" t="s">
        <v>8367</v>
      </c>
      <c r="Q161" s="11" t="str">
        <f>UPPER(LEFT(Table362[[#This Row],[Entity]],3))&amp;RIGHT("00"&amp;Table362[[#This Row],[Rule '# by Entity]],3)&amp;"0_"&amp;MID(SUBSTITUTE(Table362[[#This Row],[Rule Name]],"_","|",3),SEARCH("|",SUBSTITUTE(Table362[[#This Row],[Rule Name]],"_","|",3))+1,LEN(Table362[[#This Row],[Rule Name]]))</f>
        <v>MAT0580_LoadingGroupRef</v>
      </c>
      <c r="R161" s="8" t="s">
        <v>7935</v>
      </c>
      <c r="S161" s="7" t="s">
        <v>2</v>
      </c>
      <c r="T161" s="7"/>
      <c r="U161" s="7" t="s">
        <v>68</v>
      </c>
      <c r="V161" s="7" t="s">
        <v>1527</v>
      </c>
      <c r="W161" s="7" t="s">
        <v>2394</v>
      </c>
      <c r="X161" s="8" t="s">
        <v>8622</v>
      </c>
      <c r="Y161" s="7" t="s">
        <v>4162</v>
      </c>
      <c r="Z161" s="7" t="s">
        <v>2394</v>
      </c>
      <c r="AA161" s="11" t="str">
        <f>"BEGIN
     RETURN exists('DS_IS_RDS', '"&amp;Table362[[#This Row],[Lookup Table]]&amp;"', '"&amp;Table362[[#This Row],[Lookup Field]]&amp;"', "&amp;Table362[[#This Row],[IS Parameter]]&amp;");
END"</f>
        <v>BEGIN
     RETURN exists('DS_IS_RDS', 'TLGR', 'LADGR', $P_I_LoadingGroup);
END</v>
      </c>
      <c r="AB161" s="11" t="str">
        <f>Table362[[#This Row],[IS Parameter]]&amp;" IS NOT NULL AND rtrim("&amp;Table362[[#This Row],[IS Parameter]]&amp;", ' ') != ''"</f>
        <v>$P_I_LoadingGroup IS NOT NULL AND rtrim($P_I_LoadingGroup, ' ') != ''</v>
      </c>
      <c r="AC161" s="10" t="s">
        <v>6663</v>
      </c>
      <c r="AD161" s="10"/>
      <c r="AE161" s="13" t="str">
        <f>IF(Table362[[#This Row],[Entity]]="Customer","KUNNR",IF(Table362[[#This Row],[Entity]]="Vendor","LIFNR","MATNR"))&amp;",WERKS"&amp;","&amp;Table362[[#This Row],[Field]]</f>
        <v>MATNR,WERKS,LADGR</v>
      </c>
      <c r="AF161" s="13" t="str">
        <f>"VW_"&amp;Table362[[#This Row],[New Rule Name]]</f>
        <v>VW_MAT0580_LoadingGroupRef</v>
      </c>
      <c r="AG161"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VW_MAT0580_LoadingGroupRef (
     MATNR,
     WERKS,
     LADGR
     ) as select 
          MATNR,
          WERKS,
          LADGR 
     from MARC</v>
      </c>
      <c r="AH161" s="8"/>
      <c r="AI161" s="20" t="s">
        <v>7713</v>
      </c>
      <c r="AJ161" s="20"/>
      <c r="AK161" s="31">
        <v>58</v>
      </c>
      <c r="AL161" s="31"/>
    </row>
    <row r="162" spans="1:38" s="3" customFormat="1" ht="84" hidden="1" x14ac:dyDescent="0.25">
      <c r="A162" s="9">
        <v>154</v>
      </c>
      <c r="B162" s="7" t="s">
        <v>3973</v>
      </c>
      <c r="C162" s="7" t="s">
        <v>16</v>
      </c>
      <c r="D162" s="7" t="s">
        <v>6711</v>
      </c>
      <c r="E162" s="7" t="s">
        <v>6714</v>
      </c>
      <c r="F162" s="7" t="s">
        <v>6724</v>
      </c>
      <c r="G162" s="7" t="s">
        <v>6365</v>
      </c>
      <c r="H162" s="7" t="s">
        <v>2759</v>
      </c>
      <c r="I162" s="7"/>
      <c r="J162" s="20" t="str">
        <f>VLOOKUP(V162,Table_to_BRG!A:D,3,FALSE)</f>
        <v>Customer sales data</v>
      </c>
      <c r="K162" s="20" t="str">
        <f>VLOOKUP(V162,Table_to_BRG!A:D,2,FALSE)</f>
        <v>Sales</v>
      </c>
      <c r="L162" s="20"/>
      <c r="M162" s="20"/>
      <c r="N162" s="9"/>
      <c r="O162" s="54"/>
      <c r="P162" s="7" t="s">
        <v>7862</v>
      </c>
      <c r="Q162" s="11" t="str">
        <f>UPPER(LEFT(Table362[[#This Row],[Entity]],3))&amp;RIGHT("00"&amp;Table362[[#This Row],[Rule '# by Entity]],3)&amp;"0_"&amp;MID(SUBSTITUTE(Table362[[#This Row],[Rule Name]],"_","|",3),SEARCH("|",SUBSTITUTE(Table362[[#This Row],[Rule Name]],"_","|",3))+1,LEN(Table362[[#This Row],[Rule Name]]))</f>
        <v>CUS0920_DivisionRef</v>
      </c>
      <c r="R162" s="13" t="s">
        <v>8133</v>
      </c>
      <c r="S162" s="7" t="s">
        <v>2</v>
      </c>
      <c r="T162" s="7"/>
      <c r="U162" s="7" t="s">
        <v>56</v>
      </c>
      <c r="V162" s="7" t="s">
        <v>3334</v>
      </c>
      <c r="W162" s="7" t="s">
        <v>1498</v>
      </c>
      <c r="X162" s="8" t="s">
        <v>1234</v>
      </c>
      <c r="Y162" s="7" t="s">
        <v>5380</v>
      </c>
      <c r="Z162" s="7" t="s">
        <v>1498</v>
      </c>
      <c r="AA162" s="11" t="str">
        <f>"BEGIN
     RETURN exists('DS_IS_RDS', '"&amp;Table362[[#This Row],[Lookup Table]]&amp;"', '"&amp;Table362[[#This Row],[Lookup Field]]&amp;"', "&amp;Table362[[#This Row],[IS Parameter]]&amp;");
END"</f>
        <v>BEGIN
     RETURN exists('DS_IS_RDS', 'TSPA', 'SPART', $P_I_Division);
END</v>
      </c>
      <c r="AB162" s="11" t="str">
        <f>Table362[[#This Row],[IS Parameter]]&amp;" IS NOT NULL
AND "&amp; Table362[[#This Row],[IS Parameter]]&amp;" != ''"</f>
        <v>$P_I_Division IS NOT NULL
AND $P_I_Division != ''</v>
      </c>
      <c r="AC162" s="10" t="s">
        <v>6663</v>
      </c>
      <c r="AD162" s="10"/>
      <c r="AE162" s="13" t="s">
        <v>6931</v>
      </c>
      <c r="AF162" s="13" t="str">
        <f>"VW_"&amp;Table362[[#This Row],[New Rule Name]]</f>
        <v>VW_CUS0920_DivisionRef</v>
      </c>
      <c r="AG162" s="11" t="str">
        <f>"create view "&amp;Table362[[#This Row],[View Name]]&amp;" as 
     select 
          KUNNR,
          VKORG, 
          VTWEG, 
          "&amp;Table362[[#This Row],[Field]]&amp;" 
     from "&amp;Table362[[#This Row],[Table]]&amp;" t1"</f>
        <v>create view VW_CUS0920_DivisionRef as 
     select 
          KUNNR,
          VKORG, 
          VTWEG, 
          SPART 
     from KNVV t1</v>
      </c>
      <c r="AH162" s="8"/>
      <c r="AI162" s="20" t="s">
        <v>7705</v>
      </c>
      <c r="AJ162" s="20"/>
      <c r="AK162" s="31">
        <v>92</v>
      </c>
      <c r="AL162" s="31"/>
    </row>
    <row r="163" spans="1:38" s="3" customFormat="1" ht="108" x14ac:dyDescent="0.25">
      <c r="A163" s="9">
        <v>156</v>
      </c>
      <c r="B163" s="7" t="s">
        <v>3973</v>
      </c>
      <c r="C163" s="7" t="s">
        <v>3</v>
      </c>
      <c r="D163" s="7" t="s">
        <v>5978</v>
      </c>
      <c r="E163" s="7" t="s">
        <v>5978</v>
      </c>
      <c r="F163" s="7" t="s">
        <v>5978</v>
      </c>
      <c r="G163" s="7" t="s">
        <v>6703</v>
      </c>
      <c r="H163" s="7" t="s">
        <v>6375</v>
      </c>
      <c r="I163" s="7"/>
      <c r="J163" s="20" t="str">
        <f>VLOOKUP(V163,Table_to_BRG!A:D,3,FALSE)</f>
        <v>Plant data</v>
      </c>
      <c r="K163" s="20" t="str">
        <f>VLOOKUP(V163,Table_to_BRG!A:D,2,FALSE)</f>
        <v>Plant</v>
      </c>
      <c r="L163" s="20"/>
      <c r="M163" s="20"/>
      <c r="N163" s="9"/>
      <c r="O163" s="54"/>
      <c r="P163" s="7" t="s">
        <v>8368</v>
      </c>
      <c r="Q163" s="11" t="str">
        <f>UPPER(LEFT(Table362[[#This Row],[Entity]],3))&amp;RIGHT("00"&amp;Table362[[#This Row],[Rule '# by Entity]],3)&amp;"0_"&amp;MID(SUBSTITUTE(Table362[[#This Row],[Rule Name]],"_","|",3),SEARCH("|",SUBSTITUTE(Table362[[#This Row],[Rule Name]],"_","|",3))+1,LEN(Table362[[#This Row],[Rule Name]]))</f>
        <v>MAT0760_ConfigurableMaterialRef</v>
      </c>
      <c r="R163" s="8" t="s">
        <v>7936</v>
      </c>
      <c r="S163" s="7" t="s">
        <v>2</v>
      </c>
      <c r="T163" s="7"/>
      <c r="U163" s="7" t="s">
        <v>569</v>
      </c>
      <c r="V163" s="7" t="s">
        <v>1527</v>
      </c>
      <c r="W163" s="7" t="s">
        <v>2182</v>
      </c>
      <c r="X163" s="8" t="s">
        <v>2190</v>
      </c>
      <c r="Y163" s="7" t="s">
        <v>1526</v>
      </c>
      <c r="Z163" s="7" t="s">
        <v>1492</v>
      </c>
      <c r="AA163" s="11" t="str">
        <f>"BEGIN
     RETURN exists('DS_IS_RDS', '"&amp;Table362[[#This Row],[Lookup Table]]&amp;"', '"&amp;Table362[[#This Row],[Lookup Field]]&amp;"', "&amp;Table362[[#This Row],[IS Parameter]]&amp;");
END"</f>
        <v>BEGIN
     RETURN exists('DS_IS_RDS', 'MARA', 'MATNR', $P_I_ConfigurableMaterial);
END</v>
      </c>
      <c r="AB163" s="11" t="str">
        <f>Table362[[#This Row],[IS Parameter]]&amp;" IS NOT NULL AND rtrim("&amp;Table362[[#This Row],[IS Parameter]]&amp;", ' ') != ''"</f>
        <v>$P_I_ConfigurableMaterial IS NOT NULL AND rtrim($P_I_ConfigurableMaterial, ' ') != ''</v>
      </c>
      <c r="AC163" s="10" t="s">
        <v>6663</v>
      </c>
      <c r="AD163" s="10"/>
      <c r="AE163" s="13" t="str">
        <f>IF(Table362[[#This Row],[Entity]]="Customer","KUNNR",IF(Table362[[#This Row],[Entity]]="Vendor","LIFNR","MATNR"))&amp;",WERKS"&amp;","&amp;Table362[[#This Row],[Field]]</f>
        <v>MATNR,WERKS,STDPD</v>
      </c>
      <c r="AF163" s="13" t="str">
        <f>"VW_"&amp;Table362[[#This Row],[New Rule Name]]</f>
        <v>VW_MAT0760_ConfigurableMaterialRef</v>
      </c>
      <c r="AG163"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VW_MAT0760_ConfigurableMaterialRef (
     MATNR,
     WERKS,
     STDPD
     ) as select 
          MATNR,
          WERKS,
          STDPD 
     from MARC</v>
      </c>
      <c r="AH163" s="8" t="s">
        <v>7783</v>
      </c>
      <c r="AI163" s="20"/>
      <c r="AJ163" s="20"/>
      <c r="AK163" s="31">
        <v>76</v>
      </c>
      <c r="AL163" s="31"/>
    </row>
    <row r="164" spans="1:38" s="3" customFormat="1" ht="60" hidden="1" x14ac:dyDescent="0.25">
      <c r="A164" s="9">
        <v>158</v>
      </c>
      <c r="B164" s="7" t="s">
        <v>3973</v>
      </c>
      <c r="C164" s="7" t="s">
        <v>16</v>
      </c>
      <c r="D164" s="7" t="s">
        <v>6711</v>
      </c>
      <c r="E164" s="7" t="s">
        <v>6714</v>
      </c>
      <c r="F164" s="7" t="s">
        <v>6715</v>
      </c>
      <c r="G164" s="7" t="s">
        <v>6361</v>
      </c>
      <c r="H164" s="7" t="s">
        <v>3967</v>
      </c>
      <c r="I164" s="7" t="s">
        <v>3967</v>
      </c>
      <c r="J164" s="20" t="str">
        <f>VLOOKUP(V164,Table_to_BRG!A:D,3,FALSE)</f>
        <v>General data</v>
      </c>
      <c r="K164" s="20" t="str">
        <f>VLOOKUP(V164,Table_to_BRG!A:D,2,FALSE)</f>
        <v>General</v>
      </c>
      <c r="L164" s="20"/>
      <c r="M164" s="20"/>
      <c r="N164" s="9"/>
      <c r="O164" s="54"/>
      <c r="P164" s="7" t="s">
        <v>8135</v>
      </c>
      <c r="Q164" s="11" t="str">
        <f>UPPER(LEFT(Table362[[#This Row],[Entity]],3))&amp;RIGHT("00"&amp;Table362[[#This Row],[Rule '# by Entity]],3)&amp;"0_"&amp;MID(SUBSTITUTE(Table362[[#This Row],[Rule Name]],"_","|",3),SEARCH("|",SUBSTITUTE(Table362[[#This Row],[Rule Name]],"_","|",3))+1,LEN(Table362[[#This Row],[Rule Name]]))</f>
        <v>CUS0030_CountryCodeRef</v>
      </c>
      <c r="R164" s="13" t="s">
        <v>8029</v>
      </c>
      <c r="S164" s="7" t="s">
        <v>21</v>
      </c>
      <c r="T164" s="7" t="s">
        <v>2</v>
      </c>
      <c r="U164" s="7" t="s">
        <v>140</v>
      </c>
      <c r="V164" s="7" t="s">
        <v>2741</v>
      </c>
      <c r="W164" s="7" t="s">
        <v>2958</v>
      </c>
      <c r="X164" s="8" t="s">
        <v>2969</v>
      </c>
      <c r="Y164" s="7" t="s">
        <v>4152</v>
      </c>
      <c r="Z164" s="7" t="s">
        <v>2958</v>
      </c>
      <c r="AA164" s="11" t="str">
        <f>"BEGIN
     RETURN exists('DS_IS_RDS', '"&amp;Table362[[#This Row],[Lookup Table]]&amp;"', '"&amp;Table362[[#This Row],[Lookup Field]]&amp;"', "&amp;Table362[[#This Row],[IS Parameter]]&amp;");
END"</f>
        <v>BEGIN
     RETURN exists('DS_IS_RDS', 'T005', 'LAND1', $P_I_Country);
END</v>
      </c>
      <c r="AB164" s="11" t="str">
        <f>Table362[[#This Row],[IS Parameter]]&amp;" IS NOT NULL
AND "&amp; Table362[[#This Row],[IS Parameter]]&amp;" != ''"</f>
        <v>$P_I_Country IS NOT NULL
AND $P_I_Country != ''</v>
      </c>
      <c r="AC164" s="10" t="s">
        <v>6663</v>
      </c>
      <c r="AD164" s="10"/>
      <c r="AE164" s="13" t="str">
        <f>IF(Table362[[#This Row],[Entity]]="Customer","KUNNR",IF(Table362[[#This Row],[Entity]]="Vendor","LIFNR","MATNR"))&amp;","&amp;Table362[[#This Row],[Field]]</f>
        <v>KUNNR,LAND1</v>
      </c>
      <c r="AF164" s="13" t="str">
        <f>"VW_"&amp;Table362[[#This Row],[New Rule Name]]</f>
        <v>VW_CUS0030_CountryCodeRef</v>
      </c>
      <c r="AG164" s="11" t="str">
        <f>"create view "&amp;Table362[[#This Row],[View Name]]&amp;" as 
     select 
          "&amp;IF(Table362[[#This Row],[Entity]]="Customer","KUNNR",IF(Table362[[#This Row],[Entity]]="Vendor","LIFNR","MATNR"))&amp;",
          "&amp;Table362[[#This Row],[Field]]&amp;" 
     from "&amp;Table362[[#This Row],[Table]]</f>
        <v>create view VW_CUS0030_CountryCodeRef as 
     select 
          KUNNR,
          LAND1 
     from KNA1</v>
      </c>
      <c r="AH164" s="8"/>
      <c r="AI164" s="20" t="s">
        <v>7630</v>
      </c>
      <c r="AJ164" s="20"/>
      <c r="AK164" s="31">
        <v>3</v>
      </c>
      <c r="AL164" s="31"/>
    </row>
    <row r="165" spans="1:38" s="3" customFormat="1" ht="72" hidden="1" x14ac:dyDescent="0.25">
      <c r="A165" s="9">
        <v>159</v>
      </c>
      <c r="B165" s="7" t="s">
        <v>3973</v>
      </c>
      <c r="C165" s="7" t="s">
        <v>16</v>
      </c>
      <c r="D165" s="7" t="s">
        <v>6719</v>
      </c>
      <c r="E165" s="7" t="s">
        <v>6720</v>
      </c>
      <c r="F165" s="7" t="s">
        <v>6721</v>
      </c>
      <c r="G165" s="7" t="s">
        <v>6358</v>
      </c>
      <c r="H165" s="7" t="s">
        <v>6360</v>
      </c>
      <c r="I165" s="7"/>
      <c r="J165" s="20" t="str">
        <f>VLOOKUP(V165,Table_to_BRG!A:D,3,FALSE)</f>
        <v>Company Code data</v>
      </c>
      <c r="K165" s="20" t="str">
        <f>VLOOKUP(V165,Table_to_BRG!A:D,2,FALSE)</f>
        <v>Company Code</v>
      </c>
      <c r="L165" s="20"/>
      <c r="M165" s="20"/>
      <c r="N165" s="9"/>
      <c r="O165" s="54"/>
      <c r="P165" s="7" t="s">
        <v>7863</v>
      </c>
      <c r="Q165" s="11" t="str">
        <f>UPPER(LEFT(Table362[[#This Row],[Entity]],3))&amp;RIGHT("00"&amp;Table362[[#This Row],[Rule '# by Entity]],3)&amp;"0_"&amp;MID(SUBSTITUTE(Table362[[#This Row],[Rule Name]],"_","|",3),SEARCH("|",SUBSTITUTE(Table362[[#This Row],[Rule Name]],"_","|",3))+1,LEN(Table362[[#This Row],[Rule Name]]))</f>
        <v>CUS0590_SelectionRuleRef</v>
      </c>
      <c r="R165" s="13" t="s">
        <v>8030</v>
      </c>
      <c r="S165" s="7" t="s">
        <v>2</v>
      </c>
      <c r="T165" s="7"/>
      <c r="U165" s="7" t="s">
        <v>287</v>
      </c>
      <c r="V165" s="7" t="s">
        <v>2740</v>
      </c>
      <c r="W165" s="7" t="s">
        <v>2905</v>
      </c>
      <c r="X165" s="8" t="s">
        <v>2923</v>
      </c>
      <c r="Y165" s="7" t="s">
        <v>6002</v>
      </c>
      <c r="Z165" s="7" t="s">
        <v>2905</v>
      </c>
      <c r="AA165" s="11" t="str">
        <f>"BEGIN
     RETURN exists('DS_IS_RDS', '"&amp;Table362[[#This Row],[Lookup Table]]&amp;"', '"&amp;Table362[[#This Row],[Lookup Field]]&amp;"', "&amp;Table362[[#This Row],[IS Parameter]]&amp;");
END"</f>
        <v>BEGIN
     RETURN exists('DS_IS_RDS', 'T053A', 'SREGL', $P_I_SelectionRule);
END</v>
      </c>
      <c r="AB165" s="11" t="str">
        <f>Table362[[#This Row],[IS Parameter]]&amp;" IS NOT NULL
AND "&amp; Table362[[#This Row],[IS Parameter]]&amp;" != ''"</f>
        <v>$P_I_SelectionRule IS NOT NULL
AND $P_I_SelectionRule != ''</v>
      </c>
      <c r="AC165" s="10" t="s">
        <v>6663</v>
      </c>
      <c r="AD165" s="10"/>
      <c r="AE165" s="13" t="str">
        <f>IF(Table362[[#This Row],[Entity]]="Customer","KUNNR",IF(Table362[[#This Row],[Entity]]="Vendor","LIFNR","MATNR"))&amp;",BUKRS"&amp;","&amp;Table362[[#This Row],[Field]]</f>
        <v>KUNNR,BUKRS,SREGL</v>
      </c>
      <c r="AF165" s="13" t="str">
        <f>"VW_"&amp;Table362[[#This Row],[New Rule Name]]</f>
        <v>VW_CUS0590_SelectionRuleRef</v>
      </c>
      <c r="AG165" s="11" t="str">
        <f>"create view "&amp;Table362[[#This Row],[View Name]]&amp;" as 
     select 
          "&amp;IF(Table362[[#This Row],[Entity]]="Customer","KUNNR",IF(Table362[[#This Row],[Entity]]="Vendor","LIFNR","MATNR"))&amp;",
          BUKRS,
          "&amp;Table362[[#This Row],[Field]]&amp;" 
     from "&amp;Table362[[#This Row],[Table]]</f>
        <v>create view VW_CUS0590_SelectionRuleRef as 
     select 
          KUNNR,
          BUKRS,
          SREGL 
     from KNB1</v>
      </c>
      <c r="AH165" s="8"/>
      <c r="AI165" s="20" t="s">
        <v>7638</v>
      </c>
      <c r="AJ165" s="20"/>
      <c r="AK165" s="31">
        <v>59</v>
      </c>
      <c r="AL165" s="31"/>
    </row>
    <row r="166" spans="1:38" s="3" customFormat="1" ht="108" x14ac:dyDescent="0.25">
      <c r="A166" s="9">
        <v>160</v>
      </c>
      <c r="B166" s="7" t="s">
        <v>3973</v>
      </c>
      <c r="C166" s="7" t="s">
        <v>3</v>
      </c>
      <c r="D166" s="7" t="s">
        <v>6711</v>
      </c>
      <c r="E166" s="7" t="s">
        <v>6712</v>
      </c>
      <c r="F166" s="7" t="s">
        <v>6713</v>
      </c>
      <c r="G166" s="7" t="s">
        <v>6391</v>
      </c>
      <c r="H166" s="7"/>
      <c r="I166" s="7"/>
      <c r="J166" s="20" t="str">
        <f>VLOOKUP(V166,Table_to_BRG!A:D,3,FALSE)</f>
        <v>Plant data</v>
      </c>
      <c r="K166" s="20" t="str">
        <f>VLOOKUP(V166,Table_to_BRG!A:D,2,FALSE)</f>
        <v>Plant</v>
      </c>
      <c r="L166" s="20"/>
      <c r="M166" s="20"/>
      <c r="N166" s="9"/>
      <c r="O166" s="54"/>
      <c r="P166" s="7" t="s">
        <v>8369</v>
      </c>
      <c r="Q166" s="11" t="str">
        <f>UPPER(LEFT(Table362[[#This Row],[Entity]],3))&amp;RIGHT("00"&amp;Table362[[#This Row],[Rule '# by Entity]],3)&amp;"0_"&amp;MID(SUBSTITUTE(Table362[[#This Row],[Rule Name]],"_","|",3),SEARCH("|",SUBSTITUTE(Table362[[#This Row],[Rule Name]],"_","|",3))+1,LEN(Table362[[#This Row],[Rule Name]]))</f>
        <v>MAT0740_VarianceKeyRef</v>
      </c>
      <c r="R166" s="8" t="s">
        <v>7937</v>
      </c>
      <c r="S166" s="7" t="s">
        <v>2</v>
      </c>
      <c r="T166" s="7"/>
      <c r="U166" s="7" t="s">
        <v>579</v>
      </c>
      <c r="V166" s="7" t="s">
        <v>1527</v>
      </c>
      <c r="W166" s="7" t="s">
        <v>1767</v>
      </c>
      <c r="X166" s="8" t="s">
        <v>8624</v>
      </c>
      <c r="Y166" s="7" t="s">
        <v>4238</v>
      </c>
      <c r="Z166" s="7" t="s">
        <v>1767</v>
      </c>
      <c r="AA166" s="11" t="str">
        <f>"BEGIN
     RETURN exists('DS_IS_RDS', '"&amp;Table362[[#This Row],[Lookup Table]]&amp;"', '"&amp;Table362[[#This Row],[Lookup Field]]&amp;"', "&amp;Table362[[#This Row],[IS Parameter]]&amp;");
END"</f>
        <v>BEGIN
     RETURN exists('DS_IS_RDS', 'TKV01', 'AWSLS', $P_I_VarianceKey);
END</v>
      </c>
      <c r="AB166" s="11" t="str">
        <f>Table362[[#This Row],[IS Parameter]]&amp;" IS NOT NULL AND rtrim("&amp;Table362[[#This Row],[IS Parameter]]&amp;", ' ') != ''"</f>
        <v>$P_I_VarianceKey IS NOT NULL AND rtrim($P_I_VarianceKey, ' ') != ''</v>
      </c>
      <c r="AC166" s="10" t="s">
        <v>6663</v>
      </c>
      <c r="AD166" s="10"/>
      <c r="AE166" s="13" t="str">
        <f>IF(Table362[[#This Row],[Entity]]="Customer","KUNNR",IF(Table362[[#This Row],[Entity]]="Vendor","LIFNR","MATNR"))&amp;",WERKS"&amp;","&amp;Table362[[#This Row],[Field]]</f>
        <v>MATNR,WERKS,AWSLS</v>
      </c>
      <c r="AF166" s="13" t="str">
        <f>"VW_"&amp;Table362[[#This Row],[New Rule Name]]</f>
        <v>VW_MAT0740_VarianceKeyRef</v>
      </c>
      <c r="AG166"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VW_MAT0740_VarianceKeyRef (
     MATNR,
     WERKS,
     AWSLS
     ) as select 
          MATNR,
          WERKS,
          AWSLS 
     from MARC</v>
      </c>
      <c r="AH166" s="8"/>
      <c r="AI166" s="20"/>
      <c r="AJ166" s="20"/>
      <c r="AK166" s="31">
        <v>74</v>
      </c>
      <c r="AL166" s="31"/>
    </row>
    <row r="167" spans="1:38" s="3" customFormat="1" ht="84" x14ac:dyDescent="0.25">
      <c r="A167" s="9">
        <v>161</v>
      </c>
      <c r="B167" s="7" t="s">
        <v>3973</v>
      </c>
      <c r="C167" s="7" t="s">
        <v>3</v>
      </c>
      <c r="D167" s="7" t="s">
        <v>6711</v>
      </c>
      <c r="E167" s="7" t="s">
        <v>6712</v>
      </c>
      <c r="F167" s="7" t="s">
        <v>6713</v>
      </c>
      <c r="G167" s="7" t="s">
        <v>6371</v>
      </c>
      <c r="H167" s="7" t="s">
        <v>6372</v>
      </c>
      <c r="I167" s="7"/>
      <c r="J167" s="20" t="str">
        <f>VLOOKUP(V167,Table_to_BRG!A:D,3,FALSE)</f>
        <v>Plant data</v>
      </c>
      <c r="K167" s="20" t="str">
        <f>VLOOKUP(V167,Table_to_BRG!A:D,2,FALSE)</f>
        <v>Plant</v>
      </c>
      <c r="L167" s="20"/>
      <c r="M167" s="20"/>
      <c r="N167" s="9"/>
      <c r="O167" s="54"/>
      <c r="P167" s="7" t="s">
        <v>8370</v>
      </c>
      <c r="Q167" s="11" t="str">
        <f>UPPER(LEFT(Table362[[#This Row],[Entity]],3))&amp;RIGHT("00"&amp;Table362[[#This Row],[Rule '# by Entity]],3)&amp;"0_"&amp;MID(SUBSTITUTE(Table362[[#This Row],[Rule Name]],"_","|",3),SEARCH("|",SUBSTITUTE(Table362[[#This Row],[Rule Name]],"_","|",3))+1,LEN(Table362[[#This Row],[Rule Name]]))</f>
        <v>MAT0330_PlantPopulated</v>
      </c>
      <c r="R167" s="8" t="s">
        <v>7991</v>
      </c>
      <c r="S167" s="7" t="s">
        <v>21</v>
      </c>
      <c r="T167"/>
      <c r="U167" s="7" t="s">
        <v>485</v>
      </c>
      <c r="V167" s="7" t="s">
        <v>1527</v>
      </c>
      <c r="W167" s="7" t="s">
        <v>1495</v>
      </c>
      <c r="X167" s="8" t="s">
        <v>1265</v>
      </c>
      <c r="Y167" s="7" t="s">
        <v>5978</v>
      </c>
      <c r="Z167" s="7" t="s">
        <v>5978</v>
      </c>
      <c r="AA167" s="10" t="s">
        <v>583</v>
      </c>
      <c r="AB167" s="10"/>
      <c r="AC167" s="10" t="s">
        <v>6813</v>
      </c>
      <c r="AD167" s="10"/>
      <c r="AE167" s="13" t="str">
        <f>IF(Table362[[#This Row],[Entity]]="Customer","KUNNR",IF(Table362[[#This Row],[Entity]]="Vendor","LIFNR","MATNR"))&amp;","&amp;Table362[[#This Row],[Field]]</f>
        <v>MATNR,WERKS</v>
      </c>
      <c r="AF167" s="13" t="str">
        <f>"VW_"&amp;Table362[[#This Row],[New Rule Name]]</f>
        <v>VW_MAT0330_PlantPopulated</v>
      </c>
      <c r="AG167" s="11" t="str">
        <f>"create view "&amp;Table362[[#This Row],[View Name]]&amp;" (
     "&amp;IF(Table362[[#This Row],[Entity]]="Customer","KUNNR",IF(Table362[[#This Row],[Entity]]="Vendor","LIFNR","MATNR"))&amp;",
     "&amp;Table362[[#This Row],[Field]]&amp;"
     ) as select 
          "&amp;IF(Table362[[#This Row],[Entity]]="Customer","KUNNR",IF(Table362[[#This Row],[Entity]]="Vendor","LIFNR","MATNR"))&amp;",
          "&amp;Table362[[#This Row],[Field]]&amp;" 
     from "&amp;Table362[[#This Row],[Table]]</f>
        <v>create view VW_MAT0330_PlantPopulated (
     MATNR,
     WERKS
     ) as select 
          MATNR,
          WERKS 
     from MARC</v>
      </c>
      <c r="AH167" s="8"/>
      <c r="AI167" s="20"/>
      <c r="AJ167" s="20"/>
      <c r="AK167" s="31">
        <v>33</v>
      </c>
      <c r="AL167" s="31"/>
    </row>
    <row r="168" spans="1:38" s="3" customFormat="1" ht="60" x14ac:dyDescent="0.25">
      <c r="A168" s="9">
        <v>162</v>
      </c>
      <c r="B168" s="7" t="s">
        <v>3973</v>
      </c>
      <c r="C168" s="7" t="s">
        <v>3</v>
      </c>
      <c r="D168" s="7" t="s">
        <v>5978</v>
      </c>
      <c r="E168" s="7" t="s">
        <v>5978</v>
      </c>
      <c r="F168" s="7" t="s">
        <v>5978</v>
      </c>
      <c r="G168" s="7" t="s">
        <v>6377</v>
      </c>
      <c r="H168" s="7"/>
      <c r="I168" s="7"/>
      <c r="J168" s="20" t="str">
        <f>VLOOKUP(V168,Table_to_BRG!A:D,3,FALSE)</f>
        <v>General data</v>
      </c>
      <c r="K168" s="20" t="str">
        <f>VLOOKUP(V168,Table_to_BRG!A:D,2,FALSE)</f>
        <v>General</v>
      </c>
      <c r="L168" s="20"/>
      <c r="M168" s="20"/>
      <c r="N168" s="9"/>
      <c r="O168" s="54"/>
      <c r="P168" s="7" t="s">
        <v>8371</v>
      </c>
      <c r="Q168" s="11" t="str">
        <f>UPPER(LEFT(Table362[[#This Row],[Entity]],3))&amp;RIGHT("00"&amp;Table362[[#This Row],[Rule '# by Entity]],3)&amp;"0_"&amp;MID(SUBSTITUTE(Table362[[#This Row],[Rule Name]],"_","|",3),SEARCH("|",SUBSTITUTE(Table362[[#This Row],[Rule Name]],"_","|",3))+1,LEN(Table362[[#This Row],[Rule Name]]))</f>
        <v>MAT0270_ManufacturerRef</v>
      </c>
      <c r="R168" s="8" t="s">
        <v>7938</v>
      </c>
      <c r="S168" s="7" t="s">
        <v>2</v>
      </c>
      <c r="T168" s="7"/>
      <c r="U168" s="7" t="s">
        <v>586</v>
      </c>
      <c r="V168" s="7" t="s">
        <v>1526</v>
      </c>
      <c r="W168" s="7" t="s">
        <v>2318</v>
      </c>
      <c r="X168" s="8" t="s">
        <v>6899</v>
      </c>
      <c r="Y168" s="7" t="s">
        <v>3542</v>
      </c>
      <c r="Z168" s="7" t="s">
        <v>3045</v>
      </c>
      <c r="AA168" s="11" t="str">
        <f>"BEGIN
     RETURN exists('DS_IS_RDS', '"&amp;Table362[[#This Row],[Lookup Table]]&amp;"', '"&amp;Table362[[#This Row],[Lookup Field]]&amp;"', "&amp;Table362[[#This Row],[IS Parameter]]&amp;");
END"</f>
        <v>BEGIN
     RETURN exists('DS_IS_RDS', 'LFA1', 'LIFNR', $P_I_Manufacturer);
END</v>
      </c>
      <c r="AB168" s="11" t="str">
        <f>Table362[[#This Row],[IS Parameter]]&amp;" IS NOT NULL AND rtrim("&amp;Table362[[#This Row],[IS Parameter]]&amp;", ' ') != ''"</f>
        <v>$P_I_Manufacturer IS NOT NULL AND rtrim($P_I_Manufacturer, ' ') != ''</v>
      </c>
      <c r="AC168" s="10" t="s">
        <v>6663</v>
      </c>
      <c r="AD168" s="10"/>
      <c r="AE168" s="13" t="str">
        <f>IF(Table362[[#This Row],[Entity]]="Customer","KUNNR",IF(Table362[[#This Row],[Entity]]="Vendor","LIFNR","MATNR"))&amp;","&amp;Table362[[#This Row],[Field]]</f>
        <v>MATNR,MFRNR</v>
      </c>
      <c r="AF168" s="13" t="str">
        <f>"VW_"&amp;Table362[[#This Row],[New Rule Name]]</f>
        <v>VW_MAT0270_ManufacturerRef</v>
      </c>
      <c r="AG168" s="11" t="str">
        <f>"create view "&amp;Table362[[#This Row],[View Name]]&amp;" as 
     select 
          "&amp;IF(Table362[[#This Row],[Entity]]="Customer","KUNNR",IF(Table362[[#This Row],[Entity]]="Vendor","LIFNR","MATNR"))&amp;",
          "&amp;Table362[[#This Row],[Field]]&amp;" 
     from "&amp;Table362[[#This Row],[Table]]</f>
        <v>create view VW_MAT0270_ManufacturerRef as 
     select 
          MATNR,
          MFRNR 
     from MARA</v>
      </c>
      <c r="AH168" s="8" t="s">
        <v>7782</v>
      </c>
      <c r="AI168" s="20"/>
      <c r="AJ168" s="20"/>
      <c r="AK168" s="31">
        <v>27</v>
      </c>
      <c r="AL168" s="31"/>
    </row>
    <row r="169" spans="1:38" s="3" customFormat="1" ht="84" x14ac:dyDescent="0.25">
      <c r="A169" s="9">
        <v>163</v>
      </c>
      <c r="B169" s="7" t="s">
        <v>3973</v>
      </c>
      <c r="C169" s="7" t="s">
        <v>3</v>
      </c>
      <c r="D169" s="7" t="s">
        <v>6711</v>
      </c>
      <c r="E169" s="7" t="s">
        <v>6712</v>
      </c>
      <c r="F169" s="7" t="s">
        <v>6745</v>
      </c>
      <c r="G169" s="7" t="s">
        <v>6369</v>
      </c>
      <c r="H169" s="7"/>
      <c r="I169" s="7"/>
      <c r="J169" s="20" t="str">
        <f>VLOOKUP(V169,Table_to_BRG!A:D,3,FALSE)</f>
        <v>Valuation data</v>
      </c>
      <c r="K169" s="20" t="str">
        <f>VLOOKUP(V169,Table_to_BRG!A:D,2,FALSE)</f>
        <v>Valuation</v>
      </c>
      <c r="L169" s="20"/>
      <c r="M169" s="20"/>
      <c r="N169" s="9"/>
      <c r="O169" s="54"/>
      <c r="P169" s="7" t="s">
        <v>8372</v>
      </c>
      <c r="Q169" s="11" t="str">
        <f>UPPER(LEFT(Table362[[#This Row],[Entity]],3))&amp;RIGHT("00"&amp;Table362[[#This Row],[Rule '# by Entity]],3)&amp;"0_"&amp;MID(SUBSTITUTE(Table362[[#This Row],[Rule Name]],"_","|",3),SEARCH("|",SUBSTITUTE(Table362[[#This Row],[Rule Name]],"_","|",3))+1,LEN(Table362[[#This Row],[Rule Name]]))</f>
        <v>MAT1010_PriceControlPopulated</v>
      </c>
      <c r="R169" s="8" t="s">
        <v>7992</v>
      </c>
      <c r="S169" s="7" t="s">
        <v>21</v>
      </c>
      <c r="T169"/>
      <c r="U169" s="7" t="s">
        <v>590</v>
      </c>
      <c r="V169" s="7" t="s">
        <v>1528</v>
      </c>
      <c r="W169" s="7" t="s">
        <v>1504</v>
      </c>
      <c r="X169" s="8" t="s">
        <v>1517</v>
      </c>
      <c r="Y169" s="7" t="s">
        <v>5978</v>
      </c>
      <c r="Z169" s="7" t="s">
        <v>5978</v>
      </c>
      <c r="AA169" s="10" t="s">
        <v>591</v>
      </c>
      <c r="AB169" s="10"/>
      <c r="AC169" s="10" t="s">
        <v>6813</v>
      </c>
      <c r="AD169" s="10"/>
      <c r="AE169" s="13" t="str">
        <f>IF(Table362[[#This Row],[Entity]]="Customer","KUNNR",IF(Table362[[#This Row],[Entity]]="Vendor","LIFNR","MATNR"))&amp;",BWKEY,BWTAR,"&amp;Table362[[#This Row],[Field]]</f>
        <v>MATNR,BWKEY,BWTAR,VPRSV</v>
      </c>
      <c r="AF169" s="13" t="str">
        <f>"VW_"&amp;Table362[[#This Row],[New Rule Name]]</f>
        <v>VW_MAT1010_PriceControlPopulated</v>
      </c>
      <c r="AG169" s="11" t="str">
        <f>"create view "&amp;Table362[[#This Row],[View Name]]&amp;" as 
     select 
          "&amp;IF(Table362[[#This Row],[Entity]]="Customer","KUNNR",IF(Table362[[#This Row],[Entity]]="Vendor","LIFNR","MATNR"))&amp;",
          BWKEY,
          BWTAR,
          "&amp;Table362[[#This Row],[Field]]&amp;" 
     from "&amp;Table362[[#This Row],[Table]]</f>
        <v>create view VW_MAT1010_PriceControlPopulated as 
     select 
          MATNR,
          BWKEY,
          BWTAR,
          VPRSV 
     from MBEW</v>
      </c>
      <c r="AH169" s="8"/>
      <c r="AI169" s="20"/>
      <c r="AJ169" s="20"/>
      <c r="AK169" s="31">
        <v>101</v>
      </c>
      <c r="AL169" s="31"/>
    </row>
    <row r="170" spans="1:38" s="3" customFormat="1" ht="48" x14ac:dyDescent="0.25">
      <c r="A170" s="9">
        <v>168</v>
      </c>
      <c r="B170" s="7" t="s">
        <v>3973</v>
      </c>
      <c r="C170" s="7" t="s">
        <v>3</v>
      </c>
      <c r="D170" s="7" t="s">
        <v>6711</v>
      </c>
      <c r="E170" s="7" t="s">
        <v>6712</v>
      </c>
      <c r="F170" s="7" t="s">
        <v>6713</v>
      </c>
      <c r="G170" s="7" t="s">
        <v>6703</v>
      </c>
      <c r="H170" s="7" t="s">
        <v>6373</v>
      </c>
      <c r="I170" s="7"/>
      <c r="J170" s="20" t="str">
        <f>VLOOKUP(V170,Table_to_BRG!A:D,3,FALSE)</f>
        <v>Plant data</v>
      </c>
      <c r="K170" s="20" t="str">
        <f>VLOOKUP(V170,Table_to_BRG!A:D,2,FALSE)</f>
        <v>Plant</v>
      </c>
      <c r="L170" s="20"/>
      <c r="M170" s="20"/>
      <c r="N170" s="9"/>
      <c r="O170" s="54"/>
      <c r="P170" s="7" t="s">
        <v>8373</v>
      </c>
      <c r="Q170" s="11" t="str">
        <f>UPPER(LEFT(Table362[[#This Row],[Entity]],3))&amp;RIGHT("00"&amp;Table362[[#This Row],[Rule '# by Entity]],3)&amp;"0_"&amp;MID(SUBSTITUTE(Table362[[#This Row],[Rule Name]],"_","|",3),SEARCH("|",SUBSTITUTE(Table362[[#This Row],[Rule Name]],"_","|",3))+1,LEN(Table362[[#This Row],[Rule Name]]))</f>
        <v>MAT0670_PlanningCycleRef</v>
      </c>
      <c r="R170" s="8" t="s">
        <v>8625</v>
      </c>
      <c r="S170" s="7" t="s">
        <v>2</v>
      </c>
      <c r="T170" s="7"/>
      <c r="U170" s="7" t="s">
        <v>602</v>
      </c>
      <c r="V170" s="7" t="s">
        <v>1527</v>
      </c>
      <c r="W170" s="7" t="s">
        <v>2125</v>
      </c>
      <c r="X170" s="8" t="s">
        <v>2149</v>
      </c>
      <c r="Y170" s="7" t="s">
        <v>8004</v>
      </c>
      <c r="Z170" s="7" t="s">
        <v>2125</v>
      </c>
      <c r="AA170" s="11" t="str">
        <f>"BEGIN
     RETURN exists('DS_IS_RDS', '"&amp;Table362[[#This Row],[Lookup Table]]&amp;"', '"&amp;Table362[[#This Row],[Lookup Field]]&amp;"', "&amp;Table362[[#This Row],[IS Parameter]]&amp;");
END"</f>
        <v>BEGIN
     RETURN exists('DS_IS_RDS', 'T439G', 'MRPPP', $P_I_PlanningCycle);
END</v>
      </c>
      <c r="AB170" s="11" t="str">
        <f>Table362[[#This Row],[IS Parameter]]&amp;" IS NOT NULL AND rtrim("&amp;Table362[[#This Row],[IS Parameter]]&amp;", ' ') != ''"</f>
        <v>$P_I_PlanningCycle IS NOT NULL AND rtrim($P_I_PlanningCycle, ' ') != ''</v>
      </c>
      <c r="AC170" s="10" t="s">
        <v>6663</v>
      </c>
      <c r="AD170" s="10"/>
      <c r="AE170" s="13" t="str">
        <f>IF(Table362[[#This Row],[Entity]]="Customer","KUNNR",IF(Table362[[#This Row],[Entity]]="Vendor","LIFNR","MATNR"))&amp;",WERKS"&amp;","&amp;Table362[[#This Row],[Field]]</f>
        <v>MATNR,WERKS,MRPPP</v>
      </c>
      <c r="AF170" s="13" t="str">
        <f>"VW_"&amp;Table362[[#This Row],[New Rule Name]]</f>
        <v>VW_MAT0670_PlanningCycleRef</v>
      </c>
      <c r="AG170" s="11"/>
      <c r="AH170" s="8"/>
      <c r="AI170" s="20"/>
      <c r="AJ170" s="20"/>
      <c r="AK170" s="31">
        <v>67</v>
      </c>
      <c r="AL170" s="31"/>
    </row>
    <row r="171" spans="1:38" s="3" customFormat="1" ht="60" hidden="1" x14ac:dyDescent="0.25">
      <c r="A171" s="9">
        <v>164</v>
      </c>
      <c r="B171" s="7" t="s">
        <v>3973</v>
      </c>
      <c r="C171" s="7" t="s">
        <v>16</v>
      </c>
      <c r="D171" s="7" t="s">
        <v>6711</v>
      </c>
      <c r="E171" s="7" t="s">
        <v>6714</v>
      </c>
      <c r="F171" s="7" t="s">
        <v>6715</v>
      </c>
      <c r="G171" s="7" t="s">
        <v>6361</v>
      </c>
      <c r="H171" s="7" t="s">
        <v>3967</v>
      </c>
      <c r="I171" s="7"/>
      <c r="J171" s="20" t="str">
        <f>VLOOKUP(V171,Table_to_BRG!A:D,3,FALSE)</f>
        <v>General data</v>
      </c>
      <c r="K171" s="20" t="str">
        <f>VLOOKUP(V171,Table_to_BRG!A:D,2,FALSE)</f>
        <v>General</v>
      </c>
      <c r="L171" s="20"/>
      <c r="M171" s="20"/>
      <c r="N171" s="9"/>
      <c r="O171" s="54"/>
      <c r="P171" s="7" t="s">
        <v>7864</v>
      </c>
      <c r="Q171" s="11" t="str">
        <f>UPPER(LEFT(Table362[[#This Row],[Entity]],3))&amp;RIGHT("00"&amp;Table362[[#This Row],[Rule '# by Entity]],3)&amp;"0_"&amp;MID(SUBSTITUTE(Table362[[#This Row],[Rule Name]],"_","|",3),SEARCH("|",SUBSTITUTE(Table362[[#This Row],[Rule Name]],"_","|",3))+1,LEN(Table362[[#This Row],[Rule Name]]))</f>
        <v>CUS0240_TransportationZoneRef</v>
      </c>
      <c r="R171" s="13" t="s">
        <v>8031</v>
      </c>
      <c r="S171" s="7" t="s">
        <v>21</v>
      </c>
      <c r="T171" s="7" t="s">
        <v>2</v>
      </c>
      <c r="U171" s="7" t="s">
        <v>230</v>
      </c>
      <c r="V171" s="7" t="s">
        <v>2741</v>
      </c>
      <c r="W171" s="7" t="s">
        <v>2961</v>
      </c>
      <c r="X171" s="8" t="s">
        <v>2971</v>
      </c>
      <c r="Y171" s="7" t="s">
        <v>5701</v>
      </c>
      <c r="Z171" s="7" t="s">
        <v>5702</v>
      </c>
      <c r="AA171" s="11" t="str">
        <f>"BEGIN
     RETURN exists('DS_IS_RDS', '"&amp;Table362[[#This Row],[Lookup Table]]&amp;"', '"&amp;Table362[[#This Row],[Lookup Field]]&amp;"', "&amp;Table362[[#This Row],[IS Parameter]]&amp;");
END"</f>
        <v>BEGIN
     RETURN exists('DS_IS_RDS', 'TZONE', 'ZONE1', $P_I_TransportationZone);
END</v>
      </c>
      <c r="AB171" s="11" t="str">
        <f>Table362[[#This Row],[IS Parameter]]&amp;" IS NOT NULL
AND "&amp; Table362[[#This Row],[IS Parameter]]&amp;" != ''"</f>
        <v>$P_I_TransportationZone IS NOT NULL
AND $P_I_TransportationZone != ''</v>
      </c>
      <c r="AC171" s="10" t="s">
        <v>6663</v>
      </c>
      <c r="AD171" s="10"/>
      <c r="AE171" s="13" t="str">
        <f>IF(Table362[[#This Row],[Entity]]="Customer","KUNNR",IF(Table362[[#This Row],[Entity]]="Vendor","LIFNR","MATNR"))&amp;","&amp;Table362[[#This Row],[Field]]</f>
        <v>KUNNR,LZONE</v>
      </c>
      <c r="AF171" s="13" t="str">
        <f>"VW_"&amp;Table362[[#This Row],[New Rule Name]]</f>
        <v>VW_CUS0240_TransportationZoneRef</v>
      </c>
      <c r="AG171" s="11" t="str">
        <f>"create view "&amp;Table362[[#This Row],[View Name]]&amp;" as 
     select 
          "&amp;IF(Table362[[#This Row],[Entity]]="Customer","KUNNR",IF(Table362[[#This Row],[Entity]]="Vendor","LIFNR","MATNR"))&amp;",
          "&amp;Table362[[#This Row],[Field]]&amp;" 
     from "&amp;Table362[[#This Row],[Table]]</f>
        <v>create view VW_CUS0240_TransportationZoneRef as 
     select 
          KUNNR,
          LZONE 
     from KNA1</v>
      </c>
      <c r="AH171" s="8"/>
      <c r="AI171" s="20" t="s">
        <v>7628</v>
      </c>
      <c r="AJ171" s="20"/>
      <c r="AK171" s="31">
        <v>24</v>
      </c>
      <c r="AL171" s="31"/>
    </row>
    <row r="172" spans="1:38" s="3" customFormat="1" ht="60" hidden="1" x14ac:dyDescent="0.25">
      <c r="A172" s="9">
        <v>165</v>
      </c>
      <c r="B172" s="7" t="s">
        <v>3973</v>
      </c>
      <c r="C172" s="7" t="s">
        <v>16</v>
      </c>
      <c r="D172" s="7" t="s">
        <v>6711</v>
      </c>
      <c r="E172" s="7" t="s">
        <v>6714</v>
      </c>
      <c r="F172" s="7" t="s">
        <v>6715</v>
      </c>
      <c r="G172" s="7" t="s">
        <v>6361</v>
      </c>
      <c r="H172" s="7" t="s">
        <v>6363</v>
      </c>
      <c r="I172" s="7"/>
      <c r="J172" s="20" t="str">
        <f>VLOOKUP(V172,Table_to_BRG!A:D,3,FALSE)</f>
        <v>General data</v>
      </c>
      <c r="K172" s="20" t="str">
        <f>VLOOKUP(V172,Table_to_BRG!A:D,2,FALSE)</f>
        <v>General</v>
      </c>
      <c r="L172" s="20"/>
      <c r="M172" s="20"/>
      <c r="N172" s="9"/>
      <c r="O172" s="54"/>
      <c r="P172" s="7" t="s">
        <v>8205</v>
      </c>
      <c r="Q172" s="11" t="str">
        <f>UPPER(LEFT(Table362[[#This Row],[Entity]],3))&amp;RIGHT("00"&amp;Table362[[#This Row],[Rule '# by Entity]],3)&amp;"0_"&amp;MID(SUBSTITUTE(Table362[[#This Row],[Rule Name]],"_","|",3),SEARCH("|",SUBSTITUTE(Table362[[#This Row],[Rule Name]],"_","|",3))+1,LEN(Table362[[#This Row],[Rule Name]]))</f>
        <v>CUS0130_FiscalAddressRef</v>
      </c>
      <c r="R172" s="13" t="s">
        <v>8206</v>
      </c>
      <c r="S172" s="7" t="s">
        <v>21</v>
      </c>
      <c r="T172" s="7" t="s">
        <v>2</v>
      </c>
      <c r="U172" s="7" t="s">
        <v>554</v>
      </c>
      <c r="V172" s="7" t="s">
        <v>2741</v>
      </c>
      <c r="W172" s="7" t="s">
        <v>3060</v>
      </c>
      <c r="X172" s="8" t="s">
        <v>3751</v>
      </c>
      <c r="Y172" s="7" t="s">
        <v>2741</v>
      </c>
      <c r="Z172" s="7" t="s">
        <v>2702</v>
      </c>
      <c r="AA172" s="11" t="str">
        <f>"BEGIN
     RETURN exists('DS_IS_RDS', '"&amp;Table362[[#This Row],[Lookup Table]]&amp;"', '"&amp;Table362[[#This Row],[Lookup Field]]&amp;"', "&amp;Table362[[#This Row],[IS Parameter]]&amp;");
END"</f>
        <v>BEGIN
     RETURN exists('DS_IS_RDS', 'KNA1', 'KUNNR', $P_I_FiscalAddress);
END</v>
      </c>
      <c r="AB172" s="11" t="str">
        <f>Table362[[#This Row],[IS Parameter]]&amp;" IS NOT NULL
AND "&amp; Table362[[#This Row],[IS Parameter]]&amp;" != ''"</f>
        <v>$P_I_FiscalAddress IS NOT NULL
AND $P_I_FiscalAddress != ''</v>
      </c>
      <c r="AC172" s="10" t="s">
        <v>6663</v>
      </c>
      <c r="AD172" s="10"/>
      <c r="AE172" s="13" t="str">
        <f>IF(Table362[[#This Row],[Entity]]="Customer","KUNNR",IF(Table362[[#This Row],[Entity]]="Vendor","LIFNR","MATNR"))&amp;","&amp;Table362[[#This Row],[Field]]</f>
        <v>KUNNR,FISKN</v>
      </c>
      <c r="AF172" s="13" t="str">
        <f>"VW_"&amp;Table362[[#This Row],[New Rule Name]]</f>
        <v>VW_CUS0130_FiscalAddressRef</v>
      </c>
      <c r="AG172" s="11" t="str">
        <f>"create view "&amp;Table362[[#This Row],[View Name]]&amp;" as 
     select 
          "&amp;IF(Table362[[#This Row],[Entity]]="Customer","KUNNR",IF(Table362[[#This Row],[Entity]]="Vendor","LIFNR","MATNR"))&amp;",
          "&amp;Table362[[#This Row],[Field]]&amp;" 
     from "&amp;Table362[[#This Row],[Table]]</f>
        <v>create view VW_CUS0130_FiscalAddressRef as 
     select 
          KUNNR,
          FISKN 
     from KNA1</v>
      </c>
      <c r="AH172" s="8" t="s">
        <v>7742</v>
      </c>
      <c r="AI172" s="20" t="s">
        <v>7668</v>
      </c>
      <c r="AJ172" s="20"/>
      <c r="AK172" s="31">
        <v>13</v>
      </c>
      <c r="AL172" s="31"/>
    </row>
    <row r="173" spans="1:38" s="3" customFormat="1" ht="108" x14ac:dyDescent="0.25">
      <c r="A173" s="9">
        <v>166</v>
      </c>
      <c r="B173" s="7" t="s">
        <v>3973</v>
      </c>
      <c r="C173" s="7" t="s">
        <v>3</v>
      </c>
      <c r="D173" s="7" t="s">
        <v>6711</v>
      </c>
      <c r="E173" s="7" t="s">
        <v>6712</v>
      </c>
      <c r="F173" s="7" t="s">
        <v>6713</v>
      </c>
      <c r="G173" s="7" t="s">
        <v>6361</v>
      </c>
      <c r="H173" s="7"/>
      <c r="I173" s="7"/>
      <c r="J173" s="20" t="str">
        <f>VLOOKUP(V173,Table_to_BRG!A:D,3,FALSE)</f>
        <v>Plant data</v>
      </c>
      <c r="K173" s="20" t="str">
        <f>VLOOKUP(V173,Table_to_BRG!A:D,2,FALSE)</f>
        <v>Plant</v>
      </c>
      <c r="L173" s="20"/>
      <c r="M173" s="20"/>
      <c r="N173" s="9"/>
      <c r="O173" s="54"/>
      <c r="P173" s="7" t="s">
        <v>8374</v>
      </c>
      <c r="Q173" s="11" t="str">
        <f>UPPER(LEFT(Table362[[#This Row],[Entity]],3))&amp;RIGHT("00"&amp;Table362[[#This Row],[Rule '# by Entity]],3)&amp;"0_"&amp;MID(SUBSTITUTE(Table362[[#This Row],[Rule Name]],"_","|",3),SEARCH("|",SUBSTITUTE(Table362[[#This Row],[Rule Name]],"_","|",3))+1,LEN(Table362[[#This Row],[Rule Name]]))</f>
        <v>MAT0370_ABCIndicatorRef</v>
      </c>
      <c r="R173" s="8" t="s">
        <v>8005</v>
      </c>
      <c r="S173" s="7" t="s">
        <v>2</v>
      </c>
      <c r="T173" s="7"/>
      <c r="U173" s="7" t="s">
        <v>6023</v>
      </c>
      <c r="V173" s="7" t="s">
        <v>1527</v>
      </c>
      <c r="W173" s="7" t="s">
        <v>2046</v>
      </c>
      <c r="X173" s="8" t="s">
        <v>3924</v>
      </c>
      <c r="Y173" s="7" t="s">
        <v>6024</v>
      </c>
      <c r="Z173" s="7" t="s">
        <v>2046</v>
      </c>
      <c r="AA173" s="11" t="str">
        <f>"BEGIN
     RETURN exists('DS_IS_RDS', '"&amp;Table362[[#This Row],[Lookup Table]]&amp;"', '"&amp;Table362[[#This Row],[Lookup Field]]&amp;"', "&amp;Table362[[#This Row],[IS Parameter]]&amp;");
END"</f>
        <v>BEGIN
     RETURN exists('DS_IS_RDS', 'TMABC', 'MAABC', $P_I_ABCIndicator);
END</v>
      </c>
      <c r="AB173" s="11" t="str">
        <f>Table362[[#This Row],[IS Parameter]]&amp;" IS NOT NULL AND rtrim("&amp;Table362[[#This Row],[IS Parameter]]&amp;", ' ') != ''"</f>
        <v>$P_I_ABCIndicator IS NOT NULL AND rtrim($P_I_ABCIndicator, ' ') != ''</v>
      </c>
      <c r="AC173" s="10" t="s">
        <v>6663</v>
      </c>
      <c r="AD173" s="10"/>
      <c r="AE173" s="13" t="str">
        <f>IF(Table362[[#This Row],[Entity]]="Customer","KUNNR",IF(Table362[[#This Row],[Entity]]="Vendor","LIFNR","MATNR"))&amp;",WERKS"&amp;","&amp;Table362[[#This Row],[Field]]</f>
        <v>MATNR,WERKS,MAABC</v>
      </c>
      <c r="AF173" s="13" t="str">
        <f>"VW_"&amp;Table362[[#This Row],[New Rule Name]]</f>
        <v>VW_MAT0370_ABCIndicatorRef</v>
      </c>
      <c r="AG173"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VW_MAT0370_ABCIndicatorRef (
     MATNR,
     WERKS,
     MAABC
     ) as select 
          MATNR,
          WERKS,
          MAABC 
     from MARC</v>
      </c>
      <c r="AH173" s="8"/>
      <c r="AI173" s="20"/>
      <c r="AJ173" s="20"/>
      <c r="AK173" s="31">
        <v>37</v>
      </c>
      <c r="AL173" s="31"/>
    </row>
    <row r="174" spans="1:38" s="3" customFormat="1" ht="84" hidden="1" x14ac:dyDescent="0.25">
      <c r="A174" s="9">
        <v>167</v>
      </c>
      <c r="B174" s="7" t="s">
        <v>3973</v>
      </c>
      <c r="C174" s="7" t="s">
        <v>1207</v>
      </c>
      <c r="D174" s="7" t="s">
        <v>6719</v>
      </c>
      <c r="E174" s="7" t="s">
        <v>6720</v>
      </c>
      <c r="F174" s="7" t="s">
        <v>6732</v>
      </c>
      <c r="G174" s="7" t="s">
        <v>6358</v>
      </c>
      <c r="H174" s="7" t="s">
        <v>6386</v>
      </c>
      <c r="I174" s="7"/>
      <c r="J174" s="20" t="str">
        <f>VLOOKUP(V174,Table_to_BRG!A:D,3,FALSE)</f>
        <v>Company Code data</v>
      </c>
      <c r="K174" s="20" t="str">
        <f>VLOOKUP(V174,Table_to_BRG!A:D,2,FALSE)</f>
        <v>Company Code</v>
      </c>
      <c r="L174" s="20"/>
      <c r="M174" s="20"/>
      <c r="N174" s="9"/>
      <c r="O174" s="54"/>
      <c r="P174" s="7" t="s">
        <v>8478</v>
      </c>
      <c r="Q174" s="11" t="str">
        <f>UPPER(LEFT(Table362[[#This Row],[Entity]],3))&amp;RIGHT("00"&amp;Table362[[#This Row],[Rule '# by Entity]],3)&amp;"0_"&amp;MID(SUBSTITUTE(Table362[[#This Row],[Rule Name]],"_","|",3),SEARCH("|",SUBSTITUTE(Table362[[#This Row],[Rule Name]],"_","|",3))+1,LEN(Table362[[#This Row],[Rule Name]]))</f>
        <v>VEN0420_CheckFlagDoubleInvoicePopulated</v>
      </c>
      <c r="R174" s="8" t="s">
        <v>8290</v>
      </c>
      <c r="S174" s="7" t="s">
        <v>21</v>
      </c>
      <c r="T174" s="7"/>
      <c r="U174" s="7" t="s">
        <v>6093</v>
      </c>
      <c r="V174" s="7" t="s">
        <v>3543</v>
      </c>
      <c r="W174" s="7" t="s">
        <v>3604</v>
      </c>
      <c r="X174" s="8" t="s">
        <v>3610</v>
      </c>
      <c r="Y174" s="7" t="s">
        <v>5978</v>
      </c>
      <c r="Z174" s="7" t="s">
        <v>5978</v>
      </c>
      <c r="AA174" s="10" t="s">
        <v>599</v>
      </c>
      <c r="AB174" s="10"/>
      <c r="AC174" s="10" t="s">
        <v>6813</v>
      </c>
      <c r="AD174" s="10"/>
      <c r="AE174" s="13" t="str">
        <f>IF(Table362[[#This Row],[Entity]]="Customer","KUNNR",IF(Table362[[#This Row],[Entity]]="Vendor","LIFNR","MATNR"))&amp;",BUKRS,"&amp;Table362[[#This Row],[Field]]</f>
        <v>LIFNR,BUKRS,REPRF</v>
      </c>
      <c r="AF174" s="13" t="str">
        <f>"VW_"&amp;Table362[[#This Row],[New Rule Name]]</f>
        <v>VW_VEN0420_CheckFlagDoubleInvoicePopulated</v>
      </c>
      <c r="AG174" s="11" t="str">
        <f>"create view "&amp;Table362[[#This Row],[View Name]]&amp;" as 
     select 
          "&amp;IF(Table362[[#This Row],[Entity]]="Customer","KUNNR",IF(Table362[[#This Row],[Entity]]="Vendor","LIFNR","MATNR"))&amp;",
          BUKRS,
          "&amp;Table362[[#This Row],[Field]]&amp;" 
     from "&amp;Table362[[#This Row],[Table]]</f>
        <v>create view VW_VEN0420_CheckFlagDoubleInvoicePopulated as 
     select 
          LIFNR,
          BUKRS,
          REPRF 
     from LFB1</v>
      </c>
      <c r="AH174" s="8"/>
      <c r="AI174" s="20"/>
      <c r="AJ174" s="20"/>
      <c r="AK174" s="31">
        <v>42</v>
      </c>
      <c r="AL174" s="31"/>
    </row>
    <row r="175" spans="1:38" s="3" customFormat="1" ht="84" x14ac:dyDescent="0.25">
      <c r="A175" s="9">
        <v>169</v>
      </c>
      <c r="B175" s="7" t="s">
        <v>3973</v>
      </c>
      <c r="C175" s="7" t="s">
        <v>3</v>
      </c>
      <c r="D175" s="7" t="s">
        <v>6711</v>
      </c>
      <c r="E175" s="7" t="s">
        <v>6712</v>
      </c>
      <c r="F175" s="7" t="s">
        <v>6746</v>
      </c>
      <c r="G175" s="7" t="s">
        <v>6702</v>
      </c>
      <c r="H175" s="7"/>
      <c r="I175" s="7" t="s">
        <v>3971</v>
      </c>
      <c r="J175" s="20" t="str">
        <f>VLOOKUP(V175,Table_to_BRG!A:D,3,FALSE)</f>
        <v>Tax data</v>
      </c>
      <c r="K175" s="20" t="str">
        <f>VLOOKUP(V175,Table_to_BRG!A:D,2,FALSE)</f>
        <v>Tax classification</v>
      </c>
      <c r="L175" s="20"/>
      <c r="M175" s="20"/>
      <c r="N175" s="9"/>
      <c r="O175" s="54"/>
      <c r="P175" s="7" t="s">
        <v>8554</v>
      </c>
      <c r="Q175" s="11" t="str">
        <f>UPPER(LEFT(Table362[[#This Row],[Entity]],3))&amp;RIGHT("00"&amp;Table362[[#This Row],[Rule '# by Entity]],3)&amp;"0_"&amp;MID(SUBSTITUTE(Table362[[#This Row],[Rule Name]],"_","|",3),SEARCH("|",SUBSTITUTE(Table362[[#This Row],[Rule Name]],"_","|",3))+1,LEN(Table362[[#This Row],[Rule Name]]))</f>
        <v>MAT1090_TaxIndicatorForMaterialRef</v>
      </c>
      <c r="R175" s="8" t="s">
        <v>7939</v>
      </c>
      <c r="S175" s="7" t="s">
        <v>2</v>
      </c>
      <c r="T175" s="7"/>
      <c r="U175" s="7" t="s">
        <v>6025</v>
      </c>
      <c r="V175" s="7" t="s">
        <v>6700</v>
      </c>
      <c r="W175" s="7" t="s">
        <v>6027</v>
      </c>
      <c r="X175" s="8" t="s">
        <v>6701</v>
      </c>
      <c r="Y175" s="7" t="s">
        <v>6026</v>
      </c>
      <c r="Z175" s="7" t="s">
        <v>6027</v>
      </c>
      <c r="AA175" s="11" t="str">
        <f>"BEGIN
     RETURN exists('DS_IS_RDS', '"&amp;Table362[[#This Row],[Lookup Table]]&amp;"', '"&amp;Table362[[#This Row],[Lookup Field]]&amp;"', "&amp;Table362[[#This Row],[IS Parameter]]&amp;");
END"</f>
        <v>BEGIN
     RETURN exists('DS_IS_RDS', 'TMKM1', 'TAXIM', $P_I_TaxIndicator);
END</v>
      </c>
      <c r="AB175" s="11" t="str">
        <f>Table362[[#This Row],[IS Parameter]]&amp;" IS NOT NULL AND rtrim("&amp;Table362[[#This Row],[IS Parameter]]&amp;", ' ') != ''"</f>
        <v>$P_I_TaxIndicator IS NOT NULL AND rtrim($P_I_TaxIndicator, ' ') != ''</v>
      </c>
      <c r="AC175" s="10" t="s">
        <v>6663</v>
      </c>
      <c r="AD175" s="10"/>
      <c r="AE175" s="13" t="str">
        <f>IF(Table362[[#This Row],[Entity]]="Customer","KUNNR",IF(Table362[[#This Row],[Entity]]="Vendor","LIFNR","MATNR"))&amp;",ALAND,"&amp;Table362[[#This Row],[Field]]</f>
        <v>MATNR,ALAND,TAXIM</v>
      </c>
      <c r="AF175" s="13" t="str">
        <f>"VW_"&amp;Table362[[#This Row],[New Rule Name]]</f>
        <v>VW_MAT1090_TaxIndicatorForMaterialRef</v>
      </c>
      <c r="AG175" s="11" t="str">
        <f>"create view "&amp;Table362[[#This Row],[View Name]]&amp;" as 
     select 
          "&amp;IF(Table362[[#This Row],[Entity]]="Customer","KUNNR",IF(Table362[[#This Row],[Entity]]="Vendor","LIFNR","MATNR"))&amp;",
          ALAND,
          "&amp;Table362[[#This Row],[Field]]&amp;" 
     from "&amp;Table362[[#This Row],[Table]]</f>
        <v>create view VW_MAT1090_TaxIndicatorForMaterialRef as 
     select 
          MATNR,
          ALAND,
          TAXIM 
     from MLAN</v>
      </c>
      <c r="AH175" s="8"/>
      <c r="AI175" s="20" t="s">
        <v>7657</v>
      </c>
      <c r="AJ175" s="20"/>
      <c r="AK175" s="31">
        <v>109</v>
      </c>
      <c r="AL175" s="31"/>
    </row>
    <row r="176" spans="1:38" s="3" customFormat="1" ht="120" hidden="1" x14ac:dyDescent="0.25">
      <c r="A176" s="9">
        <v>170</v>
      </c>
      <c r="B176" s="7" t="s">
        <v>3973</v>
      </c>
      <c r="C176" s="7" t="s">
        <v>16</v>
      </c>
      <c r="D176" s="7" t="s">
        <v>6711</v>
      </c>
      <c r="E176" s="7" t="s">
        <v>6714</v>
      </c>
      <c r="F176" s="7" t="s">
        <v>6715</v>
      </c>
      <c r="G176" s="7" t="s">
        <v>6361</v>
      </c>
      <c r="H176" s="7" t="s">
        <v>3967</v>
      </c>
      <c r="I176" s="7" t="s">
        <v>3967</v>
      </c>
      <c r="J176" s="20" t="str">
        <f>VLOOKUP(V176,Table_to_BRG!A:D,3,FALSE)</f>
        <v>General data</v>
      </c>
      <c r="K176" s="20" t="str">
        <f>VLOOKUP(V176,Table_to_BRG!A:D,2,FALSE)</f>
        <v>General</v>
      </c>
      <c r="L176" s="20"/>
      <c r="M176" s="20"/>
      <c r="N176" s="9"/>
      <c r="O176" s="54"/>
      <c r="P176" s="7" t="s">
        <v>8088</v>
      </c>
      <c r="Q176" s="11" t="str">
        <f>UPPER(LEFT(Table362[[#This Row],[Entity]],3))&amp;RIGHT("00"&amp;Table362[[#This Row],[Rule '# by Entity]],3)&amp;"0_"&amp;MID(SUBSTITUTE(Table362[[#This Row],[Rule Name]],"_","|",3),SEARCH("|",SUBSTITUTE(Table362[[#This Row],[Rule Name]],"_","|",3))+1,LEN(Table362[[#This Row],[Rule Name]]))</f>
        <v>CUS0060_PostalCodePopulated</v>
      </c>
      <c r="R176" s="8" t="s">
        <v>8227</v>
      </c>
      <c r="S176" s="7" t="s">
        <v>21</v>
      </c>
      <c r="T176" s="7"/>
      <c r="U176" s="8" t="s">
        <v>6095</v>
      </c>
      <c r="V176" s="7" t="s">
        <v>2741</v>
      </c>
      <c r="W176" s="8" t="s">
        <v>8223</v>
      </c>
      <c r="X176" s="8" t="s">
        <v>6608</v>
      </c>
      <c r="Y176" s="7" t="s">
        <v>5978</v>
      </c>
      <c r="Z176" s="7" t="s">
        <v>5978</v>
      </c>
      <c r="AA176" s="11" t="s">
        <v>6612</v>
      </c>
      <c r="AB176" s="11"/>
      <c r="AC176" s="10" t="s">
        <v>6813</v>
      </c>
      <c r="AD176" s="10"/>
      <c r="AE176" s="13" t="str">
        <f>IF(Table362[[#This Row],[Entity]]="Customer","KUNNR",IF(Table362[[#This Row],[Entity]]="Vendor","LIFNR","MATNR"))&amp;","&amp;Table362[[#This Row],[Field]]</f>
        <v>KUNNR,LAND1,PSTLZ</v>
      </c>
      <c r="AF176" s="13" t="str">
        <f>"VW_"&amp;Table362[[#This Row],[New Rule Name]]</f>
        <v>VW_CUS0060_PostalCodePopulated</v>
      </c>
      <c r="AG176" s="11" t="str">
        <f>"create view "&amp;Table362[[#This Row],[View Name]]&amp;" as 
     select 
          "&amp;Table362[[#This Row],[Table]]&amp;",
          "&amp;Table362[[#This Row],[Field]]&amp;" 
     from "&amp;Table362[[#This Row],[Table]]</f>
        <v>create view VW_CUS0060_PostalCodePopulated as 
     select 
          KNA1,
          LAND1,PSTLZ 
     from KNA1</v>
      </c>
      <c r="AH176" s="13" t="str">
        <f>"Replaces rules "&amp;A942&amp;"-"&amp;A955</f>
        <v>Replaces rules 6032-6045</v>
      </c>
      <c r="AI176" s="20" t="s">
        <v>7674</v>
      </c>
      <c r="AJ176" s="20"/>
      <c r="AK176" s="31">
        <v>6</v>
      </c>
      <c r="AL176" s="31"/>
    </row>
    <row r="177" spans="1:38" s="3" customFormat="1" ht="72" hidden="1" x14ac:dyDescent="0.25">
      <c r="A177" s="9">
        <v>171</v>
      </c>
      <c r="B177" s="7" t="s">
        <v>3973</v>
      </c>
      <c r="C177" s="7" t="s">
        <v>16</v>
      </c>
      <c r="D177" s="7" t="s">
        <v>6719</v>
      </c>
      <c r="E177" s="7" t="s">
        <v>6720</v>
      </c>
      <c r="F177" s="7" t="s">
        <v>6721</v>
      </c>
      <c r="G177" s="7" t="s">
        <v>6358</v>
      </c>
      <c r="H177" s="7" t="s">
        <v>6383</v>
      </c>
      <c r="I177" s="7"/>
      <c r="J177" s="20" t="str">
        <f>VLOOKUP(V177,Table_to_BRG!A:D,3,FALSE)</f>
        <v>Company Code data</v>
      </c>
      <c r="K177" s="20" t="str">
        <f>VLOOKUP(V177,Table_to_BRG!A:D,2,FALSE)</f>
        <v>Company Code</v>
      </c>
      <c r="L177" s="20"/>
      <c r="M177" s="20"/>
      <c r="N177" s="9"/>
      <c r="O177" s="54"/>
      <c r="P177" s="7" t="s">
        <v>8089</v>
      </c>
      <c r="Q177" s="11" t="str">
        <f>UPPER(LEFT(Table362[[#This Row],[Entity]],3))&amp;RIGHT("00"&amp;Table362[[#This Row],[Rule '# by Entity]],3)&amp;"0_"&amp;MID(SUBSTITUTE(Table362[[#This Row],[Rule Name]],"_","|",3),SEARCH("|",SUBSTITUTE(Table362[[#This Row],[Rule Name]],"_","|",3))+1,LEN(Table362[[#This Row],[Rule Name]]))</f>
        <v>CUS0500_PlanningGroupPopulated</v>
      </c>
      <c r="R177" s="8" t="s">
        <v>8118</v>
      </c>
      <c r="S177" s="7" t="s">
        <v>21</v>
      </c>
      <c r="T177" s="7"/>
      <c r="U177" s="7" t="s">
        <v>609</v>
      </c>
      <c r="V177" s="7" t="s">
        <v>2740</v>
      </c>
      <c r="W177" s="7" t="s">
        <v>2713</v>
      </c>
      <c r="X177" s="8" t="s">
        <v>2730</v>
      </c>
      <c r="Y177" s="7" t="s">
        <v>5978</v>
      </c>
      <c r="Z177" s="7" t="s">
        <v>5978</v>
      </c>
      <c r="AA177" s="10" t="s">
        <v>610</v>
      </c>
      <c r="AB177" s="10"/>
      <c r="AC177" s="10" t="s">
        <v>6813</v>
      </c>
      <c r="AD177" s="10"/>
      <c r="AE177" s="13" t="str">
        <f>IF(Table362[[#This Row],[Entity]]="Customer","KUNNR",IF(Table362[[#This Row],[Entity]]="Vendor","LIFNR","MATNR"))&amp;",BUKRS"&amp;","&amp;Table362[[#This Row],[Field]]</f>
        <v>KUNNR,BUKRS,FDGRV</v>
      </c>
      <c r="AF177" s="13" t="str">
        <f>"VW_"&amp;Table362[[#This Row],[New Rule Name]]</f>
        <v>VW_CUS0500_PlanningGroupPopulated</v>
      </c>
      <c r="AG177" s="11" t="str">
        <f>"create view "&amp;Table362[[#This Row],[View Name]]&amp;" as 
     select 
          "&amp;IF(Table362[[#This Row],[Entity]]="Customer","KUNNR",IF(Table362[[#This Row],[Entity]]="Vendor","LIFNR","MATNR"))&amp;",
          BUKRS,
          "&amp;Table362[[#This Row],[Field]]&amp;" 
     from "&amp;Table362[[#This Row],[Table]]</f>
        <v>create view VW_CUS0500_PlanningGroupPopulated as 
     select 
          KUNNR,
          BUKRS,
          FDGRV 
     from KNB1</v>
      </c>
      <c r="AH177" s="8"/>
      <c r="AI177" s="20"/>
      <c r="AJ177" s="20"/>
      <c r="AK177" s="31">
        <v>50</v>
      </c>
      <c r="AL177" s="31"/>
    </row>
    <row r="178" spans="1:38" s="3" customFormat="1" ht="60" x14ac:dyDescent="0.25">
      <c r="A178" s="9">
        <v>172</v>
      </c>
      <c r="B178" s="7" t="s">
        <v>3973</v>
      </c>
      <c r="C178" s="7" t="s">
        <v>3</v>
      </c>
      <c r="D178" s="7" t="s">
        <v>6711</v>
      </c>
      <c r="E178" s="7" t="s">
        <v>6712</v>
      </c>
      <c r="F178" s="7" t="s">
        <v>6725</v>
      </c>
      <c r="G178" s="7" t="s">
        <v>6385</v>
      </c>
      <c r="H178" s="7"/>
      <c r="I178" s="7"/>
      <c r="J178" s="20" t="str">
        <f>VLOOKUP(V178,Table_to_BRG!A:D,3,FALSE)</f>
        <v>General data</v>
      </c>
      <c r="K178" s="20" t="str">
        <f>VLOOKUP(V178,Table_to_BRG!A:D,2,FALSE)</f>
        <v>General</v>
      </c>
      <c r="L178" s="20"/>
      <c r="M178" s="20"/>
      <c r="N178" s="9"/>
      <c r="O178" s="54"/>
      <c r="P178" s="7" t="s">
        <v>8375</v>
      </c>
      <c r="Q178" s="11" t="str">
        <f>UPPER(LEFT(Table362[[#This Row],[Entity]],3))&amp;RIGHT("00"&amp;Table362[[#This Row],[Rule '# by Entity]],3)&amp;"0_"&amp;MID(SUBSTITUTE(Table362[[#This Row],[Rule Name]],"_","|",3),SEARCH("|",SUBSTITUTE(Table362[[#This Row],[Rule Name]],"_","|",3))+1,LEN(Table362[[#This Row],[Rule Name]]))</f>
        <v>MAT0250_ProductAllocationRef</v>
      </c>
      <c r="R178" s="8" t="s">
        <v>7940</v>
      </c>
      <c r="S178" s="7" t="s">
        <v>2</v>
      </c>
      <c r="T178" s="7"/>
      <c r="U178" s="7" t="s">
        <v>613</v>
      </c>
      <c r="V178" s="7" t="s">
        <v>1526</v>
      </c>
      <c r="W178" s="7" t="s">
        <v>1617</v>
      </c>
      <c r="X178" s="8" t="s">
        <v>1640</v>
      </c>
      <c r="Y178" s="7" t="s">
        <v>6028</v>
      </c>
      <c r="Z178" s="7" t="s">
        <v>1617</v>
      </c>
      <c r="AA178" s="11" t="str">
        <f>"BEGIN
     RETURN exists('DS_IS_RDS', '"&amp;Table362[[#This Row],[Lookup Table]]&amp;"', '"&amp;Table362[[#This Row],[Lookup Field]]&amp;"', "&amp;Table362[[#This Row],[IS Parameter]]&amp;");
END"</f>
        <v>BEGIN
     RETURN exists('DS_IS_RDS', 'T190S', 'KOSCH', $P_I_ProductAllocation);
END</v>
      </c>
      <c r="AB178" s="11" t="str">
        <f>Table362[[#This Row],[IS Parameter]]&amp;" IS NOT NULL AND rtrim("&amp;Table362[[#This Row],[IS Parameter]]&amp;", ' ') != ''"</f>
        <v>$P_I_ProductAllocation IS NOT NULL AND rtrim($P_I_ProductAllocation, ' ') != ''</v>
      </c>
      <c r="AC178" s="10" t="s">
        <v>6663</v>
      </c>
      <c r="AD178" s="10"/>
      <c r="AE178" s="13" t="str">
        <f>IF(Table362[[#This Row],[Entity]]="Customer","KUNNR",IF(Table362[[#This Row],[Entity]]="Vendor","LIFNR","MATNR"))&amp;","&amp;Table362[[#This Row],[Field]]</f>
        <v>MATNR,KOSCH</v>
      </c>
      <c r="AF178" s="13" t="str">
        <f>"VW_"&amp;Table362[[#This Row],[New Rule Name]]</f>
        <v>VW_MAT0250_ProductAllocationRef</v>
      </c>
      <c r="AG178" s="11" t="str">
        <f>"create view "&amp;Table362[[#This Row],[View Name]]&amp;" as 
     select 
          "&amp;IF(Table362[[#This Row],[Entity]]="Customer","KUNNR",IF(Table362[[#This Row],[Entity]]="Vendor","LIFNR","MATNR"))&amp;",
          "&amp;Table362[[#This Row],[Field]]&amp;" 
     from "&amp;Table362[[#This Row],[Table]]</f>
        <v>create view VW_MAT0250_ProductAllocationRef as 
     select 
          MATNR,
          KOSCH 
     from MARA</v>
      </c>
      <c r="AH178" s="8"/>
      <c r="AI178" s="20" t="s">
        <v>7715</v>
      </c>
      <c r="AJ178" s="20"/>
      <c r="AK178" s="31">
        <v>25</v>
      </c>
      <c r="AL178" s="31"/>
    </row>
    <row r="179" spans="1:38" s="3" customFormat="1" ht="96" hidden="1" x14ac:dyDescent="0.25">
      <c r="A179" s="9">
        <v>173</v>
      </c>
      <c r="B179" s="7" t="s">
        <v>3973</v>
      </c>
      <c r="C179" s="7" t="s">
        <v>16</v>
      </c>
      <c r="D179" s="7" t="s">
        <v>6711</v>
      </c>
      <c r="E179" s="7" t="s">
        <v>6714</v>
      </c>
      <c r="F179" s="7" t="s">
        <v>6724</v>
      </c>
      <c r="G179" s="7" t="s">
        <v>6365</v>
      </c>
      <c r="H179" s="7" t="s">
        <v>2759</v>
      </c>
      <c r="I179" s="7"/>
      <c r="J179" s="20" t="str">
        <f>VLOOKUP(V179,Table_to_BRG!A:D,3,FALSE)</f>
        <v>Customer sales data</v>
      </c>
      <c r="K179" s="20" t="str">
        <f>VLOOKUP(V179,Table_to_BRG!A:D,2,FALSE)</f>
        <v>Sales</v>
      </c>
      <c r="L179" s="20"/>
      <c r="M179" s="20"/>
      <c r="N179" s="9"/>
      <c r="O179" s="54"/>
      <c r="P179" s="7" t="s">
        <v>8090</v>
      </c>
      <c r="Q179" s="11" t="str">
        <f>UPPER(LEFT(Table362[[#This Row],[Entity]],3))&amp;RIGHT("00"&amp;Table362[[#This Row],[Rule '# by Entity]],3)&amp;"0_"&amp;MID(SUBSTITUTE(Table362[[#This Row],[Rule Name]],"_","|",3),SEARCH("|",SUBSTITUTE(Table362[[#This Row],[Rule Name]],"_","|",3))+1,LEN(Table362[[#This Row],[Rule Name]]))</f>
        <v>CUS0890_DistributionChannelPopulated</v>
      </c>
      <c r="R179" s="8" t="s">
        <v>7989</v>
      </c>
      <c r="S179" s="7" t="s">
        <v>21</v>
      </c>
      <c r="T179" s="7"/>
      <c r="U179" s="7" t="s">
        <v>617</v>
      </c>
      <c r="V179" s="8" t="s">
        <v>3334</v>
      </c>
      <c r="W179" s="7" t="s">
        <v>2435</v>
      </c>
      <c r="X179" s="8" t="s">
        <v>2449</v>
      </c>
      <c r="Y179" s="7" t="s">
        <v>5978</v>
      </c>
      <c r="Z179" s="7" t="s">
        <v>5978</v>
      </c>
      <c r="AA179" s="10" t="s">
        <v>618</v>
      </c>
      <c r="AB179" s="10"/>
      <c r="AC179" s="10" t="s">
        <v>6813</v>
      </c>
      <c r="AD179" s="10"/>
      <c r="AE179" s="13" t="s">
        <v>6933</v>
      </c>
      <c r="AF179" s="13" t="str">
        <f>"VW_"&amp;Table362[[#This Row],[New Rule Name]]</f>
        <v>VW_CUS0890_DistributionChannelPopulated</v>
      </c>
      <c r="AG179" s="11" t="str">
        <f>"create view "&amp;Table362[[#This Row],[View Name]]&amp;" as 
     select 
          "&amp;IF(Table362[[#This Row],[Entity]]="Customer","KUNNR",IF(Table362[[#This Row],[Entity]]="Vendor","LIFNR","MATNR"))&amp;",
          VKORG,
          "&amp;Table362[[#This Row],[Field]]&amp;" 
     from "&amp;Table362[[#This Row],[Table]]&amp;"
     group by "&amp;IF(Table362[[#This Row],[Entity]]="Customer","KUNNR",IF(Table362[[#This Row],[Entity]]="Vendor","LIFNR","MATNR"))&amp;",VKORG,"&amp;Table362[[#This Row],[Field]]</f>
        <v>create view VW_CUS0890_DistributionChannelPopulated as 
     select 
          KUNNR,
          VKORG,
          VTWEG 
     from KNVV
     group by KUNNR,VKORG,VTWEG</v>
      </c>
      <c r="AH179" s="8" t="s">
        <v>6690</v>
      </c>
      <c r="AI179" s="20" t="s">
        <v>6517</v>
      </c>
      <c r="AJ179" s="20"/>
      <c r="AK179" s="31">
        <v>89</v>
      </c>
      <c r="AL179" s="31"/>
    </row>
    <row r="180" spans="1:38" s="3" customFormat="1" ht="108" hidden="1" x14ac:dyDescent="0.25">
      <c r="A180" s="9">
        <v>174</v>
      </c>
      <c r="B180" s="7" t="s">
        <v>3973</v>
      </c>
      <c r="C180" s="7" t="s">
        <v>16</v>
      </c>
      <c r="D180" s="7" t="s">
        <v>6716</v>
      </c>
      <c r="E180" s="7" t="s">
        <v>6717</v>
      </c>
      <c r="F180" s="7" t="s">
        <v>6718</v>
      </c>
      <c r="G180" s="7" t="s">
        <v>6365</v>
      </c>
      <c r="H180" s="7" t="s">
        <v>6366</v>
      </c>
      <c r="I180" s="7" t="s">
        <v>6436</v>
      </c>
      <c r="J180" s="20" t="str">
        <f>VLOOKUP(V180,Table_to_BRG!A:D,3,FALSE)</f>
        <v>Licenses</v>
      </c>
      <c r="K180" s="20" t="str">
        <f>VLOOKUP(V180,Table_to_BRG!A:D,2,FALSE)</f>
        <v>Licenses</v>
      </c>
      <c r="L180" s="20"/>
      <c r="M180" s="20"/>
      <c r="N180" s="9"/>
      <c r="O180" s="54"/>
      <c r="P180" s="7" t="s">
        <v>8145</v>
      </c>
      <c r="Q180" s="11" t="str">
        <f>UPPER(LEFT(Table362[[#This Row],[Entity]],3))&amp;RIGHT("00"&amp;Table362[[#This Row],[Rule '# by Entity]],3)&amp;"0_"&amp;MID(SUBSTITUTE(Table362[[#This Row],[Rule Name]],"_","|",3),SEARCH("|",SUBSTITUTE(Table362[[#This Row],[Rule Name]],"_","|",3))+1,LEN(Table362[[#This Row],[Rule Name]]))</f>
        <v>CUS0830_LicenseValidFromDatePopulated</v>
      </c>
      <c r="R180" s="8" t="s">
        <v>8073</v>
      </c>
      <c r="S180" s="7" t="s">
        <v>4135</v>
      </c>
      <c r="T180" s="7" t="s">
        <v>2</v>
      </c>
      <c r="U180" s="7" t="s">
        <v>621</v>
      </c>
      <c r="V180" s="7" t="s">
        <v>3327</v>
      </c>
      <c r="W180" s="7" t="s">
        <v>3308</v>
      </c>
      <c r="X180" s="8" t="s">
        <v>3324</v>
      </c>
      <c r="Y180" s="7" t="s">
        <v>5978</v>
      </c>
      <c r="Z180" s="7" t="s">
        <v>5978</v>
      </c>
      <c r="AA180" s="10" t="s">
        <v>8608</v>
      </c>
      <c r="AB180" s="11" t="str">
        <f>Table362[[#This Row],[IS Parameter]]&amp;" IS NOT NULL"</f>
        <v>$P_I_LicenseValidFromDate IS NOT NULL</v>
      </c>
      <c r="AC180" s="41" t="s">
        <v>6918</v>
      </c>
      <c r="AD180" s="10"/>
      <c r="AE180" s="13" t="str">
        <f>IF(Table362[[#This Row],[Entity]]="Customer","KUNNR",IF(Table362[[#This Row],[Entity]]="Vendor","LIFNR","MATNR"))&amp;",ALAND,TATYP,LICNR"&amp;","&amp;Table362[[#This Row],[Field]]</f>
        <v>KUNNR,ALAND,TATYP,LICNR,DATAB</v>
      </c>
      <c r="AF180" s="13" t="str">
        <f>"VW_"&amp;Table362[[#This Row],[New Rule Name]]</f>
        <v>VW_CUS0830_LicenseValidFromDatePopulated</v>
      </c>
      <c r="AG180" s="11" t="str">
        <f>"create view "&amp;Table362[[#This Row],[View Name]]&amp;" as 
     select
          "&amp;IF(Table362[[#This Row],[Entity]]="Customer","KUNNR",IF(Table362[[#This Row],[Entity]]="Vendor","LIFNR","MATNR"))&amp;",
          ALAND,
          TATYP,
          LICNR,
          "&amp;Table362[[#This Row],[Field]]&amp;" 
     from "&amp;Table362[[#This Row],[Table]]</f>
        <v>create view VW_CUS0830_LicenseValidFromDatePopulated as 
     select
          KUNNR,
          ALAND,
          TATYP,
          LICNR,
          DATAB 
     from KNVL</v>
      </c>
      <c r="AH180" s="8"/>
      <c r="AI180" s="20" t="s">
        <v>6531</v>
      </c>
      <c r="AJ180" s="20"/>
      <c r="AK180" s="31">
        <v>83</v>
      </c>
      <c r="AL180" s="31"/>
    </row>
    <row r="181" spans="1:38" s="3" customFormat="1" ht="60" hidden="1" x14ac:dyDescent="0.25">
      <c r="A181" s="9">
        <v>175</v>
      </c>
      <c r="B181" s="7" t="s">
        <v>3973</v>
      </c>
      <c r="C181" s="7" t="s">
        <v>16</v>
      </c>
      <c r="D181" s="7" t="s">
        <v>6711</v>
      </c>
      <c r="E181" s="7" t="s">
        <v>6714</v>
      </c>
      <c r="F181" s="7" t="s">
        <v>6715</v>
      </c>
      <c r="G181" s="7" t="s">
        <v>6361</v>
      </c>
      <c r="H181" s="7" t="s">
        <v>3967</v>
      </c>
      <c r="I181" s="7"/>
      <c r="J181" s="20" t="str">
        <f>VLOOKUP(V181,Table_to_BRG!A:D,3,FALSE)</f>
        <v>General data</v>
      </c>
      <c r="K181" s="20" t="str">
        <f>VLOOKUP(V181,Table_to_BRG!A:D,2,FALSE)</f>
        <v>General</v>
      </c>
      <c r="L181" s="20"/>
      <c r="M181" s="20"/>
      <c r="N181" s="9"/>
      <c r="O181" s="54"/>
      <c r="P181" s="7" t="s">
        <v>8204</v>
      </c>
      <c r="Q181" s="11" t="str">
        <f>UPPER(LEFT(Table362[[#This Row],[Entity]],3))&amp;RIGHT("00"&amp;Table362[[#This Row],[Rule '# by Entity]],3)&amp;"0_"&amp;MID(SUBSTITUTE(Table362[[#This Row],[Rule Name]],"_","|",3),SEARCH("|",SUBSTITUTE(Table362[[#This Row],[Rule Name]],"_","|",3))+1,LEN(Table362[[#This Row],[Rule Name]]))</f>
        <v>CUS0170_AccountGroupRef</v>
      </c>
      <c r="R181" s="13" t="s">
        <v>8032</v>
      </c>
      <c r="S181" s="7" t="s">
        <v>2</v>
      </c>
      <c r="T181" s="7"/>
      <c r="U181" s="7" t="s">
        <v>558</v>
      </c>
      <c r="V181" s="7" t="s">
        <v>2741</v>
      </c>
      <c r="W181" s="7" t="s">
        <v>2703</v>
      </c>
      <c r="X181" s="8" t="s">
        <v>2723</v>
      </c>
      <c r="Y181" s="7" t="s">
        <v>6029</v>
      </c>
      <c r="Z181" s="7" t="s">
        <v>2703</v>
      </c>
      <c r="AA181" s="11" t="str">
        <f>"BEGIN
     RETURN exists('DS_IS_RDS', '"&amp;Table362[[#This Row],[Lookup Table]]&amp;"', '"&amp;Table362[[#This Row],[Lookup Field]]&amp;"', "&amp;Table362[[#This Row],[IS Parameter]]&amp;");
END"</f>
        <v>BEGIN
     RETURN exists('DS_IS_RDS', 'T077D', 'KTOKD', $P_I_AccountGroup);
END</v>
      </c>
      <c r="AB181" s="11" t="str">
        <f>Table362[[#This Row],[IS Parameter]]&amp;" IS NOT NULL
AND "&amp; Table362[[#This Row],[IS Parameter]]&amp;" != ''"</f>
        <v>$P_I_AccountGroup IS NOT NULL
AND $P_I_AccountGroup != ''</v>
      </c>
      <c r="AC181" s="10" t="s">
        <v>6663</v>
      </c>
      <c r="AD181" s="10"/>
      <c r="AE181" s="13" t="str">
        <f>IF(Table362[[#This Row],[Entity]]="Customer","KUNNR",IF(Table362[[#This Row],[Entity]]="Vendor","LIFNR","MATNR"))&amp;","&amp;Table362[[#This Row],[Field]]</f>
        <v>KUNNR,KTOKD</v>
      </c>
      <c r="AF181" s="13" t="str">
        <f>"VW_"&amp;Table362[[#This Row],[New Rule Name]]</f>
        <v>VW_CUS0170_AccountGroupRef</v>
      </c>
      <c r="AG181" s="11" t="str">
        <f>"create view "&amp;Table362[[#This Row],[View Name]]&amp;" as 
     select 
          "&amp;IF(Table362[[#This Row],[Entity]]="Customer","KUNNR",IF(Table362[[#This Row],[Entity]]="Vendor","LIFNR","MATNR"))&amp;",
          "&amp;Table362[[#This Row],[Field]]&amp;" 
     from "&amp;Table362[[#This Row],[Table]]</f>
        <v>create view VW_CUS0170_AccountGroupRef as 
     select 
          KUNNR,
          KTOKD 
     from KNA1</v>
      </c>
      <c r="AH181" s="8"/>
      <c r="AI181" s="20"/>
      <c r="AJ181" s="20"/>
      <c r="AK181" s="31">
        <v>17</v>
      </c>
      <c r="AL181" s="31"/>
    </row>
    <row r="182" spans="1:38" s="3" customFormat="1" ht="72" hidden="1" x14ac:dyDescent="0.25">
      <c r="A182" s="9">
        <v>176</v>
      </c>
      <c r="B182" s="7" t="s">
        <v>3973</v>
      </c>
      <c r="C182" s="7" t="s">
        <v>16</v>
      </c>
      <c r="D182" s="7" t="s">
        <v>6711</v>
      </c>
      <c r="E182" s="7" t="s">
        <v>6714</v>
      </c>
      <c r="F182" s="7" t="s">
        <v>6715</v>
      </c>
      <c r="G182" s="7" t="s">
        <v>6361</v>
      </c>
      <c r="H182" s="7" t="s">
        <v>6363</v>
      </c>
      <c r="I182" s="7"/>
      <c r="J182" s="20" t="str">
        <f>VLOOKUP(V182,Table_to_BRG!A:D,3,FALSE)</f>
        <v>General data</v>
      </c>
      <c r="K182" s="20" t="str">
        <f>VLOOKUP(V182,Table_to_BRG!A:D,2,FALSE)</f>
        <v>General</v>
      </c>
      <c r="L182" s="20"/>
      <c r="M182" s="20"/>
      <c r="N182" s="9"/>
      <c r="O182" s="54"/>
      <c r="P182" s="7" t="s">
        <v>8091</v>
      </c>
      <c r="Q182" s="11" t="str">
        <f>UPPER(LEFT(Table362[[#This Row],[Entity]],3))&amp;RIGHT("00"&amp;Table362[[#This Row],[Rule '# by Entity]],3)&amp;"0_"&amp;MID(SUBSTITUTE(Table362[[#This Row],[Rule Name]],"_","|",3),SEARCH("|",SUBSTITUTE(Table362[[#This Row],[Rule Name]],"_","|",3))+1,LEN(Table362[[#This Row],[Rule Name]]))</f>
        <v>CUS0230_TransportationZonePopulated</v>
      </c>
      <c r="R182" s="8" t="s">
        <v>8119</v>
      </c>
      <c r="S182" s="7" t="s">
        <v>21</v>
      </c>
      <c r="T182" s="7"/>
      <c r="U182" s="7" t="s">
        <v>230</v>
      </c>
      <c r="V182" s="7" t="s">
        <v>2741</v>
      </c>
      <c r="W182" s="7" t="s">
        <v>2961</v>
      </c>
      <c r="X182" s="8" t="s">
        <v>2971</v>
      </c>
      <c r="Y182" s="7" t="s">
        <v>5978</v>
      </c>
      <c r="Z182" s="7" t="s">
        <v>5978</v>
      </c>
      <c r="AA182" s="10" t="s">
        <v>628</v>
      </c>
      <c r="AB182" s="10"/>
      <c r="AC182" s="10" t="s">
        <v>6813</v>
      </c>
      <c r="AD182" s="10"/>
      <c r="AE182" s="13" t="str">
        <f>IF(Table362[[#This Row],[Entity]]="Customer","KUNNR",IF(Table362[[#This Row],[Entity]]="Vendor","LIFNR","MATNR"))&amp;","&amp;Table362[[#This Row],[Field]]</f>
        <v>KUNNR,LZONE</v>
      </c>
      <c r="AF182" s="13" t="str">
        <f>"VW_"&amp;Table362[[#This Row],[New Rule Name]]</f>
        <v>VW_CUS0230_TransportationZonePopulated</v>
      </c>
      <c r="AG182" s="11" t="str">
        <f>"create view "&amp;Table362[[#This Row],[View Name]]&amp;" as 
     select 
          "&amp;Table362[[#This Row],[Table]]&amp;",
          "&amp;Table362[[#This Row],[Field]]&amp;" 
     from "&amp;Table362[[#This Row],[Table]]</f>
        <v>create view VW_CUS0230_TransportationZonePopulated as 
     select 
          KNA1,
          LZONE 
     from KNA1</v>
      </c>
      <c r="AH182" s="8"/>
      <c r="AI182" s="20" t="s">
        <v>7708</v>
      </c>
      <c r="AJ182" s="20"/>
      <c r="AK182" s="31">
        <v>23</v>
      </c>
      <c r="AL182" s="31"/>
    </row>
    <row r="183" spans="1:38" s="3" customFormat="1" ht="108" hidden="1" x14ac:dyDescent="0.25">
      <c r="A183" s="9">
        <v>177</v>
      </c>
      <c r="B183" s="7" t="s">
        <v>3973</v>
      </c>
      <c r="C183" s="7" t="s">
        <v>16</v>
      </c>
      <c r="D183" s="7" t="s">
        <v>6711</v>
      </c>
      <c r="E183" s="7" t="s">
        <v>6714</v>
      </c>
      <c r="F183" s="7" t="s">
        <v>6724</v>
      </c>
      <c r="G183" s="7" t="s">
        <v>6365</v>
      </c>
      <c r="H183" s="7" t="s">
        <v>6366</v>
      </c>
      <c r="I183" s="7"/>
      <c r="J183" s="20" t="str">
        <f>VLOOKUP(V183,Table_to_BRG!A:D,3,FALSE)</f>
        <v>Customer sales data</v>
      </c>
      <c r="K183" s="20" t="str">
        <f>VLOOKUP(V183,Table_to_BRG!A:D,2,FALSE)</f>
        <v>Sales</v>
      </c>
      <c r="L183" s="20"/>
      <c r="M183" s="20"/>
      <c r="N183" s="9"/>
      <c r="O183" s="54"/>
      <c r="P183" s="7" t="s">
        <v>7865</v>
      </c>
      <c r="Q183" s="11" t="str">
        <f>UPPER(LEFT(Table362[[#This Row],[Entity]],3))&amp;RIGHT("00"&amp;Table362[[#This Row],[Rule '# by Entity]],3)&amp;"0_"&amp;MID(SUBSTITUTE(Table362[[#This Row],[Rule Name]],"_","|",3),SEARCH("|",SUBSTITUTE(Table362[[#This Row],[Rule Name]],"_","|",3))+1,LEN(Table362[[#This Row],[Rule Name]]))</f>
        <v>CUS1040_AccountAssignmentGroupRef</v>
      </c>
      <c r="R183" s="13" t="s">
        <v>8033</v>
      </c>
      <c r="S183" s="7" t="s">
        <v>2</v>
      </c>
      <c r="T183" s="7"/>
      <c r="U183" s="7" t="s">
        <v>631</v>
      </c>
      <c r="V183" s="7" t="s">
        <v>3334</v>
      </c>
      <c r="W183" s="7" t="s">
        <v>3301</v>
      </c>
      <c r="X183" s="8" t="s">
        <v>6470</v>
      </c>
      <c r="Y183" s="7" t="s">
        <v>5849</v>
      </c>
      <c r="Z183" s="7" t="s">
        <v>3301</v>
      </c>
      <c r="AA183" s="11" t="str">
        <f>"BEGIN
     RETURN exists('DS_IS_RDS', '"&amp;Table362[[#This Row],[Lookup Table]]&amp;"', '"&amp;Table362[[#This Row],[Lookup Field]]&amp;"', "&amp;Table362[[#This Row],[IS Parameter]]&amp;");
END"</f>
        <v>BEGIN
     RETURN exists('DS_IS_RDS', 'TVKT', 'KTGRD', $P_I_AccountAssignmentGroup);
END</v>
      </c>
      <c r="AB183" s="11" t="str">
        <f>Table362[[#This Row],[IS Parameter]]&amp;" IS NOT NULL
AND "&amp; Table362[[#This Row],[IS Parameter]]&amp;" != ''"</f>
        <v>$P_I_AccountAssignmentGroup IS NOT NULL
AND $P_I_AccountAssignmentGroup != ''</v>
      </c>
      <c r="AC183" s="10" t="s">
        <v>6663</v>
      </c>
      <c r="AD183" s="10"/>
      <c r="AE183" s="13" t="str">
        <f>IF(Table362[[#This Row],[Entity]]="Customer","KUNNR",IF(Table362[[#This Row],[Entity]]="Vendor","LIFNR","MATNR"))&amp;",VKORG,VTWEG,SPART,"&amp;Table362[[#This Row],[Field]]</f>
        <v>KUNNR,VKORG,VTWEG,SPART,KTGRD</v>
      </c>
      <c r="AF183" s="13" t="str">
        <f>"VW_"&amp;Table362[[#This Row],[New Rule Name]]</f>
        <v>VW_CUS1040_AccountAssignmentGroupRef</v>
      </c>
      <c r="AG183" s="11" t="str">
        <f>"create view "&amp;Table362[[#This Row],[View Name]]&amp;" as 
     select 
          "&amp;IF(Table362[[#This Row],[Entity]]="Customer","KUNNR",IF(Table362[[#This Row],[Entity]]="Vendor","LIFNR","MATNR"))&amp;",
          VKORG,
          VTWEG,
          SPART,
          "&amp;Table362[[#This Row],[Field]]&amp;" 
     from "&amp;Table362[[#This Row],[Table]]</f>
        <v>create view VW_CUS1040_AccountAssignmentGroupRef as 
     select 
          KUNNR,
          VKORG,
          VTWEG,
          SPART,
          KTGRD 
     from KNVV</v>
      </c>
      <c r="AH183" s="13"/>
      <c r="AI183" s="20"/>
      <c r="AJ183" s="20"/>
      <c r="AK183" s="31">
        <v>104</v>
      </c>
      <c r="AL183" s="31"/>
    </row>
    <row r="184" spans="1:38" s="3" customFormat="1" ht="60" x14ac:dyDescent="0.25">
      <c r="A184" s="9">
        <v>178</v>
      </c>
      <c r="B184" s="7" t="s">
        <v>3973</v>
      </c>
      <c r="C184" s="7" t="s">
        <v>3</v>
      </c>
      <c r="D184" s="7" t="s">
        <v>6711</v>
      </c>
      <c r="E184" s="7" t="s">
        <v>6712</v>
      </c>
      <c r="F184" s="7" t="s">
        <v>6725</v>
      </c>
      <c r="G184" s="7" t="s">
        <v>6385</v>
      </c>
      <c r="H184" s="7"/>
      <c r="I184" s="7"/>
      <c r="J184" s="20" t="str">
        <f>VLOOKUP(V184,Table_to_BRG!A:D,3,FALSE)</f>
        <v>General data</v>
      </c>
      <c r="K184" s="20" t="str">
        <f>VLOOKUP(V184,Table_to_BRG!A:D,2,FALSE)</f>
        <v>General</v>
      </c>
      <c r="L184" s="20"/>
      <c r="M184" s="20"/>
      <c r="N184" s="9"/>
      <c r="O184" s="54"/>
      <c r="P184" s="7" t="s">
        <v>8376</v>
      </c>
      <c r="Q184" s="11" t="str">
        <f>UPPER(LEFT(Table362[[#This Row],[Entity]],3))&amp;RIGHT("00"&amp;Table362[[#This Row],[Rule '# by Entity]],3)&amp;"0_"&amp;MID(SUBSTITUTE(Table362[[#This Row],[Rule Name]],"_","|",3),SEARCH("|",SUBSTITUTE(Table362[[#This Row],[Rule Name]],"_","|",3))+1,LEN(Table362[[#This Row],[Rule Name]]))</f>
        <v>MAT0070_MaterialGroupRef</v>
      </c>
      <c r="R184" s="8" t="s">
        <v>7941</v>
      </c>
      <c r="S184" s="7" t="s">
        <v>2</v>
      </c>
      <c r="T184" s="7"/>
      <c r="U184" s="7" t="s">
        <v>635</v>
      </c>
      <c r="V184" s="7" t="s">
        <v>1526</v>
      </c>
      <c r="W184" s="7" t="s">
        <v>1620</v>
      </c>
      <c r="X184" s="8" t="s">
        <v>8626</v>
      </c>
      <c r="Y184" s="7" t="s">
        <v>4165</v>
      </c>
      <c r="Z184" s="7" t="s">
        <v>1620</v>
      </c>
      <c r="AA184" s="11" t="str">
        <f>"BEGIN
     RETURN exists('DS_IS_RDS', '"&amp;Table362[[#This Row],[Lookup Table]]&amp;"', '"&amp;Table362[[#This Row],[Lookup Field]]&amp;"', "&amp;Table362[[#This Row],[IS Parameter]]&amp;");
END"</f>
        <v>BEGIN
     RETURN exists('DS_IS_RDS', 'T023', 'MATKL', $P_I_MaterialGroup);
END</v>
      </c>
      <c r="AB184" s="11" t="str">
        <f>Table362[[#This Row],[IS Parameter]]&amp;" IS NOT NULL AND rtrim("&amp;Table362[[#This Row],[IS Parameter]]&amp;", ' ') != ''"</f>
        <v>$P_I_MaterialGroup IS NOT NULL AND rtrim($P_I_MaterialGroup, ' ') != ''</v>
      </c>
      <c r="AC184" s="10" t="s">
        <v>6663</v>
      </c>
      <c r="AD184" s="10"/>
      <c r="AE184" s="13" t="str">
        <f>IF(Table362[[#This Row],[Entity]]="Customer","KUNNR",IF(Table362[[#This Row],[Entity]]="Vendor","LIFNR","MATNR"))&amp;","&amp;Table362[[#This Row],[Field]]</f>
        <v>MATNR,MATKL</v>
      </c>
      <c r="AF184" s="13" t="str">
        <f>"VW_"&amp;Table362[[#This Row],[New Rule Name]]</f>
        <v>VW_MAT0070_MaterialGroupRef</v>
      </c>
      <c r="AG184" s="11" t="str">
        <f>"create view "&amp;Table362[[#This Row],[View Name]]&amp;" as 
     select 
          "&amp;IF(Table362[[#This Row],[Entity]]="Customer","KUNNR",IF(Table362[[#This Row],[Entity]]="Vendor","LIFNR","MATNR"))&amp;",
          "&amp;Table362[[#This Row],[Field]]&amp;" 
     from "&amp;Table362[[#This Row],[Table]]</f>
        <v>create view VW_MAT0070_MaterialGroupRef as 
     select 
          MATNR,
          MATKL 
     from MARA</v>
      </c>
      <c r="AH184" s="8"/>
      <c r="AI184" s="20"/>
      <c r="AJ184" s="20"/>
      <c r="AK184" s="31">
        <v>7</v>
      </c>
      <c r="AL184" s="31"/>
    </row>
    <row r="185" spans="1:38" s="3" customFormat="1" ht="120" x14ac:dyDescent="0.25">
      <c r="A185" s="9">
        <v>179</v>
      </c>
      <c r="B185" s="7" t="s">
        <v>3973</v>
      </c>
      <c r="C185" s="7" t="s">
        <v>3</v>
      </c>
      <c r="D185" s="7" t="s">
        <v>6711</v>
      </c>
      <c r="E185" s="7" t="s">
        <v>6712</v>
      </c>
      <c r="F185" s="7" t="s">
        <v>6713</v>
      </c>
      <c r="G185" s="7" t="s">
        <v>6377</v>
      </c>
      <c r="H185" s="7"/>
      <c r="I185" s="7"/>
      <c r="J185" s="20" t="str">
        <f>VLOOKUP(V185,Table_to_BRG!A:D,3,FALSE)</f>
        <v>Plant data</v>
      </c>
      <c r="K185" s="20" t="str">
        <f>VLOOKUP(V185,Table_to_BRG!A:D,2,FALSE)</f>
        <v>Plant</v>
      </c>
      <c r="L185" s="20"/>
      <c r="M185" s="20"/>
      <c r="N185" s="9"/>
      <c r="O185" s="54"/>
      <c r="P185" s="7" t="s">
        <v>8377</v>
      </c>
      <c r="Q185" s="11" t="str">
        <f>UPPER(LEFT(Table362[[#This Row],[Entity]],3))&amp;RIGHT("00"&amp;Table362[[#This Row],[Rule '# by Entity]],3)&amp;"0_"&amp;MID(SUBSTITUTE(Table362[[#This Row],[Rule Name]],"_","|",3),SEARCH("|",SUBSTITUTE(Table362[[#This Row],[Rule Name]],"_","|",3))+1,LEN(Table362[[#This Row],[Rule Name]]))</f>
        <v>MAT0590_QuotaArrangementUsageRef</v>
      </c>
      <c r="R185" s="8" t="s">
        <v>7942</v>
      </c>
      <c r="S185" s="7" t="s">
        <v>2</v>
      </c>
      <c r="T185" s="7"/>
      <c r="U185" s="7" t="s">
        <v>639</v>
      </c>
      <c r="V185" s="7" t="s">
        <v>1527</v>
      </c>
      <c r="W185" s="7" t="s">
        <v>2116</v>
      </c>
      <c r="X185" s="8" t="s">
        <v>2138</v>
      </c>
      <c r="Y185" s="7" t="s">
        <v>6030</v>
      </c>
      <c r="Z185" s="7" t="s">
        <v>2116</v>
      </c>
      <c r="AA185" s="11" t="str">
        <f>"BEGIN
     RETURN exists('DS_IS_RDS', '"&amp;Table362[[#This Row],[Lookup Table]]&amp;"', '"&amp;Table362[[#This Row],[Lookup Field]]&amp;"', "&amp;Table362[[#This Row],[IS Parameter]]&amp;");
END"</f>
        <v>BEGIN
     RETURN exists('DS_IS_RDS', 'TMQ2', 'USEQU', $P_I_QuotaArrangementUsage);
END</v>
      </c>
      <c r="AB185" s="11" t="str">
        <f>Table362[[#This Row],[IS Parameter]]&amp;" IS NOT NULL AND rtrim("&amp;Table362[[#This Row],[IS Parameter]]&amp;", ' ') != ''"</f>
        <v>$P_I_QuotaArrangementUsage IS NOT NULL AND rtrim($P_I_QuotaArrangementUsage, ' ') != ''</v>
      </c>
      <c r="AC185" s="10" t="s">
        <v>6663</v>
      </c>
      <c r="AD185" s="10"/>
      <c r="AE185" s="13" t="str">
        <f>IF(Table362[[#This Row],[Entity]]="Customer","KUNNR",IF(Table362[[#This Row],[Entity]]="Vendor","LIFNR","MATNR"))&amp;",WERKS"&amp;","&amp;Table362[[#This Row],[Field]]</f>
        <v>MATNR,WERKS,USEQU</v>
      </c>
      <c r="AF185" s="13" t="str">
        <f>"VW_"&amp;Table362[[#This Row],[New Rule Name]]</f>
        <v>VW_MAT0590_QuotaArrangementUsageRef</v>
      </c>
      <c r="AG185"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VW_MAT0590_QuotaArrangementUsageRef (
     MATNR,
     WERKS,
     USEQU
     ) as select 
          MATNR,
          WERKS,
          USEQU 
     from MARC</v>
      </c>
      <c r="AH185" s="8"/>
      <c r="AI185" s="20"/>
      <c r="AJ185" s="20"/>
      <c r="AK185" s="31">
        <v>59</v>
      </c>
      <c r="AL185" s="31"/>
    </row>
    <row r="186" spans="1:38" s="3" customFormat="1" ht="60" x14ac:dyDescent="0.25">
      <c r="A186" s="9">
        <v>180</v>
      </c>
      <c r="B186" s="7" t="s">
        <v>3973</v>
      </c>
      <c r="C186" s="7" t="s">
        <v>3</v>
      </c>
      <c r="D186" s="7" t="s">
        <v>6711</v>
      </c>
      <c r="E186" s="7" t="s">
        <v>6712</v>
      </c>
      <c r="F186" s="7" t="s">
        <v>6725</v>
      </c>
      <c r="G186" s="7" t="s">
        <v>6377</v>
      </c>
      <c r="H186" s="7"/>
      <c r="I186" s="7"/>
      <c r="J186" s="20" t="str">
        <f>VLOOKUP(V186,Table_to_BRG!A:D,3,FALSE)</f>
        <v>General data</v>
      </c>
      <c r="K186" s="20" t="str">
        <f>VLOOKUP(V186,Table_to_BRG!A:D,2,FALSE)</f>
        <v>General</v>
      </c>
      <c r="L186" s="20"/>
      <c r="M186" s="20"/>
      <c r="N186" s="9"/>
      <c r="O186" s="54"/>
      <c r="P186" s="7" t="s">
        <v>8378</v>
      </c>
      <c r="Q186" s="11" t="str">
        <f>UPPER(LEFT(Table362[[#This Row],[Entity]],3))&amp;RIGHT("00"&amp;Table362[[#This Row],[Rule '# by Entity]],3)&amp;"0_"&amp;MID(SUBSTITUTE(Table362[[#This Row],[Rule Name]],"_","|",3),SEARCH("|",SUBSTITUTE(Table362[[#This Row],[Rule Name]],"_","|",3))+1,LEN(Table362[[#This Row],[Rule Name]]))</f>
        <v>MAT0120_PurchasingValueKeyRef</v>
      </c>
      <c r="R186" s="8" t="s">
        <v>7943</v>
      </c>
      <c r="S186" s="7" t="s">
        <v>2</v>
      </c>
      <c r="T186" s="7"/>
      <c r="U186" s="7" t="s">
        <v>643</v>
      </c>
      <c r="V186" s="7" t="s">
        <v>1526</v>
      </c>
      <c r="W186" s="7" t="s">
        <v>2302</v>
      </c>
      <c r="X186" s="8" t="s">
        <v>1313</v>
      </c>
      <c r="Y186" s="7" t="s">
        <v>2344</v>
      </c>
      <c r="Z186" s="7" t="s">
        <v>2302</v>
      </c>
      <c r="AA186" s="11" t="str">
        <f>"BEGIN
     RETURN exists('DS_IS_RDS', '"&amp;Table362[[#This Row],[Lookup Table]]&amp;"', '"&amp;Table362[[#This Row],[Lookup Field]]&amp;"', "&amp;Table362[[#This Row],[IS Parameter]]&amp;");
END"</f>
        <v>BEGIN
     RETURN exists('DS_IS_RDS', 'T405', 'EKWSL', $P_I_PurchasingValueKey);
END</v>
      </c>
      <c r="AB186" s="11" t="str">
        <f>Table362[[#This Row],[IS Parameter]]&amp;" IS NOT NULL AND rtrim("&amp;Table362[[#This Row],[IS Parameter]]&amp;", ' ') != ''"</f>
        <v>$P_I_PurchasingValueKey IS NOT NULL AND rtrim($P_I_PurchasingValueKey, ' ') != ''</v>
      </c>
      <c r="AC186" s="10" t="s">
        <v>6663</v>
      </c>
      <c r="AD186" s="10"/>
      <c r="AE186" s="13" t="str">
        <f>IF(Table362[[#This Row],[Entity]]="Customer","KUNNR",IF(Table362[[#This Row],[Entity]]="Vendor","LIFNR","MATNR"))&amp;","&amp;Table362[[#This Row],[Field]]</f>
        <v>MATNR,EKWSL</v>
      </c>
      <c r="AF186" s="13" t="str">
        <f>"VW_"&amp;Table362[[#This Row],[New Rule Name]]</f>
        <v>VW_MAT0120_PurchasingValueKeyRef</v>
      </c>
      <c r="AG186" s="11" t="str">
        <f>"create view "&amp;Table362[[#This Row],[View Name]]&amp;" as 
     select 
          "&amp;IF(Table362[[#This Row],[Entity]]="Customer","KUNNR",IF(Table362[[#This Row],[Entity]]="Vendor","LIFNR","MATNR"))&amp;",
          "&amp;Table362[[#This Row],[Field]]&amp;" 
     from "&amp;Table362[[#This Row],[Table]]</f>
        <v>create view VW_MAT0120_PurchasingValueKeyRef as 
     select 
          MATNR,
          EKWSL 
     from MARA</v>
      </c>
      <c r="AH186" s="8"/>
      <c r="AI186" s="20" t="s">
        <v>7810</v>
      </c>
      <c r="AJ186" s="20"/>
      <c r="AK186" s="31">
        <v>12</v>
      </c>
      <c r="AL186" s="31"/>
    </row>
    <row r="187" spans="1:38" s="3" customFormat="1" ht="48" hidden="1" x14ac:dyDescent="0.25">
      <c r="A187" s="9">
        <v>185</v>
      </c>
      <c r="B187" s="7" t="s">
        <v>3973</v>
      </c>
      <c r="C187" s="7" t="s">
        <v>1207</v>
      </c>
      <c r="D187" s="7" t="s">
        <v>6719</v>
      </c>
      <c r="E187" s="7" t="s">
        <v>6720</v>
      </c>
      <c r="F187" s="7" t="s">
        <v>6722</v>
      </c>
      <c r="G187" s="7" t="s">
        <v>6361</v>
      </c>
      <c r="H187" s="7" t="s">
        <v>6363</v>
      </c>
      <c r="I187" s="7"/>
      <c r="J187" s="20" t="str">
        <f>VLOOKUP(V187,Table_to_BRG!A:D,3,FALSE)</f>
        <v>General data</v>
      </c>
      <c r="K187" s="20" t="str">
        <f>VLOOKUP(V187,Table_to_BRG!A:D,2,FALSE)</f>
        <v>General</v>
      </c>
      <c r="L187" s="20"/>
      <c r="M187" s="20"/>
      <c r="N187" s="9" t="s">
        <v>6465</v>
      </c>
      <c r="O187" s="54" t="str">
        <f>"Duplicate of rule "&amp;A153</f>
        <v>Duplicate of rule 151</v>
      </c>
      <c r="P187" s="8" t="s">
        <v>8476</v>
      </c>
      <c r="Q187" s="11"/>
      <c r="R187" s="8" t="s">
        <v>6654</v>
      </c>
      <c r="S187" s="7" t="s">
        <v>2</v>
      </c>
      <c r="T187" s="7"/>
      <c r="U187" s="7" t="s">
        <v>554</v>
      </c>
      <c r="V187" s="7" t="s">
        <v>3542</v>
      </c>
      <c r="W187" s="7" t="s">
        <v>3060</v>
      </c>
      <c r="X187" s="8" t="s">
        <v>3751</v>
      </c>
      <c r="Y187" s="7" t="s">
        <v>3542</v>
      </c>
      <c r="Z187" s="7" t="s">
        <v>3045</v>
      </c>
      <c r="AA187" s="11" t="str">
        <f>"BEGIN
     RETURN exists('DS_IS_RDS', '"&amp;Table362[[#This Row],[Lookup Table]]&amp;"', '"&amp;Table362[[#This Row],[Lookup Field]]&amp;"', "&amp;Table362[[#This Row],[IS Parameter]]&amp;");
END"</f>
        <v>BEGIN
     RETURN exists('DS_IS_RDS', 'LFA1', 'LIFNR', $P_I_FiscalAddress);
END</v>
      </c>
      <c r="AB187" s="11"/>
      <c r="AC187" s="10" t="s">
        <v>6663</v>
      </c>
      <c r="AD187" s="10"/>
      <c r="AE187" s="13"/>
      <c r="AF187" s="13"/>
      <c r="AG187" s="11"/>
      <c r="AH187" s="8"/>
      <c r="AI187" s="20" t="s">
        <v>7667</v>
      </c>
      <c r="AJ187" s="20"/>
      <c r="AK187" s="31"/>
      <c r="AL187" s="31"/>
    </row>
    <row r="188" spans="1:38" s="3" customFormat="1" ht="72" hidden="1" x14ac:dyDescent="0.25">
      <c r="A188" s="9">
        <v>181</v>
      </c>
      <c r="B188" s="7" t="s">
        <v>3973</v>
      </c>
      <c r="C188" s="7" t="s">
        <v>16</v>
      </c>
      <c r="D188" s="7" t="s">
        <v>6719</v>
      </c>
      <c r="E188" s="7" t="s">
        <v>6720</v>
      </c>
      <c r="F188" s="7" t="s">
        <v>6721</v>
      </c>
      <c r="G188" s="7" t="s">
        <v>6358</v>
      </c>
      <c r="H188" s="7" t="s">
        <v>6383</v>
      </c>
      <c r="I188" s="7"/>
      <c r="J188" s="20" t="str">
        <f>VLOOKUP(V188,Table_to_BRG!A:D,3,FALSE)</f>
        <v>Company Code data</v>
      </c>
      <c r="K188" s="20" t="str">
        <f>VLOOKUP(V188,Table_to_BRG!A:D,2,FALSE)</f>
        <v>Company Code</v>
      </c>
      <c r="L188" s="20"/>
      <c r="M188" s="20"/>
      <c r="N188" s="9"/>
      <c r="O188" s="54"/>
      <c r="P188" s="7" t="s">
        <v>8212</v>
      </c>
      <c r="Q188" s="11" t="str">
        <f>UPPER(LEFT(Table362[[#This Row],[Entity]],3))&amp;RIGHT("00"&amp;Table362[[#This Row],[Rule '# by Entity]],3)&amp;"0_"&amp;MID(SUBSTITUTE(Table362[[#This Row],[Rule Name]],"_","|",3),SEARCH("|",SUBSTITUTE(Table362[[#This Row],[Rule Name]],"_","|",3))+1,LEN(Table362[[#This Row],[Rule Name]]))</f>
        <v>CUS0440_ReconAccountRef</v>
      </c>
      <c r="R188" s="13" t="s">
        <v>8034</v>
      </c>
      <c r="S188" s="7" t="s">
        <v>2</v>
      </c>
      <c r="T188" s="7"/>
      <c r="U188" s="7" t="s">
        <v>647</v>
      </c>
      <c r="V188" s="7" t="s">
        <v>2740</v>
      </c>
      <c r="W188" s="7" t="s">
        <v>2708</v>
      </c>
      <c r="X188" s="8" t="s">
        <v>2725</v>
      </c>
      <c r="Y188" s="7" t="s">
        <v>4271</v>
      </c>
      <c r="Z188" s="7" t="s">
        <v>4272</v>
      </c>
      <c r="AA188" s="11" t="str">
        <f>"BEGIN
     RETURN exists('DS_IS_RDS', '"&amp;Table362[[#This Row],[Lookup Table]]&amp;"', '"&amp;Table362[[#This Row],[Lookup Field]]&amp;"', "&amp;Table362[[#This Row],[IS Parameter]]&amp;");
END"</f>
        <v>BEGIN
     RETURN exists('DS_IS_RDS', 'SKB1', 'SAKNR', $P_I_ReconciliationAccount);
END</v>
      </c>
      <c r="AB188" s="11" t="str">
        <f>Table362[[#This Row],[IS Parameter]]&amp;" IS NOT NULL
AND "&amp; Table362[[#This Row],[IS Parameter]]&amp;" != ''"</f>
        <v>$P_I_ReconciliationAccount IS NOT NULL
AND $P_I_ReconciliationAccount != ''</v>
      </c>
      <c r="AC188" s="10" t="s">
        <v>6663</v>
      </c>
      <c r="AD188" s="10"/>
      <c r="AE188" s="13" t="str">
        <f>IF(Table362[[#This Row],[Entity]]="Customer","KUNNR",IF(Table362[[#This Row],[Entity]]="Vendor","LIFNR","MATNR"))&amp;",BUKRS"&amp;","&amp;Table362[[#This Row],[Field]]</f>
        <v>KUNNR,BUKRS,AKONT</v>
      </c>
      <c r="AF188" s="13" t="str">
        <f>"VW_"&amp;Table362[[#This Row],[New Rule Name]]</f>
        <v>VW_CUS0440_ReconAccountRef</v>
      </c>
      <c r="AG188" s="11" t="str">
        <f>"create view "&amp;Table362[[#This Row],[View Name]]&amp;" as 
     select 
          "&amp;IF(Table362[[#This Row],[Entity]]="Customer","KUNNR",IF(Table362[[#This Row],[Entity]]="Vendor","LIFNR","MATNR"))&amp;",
          BUKRS,
          "&amp;Table362[[#This Row],[Field]]&amp;" 
     from "&amp;Table362[[#This Row],[Table]]</f>
        <v>create view VW_CUS0440_ReconAccountRef as 
     select 
          KUNNR,
          BUKRS,
          AKONT 
     from KNB1</v>
      </c>
      <c r="AH188" s="8"/>
      <c r="AI188" s="20" t="s">
        <v>7585</v>
      </c>
      <c r="AJ188" s="20"/>
      <c r="AK188" s="31">
        <v>44</v>
      </c>
      <c r="AL188" s="31"/>
    </row>
    <row r="189" spans="1:38" s="3" customFormat="1" ht="72" hidden="1" x14ac:dyDescent="0.25">
      <c r="A189" s="9">
        <v>182</v>
      </c>
      <c r="B189" s="7" t="s">
        <v>3973</v>
      </c>
      <c r="C189" s="7" t="s">
        <v>1207</v>
      </c>
      <c r="D189" s="7" t="s">
        <v>6719</v>
      </c>
      <c r="E189" s="7" t="s">
        <v>6720</v>
      </c>
      <c r="F189" s="7" t="s">
        <v>6732</v>
      </c>
      <c r="G189" s="7" t="s">
        <v>6358</v>
      </c>
      <c r="H189" s="7" t="s">
        <v>6386</v>
      </c>
      <c r="I189" s="7"/>
      <c r="J189" s="20" t="str">
        <f>VLOOKUP(V189,Table_to_BRG!A:D,3,FALSE)</f>
        <v>Company Code data</v>
      </c>
      <c r="K189" s="20" t="str">
        <f>VLOOKUP(V189,Table_to_BRG!A:D,2,FALSE)</f>
        <v>Company Code</v>
      </c>
      <c r="L189" s="20"/>
      <c r="M189" s="20"/>
      <c r="N189" s="9"/>
      <c r="O189" s="54"/>
      <c r="P189" s="7" t="s">
        <v>8479</v>
      </c>
      <c r="Q189" s="11" t="str">
        <f>UPPER(LEFT(Table362[[#This Row],[Entity]],3))&amp;RIGHT("00"&amp;Table362[[#This Row],[Rule '# by Entity]],3)&amp;"0_"&amp;MID(SUBSTITUTE(Table362[[#This Row],[Rule Name]],"_","|",3),SEARCH("|",SUBSTITUTE(Table362[[#This Row],[Rule Name]],"_","|",3))+1,LEN(Table362[[#This Row],[Rule Name]]))</f>
        <v>VEN0470_ReleaseGroupRef</v>
      </c>
      <c r="R189" s="13" t="s">
        <v>8284</v>
      </c>
      <c r="S189" s="7" t="s">
        <v>2</v>
      </c>
      <c r="T189" s="7"/>
      <c r="U189" s="7" t="s">
        <v>535</v>
      </c>
      <c r="V189" s="7" t="s">
        <v>3543</v>
      </c>
      <c r="W189" s="7" t="s">
        <v>3518</v>
      </c>
      <c r="X189" s="8" t="s">
        <v>3531</v>
      </c>
      <c r="Y189" s="7" t="s">
        <v>4190</v>
      </c>
      <c r="Z189" s="7" t="s">
        <v>3518</v>
      </c>
      <c r="AA189" s="11" t="str">
        <f>"BEGIN
     RETURN exists('DS_IS_RDS', '"&amp;Table362[[#This Row],[Lookup Table]]&amp;"', '"&amp;Table362[[#This Row],[Lookup Field]]&amp;"', "&amp;Table362[[#This Row],[IS Parameter]]&amp;");
END"</f>
        <v>BEGIN
     RETURN exists('DS_IS_RDS', 'VBWF08', 'FRGRP', $P_I_ReleaseGroup);
END</v>
      </c>
      <c r="AB189" s="11"/>
      <c r="AC189" s="10" t="s">
        <v>6663</v>
      </c>
      <c r="AD189" s="10"/>
      <c r="AE189" s="13" t="str">
        <f>IF(Table362[[#This Row],[Entity]]="Customer","KUNNR",IF(Table362[[#This Row],[Entity]]="Vendor","LIFNR","MATNR"))&amp;",BUKRS,"&amp;Table362[[#This Row],[Field]]</f>
        <v>LIFNR,BUKRS,FRGRP</v>
      </c>
      <c r="AF189" s="13" t="str">
        <f>"VW_"&amp;Table362[[#This Row],[New Rule Name]]</f>
        <v>VW_VEN0470_ReleaseGroupRef</v>
      </c>
      <c r="AG189" s="11" t="str">
        <f>"create view "&amp;Table362[[#This Row],[View Name]]&amp;" as 
     select 
          "&amp;IF(Table362[[#This Row],[Entity]]="Customer","KUNNR",IF(Table362[[#This Row],[Entity]]="Vendor","LIFNR","MATNR"))&amp;",
          BUKRS,
          "&amp;Table362[[#This Row],[Field]]&amp;" 
     from "&amp;Table362[[#This Row],[Table]]</f>
        <v>create view VW_VEN0470_ReleaseGroupRef as 
     select 
          LIFNR,
          BUKRS,
          FRGRP 
     from LFB1</v>
      </c>
      <c r="AH189" s="8"/>
      <c r="AI189" s="20" t="s">
        <v>7580</v>
      </c>
      <c r="AJ189" s="20"/>
      <c r="AK189" s="31">
        <v>47</v>
      </c>
      <c r="AL189" s="31"/>
    </row>
    <row r="190" spans="1:38" s="3" customFormat="1" ht="106.9" customHeight="1" x14ac:dyDescent="0.25">
      <c r="A190" s="9">
        <v>183</v>
      </c>
      <c r="B190" s="7" t="s">
        <v>3973</v>
      </c>
      <c r="C190" s="7" t="s">
        <v>3</v>
      </c>
      <c r="D190" s="7" t="s">
        <v>6711</v>
      </c>
      <c r="E190" s="7" t="s">
        <v>6712</v>
      </c>
      <c r="F190" s="7" t="s">
        <v>6713</v>
      </c>
      <c r="G190" s="7" t="s">
        <v>6378</v>
      </c>
      <c r="H190" s="7"/>
      <c r="I190" s="7"/>
      <c r="J190" s="20" t="str">
        <f>VLOOKUP(V190,Table_to_BRG!A:D,3,FALSE)</f>
        <v>Plant data</v>
      </c>
      <c r="K190" s="20" t="str">
        <f>VLOOKUP(V190,Table_to_BRG!A:D,2,FALSE)</f>
        <v>Plant</v>
      </c>
      <c r="L190" s="20"/>
      <c r="M190" s="20"/>
      <c r="N190" s="9"/>
      <c r="O190" s="54"/>
      <c r="P190" s="7" t="s">
        <v>8379</v>
      </c>
      <c r="Q190" s="11" t="str">
        <f>UPPER(LEFT(Table362[[#This Row],[Entity]],3))&amp;RIGHT("00"&amp;Table362[[#This Row],[Rule '# by Entity]],3)&amp;"0_"&amp;MID(SUBSTITUTE(Table362[[#This Row],[Rule Name]],"_","|",3),SEARCH("|",SUBSTITUTE(Table362[[#This Row],[Rule Name]],"_","|",3))+1,LEN(Table362[[#This Row],[Rule Name]]))</f>
        <v>MAT0810_QMMaterialAuthorizationRef</v>
      </c>
      <c r="R190" s="8" t="s">
        <v>7944</v>
      </c>
      <c r="S190" s="7" t="s">
        <v>2</v>
      </c>
      <c r="T190" s="7"/>
      <c r="U190" s="7" t="s">
        <v>652</v>
      </c>
      <c r="V190" s="7" t="s">
        <v>1527</v>
      </c>
      <c r="W190" s="7" t="s">
        <v>2364</v>
      </c>
      <c r="X190" s="8" t="s">
        <v>8627</v>
      </c>
      <c r="Y190" s="7" t="s">
        <v>6031</v>
      </c>
      <c r="Z190" s="7" t="s">
        <v>6032</v>
      </c>
      <c r="AA190" s="11" t="str">
        <f>"BEGIN
     RETURN exists('DS_IS_RDS', '"&amp;Table362[[#This Row],[Lookup Table]]&amp;"', '"&amp;Table362[[#This Row],[Lookup Field]]&amp;"', "&amp;Table362[[#This Row],[IS Parameter]]&amp;");
END"</f>
        <v>BEGIN
     RETURN exists('DS_IS_RDS', 'TQ01B', 'QMATAUTH', $P_I_QMMatAuth);
END</v>
      </c>
      <c r="AB190" s="11" t="str">
        <f>Table362[[#This Row],[IS Parameter]]&amp;" IS NOT NULL AND rtrim("&amp;Table362[[#This Row],[IS Parameter]]&amp;", ' ') != ''"</f>
        <v>$P_I_QMMatAuth IS NOT NULL AND rtrim($P_I_QMMatAuth, ' ') != ''</v>
      </c>
      <c r="AC190" s="10" t="s">
        <v>6663</v>
      </c>
      <c r="AD190" s="10"/>
      <c r="AE190" s="13" t="str">
        <f>IF(Table362[[#This Row],[Entity]]="Customer","KUNNR",IF(Table362[[#This Row],[Entity]]="Vendor","LIFNR","MATNR"))&amp;",WERKS"&amp;","&amp;Table362[[#This Row],[Field]]</f>
        <v>MATNR,WERKS,QMATA</v>
      </c>
      <c r="AF190" s="13" t="str">
        <f>"VW_"&amp;Table362[[#This Row],[New Rule Name]]</f>
        <v>VW_MAT0810_QMMaterialAuthorizationRef</v>
      </c>
      <c r="AG190"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VW_MAT0810_QMMaterialAuthorizationRef (
     MATNR,
     WERKS,
     QMATA
     ) as select 
          MATNR,
          WERKS,
          QMATA 
     from MARC</v>
      </c>
      <c r="AH190" s="8"/>
      <c r="AI190" s="20"/>
      <c r="AJ190" s="20"/>
      <c r="AK190" s="31">
        <v>81</v>
      </c>
      <c r="AL190" s="31"/>
    </row>
    <row r="191" spans="1:38" s="3" customFormat="1" ht="72" x14ac:dyDescent="0.25">
      <c r="A191" s="9">
        <v>184</v>
      </c>
      <c r="B191" s="7" t="s">
        <v>3973</v>
      </c>
      <c r="C191" s="7" t="s">
        <v>3</v>
      </c>
      <c r="D191" s="7" t="s">
        <v>6711</v>
      </c>
      <c r="E191" s="7" t="s">
        <v>6712</v>
      </c>
      <c r="F191" s="7" t="s">
        <v>6725</v>
      </c>
      <c r="G191" s="7" t="s">
        <v>6385</v>
      </c>
      <c r="H191" s="7"/>
      <c r="I191" s="7"/>
      <c r="J191" s="20" t="str">
        <f>VLOOKUP(V191,Table_to_BRG!A:D,3,FALSE)</f>
        <v>General data</v>
      </c>
      <c r="K191" s="20" t="str">
        <f>VLOOKUP(V191,Table_to_BRG!A:D,2,FALSE)</f>
        <v>General</v>
      </c>
      <c r="L191" s="20"/>
      <c r="M191" s="20"/>
      <c r="N191" s="9"/>
      <c r="O191" s="54"/>
      <c r="P191" s="7" t="s">
        <v>8380</v>
      </c>
      <c r="Q191" s="11" t="str">
        <f>UPPER(LEFT(Table362[[#This Row],[Entity]],3))&amp;RIGHT("00"&amp;Table362[[#This Row],[Rule '# by Entity]],3)&amp;"0_"&amp;MID(SUBSTITUTE(Table362[[#This Row],[Rule Name]],"_","|",3),SEARCH("|",SUBSTITUTE(Table362[[#This Row],[Rule Name]],"_","|",3))+1,LEN(Table362[[#This Row],[Rule Name]]))</f>
        <v>MAT0230_MaterialGroupPackagingMatlsRef</v>
      </c>
      <c r="R191" s="8" t="s">
        <v>7945</v>
      </c>
      <c r="S191" s="7" t="s">
        <v>2</v>
      </c>
      <c r="T191" s="7"/>
      <c r="U191" s="7" t="s">
        <v>656</v>
      </c>
      <c r="V191" s="7" t="s">
        <v>1526</v>
      </c>
      <c r="W191" s="7" t="s">
        <v>1634</v>
      </c>
      <c r="X191" s="8" t="s">
        <v>8628</v>
      </c>
      <c r="Y191" s="7" t="s">
        <v>6033</v>
      </c>
      <c r="Z191" s="7" t="s">
        <v>1634</v>
      </c>
      <c r="AA191" s="11" t="str">
        <f>"BEGIN
     RETURN exists('DS_IS_RDS', '"&amp;Table362[[#This Row],[Lookup Table]]&amp;"', '"&amp;Table362[[#This Row],[Lookup Field]]&amp;"', "&amp;Table362[[#This Row],[IS Parameter]]&amp;");
END"</f>
        <v>BEGIN
     RETURN exists('DS_IS_RDS', 'TVEGR', 'MAGRV', $P_I_MatGrpPackMatls);
END</v>
      </c>
      <c r="AB191" s="11" t="str">
        <f>Table362[[#This Row],[IS Parameter]]&amp;" IS NOT NULL AND rtrim("&amp;Table362[[#This Row],[IS Parameter]]&amp;", ' ') != ''"</f>
        <v>$P_I_MatGrpPackMatls IS NOT NULL AND rtrim($P_I_MatGrpPackMatls, ' ') != ''</v>
      </c>
      <c r="AC191" s="10" t="s">
        <v>6663</v>
      </c>
      <c r="AD191" s="10"/>
      <c r="AE191" s="13" t="str">
        <f>IF(Table362[[#This Row],[Entity]]="Customer","KUNNR",IF(Table362[[#This Row],[Entity]]="Vendor","LIFNR","MATNR"))&amp;","&amp;Table362[[#This Row],[Field]]</f>
        <v>MATNR,MAGRV</v>
      </c>
      <c r="AF191" s="13" t="str">
        <f>"VW_"&amp;Table362[[#This Row],[New Rule Name]]</f>
        <v>VW_MAT0230_MaterialGroupPackagingMatlsRef</v>
      </c>
      <c r="AG191" s="11" t="str">
        <f>"create view "&amp;Table362[[#This Row],[View Name]]&amp;" as 
     select 
          "&amp;IF(Table362[[#This Row],[Entity]]="Customer","KUNNR",IF(Table362[[#This Row],[Entity]]="Vendor","LIFNR","MATNR"))&amp;",
          "&amp;Table362[[#This Row],[Field]]&amp;" 
     from "&amp;Table362[[#This Row],[Table]]</f>
        <v>create view VW_MAT0230_MaterialGroupPackagingMatlsRef as 
     select 
          MATNR,
          MAGRV 
     from MARA</v>
      </c>
      <c r="AH191" s="8"/>
      <c r="AI191" s="20"/>
      <c r="AJ191" s="20"/>
      <c r="AK191" s="31">
        <v>23</v>
      </c>
      <c r="AL191" s="31"/>
    </row>
    <row r="192" spans="1:38" s="3" customFormat="1" ht="108" x14ac:dyDescent="0.25">
      <c r="A192" s="9">
        <v>187</v>
      </c>
      <c r="B192" s="7" t="s">
        <v>3973</v>
      </c>
      <c r="C192" s="7" t="s">
        <v>3</v>
      </c>
      <c r="D192" s="7" t="s">
        <v>6711</v>
      </c>
      <c r="E192" s="7" t="s">
        <v>6712</v>
      </c>
      <c r="F192" s="7" t="s">
        <v>6713</v>
      </c>
      <c r="G192" s="7" t="s">
        <v>6703</v>
      </c>
      <c r="H192" s="7" t="s">
        <v>6373</v>
      </c>
      <c r="I192" s="7"/>
      <c r="J192" s="20" t="str">
        <f>VLOOKUP(V192,Table_to_BRG!A:D,3,FALSE)</f>
        <v>Plant data</v>
      </c>
      <c r="K192" s="20" t="str">
        <f>VLOOKUP(V192,Table_to_BRG!A:D,2,FALSE)</f>
        <v>Plant</v>
      </c>
      <c r="L192" s="20"/>
      <c r="M192" s="20"/>
      <c r="N192" s="9"/>
      <c r="O192" s="54"/>
      <c r="P192" s="7" t="s">
        <v>8381</v>
      </c>
      <c r="Q192" s="11" t="str">
        <f>UPPER(LEFT(Table362[[#This Row],[Entity]],3))&amp;RIGHT("00"&amp;Table362[[#This Row],[Rule '# by Entity]],3)&amp;"0_"&amp;MID(SUBSTITUTE(Table362[[#This Row],[Rule Name]],"_","|",3),SEARCH("|",SUBSTITUTE(Table362[[#This Row],[Rule Name]],"_","|",3))+1,LEN(Table362[[#This Row],[Rule Name]]))</f>
        <v>MAT0450_LotSizeRef</v>
      </c>
      <c r="R192" s="8" t="s">
        <v>7946</v>
      </c>
      <c r="S192" s="7" t="s">
        <v>2</v>
      </c>
      <c r="T192" s="7"/>
      <c r="U192" s="7" t="s">
        <v>667</v>
      </c>
      <c r="V192" s="7" t="s">
        <v>1527</v>
      </c>
      <c r="W192" s="7" t="s">
        <v>2052</v>
      </c>
      <c r="X192" s="8" t="s">
        <v>2068</v>
      </c>
      <c r="Y192" s="7" t="s">
        <v>6034</v>
      </c>
      <c r="Z192" s="7" t="s">
        <v>2052</v>
      </c>
      <c r="AA192" s="11" t="str">
        <f>"BEGIN
     RETURN exists('DS_IS_RDS', '"&amp;Table362[[#This Row],[Lookup Table]]&amp;"', '"&amp;Table362[[#This Row],[Lookup Field]]&amp;"', "&amp;Table362[[#This Row],[IS Parameter]]&amp;");
END"</f>
        <v>BEGIN
     RETURN exists('DS_IS_RDS', 'T439A', 'DISLS', $P_I_LotSize);
END</v>
      </c>
      <c r="AB192" s="11" t="str">
        <f>Table362[[#This Row],[IS Parameter]]&amp;" IS NOT NULL AND rtrim("&amp;Table362[[#This Row],[IS Parameter]]&amp;", ' ') != ''"</f>
        <v>$P_I_LotSize IS NOT NULL AND rtrim($P_I_LotSize, ' ') != ''</v>
      </c>
      <c r="AC192" s="10" t="s">
        <v>6663</v>
      </c>
      <c r="AD192" s="10"/>
      <c r="AE192" s="13" t="str">
        <f>IF(Table362[[#This Row],[Entity]]="Customer","KUNNR",IF(Table362[[#This Row],[Entity]]="Vendor","LIFNR","MATNR"))&amp;",WERKS"&amp;","&amp;Table362[[#This Row],[Field]]</f>
        <v>MATNR,WERKS,DISLS</v>
      </c>
      <c r="AF192" s="13" t="str">
        <f>"VW_"&amp;Table362[[#This Row],[New Rule Name]]</f>
        <v>VW_MAT0450_LotSizeRef</v>
      </c>
      <c r="AG192"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VW_MAT0450_LotSizeRef (
     MATNR,
     WERKS,
     DISLS
     ) as select 
          MATNR,
          WERKS,
          DISLS 
     from MARC</v>
      </c>
      <c r="AH192" s="8"/>
      <c r="AI192" s="20"/>
      <c r="AJ192" s="20"/>
      <c r="AK192" s="31">
        <v>45</v>
      </c>
      <c r="AL192" s="31"/>
    </row>
    <row r="193" spans="1:38" s="3" customFormat="1" ht="84" hidden="1" x14ac:dyDescent="0.25">
      <c r="A193" s="9">
        <v>188</v>
      </c>
      <c r="B193" s="7" t="s">
        <v>3973</v>
      </c>
      <c r="C193" s="7" t="s">
        <v>16</v>
      </c>
      <c r="D193" s="7" t="s">
        <v>6711</v>
      </c>
      <c r="E193" s="7" t="s">
        <v>6714</v>
      </c>
      <c r="F193" s="7" t="s">
        <v>6724</v>
      </c>
      <c r="G193" s="7" t="s">
        <v>6365</v>
      </c>
      <c r="H193" s="7" t="s">
        <v>2759</v>
      </c>
      <c r="I193" s="7"/>
      <c r="J193" s="20" t="str">
        <f>VLOOKUP(V193,Table_to_BRG!A:D,3,FALSE)</f>
        <v>Customer sales data</v>
      </c>
      <c r="K193" s="20" t="str">
        <f>VLOOKUP(V193,Table_to_BRG!A:D,2,FALSE)</f>
        <v>Sales</v>
      </c>
      <c r="L193" s="20"/>
      <c r="M193" s="20"/>
      <c r="N193" s="9"/>
      <c r="O193" s="54"/>
      <c r="P193" s="7" t="s">
        <v>7866</v>
      </c>
      <c r="Q193" s="11" t="str">
        <f>UPPER(LEFT(Table362[[#This Row],[Entity]],3))&amp;RIGHT("00"&amp;Table362[[#This Row],[Rule '# by Entity]],3)&amp;"0_"&amp;MID(SUBSTITUTE(Table362[[#This Row],[Rule Name]],"_","|",3),SEARCH("|",SUBSTITUTE(Table362[[#This Row],[Rule Name]],"_","|",3))+1,LEN(Table362[[#This Row],[Rule Name]]))</f>
        <v>CUS0900_DistributionChannelRef</v>
      </c>
      <c r="R193" s="13" t="s">
        <v>8035</v>
      </c>
      <c r="S193" s="7" t="s">
        <v>2</v>
      </c>
      <c r="T193" s="7"/>
      <c r="U193" s="7" t="s">
        <v>617</v>
      </c>
      <c r="V193" s="7" t="s">
        <v>3334</v>
      </c>
      <c r="W193" s="7" t="s">
        <v>2435</v>
      </c>
      <c r="X193" s="8" t="s">
        <v>2449</v>
      </c>
      <c r="Y193" s="7" t="s">
        <v>4244</v>
      </c>
      <c r="Z193" s="7" t="s">
        <v>2435</v>
      </c>
      <c r="AA193" s="11" t="str">
        <f>"BEGIN
     RETURN exists('DS_IS_RDS', '"&amp;Table362[[#This Row],[Lookup Table]]&amp;"', '"&amp;Table362[[#This Row],[Lookup Field]]&amp;"', "&amp;Table362[[#This Row],[IS Parameter]]&amp;");
END"</f>
        <v>BEGIN
     RETURN exists('DS_IS_RDS', 'TVTW', 'VTWEG', $P_I_DistributionChannel);
END</v>
      </c>
      <c r="AB193" s="11" t="str">
        <f>Table362[[#This Row],[IS Parameter]]&amp;" IS NOT NULL
AND "&amp; Table362[[#This Row],[IS Parameter]]&amp;" != ''"</f>
        <v>$P_I_DistributionChannel IS NOT NULL
AND $P_I_DistributionChannel != ''</v>
      </c>
      <c r="AC193" s="10" t="s">
        <v>6663</v>
      </c>
      <c r="AD193" s="10"/>
      <c r="AE193" s="13" t="s">
        <v>6933</v>
      </c>
      <c r="AF193" s="13" t="str">
        <f>"VW_"&amp;Table362[[#This Row],[New Rule Name]]</f>
        <v>VW_CUS0900_DistributionChannelRef</v>
      </c>
      <c r="AG193" s="11" t="str">
        <f>"create view "&amp;Table362[[#This Row],[View Name]]&amp;" as 
     select 
          "&amp;IF(Table362[[#This Row],[Entity]]="Customer","KUNNR",IF(Table362[[#This Row],[Entity]]="Vendor","LIFNR","MATNR"))&amp;",
          VKORG,
          "&amp;Table362[[#This Row],[Field]]&amp;" 
     from "&amp;Table362[[#This Row],[Table]]&amp;"
     group by "&amp;IF(Table362[[#This Row],[Entity]]="Customer","KUNNR",IF(Table362[[#This Row],[Entity]]="Vendor","LIFNR","MATNR"))&amp;",VKORG,"&amp;Table362[[#This Row],[Field]]</f>
        <v>create view VW_CUS0900_DistributionChannelRef as 
     select 
          KUNNR,
          VKORG,
          VTWEG 
     from KNVV
     group by KUNNR,VKORG,VTWEG</v>
      </c>
      <c r="AH193" s="8" t="s">
        <v>6934</v>
      </c>
      <c r="AI193" s="20"/>
      <c r="AJ193" s="20"/>
      <c r="AK193" s="31">
        <v>90</v>
      </c>
      <c r="AL193" s="31"/>
    </row>
    <row r="194" spans="1:38" s="3" customFormat="1" ht="72" x14ac:dyDescent="0.25">
      <c r="A194" s="9">
        <v>189</v>
      </c>
      <c r="B194" s="7" t="s">
        <v>3973</v>
      </c>
      <c r="C194" s="7" t="s">
        <v>3</v>
      </c>
      <c r="D194" s="7" t="s">
        <v>6711</v>
      </c>
      <c r="E194" s="7" t="s">
        <v>6712</v>
      </c>
      <c r="F194" s="7" t="s">
        <v>6725</v>
      </c>
      <c r="G194" s="7" t="s">
        <v>6371</v>
      </c>
      <c r="H194" s="7" t="s">
        <v>6372</v>
      </c>
      <c r="I194" s="7"/>
      <c r="J194" s="20" t="str">
        <f>VLOOKUP(V194,Table_to_BRG!A:D,3,FALSE)</f>
        <v>General data</v>
      </c>
      <c r="K194" s="20" t="str">
        <f>VLOOKUP(V194,Table_to_BRG!A:D,2,FALSE)</f>
        <v>General</v>
      </c>
      <c r="L194" s="20"/>
      <c r="M194" s="20"/>
      <c r="N194" s="9"/>
      <c r="O194" s="54"/>
      <c r="P194" s="7" t="s">
        <v>8382</v>
      </c>
      <c r="Q194" s="11" t="str">
        <f>UPPER(LEFT(Table362[[#This Row],[Entity]],3))&amp;RIGHT("00"&amp;Table362[[#This Row],[Rule '# by Entity]],3)&amp;"0_"&amp;MID(SUBSTITUTE(Table362[[#This Row],[Rule Name]],"_","|",3),SEARCH("|",SUBSTITUTE(Table362[[#This Row],[Rule Name]],"_","|",3))+1,LEN(Table362[[#This Row],[Rule Name]]))</f>
        <v>MAT0180_HazardousMaterialNumberRef</v>
      </c>
      <c r="R194" s="8" t="s">
        <v>7947</v>
      </c>
      <c r="S194" s="7" t="s">
        <v>2</v>
      </c>
      <c r="T194" s="7"/>
      <c r="U194" s="7" t="s">
        <v>674</v>
      </c>
      <c r="V194" s="7" t="s">
        <v>1526</v>
      </c>
      <c r="W194" s="7" t="s">
        <v>1972</v>
      </c>
      <c r="X194" s="8" t="s">
        <v>6671</v>
      </c>
      <c r="Y194" s="7" t="s">
        <v>7737</v>
      </c>
      <c r="Z194" s="7" t="s">
        <v>1972</v>
      </c>
      <c r="AA194" s="11" t="str">
        <f>"BEGIN
     RETURN exists('DS_IS_RDS', '"&amp;Table362[[#This Row],[Lookup Table]]&amp;"', '"&amp;Table362[[#This Row],[Lookup Field]]&amp;"', "&amp;Table362[[#This Row],[IS Parameter]]&amp;");
END"</f>
        <v>BEGIN
     RETURN exists('DS_IS_RDS', 'MGEF', 'STOFF', $P_I_HazmatRequirements);
END</v>
      </c>
      <c r="AB194" s="11" t="str">
        <f>Table362[[#This Row],[IS Parameter]]&amp;" IS NOT NULL AND rtrim("&amp;Table362[[#This Row],[IS Parameter]]&amp;", ' ') != ''"</f>
        <v>$P_I_HazmatRequirements IS NOT NULL AND rtrim($P_I_HazmatRequirements, ' ') != ''</v>
      </c>
      <c r="AC194" s="10" t="s">
        <v>6663</v>
      </c>
      <c r="AD194" s="10"/>
      <c r="AE194" s="13" t="str">
        <f>IF(Table362[[#This Row],[Entity]]="Customer","KUNNR",IF(Table362[[#This Row],[Entity]]="Vendor","LIFNR","MATNR"))&amp;","&amp;Table362[[#This Row],[Field]]</f>
        <v>MATNR,STOFF</v>
      </c>
      <c r="AF194" s="13" t="str">
        <f>"VW_"&amp;Table362[[#This Row],[New Rule Name]]</f>
        <v>VW_MAT0180_HazardousMaterialNumberRef</v>
      </c>
      <c r="AG194" s="11" t="str">
        <f>"create view "&amp;Table362[[#This Row],[View Name]]&amp;" as 
     select 
          "&amp;IF(Table362[[#This Row],[Entity]]="Customer","KUNNR",IF(Table362[[#This Row],[Entity]]="Vendor","LIFNR","MATNR"))&amp;",
          "&amp;Table362[[#This Row],[Field]]&amp;" 
     from "&amp;Table362[[#This Row],[Table]]</f>
        <v>create view VW_MAT0180_HazardousMaterialNumberRef as 
     select 
          MATNR,
          STOFF 
     from MARA</v>
      </c>
      <c r="AH194" s="8" t="s">
        <v>7738</v>
      </c>
      <c r="AI194" s="20"/>
      <c r="AJ194" s="20"/>
      <c r="AK194" s="31">
        <v>18</v>
      </c>
      <c r="AL194" s="31"/>
    </row>
    <row r="195" spans="1:38" s="3" customFormat="1" ht="84" hidden="1" x14ac:dyDescent="0.25">
      <c r="A195" s="9">
        <v>190</v>
      </c>
      <c r="B195" s="7" t="s">
        <v>3973</v>
      </c>
      <c r="C195" s="7" t="s">
        <v>16</v>
      </c>
      <c r="D195" s="7" t="s">
        <v>6719</v>
      </c>
      <c r="E195" s="7" t="s">
        <v>6720</v>
      </c>
      <c r="F195" s="7" t="s">
        <v>6721</v>
      </c>
      <c r="G195" s="7" t="s">
        <v>6358</v>
      </c>
      <c r="H195" s="7" t="s">
        <v>6360</v>
      </c>
      <c r="I195" s="7"/>
      <c r="J195" s="20" t="str">
        <f>VLOOKUP(V195,Table_to_BRG!A:D,3,FALSE)</f>
        <v>Company Code data</v>
      </c>
      <c r="K195" s="20" t="str">
        <f>VLOOKUP(V195,Table_to_BRG!A:D,2,FALSE)</f>
        <v>Company Code</v>
      </c>
      <c r="L195" s="20"/>
      <c r="M195" s="20"/>
      <c r="N195" s="9"/>
      <c r="O195" s="54"/>
      <c r="P195" s="7" t="s">
        <v>7867</v>
      </c>
      <c r="Q195" s="11" t="str">
        <f>UPPER(LEFT(Table362[[#This Row],[Entity]],3))&amp;RIGHT("00"&amp;Table362[[#This Row],[Rule '# by Entity]],3)&amp;"0_"&amp;MID(SUBSTITUTE(Table362[[#This Row],[Rule Name]],"_","|",3),SEARCH("|",SUBSTITUTE(Table362[[#This Row],[Rule Name]],"_","|",3))+1,LEN(Table362[[#This Row],[Rule Name]]))</f>
        <v>CUS0470_BillOfExchangePaymentTermRef</v>
      </c>
      <c r="R195" s="13" t="s">
        <v>8036</v>
      </c>
      <c r="S195" s="7" t="s">
        <v>2</v>
      </c>
      <c r="T195" s="7"/>
      <c r="U195" s="7" t="s">
        <v>678</v>
      </c>
      <c r="V195" s="7" t="s">
        <v>2740</v>
      </c>
      <c r="W195" s="7" t="s">
        <v>2891</v>
      </c>
      <c r="X195" s="8" t="s">
        <v>2910</v>
      </c>
      <c r="Y195" s="7" t="s">
        <v>4250</v>
      </c>
      <c r="Z195" s="7" t="s">
        <v>2888</v>
      </c>
      <c r="AA195" s="11" t="str">
        <f>"BEGIN
     RETURN exists('DS_IS_RDS', '"&amp;Table362[[#This Row],[Lookup Table]]&amp;"', '"&amp;Table362[[#This Row],[Lookup Field]]&amp;"', "&amp;Table362[[#This Row],[IS Parameter]]&amp;");
END"</f>
        <v>BEGIN
     RETURN exists('DS_IS_RDS', 'T052', 'ZTERM', $P_I_BePaymentTerm);
END</v>
      </c>
      <c r="AB195" s="11" t="str">
        <f>Table362[[#This Row],[IS Parameter]]&amp;" IS NOT NULL
AND "&amp; Table362[[#This Row],[IS Parameter]]&amp;" != ''"</f>
        <v>$P_I_BePaymentTerm IS NOT NULL
AND $P_I_BePaymentTerm != ''</v>
      </c>
      <c r="AC195" s="10" t="s">
        <v>6663</v>
      </c>
      <c r="AD195" s="10"/>
      <c r="AE195" s="13" t="str">
        <f>IF(Table362[[#This Row],[Entity]]="Customer","KUNNR",IF(Table362[[#This Row],[Entity]]="Vendor","LIFNR","MATNR"))&amp;",BUKRS"&amp;","&amp;Table362[[#This Row],[Field]]</f>
        <v>KUNNR,BUKRS,WAKON</v>
      </c>
      <c r="AF195" s="13" t="str">
        <f>"VW_"&amp;Table362[[#This Row],[New Rule Name]]</f>
        <v>VW_CUS0470_BillOfExchangePaymentTermRef</v>
      </c>
      <c r="AG195" s="11" t="str">
        <f>"create view "&amp;Table362[[#This Row],[View Name]]&amp;" as 
     select 
          "&amp;IF(Table362[[#This Row],[Entity]]="Customer","KUNNR",IF(Table362[[#This Row],[Entity]]="Vendor","LIFNR","MATNR"))&amp;",
          BUKRS,
          "&amp;Table362[[#This Row],[Field]]&amp;" 
     from "&amp;Table362[[#This Row],[Table]]</f>
        <v>create view VW_CUS0470_BillOfExchangePaymentTermRef as 
     select 
          KUNNR,
          BUKRS,
          WAKON 
     from KNB1</v>
      </c>
      <c r="AH195" s="8" t="s">
        <v>6477</v>
      </c>
      <c r="AI195" s="20" t="s">
        <v>7723</v>
      </c>
      <c r="AJ195" s="20"/>
      <c r="AK195" s="31">
        <v>47</v>
      </c>
      <c r="AL195" s="31"/>
    </row>
    <row r="196" spans="1:38" s="3" customFormat="1" ht="120" hidden="1" x14ac:dyDescent="0.25">
      <c r="A196" s="9">
        <v>194</v>
      </c>
      <c r="B196" s="7" t="s">
        <v>3973</v>
      </c>
      <c r="C196" s="7" t="s">
        <v>1207</v>
      </c>
      <c r="D196" s="7" t="s">
        <v>5978</v>
      </c>
      <c r="E196" s="7" t="s">
        <v>5978</v>
      </c>
      <c r="F196" s="7" t="s">
        <v>5978</v>
      </c>
      <c r="G196" s="7" t="s">
        <v>6361</v>
      </c>
      <c r="H196" s="7" t="s">
        <v>3967</v>
      </c>
      <c r="I196" s="7"/>
      <c r="J196" s="20" t="e">
        <f>VLOOKUP(V196,Table_to_BRG!A:D,3,FALSE)</f>
        <v>#N/A</v>
      </c>
      <c r="K196" s="20" t="e">
        <f>VLOOKUP(V196,Table_to_BRG!A:D,2,FALSE)</f>
        <v>#N/A</v>
      </c>
      <c r="L196" s="20"/>
      <c r="M196" s="20"/>
      <c r="N196" s="9" t="s">
        <v>6465</v>
      </c>
      <c r="O196" s="54" t="s">
        <v>6925</v>
      </c>
      <c r="P196" s="7" t="s">
        <v>8480</v>
      </c>
      <c r="Q196" s="11"/>
      <c r="R196" s="8"/>
      <c r="S196" s="7" t="s">
        <v>2</v>
      </c>
      <c r="T196" s="7"/>
      <c r="U196" s="7" t="s">
        <v>687</v>
      </c>
      <c r="V196" s="7"/>
      <c r="W196" s="7"/>
      <c r="X196" s="8"/>
      <c r="Y196" s="7" t="s">
        <v>6037</v>
      </c>
      <c r="Z196" s="7" t="s">
        <v>6038</v>
      </c>
      <c r="AA196" s="10" t="s">
        <v>8229</v>
      </c>
      <c r="AB196" s="10"/>
      <c r="AC196" s="13"/>
      <c r="AD196"/>
      <c r="AE196" s="13"/>
      <c r="AF196" s="13"/>
      <c r="AG196" s="11"/>
      <c r="AH196" s="8" t="s">
        <v>6476</v>
      </c>
      <c r="AI196" s="20" t="s">
        <v>7587</v>
      </c>
      <c r="AJ196" s="20"/>
      <c r="AK196" s="31"/>
      <c r="AL196" s="31"/>
    </row>
    <row r="197" spans="1:38" s="3" customFormat="1" ht="108" x14ac:dyDescent="0.25">
      <c r="A197" s="9">
        <v>191</v>
      </c>
      <c r="B197" s="7" t="s">
        <v>3973</v>
      </c>
      <c r="C197" s="7" t="s">
        <v>3</v>
      </c>
      <c r="D197" s="7" t="s">
        <v>6711</v>
      </c>
      <c r="E197" s="7" t="s">
        <v>6712</v>
      </c>
      <c r="F197" s="7" t="s">
        <v>6713</v>
      </c>
      <c r="G197" s="7" t="s">
        <v>6371</v>
      </c>
      <c r="H197" s="7" t="s">
        <v>6388</v>
      </c>
      <c r="I197" s="7"/>
      <c r="J197" s="20" t="str">
        <f>VLOOKUP(V197,Table_to_BRG!A:D,3,FALSE)</f>
        <v>Plant data</v>
      </c>
      <c r="K197" s="20" t="str">
        <f>VLOOKUP(V197,Table_to_BRG!A:D,2,FALSE)</f>
        <v>Plant</v>
      </c>
      <c r="L197" s="20"/>
      <c r="M197" s="20"/>
      <c r="N197" s="9"/>
      <c r="O197" s="54"/>
      <c r="P197" s="7" t="s">
        <v>8383</v>
      </c>
      <c r="Q197" s="11" t="str">
        <f>UPPER(LEFT(Table362[[#This Row],[Entity]],3))&amp;RIGHT("00"&amp;Table362[[#This Row],[Rule '# by Entity]],3)&amp;"0_"&amp;MID(SUBSTITUTE(Table362[[#This Row],[Rule Name]],"_","|",3),SEARCH("|",SUBSTITUTE(Table362[[#This Row],[Rule Name]],"_","|",3))+1,LEN(Table362[[#This Row],[Rule Name]]))</f>
        <v>MAT0750_SerialNumberProfileRef</v>
      </c>
      <c r="R197" s="8" t="s">
        <v>7948</v>
      </c>
      <c r="S197" s="7" t="s">
        <v>2</v>
      </c>
      <c r="T197" s="7"/>
      <c r="U197" s="7" t="s">
        <v>682</v>
      </c>
      <c r="V197" s="7" t="s">
        <v>1527</v>
      </c>
      <c r="W197" s="7" t="s">
        <v>2003</v>
      </c>
      <c r="X197" s="8" t="s">
        <v>8629</v>
      </c>
      <c r="Y197" s="7" t="s">
        <v>6035</v>
      </c>
      <c r="Z197" s="7" t="s">
        <v>6036</v>
      </c>
      <c r="AA197" s="11" t="str">
        <f>"BEGIN
     RETURN exists('DS_IS_RDS', '"&amp;Table362[[#This Row],[Lookup Table]]&amp;"', '"&amp;Table362[[#This Row],[Lookup Field]]&amp;"', "&amp;Table362[[#This Row],[IS Parameter]]&amp;");
END"</f>
        <v>BEGIN
     RETURN exists('DS_IS_RDS', 'T377P', 'SERAIL', $P_I_SerialNoProfile);
END</v>
      </c>
      <c r="AB197" s="11" t="str">
        <f>Table362[[#This Row],[IS Parameter]]&amp;" IS NOT NULL AND rtrim("&amp;Table362[[#This Row],[IS Parameter]]&amp;", ' ') != ''"</f>
        <v>$P_I_SerialNoProfile IS NOT NULL AND rtrim($P_I_SerialNoProfile, ' ') != ''</v>
      </c>
      <c r="AC197" s="10" t="s">
        <v>6663</v>
      </c>
      <c r="AD197" s="10"/>
      <c r="AE197" s="13" t="str">
        <f>IF(Table362[[#This Row],[Entity]]="Customer","KUNNR",IF(Table362[[#This Row],[Entity]]="Vendor","LIFNR","MATNR"))&amp;",WERKS"&amp;","&amp;Table362[[#This Row],[Field]]</f>
        <v>MATNR,WERKS,SERNP</v>
      </c>
      <c r="AF197" s="13" t="str">
        <f>"VW_"&amp;Table362[[#This Row],[New Rule Name]]</f>
        <v>VW_MAT0750_SerialNumberProfileRef</v>
      </c>
      <c r="AG197"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VW_MAT0750_SerialNumberProfileRef (
     MATNR,
     WERKS,
     SERNP
     ) as select 
          MATNR,
          WERKS,
          SERNP 
     from MARC</v>
      </c>
      <c r="AH197" s="8"/>
      <c r="AI197" s="20"/>
      <c r="AJ197" s="20"/>
      <c r="AK197" s="31">
        <v>75</v>
      </c>
      <c r="AL197" s="31"/>
    </row>
    <row r="198" spans="1:38" s="3" customFormat="1" ht="60" hidden="1" x14ac:dyDescent="0.25">
      <c r="A198" s="9">
        <v>192</v>
      </c>
      <c r="B198" s="7" t="s">
        <v>3973</v>
      </c>
      <c r="C198" s="7" t="s">
        <v>1207</v>
      </c>
      <c r="D198" s="7" t="s">
        <v>6719</v>
      </c>
      <c r="E198" s="7" t="s">
        <v>6720</v>
      </c>
      <c r="F198" s="7" t="s">
        <v>6722</v>
      </c>
      <c r="G198" s="7" t="s">
        <v>6361</v>
      </c>
      <c r="H198" s="7" t="s">
        <v>6363</v>
      </c>
      <c r="I198" s="7"/>
      <c r="J198" s="20" t="str">
        <f>VLOOKUP(V198,Table_to_BRG!A:D,3,FALSE)</f>
        <v>General data</v>
      </c>
      <c r="K198" s="20" t="str">
        <f>VLOOKUP(V198,Table_to_BRG!A:D,2,FALSE)</f>
        <v>General</v>
      </c>
      <c r="L198" s="20"/>
      <c r="M198" s="20"/>
      <c r="N198" s="9"/>
      <c r="O198" s="54"/>
      <c r="P198" s="7" t="s">
        <v>8481</v>
      </c>
      <c r="Q198" s="11" t="str">
        <f>UPPER(LEFT(Table362[[#This Row],[Entity]],3))&amp;RIGHT("00"&amp;Table362[[#This Row],[Rule '# by Entity]],3)&amp;"0_"&amp;MID(SUBSTITUTE(Table362[[#This Row],[Rule Name]],"_","|",3),SEARCH("|",SUBSTITUTE(Table362[[#This Row],[Rule Name]],"_","|",3))+1,LEN(Table362[[#This Row],[Rule Name]]))</f>
        <v>VEN0230_TradingPartnerRef</v>
      </c>
      <c r="R198" s="8" t="s">
        <v>8267</v>
      </c>
      <c r="S198" s="7" t="s">
        <v>2</v>
      </c>
      <c r="T198" s="7"/>
      <c r="U198" s="7" t="s">
        <v>17</v>
      </c>
      <c r="V198" s="7" t="s">
        <v>3542</v>
      </c>
      <c r="W198" s="7" t="s">
        <v>3046</v>
      </c>
      <c r="X198" s="8" t="s">
        <v>3065</v>
      </c>
      <c r="Y198" s="7" t="s">
        <v>4157</v>
      </c>
      <c r="Z198" s="7" t="s">
        <v>4158</v>
      </c>
      <c r="AA198" s="11" t="str">
        <f>"BEGIN
     RETURN exists('DS_IS_RDS', '"&amp;Table362[[#This Row],[Lookup Table]]&amp;"', '"&amp;Table362[[#This Row],[Lookup Field]]&amp;"', "&amp;Table362[[#This Row],[IS Parameter]]&amp;");
END"</f>
        <v>BEGIN
     RETURN exists('DS_IS_RDS', 'T880', 'RCOMP', $P_I_TradingPartner);
END</v>
      </c>
      <c r="AB198" s="11"/>
      <c r="AC198" s="10" t="s">
        <v>6663</v>
      </c>
      <c r="AD198" s="10"/>
      <c r="AE198" s="13" t="str">
        <f>IF(Table362[[#This Row],[Entity]]="Customer","KUNNR",IF(Table362[[#This Row],[Entity]]="Vendor","LIFNR","MATNR"))&amp;","&amp;Table362[[#This Row],[Field]]</f>
        <v>LIFNR,VBUND</v>
      </c>
      <c r="AF198" s="13" t="str">
        <f>"VW_"&amp;Table362[[#This Row],[New Rule Name]]</f>
        <v>VW_VEN0230_TradingPartnerRef</v>
      </c>
      <c r="AG198" s="11" t="str">
        <f>"create view "&amp;Table362[[#This Row],[View Name]]&amp;" as 
     select 
          "&amp;IF(Table362[[#This Row],[Entity]]="Customer","KUNNR",IF(Table362[[#This Row],[Entity]]="Vendor","LIFNR","MATNR"))&amp;",
          "&amp;Table362[[#This Row],[Field]]&amp;" 
     from "&amp;Table362[[#This Row],[Table]]</f>
        <v>create view VW_VEN0230_TradingPartnerRef as 
     select 
          LIFNR,
          VBUND 
     from LFA1</v>
      </c>
      <c r="AH198" s="8"/>
      <c r="AI198" s="20" t="s">
        <v>7626</v>
      </c>
      <c r="AJ198" s="20"/>
      <c r="AK198" s="31">
        <v>23</v>
      </c>
      <c r="AL198" s="31"/>
    </row>
    <row r="199" spans="1:38" s="3" customFormat="1" ht="84" hidden="1" x14ac:dyDescent="0.25">
      <c r="A199" s="9">
        <v>193</v>
      </c>
      <c r="B199" s="7" t="s">
        <v>3973</v>
      </c>
      <c r="C199" s="7" t="s">
        <v>1207</v>
      </c>
      <c r="D199" s="7" t="s">
        <v>6719</v>
      </c>
      <c r="E199" s="7" t="s">
        <v>6720</v>
      </c>
      <c r="F199" s="7" t="s">
        <v>6738</v>
      </c>
      <c r="G199" s="7" t="s">
        <v>6361</v>
      </c>
      <c r="H199" s="7" t="s">
        <v>6360</v>
      </c>
      <c r="I199" s="7" t="s">
        <v>3970</v>
      </c>
      <c r="J199" s="20" t="str">
        <f>VLOOKUP(V199,Table_to_BRG!A:D,3,FALSE)</f>
        <v>Bank data</v>
      </c>
      <c r="K199" s="20" t="str">
        <f>VLOOKUP(V199,Table_to_BRG!A:D,2,FALSE)</f>
        <v>Bank details</v>
      </c>
      <c r="L199" s="20"/>
      <c r="M199" s="20"/>
      <c r="N199" s="9"/>
      <c r="O199" s="54"/>
      <c r="P199" s="7" t="s">
        <v>8482</v>
      </c>
      <c r="Q199" s="11" t="str">
        <f>UPPER(LEFT(Table362[[#This Row],[Entity]],3))&amp;RIGHT("00"&amp;Table362[[#This Row],[Rule '# by Entity]],3)&amp;"0_"&amp;MID(SUBSTITUTE(Table362[[#This Row],[Rule Name]],"_","|",3),SEARCH("|",SUBSTITUTE(Table362[[#This Row],[Rule Name]],"_","|",3))+1,LEN(Table362[[#This Row],[Rule Name]]))</f>
        <v>VEN0540_BankCountryKeyPopulated</v>
      </c>
      <c r="R199" s="8" t="s">
        <v>8111</v>
      </c>
      <c r="S199" s="7" t="s">
        <v>21</v>
      </c>
      <c r="T199" s="7"/>
      <c r="U199" s="7" t="s">
        <v>349</v>
      </c>
      <c r="V199" s="7" t="s">
        <v>3802</v>
      </c>
      <c r="W199" s="7" t="s">
        <v>3167</v>
      </c>
      <c r="X199" s="8" t="s">
        <v>1416</v>
      </c>
      <c r="Y199" s="7" t="s">
        <v>5978</v>
      </c>
      <c r="Z199" s="7" t="s">
        <v>5978</v>
      </c>
      <c r="AA199" s="10" t="s">
        <v>350</v>
      </c>
      <c r="AB199" s="10"/>
      <c r="AC199" s="10" t="s">
        <v>6813</v>
      </c>
      <c r="AD199" s="10"/>
      <c r="AE199" s="13" t="str">
        <f>IF(Table362[[#This Row],[Entity]]="Customer","KUNNR",IF(Table362[[#This Row],[Entity]]="Vendor","LIFNR","MATNR"))&amp;","&amp;Table362[[#This Row],[Field]]</f>
        <v>LIFNR,BANKS</v>
      </c>
      <c r="AF199" s="13" t="str">
        <f>"VW_"&amp;Table362[[#This Row],[New Rule Name]]</f>
        <v>VW_VEN0540_BankCountryKeyPopulated</v>
      </c>
      <c r="AG199" s="11" t="str">
        <f>"create view "&amp;Table362[[#This Row],[View Name]]&amp;" as 
     select 
          "&amp;IF(Table362[[#This Row],[Entity]]="Customer","KUNNR",IF(Table362[[#This Row],[Entity]]="Vendor","LIFNR","MATNR"))&amp;",
          "&amp;Table362[[#This Row],[Field]]&amp;" 
     from "&amp;Table362[[#This Row],[Table]]&amp;"
     group by BANKS"</f>
        <v>create view VW_VEN0540_BankCountryKeyPopulated as 
     select 
          LIFNR,
          BANKS 
     from LFBK
     group by BANKS</v>
      </c>
      <c r="AH199" s="8"/>
      <c r="AI199" s="20" t="s">
        <v>7643</v>
      </c>
      <c r="AJ199" s="20"/>
      <c r="AK199" s="31">
        <v>54</v>
      </c>
      <c r="AL199" s="31"/>
    </row>
    <row r="200" spans="1:38" s="3" customFormat="1" ht="60" hidden="1" x14ac:dyDescent="0.25">
      <c r="A200" s="9">
        <v>195</v>
      </c>
      <c r="B200" s="7" t="s">
        <v>3973</v>
      </c>
      <c r="C200" s="7" t="s">
        <v>1207</v>
      </c>
      <c r="D200" s="7" t="s">
        <v>6719</v>
      </c>
      <c r="E200" s="7" t="s">
        <v>6720</v>
      </c>
      <c r="F200" s="7" t="s">
        <v>6722</v>
      </c>
      <c r="G200" s="7" t="s">
        <v>6377</v>
      </c>
      <c r="H200" s="7"/>
      <c r="I200" s="7"/>
      <c r="J200" s="20" t="str">
        <f>VLOOKUP(V200,Table_to_BRG!A:D,3,FALSE)</f>
        <v>General data</v>
      </c>
      <c r="K200" s="20" t="str">
        <f>VLOOKUP(V200,Table_to_BRG!A:D,2,FALSE)</f>
        <v>General</v>
      </c>
      <c r="L200" s="20"/>
      <c r="M200" s="20"/>
      <c r="N200" s="9"/>
      <c r="O200" s="54"/>
      <c r="P200" s="7" t="s">
        <v>8483</v>
      </c>
      <c r="Q200" s="11" t="str">
        <f>UPPER(LEFT(Table362[[#This Row],[Entity]],3))&amp;RIGHT("00"&amp;Table362[[#This Row],[Rule '# by Entity]],3)&amp;"0_"&amp;MID(SUBSTITUTE(Table362[[#This Row],[Rule Name]],"_","|",3),SEARCH("|",SUBSTITUTE(Table362[[#This Row],[Rule Name]],"_","|",3))+1,LEN(Table362[[#This Row],[Rule Name]]))</f>
        <v>VEN0170_AccountGroupPopulated</v>
      </c>
      <c r="R200" s="8" t="s">
        <v>8291</v>
      </c>
      <c r="S200" s="7" t="s">
        <v>21</v>
      </c>
      <c r="T200" s="7"/>
      <c r="U200" s="7" t="s">
        <v>558</v>
      </c>
      <c r="V200" s="7" t="s">
        <v>3542</v>
      </c>
      <c r="W200" s="7" t="s">
        <v>3516</v>
      </c>
      <c r="X200" s="8" t="s">
        <v>3529</v>
      </c>
      <c r="Y200" s="7" t="s">
        <v>5978</v>
      </c>
      <c r="Z200" s="7" t="s">
        <v>5978</v>
      </c>
      <c r="AA200" s="10" t="s">
        <v>559</v>
      </c>
      <c r="AB200" s="10"/>
      <c r="AC200" s="10" t="s">
        <v>6813</v>
      </c>
      <c r="AD200" s="10"/>
      <c r="AE200" s="13" t="str">
        <f>IF(Table362[[#This Row],[Entity]]="Customer","KUNNR",IF(Table362[[#This Row],[Entity]]="Vendor","LIFNR","MATNR"))&amp;","&amp;Table362[[#This Row],[Field]]</f>
        <v>LIFNR,KTOKK</v>
      </c>
      <c r="AF200" s="13" t="str">
        <f>"VW_"&amp;Table362[[#This Row],[New Rule Name]]</f>
        <v>VW_VEN0170_AccountGroupPopulated</v>
      </c>
      <c r="AG200" s="11" t="str">
        <f>"create view "&amp;Table362[[#This Row],[View Name]]&amp;" as 
     select 
          "&amp;IF(Table362[[#This Row],[Entity]]="Customer","KUNNR",IF(Table362[[#This Row],[Entity]]="Vendor","LIFNR","MATNR"))&amp;",
          "&amp;Table362[[#This Row],[Field]]&amp;" 
     from "&amp;Table362[[#This Row],[Table]]</f>
        <v>create view VW_VEN0170_AccountGroupPopulated as 
     select 
          LIFNR,
          KTOKK 
     from LFA1</v>
      </c>
      <c r="AH200" s="8"/>
      <c r="AI200" s="20" t="s">
        <v>7582</v>
      </c>
      <c r="AJ200" s="20"/>
      <c r="AK200" s="31">
        <v>17</v>
      </c>
      <c r="AL200" s="31">
        <v>8</v>
      </c>
    </row>
    <row r="201" spans="1:38" s="3" customFormat="1" ht="72" x14ac:dyDescent="0.25">
      <c r="A201" s="9">
        <v>196</v>
      </c>
      <c r="B201" s="7" t="s">
        <v>3973</v>
      </c>
      <c r="C201" s="7" t="s">
        <v>3</v>
      </c>
      <c r="D201" s="7" t="s">
        <v>6711</v>
      </c>
      <c r="E201" s="7" t="s">
        <v>6712</v>
      </c>
      <c r="F201" s="7" t="s">
        <v>6730</v>
      </c>
      <c r="G201" s="7" t="s">
        <v>6687</v>
      </c>
      <c r="H201" s="7" t="s">
        <v>6686</v>
      </c>
      <c r="I201" s="7"/>
      <c r="J201" s="20" t="str">
        <f>VLOOKUP(V201,Table_to_BRG!A:D,3,FALSE)</f>
        <v>Warehouse data</v>
      </c>
      <c r="K201" s="20" t="str">
        <f>VLOOKUP(V201,Table_to_BRG!A:D,2,FALSE)</f>
        <v>Material Data for Each Warehouse Number</v>
      </c>
      <c r="L201" s="20"/>
      <c r="M201" s="20"/>
      <c r="N201" s="9"/>
      <c r="O201" s="54"/>
      <c r="P201" s="7" t="s">
        <v>8555</v>
      </c>
      <c r="Q201" s="11" t="str">
        <f>UPPER(LEFT(Table362[[#This Row],[Entity]],3))&amp;RIGHT("00"&amp;Table362[[#This Row],[Rule '# by Entity]],3)&amp;"0_"&amp;MID(SUBSTITUTE(Table362[[#This Row],[Rule Name]],"_","|",3),SEARCH("|",SUBSTITUTE(Table362[[#This Row],[Rule Name]],"_","|",3))+1,LEN(Table362[[#This Row],[Rule Name]]))</f>
        <v>MAT1200_BulkStorageRef</v>
      </c>
      <c r="R201" s="8" t="s">
        <v>7949</v>
      </c>
      <c r="S201" s="7" t="s">
        <v>2</v>
      </c>
      <c r="T201" s="7"/>
      <c r="U201" s="7" t="s">
        <v>692</v>
      </c>
      <c r="V201" s="7" t="s">
        <v>2594</v>
      </c>
      <c r="W201" s="7" t="s">
        <v>2575</v>
      </c>
      <c r="X201" s="8" t="s">
        <v>2589</v>
      </c>
      <c r="Y201" s="7" t="s">
        <v>6039</v>
      </c>
      <c r="Z201" s="7" t="s">
        <v>2575</v>
      </c>
      <c r="AA201" s="11" t="str">
        <f>"BEGIN
     RETURN exists('DS_IS_RDS', '"&amp;Table362[[#This Row],[Lookup Table]]&amp;"', '"&amp;Table362[[#This Row],[Lookup Field]]&amp;"', "&amp;Table362[[#This Row],[IS Parameter]]&amp;");
END"</f>
        <v>BEGIN
     RETURN exists('DS_IS_RDS', 'T338', 'BLOCK', $P_I_BulkStorage);
END</v>
      </c>
      <c r="AB201" s="11" t="str">
        <f>Table362[[#This Row],[IS Parameter]]&amp;" IS NOT NULL AND rtrim("&amp;Table362[[#This Row],[IS Parameter]]&amp;", ' ') != ''"</f>
        <v>$P_I_BulkStorage IS NOT NULL AND rtrim($P_I_BulkStorage, ' ') != ''</v>
      </c>
      <c r="AC201" s="10" t="s">
        <v>6663</v>
      </c>
      <c r="AD201" s="10"/>
      <c r="AE201" s="13" t="str">
        <f>IF(Table362[[#This Row],[Entity]]="Customer","KUNNR",IF(Table362[[#This Row],[Entity]]="Vendor","LIFNR","MATNR"))&amp;",LGNUM,"&amp;Table362[[#This Row],[Field]]</f>
        <v>MATNR,LGNUM,BLOCK</v>
      </c>
      <c r="AF201" s="13" t="str">
        <f>"VW_"&amp;Table362[[#This Row],[New Rule Name]]</f>
        <v>VW_MAT1200_BulkStorageRef</v>
      </c>
      <c r="AG201" s="11" t="str">
        <f>"create view "&amp;Table362[[#This Row],[View Name]]&amp;" as 
     select 
          "&amp;IF(Table362[[#This Row],[Entity]]="Customer","KUNNR",IF(Table362[[#This Row],[Entity]]="Vendor","LIFNR","MATNR"))&amp;",
          LGNUM,
          "&amp;Table362[[#This Row],[Field]]&amp;" 
     from "&amp;Table362[[#This Row],[Table]]</f>
        <v>create view VW_MAT1200_BulkStorageRef as 
     select 
          MATNR,
          LGNUM,
          BLOCK 
     from MLGN</v>
      </c>
      <c r="AH201" s="8" t="s">
        <v>7754</v>
      </c>
      <c r="AI201" s="20" t="s">
        <v>7807</v>
      </c>
      <c r="AJ201" s="20"/>
      <c r="AK201" s="31">
        <v>120</v>
      </c>
      <c r="AL201" s="31"/>
    </row>
    <row r="202" spans="1:38" s="3" customFormat="1" ht="48" hidden="1" x14ac:dyDescent="0.25">
      <c r="A202" s="9">
        <v>197</v>
      </c>
      <c r="B202" s="7" t="s">
        <v>3973</v>
      </c>
      <c r="C202" s="7" t="s">
        <v>16</v>
      </c>
      <c r="D202" s="7" t="s">
        <v>6711</v>
      </c>
      <c r="E202" s="7" t="s">
        <v>6714</v>
      </c>
      <c r="F202" s="7" t="s">
        <v>6715</v>
      </c>
      <c r="G202" s="7" t="s">
        <v>6361</v>
      </c>
      <c r="H202" s="7" t="s">
        <v>6359</v>
      </c>
      <c r="I202" s="7" t="s">
        <v>6421</v>
      </c>
      <c r="J202" s="20" t="str">
        <f>VLOOKUP(V202,Table_to_BRG!A:D,3,FALSE)</f>
        <v>General data</v>
      </c>
      <c r="K202" s="20" t="str">
        <f>VLOOKUP(V202,Table_to_BRG!A:D,2,FALSE)</f>
        <v>General</v>
      </c>
      <c r="L202" s="20"/>
      <c r="M202" s="20"/>
      <c r="N202" s="9"/>
      <c r="O202" s="54"/>
      <c r="P202" s="7" t="s">
        <v>7868</v>
      </c>
      <c r="Q202" s="11" t="str">
        <f>UPPER(LEFT(Table362[[#This Row],[Entity]],3))&amp;RIGHT("00"&amp;Table362[[#This Row],[Rule '# by Entity]],3)&amp;"0_"&amp;MID(SUBSTITUTE(Table362[[#This Row],[Rule Name]],"_","|",3),SEARCH("|",SUBSTITUTE(Table362[[#This Row],[Rule Name]],"_","|",3))+1,LEN(Table362[[#This Row],[Rule Name]]))</f>
        <v>CUS0010_DunningRecipientRef</v>
      </c>
      <c r="R202" s="8" t="s">
        <v>8037</v>
      </c>
      <c r="S202" s="7" t="s">
        <v>21</v>
      </c>
      <c r="T202" s="7" t="s">
        <v>2</v>
      </c>
      <c r="U202" s="7" t="s">
        <v>696</v>
      </c>
      <c r="V202" s="7" t="s">
        <v>2741</v>
      </c>
      <c r="W202" s="7" t="s">
        <v>2702</v>
      </c>
      <c r="X202" s="8" t="s">
        <v>6356</v>
      </c>
      <c r="Y202" s="7" t="s">
        <v>2827</v>
      </c>
      <c r="Z202" s="7" t="s">
        <v>2788</v>
      </c>
      <c r="AA202" s="11" t="str">
        <f>"BEGIN
     RETURN exists('DS_IS_RDS', '"&amp;Table362[[#This Row],[Lookup Table]]&amp;"', '"&amp;Table362[[#This Row],[Lookup Field]]&amp;"', "&amp;Table362[[#This Row],[IS Parameter]]&amp;");
END"</f>
        <v>BEGIN
     RETURN exists('DS_IS_RDS', 'KNB5', 'KNRMA', $P_I_DunningRecipient);
END</v>
      </c>
      <c r="AB202" s="11" t="str">
        <f>Table362[[#This Row],[IS Parameter]]&amp;" IS NOT NULL
AND "&amp; Table362[[#This Row],[IS Parameter]]&amp;" != ''"</f>
        <v>$P_I_DunningRecipient IS NOT NULL
AND $P_I_DunningRecipient != ''</v>
      </c>
      <c r="AC202" s="10" t="s">
        <v>6663</v>
      </c>
      <c r="AD202"/>
      <c r="AE202" s="13" t="s">
        <v>2702</v>
      </c>
      <c r="AF202" s="13" t="str">
        <f>"VW_"&amp;Table362[[#This Row],[New Rule Name]]</f>
        <v>VW_CUS0010_DunningRecipientRef</v>
      </c>
      <c r="AG202" s="11" t="str">
        <f>"create view "&amp;Table362[[#This Row],[View Name]]&amp;" as 
     select 
          "&amp;IF(Table362[[#This Row],[Entity]]="Customer","KUNNR",IF(Table362[[#This Row],[Entity]]="Vendor","LIFNR","MATNR"))&amp;"
     from "&amp;Table362[[#This Row],[Table]]</f>
        <v>create view VW_CUS0010_DunningRecipientRef as 
     select 
          KUNNR
     from KNA1</v>
      </c>
      <c r="AH202" s="8" t="s">
        <v>7786</v>
      </c>
      <c r="AI202" s="20" t="s">
        <v>6452</v>
      </c>
      <c r="AJ202" s="20"/>
      <c r="AK202" s="31">
        <v>1</v>
      </c>
      <c r="AL202" s="31"/>
    </row>
    <row r="203" spans="1:38" s="3" customFormat="1" ht="48" hidden="1" x14ac:dyDescent="0.25">
      <c r="A203" s="9">
        <v>201</v>
      </c>
      <c r="B203" s="7" t="s">
        <v>3973</v>
      </c>
      <c r="C203" s="7" t="s">
        <v>1207</v>
      </c>
      <c r="D203" s="7" t="s">
        <v>5978</v>
      </c>
      <c r="E203" s="7" t="s">
        <v>5978</v>
      </c>
      <c r="F203" s="7" t="s">
        <v>5978</v>
      </c>
      <c r="G203" s="7"/>
      <c r="H203" s="7"/>
      <c r="I203" s="7"/>
      <c r="J203" s="20" t="str">
        <f>VLOOKUP(V203,Table_to_BRG!A:D,3,FALSE)</f>
        <v>Address data</v>
      </c>
      <c r="K203" s="20" t="str">
        <f>VLOOKUP(V203,Table_to_BRG!A:D,2,FALSE)</f>
        <v>Address</v>
      </c>
      <c r="L203" s="20"/>
      <c r="M203" s="20"/>
      <c r="N203" s="9" t="s">
        <v>6465</v>
      </c>
      <c r="O203" s="54" t="s">
        <v>8309</v>
      </c>
      <c r="P203" s="16" t="s">
        <v>8484</v>
      </c>
      <c r="Q203" s="11"/>
      <c r="R203" s="13" t="s">
        <v>6484</v>
      </c>
      <c r="S203" s="7" t="s">
        <v>2</v>
      </c>
      <c r="T203" s="7"/>
      <c r="U203" s="7" t="s">
        <v>79</v>
      </c>
      <c r="V203" s="23" t="s">
        <v>6900</v>
      </c>
      <c r="W203" s="23" t="s">
        <v>1868</v>
      </c>
      <c r="X203" s="24" t="s">
        <v>1447</v>
      </c>
      <c r="Y203" s="7" t="s">
        <v>5973</v>
      </c>
      <c r="Z203" s="7" t="s">
        <v>1868</v>
      </c>
      <c r="AA203" s="11" t="str">
        <f>"BEGIN
     RETURN exists('DS_IS_RDS', '"&amp;Table362[[#This Row],[Lookup Table]]&amp;"', '"&amp;Table362[[#This Row],[Lookup Field]]&amp;"', "&amp;Table362[[#This Row],[IS Parameter]]&amp;");
END"</f>
        <v>BEGIN
     RETURN exists('DS_IS_RDS', 'T009', 'PERIV', $P_I_FIYearVariant);
END</v>
      </c>
      <c r="AB203" s="11"/>
      <c r="AC203" s="10" t="s">
        <v>6663</v>
      </c>
      <c r="AD203" s="10"/>
      <c r="AE203" s="13"/>
      <c r="AF203" s="13"/>
      <c r="AG203" s="11"/>
      <c r="AH203" s="8"/>
      <c r="AI203" s="20" t="s">
        <v>7721</v>
      </c>
      <c r="AJ203" s="20"/>
      <c r="AK203" s="31"/>
      <c r="AL203" s="31"/>
    </row>
    <row r="204" spans="1:38" s="3" customFormat="1" ht="72" hidden="1" x14ac:dyDescent="0.25">
      <c r="A204" s="9">
        <v>198</v>
      </c>
      <c r="B204" s="7" t="s">
        <v>3973</v>
      </c>
      <c r="C204" s="7" t="s">
        <v>1207</v>
      </c>
      <c r="D204" s="7" t="s">
        <v>6719</v>
      </c>
      <c r="E204" s="7" t="s">
        <v>6720</v>
      </c>
      <c r="F204" s="7" t="s">
        <v>6722</v>
      </c>
      <c r="G204" s="7" t="s">
        <v>6361</v>
      </c>
      <c r="H204" s="7" t="s">
        <v>6363</v>
      </c>
      <c r="I204" s="7"/>
      <c r="J204" s="20" t="str">
        <f>VLOOKUP(V204,Table_to_BRG!A:D,3,FALSE)</f>
        <v>General data</v>
      </c>
      <c r="K204" s="20" t="str">
        <f>VLOOKUP(V204,Table_to_BRG!A:D,2,FALSE)</f>
        <v>General</v>
      </c>
      <c r="L204" s="20"/>
      <c r="M204" s="20"/>
      <c r="N204" s="9"/>
      <c r="O204" s="54"/>
      <c r="P204" s="7" t="s">
        <v>8485</v>
      </c>
      <c r="Q204" s="11" t="str">
        <f>UPPER(LEFT(Table362[[#This Row],[Entity]],3))&amp;RIGHT("00"&amp;Table362[[#This Row],[Rule '# by Entity]],3)&amp;"0_"&amp;MID(SUBSTITUTE(Table362[[#This Row],[Rule Name]],"_","|",3),SEARCH("|",SUBSTITUTE(Table362[[#This Row],[Rule Name]],"_","|",3))+1,LEN(Table362[[#This Row],[Rule Name]]))</f>
        <v>VEN0290_ServiceAgentProcedureGroupRef</v>
      </c>
      <c r="R204" s="8" t="s">
        <v>8274</v>
      </c>
      <c r="S204" s="7" t="s">
        <v>2</v>
      </c>
      <c r="T204" s="7"/>
      <c r="U204" s="7" t="s">
        <v>700</v>
      </c>
      <c r="V204" s="7" t="s">
        <v>3542</v>
      </c>
      <c r="W204" s="7" t="s">
        <v>3743</v>
      </c>
      <c r="X204" s="8" t="s">
        <v>3756</v>
      </c>
      <c r="Y204" s="7" t="s">
        <v>6040</v>
      </c>
      <c r="Z204" s="7" t="s">
        <v>3743</v>
      </c>
      <c r="AA204" s="11" t="str">
        <f>"BEGIN
     RETURN exists('DS_IS_RDS', '"&amp;Table362[[#This Row],[Lookup Table]]&amp;"', '"&amp;Table362[[#This Row],[Lookup Field]]&amp;"', "&amp;Table362[[#This Row],[IS Parameter]]&amp;");
END"</f>
        <v>BEGIN
     RETURN exists('DS_IS_RDS', 'TVFCD', 'DLGRP', $P_I_ServiceAgentProcGroup);
END</v>
      </c>
      <c r="AB204" s="11"/>
      <c r="AC204" s="10" t="s">
        <v>6663</v>
      </c>
      <c r="AD204" s="10"/>
      <c r="AE204" s="13" t="str">
        <f>IF(Table362[[#This Row],[Entity]]="Customer","KUNNR",IF(Table362[[#This Row],[Entity]]="Vendor","LIFNR","MATNR"))&amp;","&amp;Table362[[#This Row],[Field]]</f>
        <v>LIFNR,DLGRP</v>
      </c>
      <c r="AF204" s="13" t="str">
        <f>"VW_"&amp;Table362[[#This Row],[New Rule Name]]</f>
        <v>VW_VEN0290_ServiceAgentProcedureGroupRef</v>
      </c>
      <c r="AG204" s="11" t="str">
        <f>"create view "&amp;Table362[[#This Row],[View Name]]&amp;" as 
     select 
          "&amp;IF(Table362[[#This Row],[Entity]]="Customer","KUNNR",IF(Table362[[#This Row],[Entity]]="Vendor","LIFNR","MATNR"))&amp;",
          "&amp;Table362[[#This Row],[Field]]&amp;" 
     from "&amp;Table362[[#This Row],[Table]]</f>
        <v>create view VW_VEN0290_ServiceAgentProcedureGroupRef as 
     select 
          LIFNR,
          DLGRP 
     from LFA1</v>
      </c>
      <c r="AH204" s="8"/>
      <c r="AI204" s="20"/>
      <c r="AJ204" s="20"/>
      <c r="AK204" s="31">
        <v>29</v>
      </c>
      <c r="AL204" s="31"/>
    </row>
    <row r="205" spans="1:38" s="3" customFormat="1" ht="72" x14ac:dyDescent="0.25">
      <c r="A205" s="9">
        <v>199</v>
      </c>
      <c r="B205" s="7" t="s">
        <v>3973</v>
      </c>
      <c r="C205" s="7" t="s">
        <v>3</v>
      </c>
      <c r="D205" s="7" t="s">
        <v>6711</v>
      </c>
      <c r="E205" s="7" t="s">
        <v>6712</v>
      </c>
      <c r="F205" s="7" t="s">
        <v>6747</v>
      </c>
      <c r="G205" s="7" t="s">
        <v>6385</v>
      </c>
      <c r="H205" s="7"/>
      <c r="I205" s="7"/>
      <c r="J205" s="20" t="str">
        <f>VLOOKUP(V205,Table_to_BRG!A:D,3,FALSE)</f>
        <v>General data</v>
      </c>
      <c r="K205" s="20" t="str">
        <f>VLOOKUP(V205,Table_to_BRG!A:D,2,FALSE)</f>
        <v>Descriptions</v>
      </c>
      <c r="L205" s="20"/>
      <c r="M205" s="20"/>
      <c r="N205" s="9"/>
      <c r="O205" s="54"/>
      <c r="P205" s="7" t="s">
        <v>8384</v>
      </c>
      <c r="Q205" s="11" t="str">
        <f>UPPER(LEFT(Table362[[#This Row],[Entity]],3))&amp;RIGHT("00"&amp;Table362[[#This Row],[Rule '# by Entity]],3)&amp;"0_"&amp;MID(SUBSTITUTE(Table362[[#This Row],[Rule Name]],"_","|",3),SEARCH("|",SUBSTITUTE(Table362[[#This Row],[Rule Name]],"_","|",3))+1,LEN(Table362[[#This Row],[Rule Name]]))</f>
        <v>MAT1000_DescriptionPopulated</v>
      </c>
      <c r="R205" s="8" t="s">
        <v>7994</v>
      </c>
      <c r="S205" s="7" t="s">
        <v>21</v>
      </c>
      <c r="T205"/>
      <c r="U205" s="7" t="s">
        <v>704</v>
      </c>
      <c r="V205" s="7" t="s">
        <v>1525</v>
      </c>
      <c r="W205" s="7" t="s">
        <v>1493</v>
      </c>
      <c r="X205" s="8" t="s">
        <v>1637</v>
      </c>
      <c r="Y205" s="7" t="s">
        <v>5978</v>
      </c>
      <c r="Z205" s="7" t="s">
        <v>5978</v>
      </c>
      <c r="AA205" s="10" t="s">
        <v>705</v>
      </c>
      <c r="AB205" s="10"/>
      <c r="AC205" s="10" t="s">
        <v>6813</v>
      </c>
      <c r="AD205" s="10"/>
      <c r="AE205" s="13" t="str">
        <f>IF(Table362[[#This Row],[Entity]]="Customer","KUNNR",IF(Table362[[#This Row],[Entity]]="Vendor","LIFNR","MATNR"))&amp;",SPRAS,"&amp;Table362[[#This Row],[Field]]</f>
        <v>MATNR,SPRAS,MAKTX</v>
      </c>
      <c r="AF205" s="13" t="str">
        <f>"VW_"&amp;Table362[[#This Row],[New Rule Name]]</f>
        <v>VW_MAT1000_DescriptionPopulated</v>
      </c>
      <c r="AG205" s="11" t="str">
        <f>"create view "&amp;Table362[[#This Row],[View Name]]&amp;" as 
     select 
          "&amp;IF(Table362[[#This Row],[Entity]]="Customer","KUNNR",IF(Table362[[#This Row],[Entity]]="Vendor","LIFNR","MATNR"))&amp;",
          SPRAS,
          "&amp;Table362[[#This Row],[Field]]&amp;" 
     from "&amp;Table362[[#This Row],[Table]]</f>
        <v>create view VW_MAT1000_DescriptionPopulated as 
     select 
          MATNR,
          SPRAS,
          MAKTX 
     from MAKT</v>
      </c>
      <c r="AH205" s="8"/>
      <c r="AI205" s="20"/>
      <c r="AJ205" s="20"/>
      <c r="AK205" s="31">
        <v>100</v>
      </c>
      <c r="AL205" s="31"/>
    </row>
    <row r="206" spans="1:38" s="3" customFormat="1" ht="72" hidden="1" x14ac:dyDescent="0.25">
      <c r="A206" s="9">
        <v>200</v>
      </c>
      <c r="B206" s="7" t="s">
        <v>3973</v>
      </c>
      <c r="C206" s="7" t="s">
        <v>16</v>
      </c>
      <c r="D206" s="7" t="s">
        <v>6711</v>
      </c>
      <c r="E206" s="7" t="s">
        <v>6714</v>
      </c>
      <c r="F206" s="7" t="s">
        <v>6715</v>
      </c>
      <c r="G206" s="7" t="s">
        <v>6361</v>
      </c>
      <c r="H206" s="7" t="s">
        <v>6648</v>
      </c>
      <c r="I206" s="7" t="s">
        <v>6633</v>
      </c>
      <c r="J206" s="20" t="str">
        <f>VLOOKUP(V206,Table_to_BRG!A:D,3,FALSE)</f>
        <v>General data</v>
      </c>
      <c r="K206" s="20" t="str">
        <f>VLOOKUP(V206,Table_to_BRG!A:D,2,FALSE)</f>
        <v>General</v>
      </c>
      <c r="L206" s="20"/>
      <c r="M206" s="20"/>
      <c r="N206" s="9"/>
      <c r="O206" s="54"/>
      <c r="P206" s="7" t="s">
        <v>8092</v>
      </c>
      <c r="Q206" s="11" t="str">
        <f>UPPER(LEFT(Table362[[#This Row],[Entity]],3))&amp;RIGHT("00"&amp;Table362[[#This Row],[Rule '# by Entity]],3)&amp;"0_"&amp;MID(SUBSTITUTE(Table362[[#This Row],[Rule Name]],"_","|",3),SEARCH("|",SUBSTITUTE(Table362[[#This Row],[Rule Name]],"_","|",3))+1,LEN(Table362[[#This Row],[Rule Name]]))</f>
        <v>CUS0260_VATRegistrationNumberPopulated</v>
      </c>
      <c r="R206" s="8" t="s">
        <v>8120</v>
      </c>
      <c r="S206" s="7" t="s">
        <v>21</v>
      </c>
      <c r="T206" s="7"/>
      <c r="U206" s="7" t="s">
        <v>6094</v>
      </c>
      <c r="V206" s="7" t="s">
        <v>2741</v>
      </c>
      <c r="W206" s="7" t="s">
        <v>3062</v>
      </c>
      <c r="X206" s="8" t="s">
        <v>708</v>
      </c>
      <c r="Y206" s="7" t="s">
        <v>5978</v>
      </c>
      <c r="Z206" s="7" t="s">
        <v>5978</v>
      </c>
      <c r="AA206" s="10" t="s">
        <v>709</v>
      </c>
      <c r="AB206" s="10"/>
      <c r="AC206" s="10" t="s">
        <v>6813</v>
      </c>
      <c r="AD206" s="10"/>
      <c r="AE206" s="13" t="str">
        <f>IF(Table362[[#This Row],[Entity]]="Customer","KUNNR",IF(Table362[[#This Row],[Entity]]="Vendor","LIFNR","MATNR"))&amp;","&amp;Table362[[#This Row],[Field]]</f>
        <v>KUNNR,STCEG</v>
      </c>
      <c r="AF206" s="13" t="str">
        <f>"VW_"&amp;Table362[[#This Row],[New Rule Name]]</f>
        <v>VW_CUS0260_VATRegistrationNumberPopulated</v>
      </c>
      <c r="AG206" s="11" t="str">
        <f>"create view "&amp;Table362[[#This Row],[View Name]]&amp;" as 
     select 
          "&amp;Table362[[#This Row],[Table]]&amp;",
          "&amp;Table362[[#This Row],[Field]]&amp;" 
     from "&amp;Table362[[#This Row],[Table]]</f>
        <v>create view VW_CUS0260_VATRegistrationNumberPopulated as 
     select 
          KNA1,
          STCEG 
     from KNA1</v>
      </c>
      <c r="AH206" s="8"/>
      <c r="AI206" s="20" t="s">
        <v>7646</v>
      </c>
      <c r="AJ206" s="20"/>
      <c r="AK206" s="31">
        <v>26</v>
      </c>
      <c r="AL206" s="31"/>
    </row>
    <row r="207" spans="1:38" s="3" customFormat="1" ht="60" hidden="1" x14ac:dyDescent="0.25">
      <c r="A207" s="9">
        <v>202</v>
      </c>
      <c r="B207" s="7" t="s">
        <v>3973</v>
      </c>
      <c r="C207" s="7" t="s">
        <v>1207</v>
      </c>
      <c r="D207" s="7" t="s">
        <v>6719</v>
      </c>
      <c r="E207" s="7" t="s">
        <v>6720</v>
      </c>
      <c r="F207" s="7" t="s">
        <v>6722</v>
      </c>
      <c r="G207" s="7" t="s">
        <v>6361</v>
      </c>
      <c r="H207" s="7" t="s">
        <v>6363</v>
      </c>
      <c r="I207" s="7"/>
      <c r="J207" s="20" t="str">
        <f>VLOOKUP(V207,Table_to_BRG!A:D,3,FALSE)</f>
        <v>General data</v>
      </c>
      <c r="K207" s="20" t="str">
        <f>VLOOKUP(V207,Table_to_BRG!A:D,2,FALSE)</f>
        <v>General</v>
      </c>
      <c r="L207" s="20"/>
      <c r="M207" s="20"/>
      <c r="N207" s="9"/>
      <c r="O207" s="54"/>
      <c r="P207" s="7" t="s">
        <v>8486</v>
      </c>
      <c r="Q207" s="11" t="str">
        <f>UPPER(LEFT(Table362[[#This Row],[Entity]],3))&amp;RIGHT("00"&amp;Table362[[#This Row],[Rule '# by Entity]],3)&amp;"0_"&amp;MID(SUBSTITUTE(Table362[[#This Row],[Rule Name]],"_","|",3),SEARCH("|",SUBSTITUTE(Table362[[#This Row],[Rule Name]],"_","|",3))+1,LEN(Table362[[#This Row],[Rule Name]]))</f>
        <v>VEN0310_PODRelevantIsValid</v>
      </c>
      <c r="R207" s="8" t="s">
        <v>8176</v>
      </c>
      <c r="S207" s="7" t="s">
        <v>2</v>
      </c>
      <c r="T207" s="7"/>
      <c r="U207" s="7" t="s">
        <v>345</v>
      </c>
      <c r="V207" s="7" t="s">
        <v>3542</v>
      </c>
      <c r="W207" s="7" t="s">
        <v>3744</v>
      </c>
      <c r="X207" s="8" t="s">
        <v>3757</v>
      </c>
      <c r="Y207" s="7"/>
      <c r="Z207" s="7" t="s">
        <v>5978</v>
      </c>
      <c r="AA207" s="10" t="s">
        <v>713</v>
      </c>
      <c r="AB207" s="10"/>
      <c r="AC207" s="13" t="s">
        <v>7792</v>
      </c>
      <c r="AD207"/>
      <c r="AE207" s="13" t="str">
        <f>IF(Table362[[#This Row],[Entity]]="Customer","KUNNR",IF(Table362[[#This Row],[Entity]]="Vendor","LIFNR","MATNR"))&amp;","&amp;Table362[[#This Row],[Field]]</f>
        <v>LIFNR,PODKZB</v>
      </c>
      <c r="AF207" s="13" t="str">
        <f>"VW_"&amp;Table362[[#This Row],[New Rule Name]]</f>
        <v>VW_VEN0310_PODRelevantIsValid</v>
      </c>
      <c r="AG207" s="11" t="str">
        <f>"create view "&amp;Table362[[#This Row],[View Name]]&amp;" as 
     select 
          "&amp;IF(Table362[[#This Row],[Entity]]="Customer","KUNNR",IF(Table362[[#This Row],[Entity]]="Vendor","LIFNR","MATNR"))&amp;",
          "&amp;Table362[[#This Row],[Field]]&amp;" 
     from "&amp;Table362[[#This Row],[Table]]</f>
        <v>create view VW_VEN0310_PODRelevantIsValid as 
     select 
          LIFNR,
          PODKZB 
     from LFA1</v>
      </c>
      <c r="AH207" s="8"/>
      <c r="AI207" s="20" t="s">
        <v>6523</v>
      </c>
      <c r="AJ207" s="20"/>
      <c r="AK207" s="31">
        <v>31</v>
      </c>
      <c r="AL207" s="31"/>
    </row>
    <row r="208" spans="1:38" s="3" customFormat="1" ht="72" hidden="1" x14ac:dyDescent="0.25">
      <c r="A208" s="9">
        <v>203</v>
      </c>
      <c r="B208" s="7" t="s">
        <v>3973</v>
      </c>
      <c r="C208" s="7" t="s">
        <v>16</v>
      </c>
      <c r="D208" s="7" t="s">
        <v>6719</v>
      </c>
      <c r="E208" s="7" t="s">
        <v>6720</v>
      </c>
      <c r="F208" s="7" t="s">
        <v>6721</v>
      </c>
      <c r="G208" s="7" t="s">
        <v>6358</v>
      </c>
      <c r="H208" s="7" t="s">
        <v>6383</v>
      </c>
      <c r="I208" s="7"/>
      <c r="J208" s="20" t="str">
        <f>VLOOKUP(V208,Table_to_BRG!A:D,3,FALSE)</f>
        <v>Company Code data</v>
      </c>
      <c r="K208" s="20" t="str">
        <f>VLOOKUP(V208,Table_to_BRG!A:D,2,FALSE)</f>
        <v>Company Code</v>
      </c>
      <c r="L208" s="20"/>
      <c r="M208" s="20"/>
      <c r="N208" s="9"/>
      <c r="O208" s="54"/>
      <c r="P208" s="7" t="s">
        <v>8093</v>
      </c>
      <c r="Q208" s="11" t="str">
        <f>UPPER(LEFT(Table362[[#This Row],[Entity]],3))&amp;RIGHT("00"&amp;Table362[[#This Row],[Rule '# by Entity]],3)&amp;"0_"&amp;MID(SUBSTITUTE(Table362[[#This Row],[Rule Name]],"_","|",3),SEARCH("|",SUBSTITUTE(Table362[[#This Row],[Rule Name]],"_","|",3))+1,LEN(Table362[[#This Row],[Rule Name]]))</f>
        <v>CUS0430_ReconAccountPopulated</v>
      </c>
      <c r="R208" s="8" t="s">
        <v>8121</v>
      </c>
      <c r="S208" s="7" t="s">
        <v>21</v>
      </c>
      <c r="T208" s="7"/>
      <c r="U208" s="7" t="s">
        <v>436</v>
      </c>
      <c r="V208" s="7" t="s">
        <v>2740</v>
      </c>
      <c r="W208" s="7" t="s">
        <v>2708</v>
      </c>
      <c r="X208" s="8" t="s">
        <v>2725</v>
      </c>
      <c r="Y208" s="7" t="s">
        <v>5978</v>
      </c>
      <c r="Z208" s="7" t="s">
        <v>5978</v>
      </c>
      <c r="AA208" s="10" t="s">
        <v>437</v>
      </c>
      <c r="AB208" s="10"/>
      <c r="AC208" s="10" t="s">
        <v>6813</v>
      </c>
      <c r="AD208" s="10"/>
      <c r="AE208" s="13" t="str">
        <f>IF(Table362[[#This Row],[Entity]]="Customer","KUNNR",IF(Table362[[#This Row],[Entity]]="Vendor","LIFNR","MATNR"))&amp;",BUKRS"&amp;","&amp;Table362[[#This Row],[Field]]</f>
        <v>KUNNR,BUKRS,AKONT</v>
      </c>
      <c r="AF208" s="13" t="str">
        <f>"VW_"&amp;Table362[[#This Row],[New Rule Name]]</f>
        <v>VW_CUS0430_ReconAccountPopulated</v>
      </c>
      <c r="AG208" s="11" t="str">
        <f>"create view "&amp;Table362[[#This Row],[View Name]]&amp;" as 
     select 
          "&amp;IF(Table362[[#This Row],[Entity]]="Customer","KUNNR",IF(Table362[[#This Row],[Entity]]="Vendor","LIFNR","MATNR"))&amp;",
          BUKRS,
          "&amp;Table362[[#This Row],[Field]]&amp;" 
     from "&amp;Table362[[#This Row],[Table]]</f>
        <v>create view VW_CUS0430_ReconAccountPopulated as 
     select 
          KUNNR,
          BUKRS,
          AKONT 
     from KNB1</v>
      </c>
      <c r="AH208" s="8"/>
      <c r="AI208" s="20"/>
      <c r="AJ208" s="20"/>
      <c r="AK208" s="31">
        <v>43</v>
      </c>
      <c r="AL208" s="31"/>
    </row>
    <row r="209" spans="1:38" s="3" customFormat="1" ht="72" hidden="1" x14ac:dyDescent="0.25">
      <c r="A209" s="9">
        <v>204</v>
      </c>
      <c r="B209" s="7" t="s">
        <v>3973</v>
      </c>
      <c r="C209" s="7" t="s">
        <v>1207</v>
      </c>
      <c r="D209" s="7" t="s">
        <v>6719</v>
      </c>
      <c r="E209" s="7" t="s">
        <v>6720</v>
      </c>
      <c r="F209" s="7" t="s">
        <v>6732</v>
      </c>
      <c r="G209" s="7" t="s">
        <v>6377</v>
      </c>
      <c r="H209" s="7"/>
      <c r="I209" s="7"/>
      <c r="J209" s="20" t="str">
        <f>VLOOKUP(V209,Table_to_BRG!A:D,3,FALSE)</f>
        <v>Company Code data</v>
      </c>
      <c r="K209" s="20" t="str">
        <f>VLOOKUP(V209,Table_to_BRG!A:D,2,FALSE)</f>
        <v>Company Code</v>
      </c>
      <c r="L209" s="20"/>
      <c r="M209" s="20"/>
      <c r="N209" s="9"/>
      <c r="O209" s="54"/>
      <c r="P209" s="7" t="s">
        <v>8487</v>
      </c>
      <c r="Q209" s="11" t="str">
        <f>UPPER(LEFT(Table362[[#This Row],[Entity]],3))&amp;RIGHT("00"&amp;Table362[[#This Row],[Rule '# by Entity]],3)&amp;"0_"&amp;MID(SUBSTITUTE(Table362[[#This Row],[Rule Name]],"_","|",3),SEARCH("|",SUBSTITUTE(Table362[[#This Row],[Rule Name]],"_","|",3))+1,LEN(Table362[[#This Row],[Rule Name]]))</f>
        <v>VEN0400_TermsOfPaymentRef</v>
      </c>
      <c r="R209" s="8" t="s">
        <v>8260</v>
      </c>
      <c r="S209" s="7" t="s">
        <v>2</v>
      </c>
      <c r="T209" s="7"/>
      <c r="U209" s="7" t="s">
        <v>218</v>
      </c>
      <c r="V209" s="7" t="s">
        <v>3543</v>
      </c>
      <c r="W209" s="7" t="s">
        <v>2888</v>
      </c>
      <c r="X209" s="8" t="s">
        <v>2907</v>
      </c>
      <c r="Y209" s="7" t="s">
        <v>4250</v>
      </c>
      <c r="Z209" s="7" t="s">
        <v>2888</v>
      </c>
      <c r="AA209" s="11" t="str">
        <f>"BEGIN
     RETURN exists('DS_IS_RDS', '"&amp;Table362[[#This Row],[Lookup Table]]&amp;"', '"&amp;Table362[[#This Row],[Lookup Field]]&amp;"', "&amp;Table362[[#This Row],[IS Parameter]]&amp;");
END"</f>
        <v>BEGIN
     RETURN exists('DS_IS_RDS', 'T052', 'ZTERM', $P_I_TermsOfPayment);
END</v>
      </c>
      <c r="AB209" s="11"/>
      <c r="AC209" s="10" t="s">
        <v>6663</v>
      </c>
      <c r="AD209" s="10"/>
      <c r="AE209" s="13" t="str">
        <f>IF(Table362[[#This Row],[Entity]]="Customer","KUNNR",IF(Table362[[#This Row],[Entity]]="Vendor","LIFNR","MATNR"))&amp;",BUKRS,"&amp;Table362[[#This Row],[Field]]</f>
        <v>LIFNR,BUKRS,ZTERM</v>
      </c>
      <c r="AF209" s="13" t="str">
        <f>"VW_"&amp;Table362[[#This Row],[New Rule Name]]</f>
        <v>VW_VEN0400_TermsOfPaymentRef</v>
      </c>
      <c r="AG209" s="11" t="str">
        <f>"create view "&amp;Table362[[#This Row],[View Name]]&amp;" as 
     select 
          "&amp;IF(Table362[[#This Row],[Entity]]="Customer","KUNNR",IF(Table362[[#This Row],[Entity]]="Vendor","LIFNR","MATNR"))&amp;",
          BUKRS,
          "&amp;Table362[[#This Row],[Field]]&amp;" 
     from "&amp;Table362[[#This Row],[Table]]</f>
        <v>create view VW_VEN0400_TermsOfPaymentRef as 
     select 
          LIFNR,
          BUKRS,
          ZTERM 
     from LFB1</v>
      </c>
      <c r="AH209" s="8"/>
      <c r="AI209" s="20" t="s">
        <v>6605</v>
      </c>
      <c r="AJ209" s="20"/>
      <c r="AK209" s="31">
        <v>40</v>
      </c>
      <c r="AL209" s="31"/>
    </row>
    <row r="210" spans="1:38" s="3" customFormat="1" ht="84" x14ac:dyDescent="0.25">
      <c r="A210" s="9">
        <v>205</v>
      </c>
      <c r="B210" s="7" t="s">
        <v>3973</v>
      </c>
      <c r="C210" s="7" t="s">
        <v>3</v>
      </c>
      <c r="D210" s="7" t="s">
        <v>6711</v>
      </c>
      <c r="E210" s="7" t="s">
        <v>6712</v>
      </c>
      <c r="F210" s="7" t="s">
        <v>6729</v>
      </c>
      <c r="G210" s="7" t="s">
        <v>6381</v>
      </c>
      <c r="H210" s="7" t="s">
        <v>6380</v>
      </c>
      <c r="I210" s="7"/>
      <c r="J210" s="20" t="str">
        <f>VLOOKUP(V210,Table_to_BRG!A:D,3,FALSE)</f>
        <v>Sales data</v>
      </c>
      <c r="K210" s="20" t="str">
        <f>VLOOKUP(V210,Table_to_BRG!A:D,2,FALSE)</f>
        <v>Sales</v>
      </c>
      <c r="L210" s="20"/>
      <c r="M210" s="20"/>
      <c r="N210" s="9"/>
      <c r="O210" s="54"/>
      <c r="P210" s="7" t="s">
        <v>8385</v>
      </c>
      <c r="Q210" s="11" t="str">
        <f>UPPER(LEFT(Table362[[#This Row],[Entity]],3))&amp;RIGHT("00"&amp;Table362[[#This Row],[Rule '# by Entity]],3)&amp;"0_"&amp;MID(SUBSTITUTE(Table362[[#This Row],[Rule Name]],"_","|",3),SEARCH("|",SUBSTITUTE(Table362[[#This Row],[Rule Name]],"_","|",3))+1,LEN(Table362[[#This Row],[Rule Name]]))</f>
        <v>MAT1290_DeliveringPlantRef</v>
      </c>
      <c r="R210" s="8" t="s">
        <v>7950</v>
      </c>
      <c r="S210" s="7" t="s">
        <v>21</v>
      </c>
      <c r="T210" s="7" t="s">
        <v>2</v>
      </c>
      <c r="U210" s="7" t="s">
        <v>718</v>
      </c>
      <c r="V210" s="7" t="s">
        <v>2460</v>
      </c>
      <c r="W210" s="7" t="s">
        <v>2442</v>
      </c>
      <c r="X210" s="8" t="s">
        <v>2455</v>
      </c>
      <c r="Y210" s="7" t="s">
        <v>4145</v>
      </c>
      <c r="Z210" s="7" t="s">
        <v>1495</v>
      </c>
      <c r="AA210" s="11" t="str">
        <f>"BEGIN
     RETURN exists('DS_IS_RDS', '"&amp;Table362[[#This Row],[Lookup Table]]&amp;"', '"&amp;Table362[[#This Row],[Lookup Field]]&amp;"', "&amp;Table362[[#This Row],[IS Parameter]]&amp;");
END"</f>
        <v>BEGIN
     RETURN exists('DS_IS_RDS', 'T001W', 'WERKS', $P_I_DeliveringPlant);
END</v>
      </c>
      <c r="AB210" s="11" t="str">
        <f>Table362[[#This Row],[IS Parameter]]&amp;" IS NOT NULL AND rtrim("&amp;Table362[[#This Row],[IS Parameter]]&amp;", ' ') != ''"</f>
        <v>$P_I_DeliveringPlant IS NOT NULL AND rtrim($P_I_DeliveringPlant, ' ') != ''</v>
      </c>
      <c r="AC210" s="10" t="s">
        <v>6663</v>
      </c>
      <c r="AD210" s="10"/>
      <c r="AE210" s="13" t="str">
        <f>IF(Table362[[#This Row],[Entity]]="Customer","KUNNR",IF(Table362[[#This Row],[Entity]]="Vendor","LIFNR","MATNR"))&amp;",VKORG,VTWEG,"&amp;Table362[[#This Row],[Field]]</f>
        <v>MATNR,VKORG,VTWEG,DWERK</v>
      </c>
      <c r="AF210" s="13" t="str">
        <f>"VW_"&amp;Table362[[#This Row],[New Rule Name]]</f>
        <v>VW_MAT1290_DeliveringPlantRef</v>
      </c>
      <c r="AG210" s="11" t="str">
        <f>"create view "&amp;Table362[[#This Row],[View Name]]&amp;" as 
     select 
          "&amp;IF(Table362[[#This Row],[Entity]]="Customer","KUNNR",IF(Table362[[#This Row],[Entity]]="Vendor","LIFNR","MATNR"))&amp;",
          VKORG,
          VTWEG,
          "&amp;Table362[[#This Row],[Field]]&amp;" 
     from "&amp;Table362[[#This Row],[Table]]</f>
        <v>create view VW_MAT1290_DeliveringPlantRef as 
     select 
          MATNR,
          VKORG,
          VTWEG,
          DWERK 
     from MVKE</v>
      </c>
      <c r="AH210" s="8"/>
      <c r="AI210" s="20" t="s">
        <v>6674</v>
      </c>
      <c r="AJ210" s="20"/>
      <c r="AK210" s="31">
        <v>129</v>
      </c>
      <c r="AL210" s="31"/>
    </row>
    <row r="211" spans="1:38" s="3" customFormat="1" ht="60" hidden="1" x14ac:dyDescent="0.25">
      <c r="A211" s="9">
        <v>206</v>
      </c>
      <c r="B211" s="7" t="s">
        <v>3973</v>
      </c>
      <c r="C211" s="7" t="s">
        <v>16</v>
      </c>
      <c r="D211" s="7" t="s">
        <v>6711</v>
      </c>
      <c r="E211" s="7" t="s">
        <v>6714</v>
      </c>
      <c r="F211" s="7" t="s">
        <v>6715</v>
      </c>
      <c r="G211" s="7" t="s">
        <v>6361</v>
      </c>
      <c r="H211" s="7" t="s">
        <v>3967</v>
      </c>
      <c r="I211" s="7" t="s">
        <v>6647</v>
      </c>
      <c r="J211" s="20" t="str">
        <f>VLOOKUP(V211,Table_to_BRG!A:D,3,FALSE)</f>
        <v>General data</v>
      </c>
      <c r="K211" s="20" t="str">
        <f>VLOOKUP(V211,Table_to_BRG!A:D,2,FALSE)</f>
        <v>General</v>
      </c>
      <c r="L211" s="20"/>
      <c r="M211" s="20"/>
      <c r="N211" s="9"/>
      <c r="O211" s="54"/>
      <c r="P211" s="7" t="s">
        <v>8094</v>
      </c>
      <c r="Q211" s="11" t="str">
        <f>UPPER(LEFT(Table362[[#This Row],[Entity]],3))&amp;RIGHT("00"&amp;Table362[[#This Row],[Rule '# by Entity]],3)&amp;"0_"&amp;MID(SUBSTITUTE(Table362[[#This Row],[Rule Name]],"_","|",3),SEARCH("|",SUBSTITUTE(Table362[[#This Row],[Rule Name]],"_","|",3))+1,LEN(Table362[[#This Row],[Rule Name]]))</f>
        <v>CUS0090_SortFieldPopulated</v>
      </c>
      <c r="R211" s="8" t="s">
        <v>8122</v>
      </c>
      <c r="S211" s="7" t="s">
        <v>21</v>
      </c>
      <c r="T211" s="7"/>
      <c r="U211" s="7" t="s">
        <v>722</v>
      </c>
      <c r="V211" s="7" t="s">
        <v>2741</v>
      </c>
      <c r="W211" s="7" t="s">
        <v>2960</v>
      </c>
      <c r="X211" s="8" t="s">
        <v>1457</v>
      </c>
      <c r="Y211" s="7" t="s">
        <v>5978</v>
      </c>
      <c r="Z211" s="7" t="s">
        <v>5978</v>
      </c>
      <c r="AA211" s="10" t="s">
        <v>723</v>
      </c>
      <c r="AB211" s="10"/>
      <c r="AC211" s="10" t="s">
        <v>6813</v>
      </c>
      <c r="AD211" s="10"/>
      <c r="AE211" s="13" t="str">
        <f>IF(Table362[[#This Row],[Entity]]="Customer","KUNNR",IF(Table362[[#This Row],[Entity]]="Vendor","LIFNR","MATNR"))&amp;","&amp;Table362[[#This Row],[Field]]</f>
        <v>KUNNR,SORTL</v>
      </c>
      <c r="AF211" s="13" t="str">
        <f>"VW_"&amp;Table362[[#This Row],[New Rule Name]]</f>
        <v>VW_CUS0090_SortFieldPopulated</v>
      </c>
      <c r="AG211" s="11" t="str">
        <f>"create view "&amp;Table362[[#This Row],[View Name]]&amp;" as 
     select 
          "&amp;Table362[[#This Row],[Table]]&amp;",
          "&amp;Table362[[#This Row],[Field]]&amp;" 
     from "&amp;Table362[[#This Row],[Table]]</f>
        <v>create view VW_CUS0090_SortFieldPopulated as 
     select 
          KNA1,
          SORTL 
     from KNA1</v>
      </c>
      <c r="AH211" s="8"/>
      <c r="AI211" s="20" t="s">
        <v>6598</v>
      </c>
      <c r="AJ211" s="20"/>
      <c r="AK211" s="31">
        <v>9</v>
      </c>
      <c r="AL211" s="31"/>
    </row>
    <row r="212" spans="1:38" s="38" customFormat="1" ht="48" hidden="1" x14ac:dyDescent="0.25">
      <c r="A212" s="14">
        <v>210</v>
      </c>
      <c r="B212" s="15" t="s">
        <v>3973</v>
      </c>
      <c r="C212" s="15" t="s">
        <v>16</v>
      </c>
      <c r="D212" s="15" t="s">
        <v>6711</v>
      </c>
      <c r="E212" s="15" t="s">
        <v>6714</v>
      </c>
      <c r="F212" s="15" t="s">
        <v>6715</v>
      </c>
      <c r="G212" s="15"/>
      <c r="H212" s="15"/>
      <c r="I212" s="15" t="s">
        <v>3971</v>
      </c>
      <c r="J212" s="27" t="str">
        <f>VLOOKUP(V212,Table_to_BRG!A:D,3,FALSE)</f>
        <v>General data</v>
      </c>
      <c r="K212" s="27" t="str">
        <f>VLOOKUP(V212,Table_to_BRG!A:D,2,FALSE)</f>
        <v>General</v>
      </c>
      <c r="L212" s="27"/>
      <c r="M212" s="27"/>
      <c r="N212" s="14" t="s">
        <v>6465</v>
      </c>
      <c r="O212" s="54" t="str">
        <f>"Superceded by rule "&amp;A1008</f>
        <v>Superceded by rule 388</v>
      </c>
      <c r="P212" s="16" t="s">
        <v>734</v>
      </c>
      <c r="Q212" s="17"/>
      <c r="R212" s="16" t="s">
        <v>735</v>
      </c>
      <c r="S212" s="15" t="s">
        <v>139</v>
      </c>
      <c r="T212" s="15"/>
      <c r="U212" s="16" t="s">
        <v>6616</v>
      </c>
      <c r="V212" s="15" t="s">
        <v>2741</v>
      </c>
      <c r="W212" s="16" t="s">
        <v>6427</v>
      </c>
      <c r="X212" s="16" t="s">
        <v>6428</v>
      </c>
      <c r="Y212" s="15" t="s">
        <v>5978</v>
      </c>
      <c r="Z212" s="15" t="s">
        <v>5978</v>
      </c>
      <c r="AA212" s="26" t="s">
        <v>6618</v>
      </c>
      <c r="AB212" s="26"/>
      <c r="AC212" s="26"/>
      <c r="AD212" s="26"/>
      <c r="AE212" s="18"/>
      <c r="AF212" s="18"/>
      <c r="AG212" s="17"/>
      <c r="AH212" s="16"/>
      <c r="AI212" s="27" t="s">
        <v>7661</v>
      </c>
      <c r="AJ212" s="27"/>
      <c r="AK212" s="36"/>
      <c r="AL212" s="52"/>
    </row>
    <row r="213" spans="1:38" s="3" customFormat="1" ht="84" x14ac:dyDescent="0.25">
      <c r="A213" s="9">
        <v>207</v>
      </c>
      <c r="B213" s="7" t="s">
        <v>3973</v>
      </c>
      <c r="C213" s="7" t="s">
        <v>3</v>
      </c>
      <c r="D213" s="7" t="s">
        <v>6711</v>
      </c>
      <c r="E213" s="7" t="s">
        <v>6712</v>
      </c>
      <c r="F213" s="7" t="s">
        <v>6729</v>
      </c>
      <c r="G213" s="7" t="s">
        <v>6382</v>
      </c>
      <c r="H213" s="7"/>
      <c r="I213" s="7"/>
      <c r="J213" s="20" t="str">
        <f>VLOOKUP(V213,Table_to_BRG!A:D,3,FALSE)</f>
        <v>Sales data</v>
      </c>
      <c r="K213" s="20" t="str">
        <f>VLOOKUP(V213,Table_to_BRG!A:D,2,FALSE)</f>
        <v>Sales</v>
      </c>
      <c r="L213" s="20"/>
      <c r="M213" s="20"/>
      <c r="N213" s="9"/>
      <c r="O213" s="54"/>
      <c r="P213" s="7" t="s">
        <v>8386</v>
      </c>
      <c r="Q213" s="11" t="str">
        <f>UPPER(LEFT(Table362[[#This Row],[Entity]],3))&amp;RIGHT("00"&amp;Table362[[#This Row],[Rule '# by Entity]],3)&amp;"0_"&amp;MID(SUBSTITUTE(Table362[[#This Row],[Rule Name]],"_","|",3),SEARCH("|",SUBSTITUTE(Table362[[#This Row],[Rule Name]],"_","|",3))+1,LEN(Table362[[#This Row],[Rule Name]]))</f>
        <v>MAT1320_MaterialGroup1Ref</v>
      </c>
      <c r="R213" s="8" t="s">
        <v>7951</v>
      </c>
      <c r="S213" s="7" t="s">
        <v>2</v>
      </c>
      <c r="T213" s="7"/>
      <c r="U213" s="7" t="s">
        <v>726</v>
      </c>
      <c r="V213" s="7" t="s">
        <v>2460</v>
      </c>
      <c r="W213" s="7" t="s">
        <v>2507</v>
      </c>
      <c r="X213" s="8" t="s">
        <v>2527</v>
      </c>
      <c r="Y213" s="7" t="s">
        <v>6041</v>
      </c>
      <c r="Z213" s="7" t="s">
        <v>2507</v>
      </c>
      <c r="AA213" s="11" t="str">
        <f>"BEGIN
     RETURN exists('DS_IS_RDS', '"&amp;Table362[[#This Row],[Lookup Table]]&amp;"', '"&amp;Table362[[#This Row],[Lookup Field]]&amp;"', "&amp;Table362[[#This Row],[IS Parameter]]&amp;");
END"</f>
        <v>BEGIN
     RETURN exists('DS_IS_RDS', 'TVM1', 'MVGR1', $P_I_MatGroup1);
END</v>
      </c>
      <c r="AB213" s="11" t="str">
        <f>Table362[[#This Row],[IS Parameter]]&amp;" IS NOT NULL AND rtrim("&amp;Table362[[#This Row],[IS Parameter]]&amp;", ' ') != ''"</f>
        <v>$P_I_MatGroup1 IS NOT NULL AND rtrim($P_I_MatGroup1, ' ') != ''</v>
      </c>
      <c r="AC213" s="10" t="s">
        <v>6663</v>
      </c>
      <c r="AD213" s="10"/>
      <c r="AE213" s="13" t="str">
        <f>IF(Table362[[#This Row],[Entity]]="Customer","KUNNR",IF(Table362[[#This Row],[Entity]]="Vendor","LIFNR","MATNR"))&amp;",VKORG,VTWEG,"&amp;Table362[[#This Row],[Field]]</f>
        <v>MATNR,VKORG,VTWEG,MVGR1</v>
      </c>
      <c r="AF213" s="13" t="str">
        <f>"VW_"&amp;Table362[[#This Row],[New Rule Name]]</f>
        <v>VW_MAT1320_MaterialGroup1Ref</v>
      </c>
      <c r="AG213" s="11" t="str">
        <f>"create view "&amp;Table362[[#This Row],[View Name]]&amp;" as 
     select 
          "&amp;IF(Table362[[#This Row],[Entity]]="Customer","KUNNR",IF(Table362[[#This Row],[Entity]]="Vendor","LIFNR","MATNR"))&amp;",
          VKORG,
          VTWEG,
          "&amp;Table362[[#This Row],[Field]]&amp;" 
     from "&amp;Table362[[#This Row],[Table]]</f>
        <v>create view VW_MAT1320_MaterialGroup1Ref as 
     select 
          MATNR,
          VKORG,
          VTWEG,
          MVGR1 
     from MVKE</v>
      </c>
      <c r="AH213" s="8"/>
      <c r="AI213" s="20" t="s">
        <v>6667</v>
      </c>
      <c r="AJ213" s="20"/>
      <c r="AK213" s="31">
        <v>132</v>
      </c>
      <c r="AL213" s="31"/>
    </row>
    <row r="214" spans="1:38" s="3" customFormat="1" ht="60" hidden="1" x14ac:dyDescent="0.25">
      <c r="A214" s="9">
        <v>212</v>
      </c>
      <c r="B214" s="7" t="s">
        <v>3973</v>
      </c>
      <c r="C214" s="7" t="s">
        <v>16</v>
      </c>
      <c r="D214" s="7" t="s">
        <v>5978</v>
      </c>
      <c r="E214" s="7" t="s">
        <v>5978</v>
      </c>
      <c r="F214" s="7" t="s">
        <v>5978</v>
      </c>
      <c r="G214" s="7"/>
      <c r="H214" s="7"/>
      <c r="I214" s="7"/>
      <c r="J214" s="20" t="e">
        <f>VLOOKUP(V214,Table_to_BRG!A:D,3,FALSE)</f>
        <v>#N/A</v>
      </c>
      <c r="K214" s="20" t="e">
        <f>VLOOKUP(V214,Table_to_BRG!A:D,2,FALSE)</f>
        <v>#N/A</v>
      </c>
      <c r="L214" s="20"/>
      <c r="M214" s="20"/>
      <c r="N214" s="9" t="s">
        <v>6465</v>
      </c>
      <c r="O214" s="54" t="s">
        <v>8196</v>
      </c>
      <c r="P214" s="16" t="s">
        <v>8231</v>
      </c>
      <c r="Q214" s="11" t="str">
        <f>UPPER(LEFT(Table362[[#This Row],[Entity]],3))&amp;RIGHT("00"&amp;Table362[[#This Row],[Rule '# by Entity]],3)&amp;"0_"&amp;MID(SUBSTITUTE(Table362[[#This Row],[Rule Name]],"_","|",3),SEARCH("|",SUBSTITUTE(Table362[[#This Row],[Rule Name]],"_","|",3))+1,LEN(Table362[[#This Row],[Rule Name]]))</f>
        <v>CUS000_SortCriterionIsValid</v>
      </c>
      <c r="R214" s="8" t="s">
        <v>8173</v>
      </c>
      <c r="S214" s="7" t="s">
        <v>2</v>
      </c>
      <c r="T214" s="7"/>
      <c r="U214" s="7" t="s">
        <v>743</v>
      </c>
      <c r="V214" s="23"/>
      <c r="W214" s="23"/>
      <c r="X214" s="24"/>
      <c r="Y214" s="7" t="s">
        <v>5978</v>
      </c>
      <c r="Z214" s="7" t="s">
        <v>5978</v>
      </c>
      <c r="AA214" s="10" t="s">
        <v>744</v>
      </c>
      <c r="AB214" s="10"/>
      <c r="AC214" s="11" t="s">
        <v>6814</v>
      </c>
      <c r="AD214" s="11"/>
      <c r="AE214" s="13"/>
      <c r="AF214" s="13"/>
      <c r="AG214" s="11"/>
      <c r="AH214" s="8" t="s">
        <v>8197</v>
      </c>
      <c r="AI214" s="20" t="s">
        <v>6599</v>
      </c>
      <c r="AJ214" s="20"/>
      <c r="AK214" s="36"/>
      <c r="AL214" s="31"/>
    </row>
    <row r="215" spans="1:38" s="3" customFormat="1" ht="108" x14ac:dyDescent="0.25">
      <c r="A215" s="9">
        <v>208</v>
      </c>
      <c r="B215" s="7" t="s">
        <v>3973</v>
      </c>
      <c r="C215" s="7" t="s">
        <v>3</v>
      </c>
      <c r="D215" s="7" t="s">
        <v>6711</v>
      </c>
      <c r="E215" s="7" t="s">
        <v>6712</v>
      </c>
      <c r="F215" s="7" t="s">
        <v>6713</v>
      </c>
      <c r="G215" s="7" t="s">
        <v>6371</v>
      </c>
      <c r="H215" s="7" t="s">
        <v>6388</v>
      </c>
      <c r="I215" s="7"/>
      <c r="J215" s="20" t="str">
        <f>VLOOKUP(V215,Table_to_BRG!A:D,3,FALSE)</f>
        <v>Plant data</v>
      </c>
      <c r="K215" s="20" t="str">
        <f>VLOOKUP(V215,Table_to_BRG!A:D,2,FALSE)</f>
        <v>Plant</v>
      </c>
      <c r="L215" s="20"/>
      <c r="M215" s="20"/>
      <c r="N215" s="9"/>
      <c r="O215" s="54"/>
      <c r="P215" s="7" t="s">
        <v>8387</v>
      </c>
      <c r="Q215" s="11" t="str">
        <f>UPPER(LEFT(Table362[[#This Row],[Entity]],3))&amp;RIGHT("00"&amp;Table362[[#This Row],[Rule '# by Entity]],3)&amp;"0_"&amp;MID(SUBSTITUTE(Table362[[#This Row],[Rule Name]],"_","|",3),SEARCH("|",SUBSTITUTE(Table362[[#This Row],[Rule Name]],"_","|",3))+1,LEN(Table362[[#This Row],[Rule Name]]))</f>
        <v>MAT0890_DistributionProfileRef</v>
      </c>
      <c r="R215" s="8" t="s">
        <v>7952</v>
      </c>
      <c r="S215" s="7" t="s">
        <v>2</v>
      </c>
      <c r="T215" s="7"/>
      <c r="U215" s="7" t="s">
        <v>730</v>
      </c>
      <c r="V215" s="7" t="s">
        <v>1527</v>
      </c>
      <c r="W215" s="7" t="s">
        <v>2005</v>
      </c>
      <c r="X215" s="8" t="s">
        <v>2406</v>
      </c>
      <c r="Y215" s="7" t="s">
        <v>6042</v>
      </c>
      <c r="Z215" s="7" t="s">
        <v>2005</v>
      </c>
      <c r="AA215" s="11" t="str">
        <f>"BEGIN
     RETURN exists('DS_IS_RDS', '"&amp;Table362[[#This Row],[Lookup Table]]&amp;"', '"&amp;Table362[[#This Row],[Lookup Field]]&amp;"', "&amp;Table362[[#This Row],[IS Parameter]]&amp;");
END"</f>
        <v>BEGIN
     RETURN exists('DS_IS_RDS', 'TMFPF', 'FPRFM', $P_I_DistributionProfile);
END</v>
      </c>
      <c r="AB215" s="11" t="str">
        <f>Table362[[#This Row],[IS Parameter]]&amp;" IS NOT NULL AND rtrim("&amp;Table362[[#This Row],[IS Parameter]]&amp;", ' ') != ''"</f>
        <v>$P_I_DistributionProfile IS NOT NULL AND rtrim($P_I_DistributionProfile, ' ') != ''</v>
      </c>
      <c r="AC215" s="10" t="s">
        <v>6663</v>
      </c>
      <c r="AD215" s="10"/>
      <c r="AE215" s="13" t="str">
        <f>IF(Table362[[#This Row],[Entity]]="Customer","KUNNR",IF(Table362[[#This Row],[Entity]]="Vendor","LIFNR","MATNR"))&amp;",WERKS"&amp;","&amp;Table362[[#This Row],[Field]]</f>
        <v>MATNR,WERKS,FPRFM</v>
      </c>
      <c r="AF215" s="13" t="str">
        <f>"VW_"&amp;Table362[[#This Row],[New Rule Name]]</f>
        <v>VW_MAT0890_DistributionProfileRef</v>
      </c>
      <c r="AG215"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VW_MAT0890_DistributionProfileRef (
     MATNR,
     WERKS,
     FPRFM
     ) as select 
          MATNR,
          WERKS,
          FPRFM 
     from MARC</v>
      </c>
      <c r="AH215" s="8"/>
      <c r="AI215" s="20"/>
      <c r="AJ215" s="20"/>
      <c r="AK215" s="31">
        <v>89</v>
      </c>
      <c r="AL215" s="31"/>
    </row>
    <row r="216" spans="1:38" s="38" customFormat="1" ht="48" hidden="1" x14ac:dyDescent="0.25">
      <c r="A216" s="14">
        <v>214</v>
      </c>
      <c r="B216" s="15" t="s">
        <v>3973</v>
      </c>
      <c r="C216" s="15" t="s">
        <v>1207</v>
      </c>
      <c r="D216" s="15" t="s">
        <v>6719</v>
      </c>
      <c r="E216" s="15" t="s">
        <v>6720</v>
      </c>
      <c r="F216" s="15" t="s">
        <v>6722</v>
      </c>
      <c r="G216" s="15" t="s">
        <v>6361</v>
      </c>
      <c r="H216" s="15" t="s">
        <v>3967</v>
      </c>
      <c r="I216" s="15" t="s">
        <v>3967</v>
      </c>
      <c r="J216" s="27" t="str">
        <f>VLOOKUP(V216,Table_to_BRG!A:D,3,FALSE)</f>
        <v>General data</v>
      </c>
      <c r="K216" s="27" t="str">
        <f>VLOOKUP(V216,Table_to_BRG!A:D,2,FALSE)</f>
        <v>General</v>
      </c>
      <c r="L216" s="27"/>
      <c r="M216" s="27"/>
      <c r="N216" s="14" t="s">
        <v>6465</v>
      </c>
      <c r="O216" s="54" t="str">
        <f>"Superceded by rule "&amp;A997</f>
        <v>Superceded by rule 377</v>
      </c>
      <c r="P216" s="16" t="s">
        <v>750</v>
      </c>
      <c r="Q216" s="17"/>
      <c r="R216" s="16" t="s">
        <v>6494</v>
      </c>
      <c r="S216" s="15" t="s">
        <v>139</v>
      </c>
      <c r="T216" s="15"/>
      <c r="U216" s="16" t="s">
        <v>6095</v>
      </c>
      <c r="V216" s="15" t="s">
        <v>3542</v>
      </c>
      <c r="W216" s="16" t="s">
        <v>6353</v>
      </c>
      <c r="X216" s="16" t="s">
        <v>6354</v>
      </c>
      <c r="Y216" s="15" t="s">
        <v>5978</v>
      </c>
      <c r="Z216" s="15" t="s">
        <v>5978</v>
      </c>
      <c r="AA216" s="26" t="s">
        <v>753</v>
      </c>
      <c r="AB216" s="26"/>
      <c r="AC216" s="26"/>
      <c r="AD216" s="26"/>
      <c r="AE216" s="18"/>
      <c r="AF216" s="18"/>
      <c r="AG216" s="17"/>
      <c r="AH216" s="26"/>
      <c r="AI216" s="27" t="s">
        <v>7686</v>
      </c>
      <c r="AJ216" s="27"/>
      <c r="AK216" s="52"/>
      <c r="AL216" s="52"/>
    </row>
    <row r="217" spans="1:38" s="38" customFormat="1" ht="60" hidden="1" x14ac:dyDescent="0.25">
      <c r="A217" s="14">
        <v>215</v>
      </c>
      <c r="B217" s="15" t="s">
        <v>4292</v>
      </c>
      <c r="C217" s="15" t="s">
        <v>1207</v>
      </c>
      <c r="D217" s="15" t="s">
        <v>6719</v>
      </c>
      <c r="E217" s="15" t="s">
        <v>6720</v>
      </c>
      <c r="F217" s="15" t="s">
        <v>6722</v>
      </c>
      <c r="G217" s="15" t="s">
        <v>6361</v>
      </c>
      <c r="H217" s="15" t="s">
        <v>3969</v>
      </c>
      <c r="I217" s="15" t="s">
        <v>3967</v>
      </c>
      <c r="J217" s="27" t="str">
        <f>VLOOKUP(V217,Table_to_BRG!A:D,3,FALSE)</f>
        <v>General data</v>
      </c>
      <c r="K217" s="27" t="str">
        <f>VLOOKUP(V217,Table_to_BRG!A:D,2,FALSE)</f>
        <v>General</v>
      </c>
      <c r="L217" s="27"/>
      <c r="M217" s="27"/>
      <c r="N217" s="14" t="s">
        <v>6465</v>
      </c>
      <c r="O217" s="54" t="str">
        <f>"Superceded by rule "&amp;A997</f>
        <v>Superceded by rule 377</v>
      </c>
      <c r="P217" s="16" t="s">
        <v>8488</v>
      </c>
      <c r="Q217" s="17"/>
      <c r="R217" s="16" t="s">
        <v>4293</v>
      </c>
      <c r="S217" s="15" t="s">
        <v>4135</v>
      </c>
      <c r="T217" s="15"/>
      <c r="U217" s="16" t="s">
        <v>6095</v>
      </c>
      <c r="V217" s="15" t="s">
        <v>3542</v>
      </c>
      <c r="W217" s="16" t="s">
        <v>6353</v>
      </c>
      <c r="X217" s="16" t="s">
        <v>6354</v>
      </c>
      <c r="Y217" s="15" t="s">
        <v>5978</v>
      </c>
      <c r="Z217" s="15" t="s">
        <v>5978</v>
      </c>
      <c r="AA217" s="26" t="s">
        <v>4294</v>
      </c>
      <c r="AB217" s="26"/>
      <c r="AC217" s="26"/>
      <c r="AD217" s="26"/>
      <c r="AE217" s="18"/>
      <c r="AF217" s="18"/>
      <c r="AG217" s="17"/>
      <c r="AH217" s="16"/>
      <c r="AI217" s="27" t="s">
        <v>7687</v>
      </c>
      <c r="AJ217" s="27"/>
      <c r="AK217" s="52"/>
      <c r="AL217" s="52"/>
    </row>
    <row r="218" spans="1:38" s="3" customFormat="1" ht="60" x14ac:dyDescent="0.25">
      <c r="A218" s="9">
        <v>209</v>
      </c>
      <c r="B218" s="7" t="s">
        <v>3973</v>
      </c>
      <c r="C218" s="7" t="s">
        <v>3</v>
      </c>
      <c r="D218" s="7" t="s">
        <v>6711</v>
      </c>
      <c r="E218" s="7" t="s">
        <v>6712</v>
      </c>
      <c r="F218" s="7" t="s">
        <v>6725</v>
      </c>
      <c r="G218" s="7" t="s">
        <v>6385</v>
      </c>
      <c r="H218" s="7"/>
      <c r="I218" s="7"/>
      <c r="J218" s="20" t="str">
        <f>VLOOKUP(V218,Table_to_BRG!A:D,3,FALSE)</f>
        <v>General data</v>
      </c>
      <c r="K218" s="20" t="str">
        <f>VLOOKUP(V218,Table_to_BRG!A:D,2,FALSE)</f>
        <v>General</v>
      </c>
      <c r="L218" s="20"/>
      <c r="M218" s="20"/>
      <c r="N218" s="9"/>
      <c r="O218" s="54"/>
      <c r="P218" s="7" t="s">
        <v>8388</v>
      </c>
      <c r="Q218" s="11" t="str">
        <f>UPPER(LEFT(Table362[[#This Row],[Entity]],3))&amp;RIGHT("00"&amp;Table362[[#This Row],[Rule '# by Entity]],3)&amp;"0_"&amp;MID(SUBSTITUTE(Table362[[#This Row],[Rule Name]],"_","|",3),SEARCH("|",SUBSTITUTE(Table362[[#This Row],[Rule Name]],"_","|",3))+1,LEN(Table362[[#This Row],[Rule Name]]))</f>
        <v>MAT0190_DivisionRef</v>
      </c>
      <c r="R218" s="13" t="s">
        <v>7953</v>
      </c>
      <c r="S218" s="7" t="s">
        <v>2</v>
      </c>
      <c r="T218" s="7"/>
      <c r="U218" s="7" t="s">
        <v>56</v>
      </c>
      <c r="V218" s="7" t="s">
        <v>1526</v>
      </c>
      <c r="W218" s="7" t="s">
        <v>1498</v>
      </c>
      <c r="X218" s="8" t="s">
        <v>1234</v>
      </c>
      <c r="Y218" s="7" t="s">
        <v>5380</v>
      </c>
      <c r="Z218" s="7" t="s">
        <v>1498</v>
      </c>
      <c r="AA218" s="11" t="str">
        <f>"BEGIN
     RETURN exists('DS_IS_RDS', '"&amp;Table362[[#This Row],[Lookup Table]]&amp;"', '"&amp;Table362[[#This Row],[Lookup Field]]&amp;"', "&amp;Table362[[#This Row],[IS Parameter]]&amp;");
END"</f>
        <v>BEGIN
     RETURN exists('DS_IS_RDS', 'TSPA', 'SPART', $P_I_Division);
END</v>
      </c>
      <c r="AB218" s="11" t="str">
        <f>Table362[[#This Row],[IS Parameter]]&amp;" IS NOT NULL AND rtrim("&amp;Table362[[#This Row],[IS Parameter]]&amp;", ' ') != ''"</f>
        <v>$P_I_Division IS NOT NULL AND rtrim($P_I_Division, ' ') != ''</v>
      </c>
      <c r="AC218" s="10" t="s">
        <v>6663</v>
      </c>
      <c r="AD218" s="10"/>
      <c r="AE218" s="13" t="str">
        <f>IF(Table362[[#This Row],[Entity]]="Customer","KUNNR",IF(Table362[[#This Row],[Entity]]="Vendor","LIFNR","MATNR"))&amp;","&amp;Table362[[#This Row],[Field]]</f>
        <v>MATNR,SPART</v>
      </c>
      <c r="AF218" s="13" t="str">
        <f>"VW_"&amp;Table362[[#This Row],[New Rule Name]]</f>
        <v>VW_MAT0190_DivisionRef</v>
      </c>
      <c r="AG218" s="11" t="str">
        <f>"create view "&amp;Table362[[#This Row],[View Name]]&amp;" as 
     select 
          "&amp;IF(Table362[[#This Row],[Entity]]="Customer","KUNNR",IF(Table362[[#This Row],[Entity]]="Vendor","LIFNR","MATNR"))&amp;",
          "&amp;Table362[[#This Row],[Field]]&amp;" 
     from "&amp;Table362[[#This Row],[Table]]</f>
        <v>create view VW_MAT0190_DivisionRef as 
     select 
          MATNR,
          SPART 
     from MARA</v>
      </c>
      <c r="AH218" s="8"/>
      <c r="AI218" s="20" t="s">
        <v>7706</v>
      </c>
      <c r="AJ218" s="20"/>
      <c r="AK218" s="31">
        <v>19</v>
      </c>
      <c r="AL218" s="31"/>
    </row>
    <row r="219" spans="1:38" s="3" customFormat="1" ht="48" hidden="1" x14ac:dyDescent="0.25">
      <c r="A219" s="9">
        <v>217</v>
      </c>
      <c r="B219" s="7" t="s">
        <v>3973</v>
      </c>
      <c r="C219" s="7" t="s">
        <v>1207</v>
      </c>
      <c r="D219" s="7" t="s">
        <v>5978</v>
      </c>
      <c r="E219" s="7" t="s">
        <v>5978</v>
      </c>
      <c r="F219" s="7" t="s">
        <v>5978</v>
      </c>
      <c r="G219" s="7"/>
      <c r="H219" s="7"/>
      <c r="I219" s="7" t="s">
        <v>6436</v>
      </c>
      <c r="J219" s="20" t="e">
        <f>VLOOKUP(V219,Table_to_BRG!A:D,3,FALSE)</f>
        <v>#N/A</v>
      </c>
      <c r="K219" s="20" t="e">
        <f>VLOOKUP(V219,Table_to_BRG!A:D,2,FALSE)</f>
        <v>#N/A</v>
      </c>
      <c r="L219" s="20"/>
      <c r="M219" s="20"/>
      <c r="N219" s="9" t="s">
        <v>6465</v>
      </c>
      <c r="O219" s="54" t="s">
        <v>8306</v>
      </c>
      <c r="P219" s="16" t="s">
        <v>8489</v>
      </c>
      <c r="Q219" s="11"/>
      <c r="R219" s="8" t="s">
        <v>620</v>
      </c>
      <c r="S219" s="7" t="s">
        <v>21</v>
      </c>
      <c r="T219" s="7"/>
      <c r="U219" s="7" t="s">
        <v>621</v>
      </c>
      <c r="V219" s="23"/>
      <c r="W219" s="23"/>
      <c r="X219" s="24"/>
      <c r="Y219" s="7" t="s">
        <v>5978</v>
      </c>
      <c r="Z219" s="7" t="s">
        <v>5978</v>
      </c>
      <c r="AA219" s="10" t="s">
        <v>622</v>
      </c>
      <c r="AB219" s="10"/>
      <c r="AC219" s="10"/>
      <c r="AD219" s="10"/>
      <c r="AE219" s="13"/>
      <c r="AF219" s="13"/>
      <c r="AG219" s="11"/>
      <c r="AH219" s="8"/>
      <c r="AI219" s="20" t="s">
        <v>6532</v>
      </c>
      <c r="AJ219" s="20"/>
      <c r="AK219" s="31"/>
      <c r="AL219" s="31"/>
    </row>
    <row r="220" spans="1:38" s="3" customFormat="1" ht="60" x14ac:dyDescent="0.25">
      <c r="A220" s="9">
        <v>211</v>
      </c>
      <c r="B220" s="7" t="s">
        <v>3973</v>
      </c>
      <c r="C220" s="7" t="s">
        <v>3</v>
      </c>
      <c r="D220" s="7" t="s">
        <v>6711</v>
      </c>
      <c r="E220" s="7" t="s">
        <v>6712</v>
      </c>
      <c r="F220" s="7" t="s">
        <v>6725</v>
      </c>
      <c r="G220" s="7" t="s">
        <v>6390</v>
      </c>
      <c r="H220" s="7"/>
      <c r="I220" s="7"/>
      <c r="J220" s="20" t="str">
        <f>VLOOKUP(V220,Table_to_BRG!A:D,3,FALSE)</f>
        <v>General data</v>
      </c>
      <c r="K220" s="20" t="str">
        <f>VLOOKUP(V220,Table_to_BRG!A:D,2,FALSE)</f>
        <v>General</v>
      </c>
      <c r="L220" s="20"/>
      <c r="M220" s="20"/>
      <c r="N220" s="9"/>
      <c r="O220" s="54"/>
      <c r="P220" s="7" t="s">
        <v>8389</v>
      </c>
      <c r="Q220" s="11" t="str">
        <f>UPPER(LEFT(Table362[[#This Row],[Entity]],3))&amp;RIGHT("00"&amp;Table362[[#This Row],[Rule '# by Entity]],3)&amp;"0_"&amp;MID(SUBSTITUTE(Table362[[#This Row],[Rule Name]],"_","|",3),SEARCH("|",SUBSTITUTE(Table362[[#This Row],[Rule Name]],"_","|",3))+1,LEN(Table362[[#This Row],[Rule Name]]))</f>
        <v>MAT0100_BasicMaterialRef</v>
      </c>
      <c r="R220" s="8" t="s">
        <v>7954</v>
      </c>
      <c r="S220" s="7" t="s">
        <v>2</v>
      </c>
      <c r="T220" s="7"/>
      <c r="U220" s="7" t="s">
        <v>739</v>
      </c>
      <c r="V220" s="7" t="s">
        <v>1526</v>
      </c>
      <c r="W220" s="7" t="s">
        <v>1695</v>
      </c>
      <c r="X220" s="8" t="s">
        <v>8630</v>
      </c>
      <c r="Y220" s="7" t="s">
        <v>6043</v>
      </c>
      <c r="Z220" s="7" t="s">
        <v>1695</v>
      </c>
      <c r="AA220" s="11" t="str">
        <f>"BEGIN
     RETURN exists('DS_IS_RDS', '"&amp;Table362[[#This Row],[Lookup Table]]&amp;"', '"&amp;Table362[[#This Row],[Lookup Field]]&amp;"', "&amp;Table362[[#This Row],[IS Parameter]]&amp;");
END"</f>
        <v>BEGIN
     RETURN exists('DS_IS_RDS', 'TWSPR', 'WRKST', $P_I_BasicMaterial);
END</v>
      </c>
      <c r="AB220" s="11" t="str">
        <f>Table362[[#This Row],[IS Parameter]]&amp;" IS NOT NULL AND rtrim("&amp;Table362[[#This Row],[IS Parameter]]&amp;", ' ') != ''"</f>
        <v>$P_I_BasicMaterial IS NOT NULL AND rtrim($P_I_BasicMaterial, ' ') != ''</v>
      </c>
      <c r="AC220" s="10" t="s">
        <v>6663</v>
      </c>
      <c r="AD220" s="10"/>
      <c r="AE220" s="13" t="str">
        <f>IF(Table362[[#This Row],[Entity]]="Customer","KUNNR",IF(Table362[[#This Row],[Entity]]="Vendor","LIFNR","MATNR"))&amp;","&amp;Table362[[#This Row],[Field]]</f>
        <v>MATNR,WRKST</v>
      </c>
      <c r="AF220" s="13" t="str">
        <f>"VW_"&amp;Table362[[#This Row],[New Rule Name]]</f>
        <v>VW_MAT0100_BasicMaterialRef</v>
      </c>
      <c r="AG220" s="11" t="str">
        <f>"create view "&amp;Table362[[#This Row],[View Name]]&amp;" as 
     select 
          "&amp;IF(Table362[[#This Row],[Entity]]="Customer","KUNNR",IF(Table362[[#This Row],[Entity]]="Vendor","LIFNR","MATNR"))&amp;",
          "&amp;Table362[[#This Row],[Field]]&amp;" 
     from "&amp;Table362[[#This Row],[Table]]</f>
        <v>create view VW_MAT0100_BasicMaterialRef as 
     select 
          MATNR,
          WRKST 
     from MARA</v>
      </c>
      <c r="AH220" s="8"/>
      <c r="AI220" s="20"/>
      <c r="AJ220" s="20"/>
      <c r="AK220" s="31">
        <v>10</v>
      </c>
      <c r="AL220" s="31"/>
    </row>
    <row r="221" spans="1:38" s="3" customFormat="1" ht="84" x14ac:dyDescent="0.25">
      <c r="A221" s="9">
        <v>213</v>
      </c>
      <c r="B221" s="7" t="s">
        <v>3973</v>
      </c>
      <c r="C221" s="7" t="s">
        <v>3</v>
      </c>
      <c r="D221" s="7" t="s">
        <v>6711</v>
      </c>
      <c r="E221" s="7" t="s">
        <v>6712</v>
      </c>
      <c r="F221" s="7" t="s">
        <v>6745</v>
      </c>
      <c r="G221" s="7" t="s">
        <v>6369</v>
      </c>
      <c r="H221" s="7"/>
      <c r="I221" s="7"/>
      <c r="J221" s="20" t="str">
        <f>VLOOKUP(V221,Table_to_BRG!A:D,3,FALSE)</f>
        <v>Valuation data</v>
      </c>
      <c r="K221" s="20" t="str">
        <f>VLOOKUP(V221,Table_to_BRG!A:D,2,FALSE)</f>
        <v>Valuation</v>
      </c>
      <c r="L221" s="20"/>
      <c r="M221" s="20"/>
      <c r="N221" s="9"/>
      <c r="O221" s="54"/>
      <c r="P221" s="7" t="s">
        <v>8390</v>
      </c>
      <c r="Q221" s="11" t="str">
        <f>UPPER(LEFT(Table362[[#This Row],[Entity]],3))&amp;RIGHT("00"&amp;Table362[[#This Row],[Rule '# by Entity]],3)&amp;"0_"&amp;MID(SUBSTITUTE(Table362[[#This Row],[Rule Name]],"_","|",3),SEARCH("|",SUBSTITUTE(Table362[[#This Row],[Rule Name]],"_","|",3))+1,LEN(Table362[[#This Row],[Rule Name]]))</f>
        <v>MAT1030_PriceUnitPopulated</v>
      </c>
      <c r="R221" s="8" t="s">
        <v>7993</v>
      </c>
      <c r="S221" s="7" t="s">
        <v>21</v>
      </c>
      <c r="T221"/>
      <c r="U221" s="7" t="s">
        <v>747</v>
      </c>
      <c r="V221" s="7" t="s">
        <v>1528</v>
      </c>
      <c r="W221" s="7" t="s">
        <v>1505</v>
      </c>
      <c r="X221" s="8" t="s">
        <v>1253</v>
      </c>
      <c r="Y221" s="7" t="s">
        <v>5978</v>
      </c>
      <c r="Z221" s="7" t="s">
        <v>5978</v>
      </c>
      <c r="AA221" s="10" t="s">
        <v>749</v>
      </c>
      <c r="AB221" s="10"/>
      <c r="AC221" s="10" t="s">
        <v>6813</v>
      </c>
      <c r="AD221" s="10"/>
      <c r="AE221" s="13" t="str">
        <f>IF(Table362[[#This Row],[Entity]]="Customer","KUNNR",IF(Table362[[#This Row],[Entity]]="Vendor","LIFNR","MATNR"))&amp;",BWKEY,BWTAR,"&amp;Table362[[#This Row],[Field]]</f>
        <v>MATNR,BWKEY,BWTAR,PEINH</v>
      </c>
      <c r="AF221" s="13" t="str">
        <f>"VW_"&amp;Table362[[#This Row],[New Rule Name]]</f>
        <v>VW_MAT1030_PriceUnitPopulated</v>
      </c>
      <c r="AG221" s="11" t="str">
        <f>"create view "&amp;Table362[[#This Row],[View Name]]&amp;" as 
     select 
          "&amp;IF(Table362[[#This Row],[Entity]]="Customer","KUNNR",IF(Table362[[#This Row],[Entity]]="Vendor","LIFNR","MATNR"))&amp;",
          BWKEY,
          BWTAR,
          "&amp;Table362[[#This Row],[Field]]&amp;" 
     from "&amp;Table362[[#This Row],[Table]]</f>
        <v>create view VW_MAT1030_PriceUnitPopulated as 
     select 
          MATNR,
          BWKEY,
          BWTAR,
          PEINH 
     from MBEW</v>
      </c>
      <c r="AH221" s="8"/>
      <c r="AI221" s="20"/>
      <c r="AJ221" s="20"/>
      <c r="AK221" s="31">
        <v>103</v>
      </c>
      <c r="AL221" s="31"/>
    </row>
    <row r="222" spans="1:38" s="3" customFormat="1" ht="72" x14ac:dyDescent="0.25">
      <c r="A222" s="9">
        <v>216</v>
      </c>
      <c r="B222" s="7" t="s">
        <v>3973</v>
      </c>
      <c r="C222" s="7" t="s">
        <v>3</v>
      </c>
      <c r="D222" s="7" t="s">
        <v>6711</v>
      </c>
      <c r="E222" s="7" t="s">
        <v>6712</v>
      </c>
      <c r="F222" s="7" t="s">
        <v>6725</v>
      </c>
      <c r="G222" s="7" t="s">
        <v>6371</v>
      </c>
      <c r="H222" s="7" t="s">
        <v>6372</v>
      </c>
      <c r="I222" s="7"/>
      <c r="J222" s="20" t="str">
        <f>VLOOKUP(V222,Table_to_BRG!A:D,3,FALSE)</f>
        <v>General data</v>
      </c>
      <c r="K222" s="20" t="str">
        <f>VLOOKUP(V222,Table_to_BRG!A:D,2,FALSE)</f>
        <v>General</v>
      </c>
      <c r="L222" s="20"/>
      <c r="M222" s="20"/>
      <c r="N222" s="9"/>
      <c r="O222" s="54"/>
      <c r="P222" s="7" t="s">
        <v>8391</v>
      </c>
      <c r="Q222" s="11" t="str">
        <f>UPPER(LEFT(Table362[[#This Row],[Entity]],3))&amp;RIGHT("00"&amp;Table362[[#This Row],[Rule '# by Entity]],3)&amp;"0_"&amp;MID(SUBSTITUTE(Table362[[#This Row],[Rule Name]],"_","|",3),SEARCH("|",SUBSTITUTE(Table362[[#This Row],[Rule Name]],"_","|",3))+1,LEN(Table362[[#This Row],[Rule Name]]))</f>
        <v>MAT0150_TemperatureConditionRef</v>
      </c>
      <c r="R222" s="8" t="s">
        <v>7955</v>
      </c>
      <c r="S222" s="7" t="s">
        <v>2</v>
      </c>
      <c r="T222" s="7"/>
      <c r="U222" s="7" t="s">
        <v>756</v>
      </c>
      <c r="V222" s="7" t="s">
        <v>1526</v>
      </c>
      <c r="W222" s="7" t="s">
        <v>1969</v>
      </c>
      <c r="X222" s="8" t="s">
        <v>6672</v>
      </c>
      <c r="Y222" s="7" t="s">
        <v>6044</v>
      </c>
      <c r="Z222" s="7" t="s">
        <v>1969</v>
      </c>
      <c r="AA222" s="11" t="str">
        <f>"BEGIN
     RETURN exists('DS_IS_RDS', '"&amp;Table362[[#This Row],[Lookup Table]]&amp;"', '"&amp;Table362[[#This Row],[Lookup Field]]&amp;"', "&amp;Table362[[#This Row],[IS Parameter]]&amp;");
END"</f>
        <v>BEGIN
     RETURN exists('DS_IS_RDS', 'T143', 'TEMPB', $P_I_TemperatureCondition);
END</v>
      </c>
      <c r="AB222" s="11" t="str">
        <f>Table362[[#This Row],[IS Parameter]]&amp;" IS NOT NULL AND rtrim("&amp;Table362[[#This Row],[IS Parameter]]&amp;", ' ') != ''"</f>
        <v>$P_I_TemperatureCondition IS NOT NULL AND rtrim($P_I_TemperatureCondition, ' ') != ''</v>
      </c>
      <c r="AC222" s="10" t="s">
        <v>6663</v>
      </c>
      <c r="AD222" s="10"/>
      <c r="AE222" s="13" t="str">
        <f>IF(Table362[[#This Row],[Entity]]="Customer","KUNNR",IF(Table362[[#This Row],[Entity]]="Vendor","LIFNR","MATNR"))&amp;","&amp;Table362[[#This Row],[Field]]</f>
        <v>MATNR,TEMPB</v>
      </c>
      <c r="AF222" s="13" t="str">
        <f>"VW_"&amp;Table362[[#This Row],[New Rule Name]]</f>
        <v>VW_MAT0150_TemperatureConditionRef</v>
      </c>
      <c r="AG222" s="11" t="str">
        <f>"create view "&amp;Table362[[#This Row],[View Name]]&amp;" as 
     select 
          "&amp;IF(Table362[[#This Row],[Entity]]="Customer","KUNNR",IF(Table362[[#This Row],[Entity]]="Vendor","LIFNR","MATNR"))&amp;",
          "&amp;Table362[[#This Row],[Field]]&amp;" 
     from "&amp;Table362[[#This Row],[Table]]</f>
        <v>create view VW_MAT0150_TemperatureConditionRef as 
     select 
          MATNR,
          TEMPB 
     from MARA</v>
      </c>
      <c r="AH222" s="8"/>
      <c r="AI222" s="20"/>
      <c r="AJ222" s="20"/>
      <c r="AK222" s="31">
        <v>15</v>
      </c>
      <c r="AL222" s="31"/>
    </row>
    <row r="223" spans="1:38" s="3" customFormat="1" ht="60" hidden="1" x14ac:dyDescent="0.25">
      <c r="A223" s="9">
        <v>221</v>
      </c>
      <c r="B223" s="7" t="s">
        <v>3973</v>
      </c>
      <c r="C223" s="7" t="s">
        <v>1207</v>
      </c>
      <c r="D223" s="7" t="s">
        <v>5978</v>
      </c>
      <c r="E223" s="7" t="s">
        <v>5978</v>
      </c>
      <c r="F223" s="7" t="s">
        <v>5978</v>
      </c>
      <c r="G223" s="7" t="s">
        <v>6377</v>
      </c>
      <c r="H223" s="7"/>
      <c r="I223" s="7"/>
      <c r="J223" s="20" t="e">
        <f>VLOOKUP(V223,Table_to_BRG!A:D,3,FALSE)</f>
        <v>#N/A</v>
      </c>
      <c r="K223" s="20" t="e">
        <f>VLOOKUP(V223,Table_to_BRG!A:D,2,FALSE)</f>
        <v>#N/A</v>
      </c>
      <c r="L223" s="20"/>
      <c r="M223" s="20"/>
      <c r="N223" s="9" t="s">
        <v>6465</v>
      </c>
      <c r="O223" s="54" t="s">
        <v>6901</v>
      </c>
      <c r="P223" s="16" t="s">
        <v>8490</v>
      </c>
      <c r="Q223" s="11"/>
      <c r="R223" s="8" t="s">
        <v>8173</v>
      </c>
      <c r="S223" s="7" t="s">
        <v>2</v>
      </c>
      <c r="T223" s="7"/>
      <c r="U223" s="7" t="s">
        <v>743</v>
      </c>
      <c r="V223" s="23"/>
      <c r="W223" s="23"/>
      <c r="X223" s="24"/>
      <c r="Y223" s="7" t="s">
        <v>5978</v>
      </c>
      <c r="Z223" s="7" t="s">
        <v>5978</v>
      </c>
      <c r="AA223" s="10" t="s">
        <v>744</v>
      </c>
      <c r="AB223" s="10"/>
      <c r="AC223" s="11" t="s">
        <v>6814</v>
      </c>
      <c r="AD223" s="11"/>
      <c r="AE223" s="13"/>
      <c r="AF223" s="13"/>
      <c r="AG223" s="11"/>
      <c r="AH223" s="8"/>
      <c r="AI223" s="20" t="s">
        <v>6601</v>
      </c>
      <c r="AJ223" s="20"/>
      <c r="AK223" s="31"/>
      <c r="AL223" s="31"/>
    </row>
    <row r="224" spans="1:38" s="3" customFormat="1" ht="72" hidden="1" x14ac:dyDescent="0.25">
      <c r="A224" s="9">
        <v>218</v>
      </c>
      <c r="B224" s="7" t="s">
        <v>3973</v>
      </c>
      <c r="C224" s="7" t="s">
        <v>1207</v>
      </c>
      <c r="D224" s="7" t="s">
        <v>6711</v>
      </c>
      <c r="E224" s="7" t="s">
        <v>6733</v>
      </c>
      <c r="F224" s="7" t="s">
        <v>6739</v>
      </c>
      <c r="G224" s="7" t="s">
        <v>6377</v>
      </c>
      <c r="H224" s="7"/>
      <c r="I224" s="7"/>
      <c r="J224" s="20" t="str">
        <f>VLOOKUP(V224,Table_to_BRG!A:D,3,FALSE)</f>
        <v>Purchasing data</v>
      </c>
      <c r="K224" s="20" t="str">
        <f>VLOOKUP(V224,Table_to_BRG!A:D,2,FALSE)</f>
        <v>Purchasing org.</v>
      </c>
      <c r="L224" s="20"/>
      <c r="M224" s="20"/>
      <c r="N224" s="9"/>
      <c r="O224" s="54"/>
      <c r="P224" s="7" t="s">
        <v>8491</v>
      </c>
      <c r="Q224" s="11" t="str">
        <f>UPPER(LEFT(Table362[[#This Row],[Entity]],3))&amp;RIGHT("00"&amp;Table362[[#This Row],[Rule '# by Entity]],3)&amp;"0_"&amp;MID(SUBSTITUTE(Table362[[#This Row],[Rule Name]],"_","|",3),SEARCH("|",SUBSTITUTE(Table362[[#This Row],[Rule Name]],"_","|",3))+1,LEN(Table362[[#This Row],[Rule Name]]))</f>
        <v>VEN0660_PurchasingGroupRef</v>
      </c>
      <c r="R224" s="8" t="s">
        <v>7972</v>
      </c>
      <c r="S224" s="7" t="s">
        <v>2</v>
      </c>
      <c r="T224" s="7"/>
      <c r="U224" s="7" t="s">
        <v>131</v>
      </c>
      <c r="V224" s="8" t="s">
        <v>3818</v>
      </c>
      <c r="W224" s="7" t="s">
        <v>2045</v>
      </c>
      <c r="X224" s="8" t="s">
        <v>1307</v>
      </c>
      <c r="Y224" s="7" t="s">
        <v>4275</v>
      </c>
      <c r="Z224" s="7" t="s">
        <v>2045</v>
      </c>
      <c r="AA224" s="11" t="str">
        <f>"BEGIN
     RETURN exists('DS_IS_RDS', '"&amp;Table362[[#This Row],[Lookup Table]]&amp;"', '"&amp;Table362[[#This Row],[Lookup Field]]&amp;"', "&amp;Table362[[#This Row],[IS Parameter]]&amp;");
END"</f>
        <v>BEGIN
     RETURN exists('DS_IS_RDS', 'T024', 'EKGRP', $P_I_PurchasingGroup);
END</v>
      </c>
      <c r="AB224" s="11"/>
      <c r="AC224" s="10" t="s">
        <v>6663</v>
      </c>
      <c r="AD224" s="10"/>
      <c r="AE224" s="13" t="str">
        <f>IF(Table362[[#This Row],[Entity]]="Customer","KUNNR",IF(Table362[[#This Row],[Entity]]="Vendor","LIFNR","MATNR"))&amp;",EKORG,"&amp;Table362[[#This Row],[Field]]</f>
        <v>LIFNR,EKORG,EKGRP</v>
      </c>
      <c r="AF224" s="13" t="str">
        <f>"VW_"&amp;Table362[[#This Row],[New Rule Name]]</f>
        <v>VW_VEN0660_PurchasingGroupRef</v>
      </c>
      <c r="AG224" s="11" t="str">
        <f>"create view "&amp;Table362[[#This Row],[View Name]]&amp;" as 
     select 
          "&amp;IF(Table362[[#This Row],[Entity]]="Customer","KUNNR",IF(Table362[[#This Row],[Entity]]="Vendor","LIFNR","MATNR"))&amp;",
          EKORG,
          "&amp;Table362[[#This Row],[Field]]&amp;" 
     from "&amp;Table362[[#This Row],[Table]]</f>
        <v>create view VW_VEN0660_PurchasingGroupRef as 
     select 
          LIFNR,
          EKORG,
          EKGRP 
     from LFM1</v>
      </c>
      <c r="AH224" s="8" t="s">
        <v>6692</v>
      </c>
      <c r="AI224" s="20" t="s">
        <v>7811</v>
      </c>
      <c r="AJ224" s="20"/>
      <c r="AK224" s="31">
        <v>66</v>
      </c>
      <c r="AL224" s="31"/>
    </row>
    <row r="225" spans="1:38" s="3" customFormat="1" ht="84" x14ac:dyDescent="0.25">
      <c r="A225" s="9">
        <v>220</v>
      </c>
      <c r="B225" s="7" t="s">
        <v>3973</v>
      </c>
      <c r="C225" s="7" t="s">
        <v>3</v>
      </c>
      <c r="D225" s="7" t="s">
        <v>6711</v>
      </c>
      <c r="E225" s="7" t="s">
        <v>6712</v>
      </c>
      <c r="F225" s="7" t="s">
        <v>6748</v>
      </c>
      <c r="G225" s="7" t="s">
        <v>6371</v>
      </c>
      <c r="H225" s="7" t="s">
        <v>6686</v>
      </c>
      <c r="I225" s="7"/>
      <c r="J225" s="20" t="str">
        <f>VLOOKUP(V225,Table_to_BRG!A:D,3,FALSE)</f>
        <v>Storage location</v>
      </c>
      <c r="K225" s="20" t="str">
        <f>VLOOKUP(V225,Table_to_BRG!A:D,2,FALSE)</f>
        <v>Storage Location</v>
      </c>
      <c r="L225" s="20"/>
      <c r="M225" s="20"/>
      <c r="N225" s="9"/>
      <c r="O225" s="54"/>
      <c r="P225" s="7" t="s">
        <v>8392</v>
      </c>
      <c r="Q225" s="11" t="s">
        <v>8571</v>
      </c>
      <c r="R225" s="8" t="s">
        <v>7995</v>
      </c>
      <c r="S225" s="7" t="s">
        <v>21</v>
      </c>
      <c r="T225"/>
      <c r="U225" s="7" t="s">
        <v>768</v>
      </c>
      <c r="V225" s="7" t="s">
        <v>1989</v>
      </c>
      <c r="W225" s="7" t="s">
        <v>4277</v>
      </c>
      <c r="X225" s="8" t="s">
        <v>6804</v>
      </c>
      <c r="Y225" s="7" t="s">
        <v>5978</v>
      </c>
      <c r="Z225" s="7" t="s">
        <v>5978</v>
      </c>
      <c r="AA225" s="10" t="s">
        <v>769</v>
      </c>
      <c r="AB225" s="10"/>
      <c r="AC225" s="10" t="s">
        <v>6813</v>
      </c>
      <c r="AD225" s="10"/>
      <c r="AE225" s="13" t="str">
        <f>IF(Table362[[#This Row],[Entity]]="Customer","KUNNR",IF(Table362[[#This Row],[Entity]]="Vendor","LIFNR","MATNR"))&amp;",WERKS"&amp;","&amp;Table362[[#This Row],[Field]]</f>
        <v>MATNR,WERKS,LGORT</v>
      </c>
      <c r="AF225" s="13" t="str">
        <f>"VW_"&amp;Table362[[#This Row],[New Rule Name]]</f>
        <v>VW_MAT0981_StorageLocationPopulated</v>
      </c>
      <c r="AG225" s="11" t="str">
        <f>"create view "&amp;Table362[[#This Row],[View Name]]&amp;" as 
     select 
          "&amp;IF(Table362[[#This Row],[Entity]]="Customer","KUNNR",IF(Table362[[#This Row],[Entity]]="Vendor","LIFNR","MATNR"))&amp;",
          WERKS,
          "&amp;Table362[[#This Row],[Field]]&amp;" 
     from "&amp;Table362[[#This Row],[Table]]</f>
        <v>create view VW_MAT0981_StorageLocationPopulated as 
     select 
          MATNR,
          WERKS,
          LGORT 
     from MARD</v>
      </c>
      <c r="AH225" s="8"/>
      <c r="AI225" s="20" t="s">
        <v>7806</v>
      </c>
      <c r="AJ225" s="20"/>
      <c r="AK225" s="58" t="s">
        <v>8569</v>
      </c>
      <c r="AL225" s="31"/>
    </row>
    <row r="226" spans="1:38" s="3" customFormat="1" ht="120" x14ac:dyDescent="0.25">
      <c r="A226" s="9">
        <v>222</v>
      </c>
      <c r="B226" s="7" t="s">
        <v>3973</v>
      </c>
      <c r="C226" s="7" t="s">
        <v>3</v>
      </c>
      <c r="D226" s="7" t="s">
        <v>6711</v>
      </c>
      <c r="E226" s="7" t="s">
        <v>6712</v>
      </c>
      <c r="F226" s="7" t="s">
        <v>6713</v>
      </c>
      <c r="G226" s="7" t="s">
        <v>6703</v>
      </c>
      <c r="H226" s="7" t="s">
        <v>6376</v>
      </c>
      <c r="I226" s="7"/>
      <c r="J226" s="20" t="str">
        <f>VLOOKUP(V226,Table_to_BRG!A:D,3,FALSE)</f>
        <v>Plant data</v>
      </c>
      <c r="K226" s="20" t="str">
        <f>VLOOKUP(V226,Table_to_BRG!A:D,2,FALSE)</f>
        <v>Plant</v>
      </c>
      <c r="L226" s="20"/>
      <c r="M226" s="20"/>
      <c r="N226" s="9"/>
      <c r="O226" s="54"/>
      <c r="P226" s="7" t="s">
        <v>8393</v>
      </c>
      <c r="Q226" s="11" t="str">
        <f>UPPER(LEFT(Table362[[#This Row],[Entity]],3))&amp;RIGHT("00"&amp;Table362[[#This Row],[Rule '# by Entity]],3)&amp;"0_"&amp;MID(SUBSTITUTE(Table362[[#This Row],[Rule Name]],"_","|",3),SEARCH("|",SUBSTITUTE(Table362[[#This Row],[Rule Name]],"_","|",3))+1,LEN(Table362[[#This Row],[Rule Name]]))</f>
        <v>MAT0500_DiscontinuationIndIsValid</v>
      </c>
      <c r="R226" s="8" t="s">
        <v>8174</v>
      </c>
      <c r="S226" s="7" t="s">
        <v>4135</v>
      </c>
      <c r="T226" s="7" t="s">
        <v>2</v>
      </c>
      <c r="U226" s="7" t="s">
        <v>773</v>
      </c>
      <c r="V226" s="7" t="s">
        <v>1527</v>
      </c>
      <c r="W226" s="7" t="s">
        <v>2225</v>
      </c>
      <c r="X226" s="8" t="s">
        <v>1918</v>
      </c>
      <c r="Y226" s="7" t="s">
        <v>5978</v>
      </c>
      <c r="Z226" s="7" t="s">
        <v>5978</v>
      </c>
      <c r="AA226" s="10" t="s">
        <v>8587</v>
      </c>
      <c r="AB226" s="11" t="str">
        <f>Table362[[#This Row],[IS Parameter]]&amp;" IS NULL"</f>
        <v>$P_I_DiscontinuationInd IS NULL</v>
      </c>
      <c r="AC226" s="13" t="s">
        <v>7792</v>
      </c>
      <c r="AD226"/>
      <c r="AE226" s="13" t="str">
        <f>IF(Table362[[#This Row],[Entity]]="Customer","KUNNR",IF(Table362[[#This Row],[Entity]]="Vendor","LIFNR","MATNR"))&amp;",WERKS"&amp;","&amp;Table362[[#This Row],[Field]]</f>
        <v>MATNR,WERKS,KZAUS</v>
      </c>
      <c r="AF226" s="13" t="str">
        <f>"VW_"&amp;Table362[[#This Row],[New Rule Name]]</f>
        <v>VW_MAT0500_DiscontinuationIndIsValid</v>
      </c>
      <c r="AG226"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VW_MAT0500_DiscontinuationIndIsValid (
     MATNR,
     WERKS,
     KZAUS
     ) as select 
          MATNR,
          WERKS,
          KZAUS 
     from MARC</v>
      </c>
      <c r="AH226" s="8"/>
      <c r="AI226" s="20"/>
      <c r="AJ226" s="20"/>
      <c r="AK226" s="31">
        <v>50</v>
      </c>
      <c r="AL226" s="31"/>
    </row>
    <row r="227" spans="1:38" s="38" customFormat="1" ht="48" hidden="1" x14ac:dyDescent="0.25">
      <c r="A227" s="14">
        <v>225</v>
      </c>
      <c r="B227" s="15" t="s">
        <v>3973</v>
      </c>
      <c r="C227" s="15" t="s">
        <v>1207</v>
      </c>
      <c r="D227" s="15" t="s">
        <v>5978</v>
      </c>
      <c r="E227" s="15" t="s">
        <v>5978</v>
      </c>
      <c r="F227" s="15" t="s">
        <v>5978</v>
      </c>
      <c r="G227" s="15" t="s">
        <v>6361</v>
      </c>
      <c r="H227" s="15" t="s">
        <v>6363</v>
      </c>
      <c r="I227" s="15" t="s">
        <v>1403</v>
      </c>
      <c r="J227" s="27" t="e">
        <f>VLOOKUP(V227,Table_to_BRG!A:D,3,FALSE)</f>
        <v>#N/A</v>
      </c>
      <c r="K227" s="27" t="e">
        <f>VLOOKUP(V227,Table_to_BRG!A:D,2,FALSE)</f>
        <v>#N/A</v>
      </c>
      <c r="L227" s="27"/>
      <c r="M227" s="27"/>
      <c r="N227" s="14" t="s">
        <v>6465</v>
      </c>
      <c r="O227" s="54" t="str">
        <f>"Duplicate of rule "&amp;A251</f>
        <v>Duplicate of rule 249</v>
      </c>
      <c r="P227" s="16" t="s">
        <v>8492</v>
      </c>
      <c r="Q227" s="17"/>
      <c r="R227" s="16" t="s">
        <v>8167</v>
      </c>
      <c r="S227" s="15" t="s">
        <v>2</v>
      </c>
      <c r="T227" s="15"/>
      <c r="U227" s="15" t="s">
        <v>549</v>
      </c>
      <c r="V227" s="15"/>
      <c r="W227" s="15"/>
      <c r="X227" s="16"/>
      <c r="Y227" s="15" t="s">
        <v>5978</v>
      </c>
      <c r="Z227" s="15" t="s">
        <v>5978</v>
      </c>
      <c r="AA227" s="26" t="s">
        <v>346</v>
      </c>
      <c r="AB227" s="26"/>
      <c r="AC227" s="26"/>
      <c r="AD227" s="26"/>
      <c r="AE227" s="18"/>
      <c r="AF227" s="18"/>
      <c r="AG227" s="17"/>
      <c r="AH227" s="16"/>
      <c r="AI227" s="27" t="s">
        <v>6522</v>
      </c>
      <c r="AJ227" s="27"/>
      <c r="AK227" s="36"/>
      <c r="AL227" s="52"/>
    </row>
    <row r="228" spans="1:38" s="3" customFormat="1" ht="72" hidden="1" x14ac:dyDescent="0.25">
      <c r="A228" s="9">
        <v>223</v>
      </c>
      <c r="B228" s="7" t="s">
        <v>3973</v>
      </c>
      <c r="C228" s="7" t="s">
        <v>1207</v>
      </c>
      <c r="D228" s="7" t="s">
        <v>5978</v>
      </c>
      <c r="E228" s="7" t="s">
        <v>5978</v>
      </c>
      <c r="F228" s="7" t="s">
        <v>5978</v>
      </c>
      <c r="G228" s="7" t="s">
        <v>6361</v>
      </c>
      <c r="H228" s="7" t="s">
        <v>3967</v>
      </c>
      <c r="I228" s="7" t="s">
        <v>3967</v>
      </c>
      <c r="J228" s="20" t="str">
        <f>VLOOKUP(V228,Table_to_BRG!A:D,3,FALSE)</f>
        <v>General data</v>
      </c>
      <c r="K228" s="20" t="str">
        <f>VLOOKUP(V228,Table_to_BRG!A:D,2,FALSE)</f>
        <v>General</v>
      </c>
      <c r="L228" s="20"/>
      <c r="M228" s="20"/>
      <c r="N228" s="9"/>
      <c r="O228" s="54"/>
      <c r="P228" s="7" t="s">
        <v>8493</v>
      </c>
      <c r="Q228" s="11" t="str">
        <f>UPPER(LEFT(Table362[[#This Row],[Entity]],3))&amp;RIGHT("00"&amp;Table362[[#This Row],[Rule '# by Entity]],3)&amp;"0_"&amp;MID(SUBSTITUTE(Table362[[#This Row],[Rule Name]],"_","|",3),SEARCH("|",SUBSTITUTE(Table362[[#This Row],[Rule Name]],"_","|",3))+1,LEN(Table362[[#This Row],[Rule Name]]))</f>
        <v>VEN0040_NameOfAnAddressPopulated</v>
      </c>
      <c r="R228" s="8" t="s">
        <v>8292</v>
      </c>
      <c r="S228" s="7" t="s">
        <v>21</v>
      </c>
      <c r="T228" s="7"/>
      <c r="U228" s="7" t="s">
        <v>545</v>
      </c>
      <c r="V228" s="46" t="s">
        <v>3542</v>
      </c>
      <c r="W228" s="46" t="s">
        <v>2704</v>
      </c>
      <c r="X228" s="47" t="s">
        <v>1390</v>
      </c>
      <c r="Y228" s="7" t="s">
        <v>5978</v>
      </c>
      <c r="Z228" s="7" t="s">
        <v>5978</v>
      </c>
      <c r="AA228" s="10" t="s">
        <v>546</v>
      </c>
      <c r="AB228" s="10"/>
      <c r="AC228" s="10" t="s">
        <v>6813</v>
      </c>
      <c r="AD228" s="10" t="s">
        <v>6905</v>
      </c>
      <c r="AE228" s="13" t="str">
        <f>IF(Table362[[#This Row],[Entity]]="Customer","KUNNR",IF(Table362[[#This Row],[Entity]]="Vendor","LIFNR","MATNR"))&amp;","&amp;Table362[[#This Row],[Field]]</f>
        <v>LIFNR,NAME1</v>
      </c>
      <c r="AF228" s="13" t="str">
        <f>"VW_"&amp;Table362[[#This Row],[New Rule Name]]</f>
        <v>VW_VEN0040_NameOfAnAddressPopulated</v>
      </c>
      <c r="AG228" s="11" t="str">
        <f>"create view "&amp;Table362[[#This Row],[View Name]]&amp;" as 
     select 
          "&amp;IF(Table362[[#This Row],[Entity]]="Customer","KUNNR",IF(Table362[[#This Row],[Entity]]="Vendor","LIFNR","MATNR"))&amp;",
          "&amp;Table362[[#This Row],[Field]]&amp;" 
     from "&amp;Table362[[#This Row],[Table]]</f>
        <v>create view VW_VEN0040_NameOfAnAddressPopulated as 
     select 
          LIFNR,
          NAME1 
     from LFA1</v>
      </c>
      <c r="AH228" s="8" t="s">
        <v>6940</v>
      </c>
      <c r="AI228" s="20" t="s">
        <v>7667</v>
      </c>
      <c r="AJ228" s="20"/>
      <c r="AK228" s="31">
        <v>4</v>
      </c>
      <c r="AL228" s="31"/>
    </row>
    <row r="229" spans="1:38" s="3" customFormat="1" ht="60" hidden="1" x14ac:dyDescent="0.25">
      <c r="A229" s="9">
        <v>224</v>
      </c>
      <c r="B229" s="7" t="s">
        <v>3973</v>
      </c>
      <c r="C229" s="7" t="s">
        <v>16</v>
      </c>
      <c r="D229" s="7" t="s">
        <v>6711</v>
      </c>
      <c r="E229" s="7" t="s">
        <v>6714</v>
      </c>
      <c r="F229" s="7" t="s">
        <v>6715</v>
      </c>
      <c r="G229" s="7" t="s">
        <v>6361</v>
      </c>
      <c r="H229" s="7" t="s">
        <v>6650</v>
      </c>
      <c r="I229" s="7"/>
      <c r="J229" s="20" t="str">
        <f>VLOOKUP(V229,Table_to_BRG!A:D,3,FALSE)</f>
        <v>General data</v>
      </c>
      <c r="K229" s="20" t="str">
        <f>VLOOKUP(V229,Table_to_BRG!A:D,2,FALSE)</f>
        <v>General</v>
      </c>
      <c r="L229" s="20"/>
      <c r="M229" s="20"/>
      <c r="N229" s="9"/>
      <c r="O229" s="54"/>
      <c r="P229" s="7" t="s">
        <v>7869</v>
      </c>
      <c r="Q229" s="11" t="str">
        <f>UPPER(LEFT(Table362[[#This Row],[Entity]],3))&amp;RIGHT("00"&amp;Table362[[#This Row],[Rule '# by Entity]],3)&amp;"0_"&amp;MID(SUBSTITUTE(Table362[[#This Row],[Rule Name]],"_","|",3),SEARCH("|",SUBSTITUTE(Table362[[#This Row],[Rule Name]],"_","|",3))+1,LEN(Table362[[#This Row],[Rule Name]]))</f>
        <v>CUS0300_CurrencyRef</v>
      </c>
      <c r="R229" s="13" t="s">
        <v>8038</v>
      </c>
      <c r="S229" s="7" t="s">
        <v>21</v>
      </c>
      <c r="T229" s="7" t="s">
        <v>2</v>
      </c>
      <c r="U229" s="7" t="s">
        <v>22</v>
      </c>
      <c r="V229" s="7" t="s">
        <v>2741</v>
      </c>
      <c r="W229" s="7" t="s">
        <v>3241</v>
      </c>
      <c r="X229" s="8" t="s">
        <v>3252</v>
      </c>
      <c r="Y229" s="7" t="s">
        <v>4148</v>
      </c>
      <c r="Z229" s="7" t="s">
        <v>2850</v>
      </c>
      <c r="AA229" s="11" t="str">
        <f>"BEGIN
     RETURN exists('DS_IS_RDS', '"&amp;Table362[[#This Row],[Lookup Table]]&amp;"', '"&amp;Table362[[#This Row],[Lookup Field]]&amp;"', "&amp;Table362[[#This Row],[IS Parameter]]&amp;");
END"</f>
        <v>BEGIN
     RETURN exists('DS_IS_RDS', 'TCURC', 'WAERS', $P_I_Currency);
END</v>
      </c>
      <c r="AB229" s="11" t="str">
        <f>Table362[[#This Row],[IS Parameter]]&amp;" IS NOT NULL
AND "&amp; Table362[[#This Row],[IS Parameter]]&amp;" != ''"</f>
        <v>$P_I_Currency IS NOT NULL
AND $P_I_Currency != ''</v>
      </c>
      <c r="AC229" s="10" t="s">
        <v>6663</v>
      </c>
      <c r="AD229" s="10"/>
      <c r="AE229" s="13" t="str">
        <f>IF(Table362[[#This Row],[Entity]]="Customer","KUNNR",IF(Table362[[#This Row],[Entity]]="Vendor","LIFNR","MATNR"))&amp;","&amp;Table362[[#This Row],[Field]]</f>
        <v>KUNNR,UWAER</v>
      </c>
      <c r="AF229" s="13" t="str">
        <f>"VW_"&amp;Table362[[#This Row],[New Rule Name]]</f>
        <v>VW_CUS0300_CurrencyRef</v>
      </c>
      <c r="AG229" s="11" t="str">
        <f>"create view "&amp;Table362[[#This Row],[View Name]]&amp;" as 
     select 
          "&amp;IF(Table362[[#This Row],[Entity]]="Customer","KUNNR",IF(Table362[[#This Row],[Entity]]="Vendor","LIFNR","MATNR"))&amp;",
          "&amp;Table362[[#This Row],[Field]]&amp;" 
     from "&amp;Table362[[#This Row],[Table]]</f>
        <v>create view VW_CUS0300_CurrencyRef as 
     select 
          KUNNR,
          UWAER 
     from KNA1</v>
      </c>
      <c r="AH229" s="8"/>
      <c r="AI229" s="20" t="s">
        <v>7591</v>
      </c>
      <c r="AJ229" s="20"/>
      <c r="AK229" s="31">
        <v>30</v>
      </c>
      <c r="AL229" s="31"/>
    </row>
    <row r="230" spans="1:38" s="3" customFormat="1" ht="60" hidden="1" x14ac:dyDescent="0.25">
      <c r="A230" s="9">
        <v>228</v>
      </c>
      <c r="B230" s="7" t="s">
        <v>3973</v>
      </c>
      <c r="C230" s="7" t="s">
        <v>1207</v>
      </c>
      <c r="D230" s="7" t="s">
        <v>5978</v>
      </c>
      <c r="E230" s="7" t="s">
        <v>5978</v>
      </c>
      <c r="F230" s="7" t="s">
        <v>5978</v>
      </c>
      <c r="G230" s="7" t="s">
        <v>6361</v>
      </c>
      <c r="H230" s="7" t="s">
        <v>3967</v>
      </c>
      <c r="I230" s="7"/>
      <c r="J230" s="20" t="str">
        <f>VLOOKUP(V230,Table_to_BRG!A:D,3,FALSE)</f>
        <v>General data</v>
      </c>
      <c r="K230" s="20" t="str">
        <f>VLOOKUP(V230,Table_to_BRG!A:D,2,FALSE)</f>
        <v>General</v>
      </c>
      <c r="L230" s="20"/>
      <c r="M230" s="20"/>
      <c r="N230" s="9" t="s">
        <v>6465</v>
      </c>
      <c r="O230" s="54" t="s">
        <v>7785</v>
      </c>
      <c r="P230" s="7" t="s">
        <v>8494</v>
      </c>
      <c r="Q230" s="50"/>
      <c r="R230" s="8" t="s">
        <v>8175</v>
      </c>
      <c r="S230" s="7" t="s">
        <v>21</v>
      </c>
      <c r="T230" s="7"/>
      <c r="U230" s="7" t="s">
        <v>787</v>
      </c>
      <c r="V230" s="46" t="s">
        <v>3542</v>
      </c>
      <c r="W230" s="46" t="s">
        <v>3045</v>
      </c>
      <c r="X230" s="47" t="s">
        <v>6915</v>
      </c>
      <c r="Y230" s="7" t="s">
        <v>6916</v>
      </c>
      <c r="Z230" s="7" t="s">
        <v>6917</v>
      </c>
      <c r="AA230" s="24" t="s">
        <v>788</v>
      </c>
      <c r="AB230" s="24"/>
      <c r="AC230" s="10" t="s">
        <v>6663</v>
      </c>
      <c r="AD230" s="10"/>
      <c r="AE230" s="13" t="str">
        <f>IF(Table362[[#This Row],[Entity]]="Customer","KUNNR",IF(Table362[[#This Row],[Entity]]="Vendor","LIFNR","MATNR"))&amp;","&amp;Table362[[#This Row],[Field]]</f>
        <v>LIFNR,LIFNR</v>
      </c>
      <c r="AF230" s="13"/>
      <c r="AG230" s="11" t="str">
        <f>"create view "&amp;Table362[[#This Row],[View Name]]&amp;" as 
     select 
          "&amp;IF(Table362[[#This Row],[Entity]]="Customer","KUNNR",IF(Table362[[#This Row],[Entity]]="Vendor","LIFNR","MATNR"))&amp;",
          "&amp;Table362[[#This Row],[Field]]&amp;" 
     from "&amp;Table362[[#This Row],[Table]]</f>
        <v>create view  as 
     select 
          LIFNR,
          LIFNR 
     from LFA1</v>
      </c>
      <c r="AH230" s="8"/>
      <c r="AI230" s="20" t="s">
        <v>7594</v>
      </c>
      <c r="AJ230" s="20"/>
      <c r="AK230" s="36"/>
      <c r="AL230" s="31"/>
    </row>
    <row r="231" spans="1:38" s="3" customFormat="1" ht="72" hidden="1" x14ac:dyDescent="0.25">
      <c r="A231" s="9">
        <v>226</v>
      </c>
      <c r="B231" s="7" t="s">
        <v>3973</v>
      </c>
      <c r="C231" s="7" t="s">
        <v>1207</v>
      </c>
      <c r="D231" s="7" t="s">
        <v>6719</v>
      </c>
      <c r="E231" s="7" t="s">
        <v>6720</v>
      </c>
      <c r="F231" s="7" t="s">
        <v>6722</v>
      </c>
      <c r="G231" s="7" t="s">
        <v>6643</v>
      </c>
      <c r="H231" s="7" t="s">
        <v>6274</v>
      </c>
      <c r="I231" s="7" t="s">
        <v>6633</v>
      </c>
      <c r="J231" s="20" t="str">
        <f>VLOOKUP(V231,Table_to_BRG!A:D,3,FALSE)</f>
        <v>General data</v>
      </c>
      <c r="K231" s="20" t="str">
        <f>VLOOKUP(V231,Table_to_BRG!A:D,2,FALSE)</f>
        <v>General</v>
      </c>
      <c r="L231" s="20"/>
      <c r="M231" s="20"/>
      <c r="N231" s="9"/>
      <c r="O231" s="54"/>
      <c r="P231" s="7" t="s">
        <v>8495</v>
      </c>
      <c r="Q231" s="11" t="str">
        <f>UPPER(LEFT(Table362[[#This Row],[Entity]],3))&amp;RIGHT("00"&amp;Table362[[#This Row],[Rule '# by Entity]],3)&amp;"0_"&amp;MID(SUBSTITUTE(Table362[[#This Row],[Rule Name]],"_","|",3),SEARCH("|",SUBSTITUTE(Table362[[#This Row],[Rule Name]],"_","|",3))+1,LEN(Table362[[#This Row],[Rule Name]]))</f>
        <v>VEN0250_VATRegistrationNumberPopulated</v>
      </c>
      <c r="R231" s="8" t="s">
        <v>8293</v>
      </c>
      <c r="S231" s="7" t="s">
        <v>21</v>
      </c>
      <c r="T231" s="7"/>
      <c r="U231" s="7" t="s">
        <v>6094</v>
      </c>
      <c r="V231" s="7" t="s">
        <v>3542</v>
      </c>
      <c r="W231" s="7" t="s">
        <v>3062</v>
      </c>
      <c r="X231" s="8" t="s">
        <v>708</v>
      </c>
      <c r="Y231" s="7" t="s">
        <v>5978</v>
      </c>
      <c r="Z231" s="7" t="s">
        <v>5978</v>
      </c>
      <c r="AA231" s="10" t="s">
        <v>709</v>
      </c>
      <c r="AB231" s="10"/>
      <c r="AC231" s="10" t="s">
        <v>6813</v>
      </c>
      <c r="AD231" s="10"/>
      <c r="AE231" s="13" t="str">
        <f>IF(Table362[[#This Row],[Entity]]="Customer","KUNNR",IF(Table362[[#This Row],[Entity]]="Vendor","LIFNR","MATNR"))&amp;","&amp;Table362[[#This Row],[Field]]</f>
        <v>LIFNR,STCEG</v>
      </c>
      <c r="AF231" s="13" t="str">
        <f>"VW_"&amp;Table362[[#This Row],[New Rule Name]]</f>
        <v>VW_VEN0250_VATRegistrationNumberPopulated</v>
      </c>
      <c r="AG231" s="11" t="str">
        <f>"create view "&amp;Table362[[#This Row],[View Name]]&amp;" as 
     select 
          "&amp;IF(Table362[[#This Row],[Entity]]="Customer","KUNNR",IF(Table362[[#This Row],[Entity]]="Vendor","LIFNR","MATNR"))&amp;",
          "&amp;Table362[[#This Row],[Field]]&amp;" 
     from "&amp;Table362[[#This Row],[Table]]</f>
        <v>create view VW_VEN0250_VATRegistrationNumberPopulated as 
     select 
          LIFNR,
          STCEG 
     from LFA1</v>
      </c>
      <c r="AH231" s="8"/>
      <c r="AI231" s="20" t="s">
        <v>7647</v>
      </c>
      <c r="AJ231" s="20"/>
      <c r="AK231" s="31">
        <v>25</v>
      </c>
      <c r="AL231" s="31"/>
    </row>
    <row r="232" spans="1:38" s="3" customFormat="1" ht="84" x14ac:dyDescent="0.25">
      <c r="A232" s="9">
        <v>227</v>
      </c>
      <c r="B232" s="7" t="s">
        <v>3973</v>
      </c>
      <c r="C232" s="7" t="s">
        <v>3</v>
      </c>
      <c r="D232" s="7" t="s">
        <v>6711</v>
      </c>
      <c r="E232" s="7" t="s">
        <v>6712</v>
      </c>
      <c r="F232" s="7" t="s">
        <v>6745</v>
      </c>
      <c r="G232" s="7" t="s">
        <v>6391</v>
      </c>
      <c r="H232" s="7"/>
      <c r="I232" s="7"/>
      <c r="J232" s="20" t="str">
        <f>VLOOKUP(V232,Table_to_BRG!A:D,3,FALSE)</f>
        <v>Valuation data</v>
      </c>
      <c r="K232" s="20" t="str">
        <f>VLOOKUP(V232,Table_to_BRG!A:D,2,FALSE)</f>
        <v>Valuation</v>
      </c>
      <c r="L232" s="20"/>
      <c r="M232" s="20"/>
      <c r="N232" s="9"/>
      <c r="O232" s="54"/>
      <c r="P232" s="7" t="s">
        <v>8394</v>
      </c>
      <c r="Q232" s="11" t="str">
        <f>UPPER(LEFT(Table362[[#This Row],[Entity]],3))&amp;RIGHT("00"&amp;Table362[[#This Row],[Rule '# by Entity]],3)&amp;"0_"&amp;MID(SUBSTITUTE(Table362[[#This Row],[Rule Name]],"_","|",3),SEARCH("|",SUBSTITUTE(Table362[[#This Row],[Rule Name]],"_","|",3))+1,LEN(Table362[[#This Row],[Rule Name]]))</f>
        <v>MAT1060_OriginGroupRef</v>
      </c>
      <c r="R232" s="8" t="s">
        <v>7956</v>
      </c>
      <c r="S232" s="7" t="s">
        <v>2</v>
      </c>
      <c r="T232" s="7"/>
      <c r="U232" s="7" t="s">
        <v>783</v>
      </c>
      <c r="V232" s="7" t="s">
        <v>1528</v>
      </c>
      <c r="W232" s="7" t="s">
        <v>1764</v>
      </c>
      <c r="X232" s="8" t="s">
        <v>8631</v>
      </c>
      <c r="Y232" s="7" t="s">
        <v>6045</v>
      </c>
      <c r="Z232" s="7" t="s">
        <v>1764</v>
      </c>
      <c r="AA232" s="11" t="str">
        <f>"BEGIN
     RETURN exists('DS_IS_RDS', '"&amp;Table362[[#This Row],[Lookup Table]]&amp;"', '"&amp;Table362[[#This Row],[Lookup Field]]&amp;"', "&amp;Table362[[#This Row],[IS Parameter]]&amp;");
END"</f>
        <v>BEGIN
     RETURN exists('DS_IS_RDS', 'TKKH1', 'HRKFT', $P_I_OriginGroup);
END</v>
      </c>
      <c r="AB232" s="11" t="str">
        <f>Table362[[#This Row],[IS Parameter]]&amp;" IS NOT NULL AND rtrim("&amp;Table362[[#This Row],[IS Parameter]]&amp;", ' ') != ''"</f>
        <v>$P_I_OriginGroup IS NOT NULL AND rtrim($P_I_OriginGroup, ' ') != ''</v>
      </c>
      <c r="AC232" s="10" t="s">
        <v>6663</v>
      </c>
      <c r="AD232" s="10"/>
      <c r="AE232" s="13" t="str">
        <f>IF(Table362[[#This Row],[Entity]]="Customer","KUNNR",IF(Table362[[#This Row],[Entity]]="Vendor","LIFNR","MATNR"))&amp;",BWKEY,BWTAR,"&amp;Table362[[#This Row],[Field]]</f>
        <v>MATNR,BWKEY,BWTAR,HRKFT</v>
      </c>
      <c r="AF232" s="13" t="str">
        <f>"VW_"&amp;Table362[[#This Row],[New Rule Name]]</f>
        <v>VW_MAT1060_OriginGroupRef</v>
      </c>
      <c r="AG232" s="11" t="str">
        <f>"create view "&amp;Table362[[#This Row],[View Name]]&amp;" as 
     select 
          "&amp;IF(Table362[[#This Row],[Entity]]="Customer","KUNNR",IF(Table362[[#This Row],[Entity]]="Vendor","LIFNR","MATNR"))&amp;",
          BWKEY,
          BWTAR,
          "&amp;Table362[[#This Row],[Field]]&amp;" 
     from "&amp;Table362[[#This Row],[Table]]</f>
        <v>create view VW_MAT1060_OriginGroupRef as 
     select 
          MATNR,
          BWKEY,
          BWTAR,
          HRKFT 
     from MBEW</v>
      </c>
      <c r="AH232" s="8"/>
      <c r="AI232" s="20"/>
      <c r="AJ232" s="20"/>
      <c r="AK232" s="31">
        <v>106</v>
      </c>
      <c r="AL232" s="31"/>
    </row>
    <row r="233" spans="1:38" s="3" customFormat="1" ht="96" hidden="1" x14ac:dyDescent="0.25">
      <c r="A233" s="9">
        <v>229</v>
      </c>
      <c r="B233" s="7" t="s">
        <v>3973</v>
      </c>
      <c r="C233" s="7" t="s">
        <v>16</v>
      </c>
      <c r="D233" s="7" t="s">
        <v>6711</v>
      </c>
      <c r="E233" s="7" t="s">
        <v>6714</v>
      </c>
      <c r="F233" s="7" t="s">
        <v>6724</v>
      </c>
      <c r="G233" s="7" t="s">
        <v>6365</v>
      </c>
      <c r="H233" s="7" t="s">
        <v>6368</v>
      </c>
      <c r="I233" s="7"/>
      <c r="J233" s="20" t="str">
        <f>VLOOKUP(V233,Table_to_BRG!A:D,3,FALSE)</f>
        <v>Customer sales data</v>
      </c>
      <c r="K233" s="20" t="str">
        <f>VLOOKUP(V233,Table_to_BRG!A:D,2,FALSE)</f>
        <v>Sales</v>
      </c>
      <c r="L233" s="20"/>
      <c r="M233" s="20"/>
      <c r="N233" s="9"/>
      <c r="O233" s="54"/>
      <c r="P233" s="7" t="s">
        <v>8070</v>
      </c>
      <c r="Q233" s="11" t="str">
        <f>UPPER(LEFT(Table362[[#This Row],[Entity]],3))&amp;RIGHT("00"&amp;Table362[[#This Row],[Rule '# by Entity]],3)&amp;"0_"&amp;MID(SUBSTITUTE(Table362[[#This Row],[Rule Name]],"_","|",3),SEARCH("|",SUBSTITUTE(Table362[[#This Row],[Rule Name]],"_","|",3))+1,LEN(Table362[[#This Row],[Rule Name]]))</f>
        <v>CUS1100_PODRelevantIsValid</v>
      </c>
      <c r="R233" s="8" t="s">
        <v>8176</v>
      </c>
      <c r="S233" s="7" t="s">
        <v>4135</v>
      </c>
      <c r="T233" s="7" t="s">
        <v>2</v>
      </c>
      <c r="U233" s="7" t="s">
        <v>345</v>
      </c>
      <c r="V233" s="7" t="s">
        <v>3334</v>
      </c>
      <c r="W233" s="7" t="s">
        <v>3459</v>
      </c>
      <c r="X233" s="8" t="s">
        <v>3468</v>
      </c>
      <c r="Y233" s="7" t="s">
        <v>5978</v>
      </c>
      <c r="Z233" s="7" t="s">
        <v>5978</v>
      </c>
      <c r="AA233" s="10" t="s">
        <v>8609</v>
      </c>
      <c r="AB233" s="11" t="str">
        <f>Table362[[#This Row],[IS Parameter]]&amp;" IS NOT NULL
AND "&amp; Table362[[#This Row],[IS Parameter]]&amp;" != ''"</f>
        <v>$P_I_PODRelevant IS NOT NULL
AND $P_I_PODRelevant != ''</v>
      </c>
      <c r="AC233" s="13" t="s">
        <v>7792</v>
      </c>
      <c r="AD233"/>
      <c r="AE233" s="13" t="s">
        <v>6943</v>
      </c>
      <c r="AF233" s="13" t="str">
        <f>"VW_"&amp;Table362[[#This Row],[New Rule Name]]</f>
        <v>VW_CUS1100_PODRelevantIsValid</v>
      </c>
      <c r="AG233" s="11" t="str">
        <f>"create view "&amp;Table362[[#This Row],[View Name]]&amp;" as 
     select 
          "&amp;IF(Table362[[#This Row],[Entity]]="Customer","KUNNR",IF(Table362[[#This Row],[Entity]]="Vendor","LIFNR","MATNR"))&amp;",
          VKORG,
          VTWEG,
          SPART,
          "&amp;Table362[[#This Row],[Field]]&amp;" 
     from "&amp;Table362[[#This Row],[Table]]</f>
        <v>create view VW_CUS1100_PODRelevantIsValid as 
     select 
          KUNNR,
          VKORG,
          VTWEG,
          SPART,
          PODKZ 
     from KNVV</v>
      </c>
      <c r="AH233" s="8"/>
      <c r="AI233" s="20" t="s">
        <v>6524</v>
      </c>
      <c r="AJ233" s="20"/>
      <c r="AK233" s="31">
        <v>110</v>
      </c>
      <c r="AL233" s="31"/>
    </row>
    <row r="234" spans="1:38" s="3" customFormat="1" ht="84" hidden="1" x14ac:dyDescent="0.25">
      <c r="A234" s="9">
        <v>230</v>
      </c>
      <c r="B234" s="7" t="s">
        <v>3973</v>
      </c>
      <c r="C234" s="7" t="s">
        <v>1207</v>
      </c>
      <c r="D234" s="7" t="s">
        <v>6711</v>
      </c>
      <c r="E234" s="7" t="s">
        <v>6733</v>
      </c>
      <c r="F234" s="7" t="s">
        <v>6739</v>
      </c>
      <c r="G234" s="7" t="s">
        <v>6377</v>
      </c>
      <c r="H234" s="7"/>
      <c r="I234" s="7"/>
      <c r="J234" s="20" t="str">
        <f>VLOOKUP(V234,Table_to_BRG!A:D,3,FALSE)</f>
        <v>Purchasing data</v>
      </c>
      <c r="K234" s="20" t="str">
        <f>VLOOKUP(V234,Table_to_BRG!A:D,2,FALSE)</f>
        <v>Purchasing org.</v>
      </c>
      <c r="L234" s="20"/>
      <c r="M234" s="20"/>
      <c r="N234" s="9"/>
      <c r="O234" s="54"/>
      <c r="P234" s="7" t="s">
        <v>8496</v>
      </c>
      <c r="Q234" s="11" t="str">
        <f>UPPER(LEFT(Table362[[#This Row],[Entity]],3))&amp;RIGHT("00"&amp;Table362[[#This Row],[Rule '# by Entity]],3)&amp;"0_"&amp;MID(SUBSTITUTE(Table362[[#This Row],[Rule Name]],"_","|",3),SEARCH("|",SUBSTITUTE(Table362[[#This Row],[Rule Name]],"_","|",3))+1,LEN(Table362[[#This Row],[Rule Name]]))</f>
        <v>VEN0680_OrderOptimizationRestVendorRef</v>
      </c>
      <c r="R234" s="8" t="s">
        <v>8277</v>
      </c>
      <c r="S234" s="7" t="s">
        <v>2</v>
      </c>
      <c r="T234" s="7"/>
      <c r="U234" s="7" t="s">
        <v>792</v>
      </c>
      <c r="V234" s="8" t="s">
        <v>3818</v>
      </c>
      <c r="W234" s="7" t="s">
        <v>3893</v>
      </c>
      <c r="X234" s="8" t="s">
        <v>3920</v>
      </c>
      <c r="Y234" s="7" t="s">
        <v>6046</v>
      </c>
      <c r="Z234" s="7" t="s">
        <v>3893</v>
      </c>
      <c r="AA234" s="11" t="str">
        <f>"BEGIN
     RETURN exists('DS_IS_RDS', '"&amp;Table362[[#This Row],[Lookup Table]]&amp;"', '"&amp;Table362[[#This Row],[Lookup Field]]&amp;"', "&amp;Table362[[#This Row],[IS Parameter]]&amp;");
END"</f>
        <v>BEGIN
     RETURN exists('DS_IS_RDS', 'TWBO1', 'BOPNR', $P_I_OrderOptRest);
END</v>
      </c>
      <c r="AB234" s="11"/>
      <c r="AC234" s="10" t="s">
        <v>6663</v>
      </c>
      <c r="AD234" s="10"/>
      <c r="AE234" s="13" t="str">
        <f>IF(Table362[[#This Row],[Entity]]="Customer","KUNNR",IF(Table362[[#This Row],[Entity]]="Vendor","LIFNR","MATNR"))&amp;",EKORG,"&amp;Table362[[#This Row],[Field]]</f>
        <v>LIFNR,EKORG,BOPNR</v>
      </c>
      <c r="AF234" s="13" t="str">
        <f>"VW_"&amp;Table362[[#This Row],[New Rule Name]]</f>
        <v>VW_VEN0680_OrderOptimizationRestVendorRef</v>
      </c>
      <c r="AG234" s="11" t="str">
        <f>"create view "&amp;Table362[[#This Row],[View Name]]&amp;" as 
     select 
          "&amp;IF(Table362[[#This Row],[Entity]]="Customer","KUNNR",IF(Table362[[#This Row],[Entity]]="Vendor","LIFNR","MATNR"))&amp;",
          EKORG,
          "&amp;Table362[[#This Row],[Field]]&amp;" 
     from "&amp;Table362[[#This Row],[Table]]</f>
        <v>create view VW_VEN0680_OrderOptimizationRestVendorRef as 
     select 
          LIFNR,
          EKORG,
          BOPNR 
     from LFM1</v>
      </c>
      <c r="AH234" s="8" t="s">
        <v>6694</v>
      </c>
      <c r="AI234" s="20"/>
      <c r="AJ234" s="20"/>
      <c r="AK234" s="31">
        <v>68</v>
      </c>
      <c r="AL234" s="31"/>
    </row>
    <row r="235" spans="1:38" s="3" customFormat="1" ht="84.6" hidden="1" customHeight="1" x14ac:dyDescent="0.25">
      <c r="A235" s="9">
        <v>231</v>
      </c>
      <c r="B235" s="7" t="s">
        <v>3973</v>
      </c>
      <c r="C235" s="7" t="s">
        <v>1207</v>
      </c>
      <c r="D235" s="7" t="s">
        <v>6711</v>
      </c>
      <c r="E235" s="7" t="s">
        <v>6733</v>
      </c>
      <c r="F235" s="7" t="s">
        <v>6739</v>
      </c>
      <c r="G235" s="7" t="s">
        <v>6377</v>
      </c>
      <c r="H235" s="7"/>
      <c r="I235" s="7"/>
      <c r="J235" s="20" t="str">
        <f>VLOOKUP(V235,Table_to_BRG!A:D,3,FALSE)</f>
        <v>Purchasing data</v>
      </c>
      <c r="K235" s="20" t="str">
        <f>VLOOKUP(V235,Table_to_BRG!A:D,2,FALSE)</f>
        <v>Purchasing org.</v>
      </c>
      <c r="L235" s="20"/>
      <c r="M235" s="20"/>
      <c r="N235" s="9"/>
      <c r="O235" s="54"/>
      <c r="P235" s="7" t="s">
        <v>8497</v>
      </c>
      <c r="Q235" s="11" t="str">
        <f>UPPER(LEFT(Table362[[#This Row],[Entity]],3))&amp;RIGHT("00"&amp;Table362[[#This Row],[Rule '# by Entity]],3)&amp;"0_"&amp;MID(SUBSTITUTE(Table362[[#This Row],[Rule Name]],"_","|",3),SEARCH("|",SUBSTITUTE(Table362[[#This Row],[Rule Name]],"_","|",3))+1,LEN(Table362[[#This Row],[Rule Name]]))</f>
        <v>VEN0580_POCurrencyRef</v>
      </c>
      <c r="R235" s="13" t="s">
        <v>8268</v>
      </c>
      <c r="S235" s="7" t="s">
        <v>2</v>
      </c>
      <c r="T235" s="7"/>
      <c r="U235" s="7" t="s">
        <v>22</v>
      </c>
      <c r="V235" s="8" t="s">
        <v>3818</v>
      </c>
      <c r="W235" s="7" t="s">
        <v>2850</v>
      </c>
      <c r="X235" s="8" t="s">
        <v>3917</v>
      </c>
      <c r="Y235" s="7" t="s">
        <v>4148</v>
      </c>
      <c r="Z235" s="7" t="s">
        <v>2850</v>
      </c>
      <c r="AA235" s="11" t="str">
        <f>"BEGIN
     RETURN exists('DS_IS_RDS', '"&amp;Table362[[#This Row],[Lookup Table]]&amp;"', '"&amp;Table362[[#This Row],[Lookup Field]]&amp;"', "&amp;Table362[[#This Row],[IS Parameter]]&amp;");
END"</f>
        <v>BEGIN
     RETURN exists('DS_IS_RDS', 'TCURC', 'WAERS', $P_I_Currency);
END</v>
      </c>
      <c r="AB235" s="11"/>
      <c r="AC235" s="10" t="s">
        <v>6663</v>
      </c>
      <c r="AD235" s="10"/>
      <c r="AE235" s="13" t="str">
        <f>IF(Table362[[#This Row],[Entity]]="Customer","KUNNR",IF(Table362[[#This Row],[Entity]]="Vendor","LIFNR","MATNR"))&amp;",EKORG,"&amp;Table362[[#This Row],[Field]]</f>
        <v>LIFNR,EKORG,WAERS</v>
      </c>
      <c r="AF235" s="13" t="str">
        <f>"VW_"&amp;Table362[[#This Row],[New Rule Name]]</f>
        <v>VW_VEN0580_POCurrencyRef</v>
      </c>
      <c r="AG235" s="11" t="str">
        <f>"create view "&amp;Table362[[#This Row],[View Name]]&amp;" as 
     select 
          "&amp;IF(Table362[[#This Row],[Entity]]="Customer","KUNNR",IF(Table362[[#This Row],[Entity]]="Vendor","LIFNR","MATNR"))&amp;",
          EKORG,
          "&amp;Table362[[#This Row],[Field]]&amp;" 
     from "&amp;Table362[[#This Row],[Table]]</f>
        <v>create view VW_VEN0580_POCurrencyRef as 
     select 
          LIFNR,
          EKORG,
          WAERS 
     from LFM1</v>
      </c>
      <c r="AH235" s="8" t="s">
        <v>6693</v>
      </c>
      <c r="AI235" s="20" t="s">
        <v>7592</v>
      </c>
      <c r="AJ235" s="20"/>
      <c r="AK235" s="31">
        <v>58</v>
      </c>
      <c r="AL235" s="31"/>
    </row>
    <row r="236" spans="1:38" s="3" customFormat="1" ht="60" hidden="1" x14ac:dyDescent="0.25">
      <c r="A236" s="9">
        <v>232</v>
      </c>
      <c r="B236" s="7" t="s">
        <v>3973</v>
      </c>
      <c r="C236" s="7" t="s">
        <v>16</v>
      </c>
      <c r="D236" s="7" t="s">
        <v>6719</v>
      </c>
      <c r="E236" s="7" t="s">
        <v>6720</v>
      </c>
      <c r="F236" s="7" t="s">
        <v>6721</v>
      </c>
      <c r="G236" s="7" t="s">
        <v>6358</v>
      </c>
      <c r="H236" s="7" t="s">
        <v>6360</v>
      </c>
      <c r="I236" s="7"/>
      <c r="J236" s="20" t="str">
        <f>VLOOKUP(V236,Table_to_BRG!A:D,3,FALSE)</f>
        <v>Company Code data</v>
      </c>
      <c r="K236" s="20" t="str">
        <f>VLOOKUP(V236,Table_to_BRG!A:D,2,FALSE)</f>
        <v>Company Code</v>
      </c>
      <c r="L236" s="20"/>
      <c r="M236" s="20"/>
      <c r="N236" s="9"/>
      <c r="O236" s="54"/>
      <c r="P236" s="7" t="s">
        <v>8211</v>
      </c>
      <c r="Q236" s="11" t="str">
        <f>UPPER(LEFT(Table362[[#This Row],[Entity]],3))&amp;RIGHT("00"&amp;Table362[[#This Row],[Rule '# by Entity]],3)&amp;"0_"&amp;MID(SUBSTITUTE(Table362[[#This Row],[Rule Name]],"_","|",3),SEARCH("|",SUBSTITUTE(Table362[[#This Row],[Rule Name]],"_","|",3))+1,LEN(Table362[[#This Row],[Rule Name]]))</f>
        <v>CUS0400_CompanyCodeRef</v>
      </c>
      <c r="R236" s="13" t="s">
        <v>8039</v>
      </c>
      <c r="S236" s="7" t="s">
        <v>2</v>
      </c>
      <c r="T236" s="7"/>
      <c r="U236" s="7" t="s">
        <v>36</v>
      </c>
      <c r="V236" s="7" t="s">
        <v>2740</v>
      </c>
      <c r="W236" s="7" t="s">
        <v>2706</v>
      </c>
      <c r="X236" s="8" t="s">
        <v>1190</v>
      </c>
      <c r="Y236" s="7" t="s">
        <v>2739</v>
      </c>
      <c r="Z236" s="7" t="s">
        <v>2706</v>
      </c>
      <c r="AA236" s="11" t="str">
        <f>"BEGIN
     RETURN exists('DS_IS_RDS', '"&amp;Table362[[#This Row],[Lookup Table]]&amp;"', '"&amp;Table362[[#This Row],[Lookup Field]]&amp;"', "&amp;Table362[[#This Row],[IS Parameter]]&amp;");
END"</f>
        <v>BEGIN
     RETURN exists('DS_IS_RDS', 'T001', 'BUKRS', $P_I_CompanyCode);
END</v>
      </c>
      <c r="AB236" s="11" t="str">
        <f>Table362[[#This Row],[IS Parameter]]&amp;" IS NOT NULL
AND "&amp; Table362[[#This Row],[IS Parameter]]&amp;" != ''"</f>
        <v>$P_I_CompanyCode IS NOT NULL
AND $P_I_CompanyCode != ''</v>
      </c>
      <c r="AC236" s="10" t="s">
        <v>6663</v>
      </c>
      <c r="AD236" s="10"/>
      <c r="AE236" s="13" t="str">
        <f>IF(Table362[[#This Row],[Entity]]="Customer","KUNNR",IF(Table362[[#This Row],[Entity]]="Vendor","LIFNR","MATNR"))&amp;","&amp;Table362[[#This Row],[Field]]</f>
        <v>KUNNR,BUKRS</v>
      </c>
      <c r="AF236" s="13" t="str">
        <f>"VW_"&amp;Table362[[#This Row],[New Rule Name]]</f>
        <v>VW_CUS0400_CompanyCodeRef</v>
      </c>
      <c r="AG236" s="11" t="str">
        <f>"create view "&amp;Table362[[#This Row],[View Name]]&amp;" as 
     select 
          "&amp;IF(Table362[[#This Row],[Entity]]="Customer","KUNNR",IF(Table362[[#This Row],[Entity]]="Vendor","LIFNR","MATNR"))&amp;",
          "&amp;Table362[[#This Row],[Field]]&amp;" 
     from "&amp;Table362[[#This Row],[Table]]</f>
        <v>create view VW_CUS0400_CompanyCodeRef as 
     select 
          KUNNR,
          BUKRS 
     from KNB1</v>
      </c>
      <c r="AH236" s="8"/>
      <c r="AI236" s="20"/>
      <c r="AJ236" s="20"/>
      <c r="AK236" s="31">
        <v>40</v>
      </c>
      <c r="AL236" s="31"/>
    </row>
    <row r="237" spans="1:38" s="38" customFormat="1" ht="132" hidden="1" x14ac:dyDescent="0.25">
      <c r="A237" s="14">
        <v>235</v>
      </c>
      <c r="B237" s="15" t="s">
        <v>3973</v>
      </c>
      <c r="C237" s="15" t="s">
        <v>1207</v>
      </c>
      <c r="D237" s="15" t="s">
        <v>5978</v>
      </c>
      <c r="E237" s="15" t="s">
        <v>5978</v>
      </c>
      <c r="F237" s="15" t="s">
        <v>5978</v>
      </c>
      <c r="G237" s="15" t="s">
        <v>6361</v>
      </c>
      <c r="H237" s="15" t="s">
        <v>3969</v>
      </c>
      <c r="I237" s="15" t="s">
        <v>3969</v>
      </c>
      <c r="J237" s="27" t="e">
        <f>VLOOKUP(V237,Table_to_BRG!A:D,3,FALSE)</f>
        <v>#N/A</v>
      </c>
      <c r="K237" s="27" t="e">
        <f>VLOOKUP(V237,Table_to_BRG!A:D,2,FALSE)</f>
        <v>#N/A</v>
      </c>
      <c r="L237" s="27"/>
      <c r="M237" s="27"/>
      <c r="N237" s="14" t="s">
        <v>6465</v>
      </c>
      <c r="O237" s="54" t="str">
        <f>"Superceded by rule "&amp;A1004</f>
        <v>Superceded by rule 384</v>
      </c>
      <c r="P237" s="16" t="s">
        <v>805</v>
      </c>
      <c r="Q237" s="17"/>
      <c r="R237" s="16" t="s">
        <v>138</v>
      </c>
      <c r="S237" s="15" t="s">
        <v>139</v>
      </c>
      <c r="T237" s="15"/>
      <c r="U237" s="15" t="s">
        <v>6084</v>
      </c>
      <c r="V237" s="15"/>
      <c r="W237" s="15"/>
      <c r="X237" s="16"/>
      <c r="Y237" s="15" t="s">
        <v>5978</v>
      </c>
      <c r="Z237" s="15" t="s">
        <v>5978</v>
      </c>
      <c r="AA237" s="26" t="s">
        <v>141</v>
      </c>
      <c r="AB237" s="26"/>
      <c r="AC237" s="26"/>
      <c r="AD237" s="26"/>
      <c r="AE237" s="18"/>
      <c r="AF237" s="18"/>
      <c r="AG237" s="17"/>
      <c r="AH237" s="16" t="s">
        <v>5884</v>
      </c>
      <c r="AI237" s="27" t="s">
        <v>6545</v>
      </c>
      <c r="AJ237" s="27"/>
      <c r="AK237" s="52"/>
      <c r="AL237" s="52"/>
    </row>
    <row r="238" spans="1:38" s="3" customFormat="1" ht="48" hidden="1" x14ac:dyDescent="0.25">
      <c r="A238" s="9">
        <v>236</v>
      </c>
      <c r="B238" s="7" t="s">
        <v>3973</v>
      </c>
      <c r="C238" s="7" t="s">
        <v>16</v>
      </c>
      <c r="D238" s="7" t="s">
        <v>5978</v>
      </c>
      <c r="E238" s="7" t="s">
        <v>5978</v>
      </c>
      <c r="F238" s="7" t="s">
        <v>5978</v>
      </c>
      <c r="G238" s="7" t="s">
        <v>6358</v>
      </c>
      <c r="H238" s="7" t="s">
        <v>6383</v>
      </c>
      <c r="I238" s="7"/>
      <c r="J238" s="20" t="str">
        <f>VLOOKUP(V238,Table_to_BRG!A:D,3,FALSE)</f>
        <v>Company Code data</v>
      </c>
      <c r="K238" s="20" t="str">
        <f>VLOOKUP(V238,Table_to_BRG!A:D,2,FALSE)</f>
        <v>Company Code</v>
      </c>
      <c r="L238" s="20"/>
      <c r="M238" s="20"/>
      <c r="N238" s="9"/>
      <c r="O238" s="54"/>
      <c r="P238" s="7" t="s">
        <v>8147</v>
      </c>
      <c r="Q238" s="11" t="str">
        <f>UPPER(LEFT(Table362[[#This Row],[Entity]],3))&amp;RIGHT("00"&amp;Table362[[#This Row],[Rule '# by Entity]],3)&amp;"0_"&amp;MID(SUBSTITUTE(Table362[[#This Row],[Rule Name]],"_","|",3),SEARCH("|",SUBSTITUTE(Table362[[#This Row],[Rule Name]],"_","|",3))+1,LEN(Table362[[#This Row],[Rule Name]]))</f>
        <v>CUS0510_PlanningGroupRef</v>
      </c>
      <c r="R238" s="8" t="s">
        <v>8146</v>
      </c>
      <c r="S238" s="7" t="s">
        <v>2</v>
      </c>
      <c r="T238" s="7"/>
      <c r="U238" s="7" t="s">
        <v>609</v>
      </c>
      <c r="V238" s="7" t="s">
        <v>2740</v>
      </c>
      <c r="W238" s="7" t="s">
        <v>2713</v>
      </c>
      <c r="X238" s="8" t="s">
        <v>2730</v>
      </c>
      <c r="Y238" s="7" t="s">
        <v>4260</v>
      </c>
      <c r="Z238" s="7" t="s">
        <v>4261</v>
      </c>
      <c r="AA238" s="11" t="str">
        <f>"BEGIN
     RETURN exists('DS_IS_RDS', '"&amp;Table362[[#This Row],[Lookup Table]]&amp;"', '"&amp;Table362[[#This Row],[Lookup Field]]&amp;"', "&amp;Table362[[#This Row],[IS Parameter]]&amp;");
END"</f>
        <v>BEGIN
     RETURN exists('DS_IS_RDS', 'T035', 'GRUPP', $P_I_PlanningGroup);
END</v>
      </c>
      <c r="AB238" s="11" t="str">
        <f>Table362[[#This Row],[IS Parameter]]&amp;" IS NOT NULL
AND "&amp; Table362[[#This Row],[IS Parameter]]&amp;" != ''"</f>
        <v>$P_I_PlanningGroup IS NOT NULL
AND $P_I_PlanningGroup != ''</v>
      </c>
      <c r="AC238" s="10" t="s">
        <v>6663</v>
      </c>
      <c r="AD238" s="10"/>
      <c r="AE238" s="13" t="str">
        <f>IF(Table362[[#This Row],[Entity]]="Customer","KUNNR",IF(Table362[[#This Row],[Entity]]="Vendor","LIFNR","MATNR"))&amp;",BUKRS"&amp;","&amp;Table362[[#This Row],[Field]]</f>
        <v>KUNNR,BUKRS,FDGRV</v>
      </c>
      <c r="AF238" s="13" t="str">
        <f>"VW_"&amp;Table362[[#This Row],[New Rule Name]]</f>
        <v>VW_CUS0510_PlanningGroupRef</v>
      </c>
      <c r="AG238" s="11"/>
      <c r="AH238" s="8"/>
      <c r="AI238" s="20"/>
      <c r="AJ238" s="20"/>
      <c r="AK238" s="31">
        <v>51</v>
      </c>
      <c r="AL238" s="31"/>
    </row>
    <row r="239" spans="1:38" s="3" customFormat="1" ht="72" hidden="1" x14ac:dyDescent="0.25">
      <c r="A239" s="9">
        <v>233</v>
      </c>
      <c r="B239" s="7" t="s">
        <v>3973</v>
      </c>
      <c r="C239" s="7" t="s">
        <v>16</v>
      </c>
      <c r="D239" s="7" t="s">
        <v>6716</v>
      </c>
      <c r="E239" s="7" t="s">
        <v>6726</v>
      </c>
      <c r="F239" s="7" t="s">
        <v>6727</v>
      </c>
      <c r="G239" s="7" t="s">
        <v>6640</v>
      </c>
      <c r="H239" s="7"/>
      <c r="I239" s="7"/>
      <c r="J239" s="20" t="str">
        <f>VLOOKUP(V239,Table_to_BRG!A:D,3,FALSE)</f>
        <v>Billing</v>
      </c>
      <c r="K239" s="20" t="str">
        <f>VLOOKUP(V239,Table_to_BRG!A:D,2,FALSE)</f>
        <v>Credit Card Master</v>
      </c>
      <c r="L239" s="20"/>
      <c r="M239" s="20"/>
      <c r="N239" s="9"/>
      <c r="O239" s="54"/>
      <c r="P239" s="7" t="s">
        <v>7870</v>
      </c>
      <c r="Q239" s="11" t="str">
        <f>UPPER(LEFT(Table362[[#This Row],[Entity]],3))&amp;RIGHT("00"&amp;Table362[[#This Row],[Rule '# by Entity]],3)&amp;"0_"&amp;MID(SUBSTITUTE(Table362[[#This Row],[Rule Name]],"_","|",3),SEARCH("|",SUBSTITUTE(Table362[[#This Row],[Rule Name]],"_","|",3))+1,LEN(Table362[[#This Row],[Rule Name]]))</f>
        <v>CUS1120_PaymentCardTypeRef</v>
      </c>
      <c r="R239" s="8" t="s">
        <v>8040</v>
      </c>
      <c r="S239" s="7" t="s">
        <v>2</v>
      </c>
      <c r="T239" s="7"/>
      <c r="U239" s="7" t="s">
        <v>6047</v>
      </c>
      <c r="V239" s="7" t="s">
        <v>6343</v>
      </c>
      <c r="W239" s="7" t="s">
        <v>6049</v>
      </c>
      <c r="X239" s="8" t="s">
        <v>6357</v>
      </c>
      <c r="Y239" s="7" t="s">
        <v>6048</v>
      </c>
      <c r="Z239" s="7" t="s">
        <v>6049</v>
      </c>
      <c r="AA239" s="11" t="str">
        <f>"BEGIN
     RETURN exists('DS_IS_RDS', '"&amp;Table362[[#This Row],[Lookup Table]]&amp;"', '"&amp;Table362[[#This Row],[Lookup Field]]&amp;"', "&amp;Table362[[#This Row],[IS Parameter]]&amp;");
END"</f>
        <v>BEGIN
     RETURN exists('DS_IS_RDS', 'TVCIN', 'CCINS', $P_I_PaymentCardType);
END</v>
      </c>
      <c r="AB239" s="11" t="str">
        <f>Table362[[#This Row],[IS Parameter]]&amp;" IS NOT NULL
AND "&amp; Table362[[#This Row],[IS Parameter]]&amp;" != ''"</f>
        <v>$P_I_PaymentCardType IS NOT NULL
AND $P_I_PaymentCardType != ''</v>
      </c>
      <c r="AC239" s="10" t="s">
        <v>6663</v>
      </c>
      <c r="AD239" s="10"/>
      <c r="AE239" s="13" t="str">
        <f>"CCINS,CCNUM,"&amp;Table362[[#This Row],[Field]]</f>
        <v>CCINS,CCNUM,CCINS</v>
      </c>
      <c r="AF239" s="13" t="str">
        <f>"VW_"&amp;Table362[[#This Row],[New Rule Name]]</f>
        <v>VW_CUS1120_PaymentCardTypeRef</v>
      </c>
      <c r="AG239" s="11" t="str">
        <f>"create view "&amp;Table362[[#This Row],[View Name]]&amp;" as 
     select 
          CCINS,
          CCNUM,
          "&amp;Table362[[#This Row],[Field]]&amp;" 
     from "&amp;Table362[[#This Row],[Table]]</f>
        <v>create view VW_CUS1120_PaymentCardTypeRef as 
     select 
          CCINS,
          CCNUM,
          CCINS 
     from VCNUM</v>
      </c>
      <c r="AH239" s="8" t="s">
        <v>7733</v>
      </c>
      <c r="AI239" s="20" t="s">
        <v>7808</v>
      </c>
      <c r="AJ239" s="20"/>
      <c r="AK239" s="31">
        <v>112</v>
      </c>
      <c r="AL239" s="31"/>
    </row>
    <row r="240" spans="1:38" s="3" customFormat="1" ht="108" x14ac:dyDescent="0.25">
      <c r="A240" s="9">
        <v>234</v>
      </c>
      <c r="B240" s="7" t="s">
        <v>3973</v>
      </c>
      <c r="C240" s="7" t="s">
        <v>3</v>
      </c>
      <c r="D240" s="7" t="s">
        <v>6711</v>
      </c>
      <c r="E240" s="7" t="s">
        <v>6712</v>
      </c>
      <c r="F240" s="7" t="s">
        <v>6713</v>
      </c>
      <c r="G240" s="7" t="s">
        <v>6703</v>
      </c>
      <c r="H240" s="7" t="s">
        <v>6373</v>
      </c>
      <c r="I240" s="7"/>
      <c r="J240" s="20" t="str">
        <f>VLOOKUP(V240,Table_to_BRG!A:D,3,FALSE)</f>
        <v>Plant data</v>
      </c>
      <c r="K240" s="20" t="str">
        <f>VLOOKUP(V240,Table_to_BRG!A:D,2,FALSE)</f>
        <v>Plant</v>
      </c>
      <c r="L240" s="20"/>
      <c r="M240" s="20"/>
      <c r="N240" s="9"/>
      <c r="O240" s="54"/>
      <c r="P240" s="7" t="s">
        <v>8395</v>
      </c>
      <c r="Q240" s="11" t="str">
        <f>UPPER(LEFT(Table362[[#This Row],[Entity]],3))&amp;RIGHT("00"&amp;Table362[[#This Row],[Rule '# by Entity]],3)&amp;"0_"&amp;MID(SUBSTITUTE(Table362[[#This Row],[Rule Name]],"_","|",3),SEARCH("|",SUBSTITUTE(Table362[[#This Row],[Rule Name]],"_","|",3))+1,LEN(Table362[[#This Row],[Rule Name]]))</f>
        <v>MAT0420_MRPControllerPopulated</v>
      </c>
      <c r="R240" s="8" t="s">
        <v>7996</v>
      </c>
      <c r="S240" s="7" t="s">
        <v>21</v>
      </c>
      <c r="T240"/>
      <c r="U240" s="7" t="s">
        <v>803</v>
      </c>
      <c r="V240" s="7" t="s">
        <v>1527</v>
      </c>
      <c r="W240" s="7" t="s">
        <v>2051</v>
      </c>
      <c r="X240" s="8" t="s">
        <v>8642</v>
      </c>
      <c r="Y240" s="7" t="s">
        <v>5978</v>
      </c>
      <c r="Z240" s="7" t="s">
        <v>5978</v>
      </c>
      <c r="AA240" s="10" t="s">
        <v>804</v>
      </c>
      <c r="AB240" s="10"/>
      <c r="AC240" s="10" t="s">
        <v>6813</v>
      </c>
      <c r="AD240" s="10"/>
      <c r="AE240" s="13" t="str">
        <f>IF(Table362[[#This Row],[Entity]]="Customer","KUNNR",IF(Table362[[#This Row],[Entity]]="Vendor","LIFNR","MATNR"))&amp;",WERKS"&amp;","&amp;Table362[[#This Row],[Field]]</f>
        <v>MATNR,WERKS,DISPO</v>
      </c>
      <c r="AF240" s="13" t="str">
        <f>"VW_"&amp;Table362[[#This Row],[New Rule Name]]</f>
        <v>VW_MAT0420_MRPControllerPopulated</v>
      </c>
      <c r="AG240"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VW_MAT0420_MRPControllerPopulated (
     MATNR,
     WERKS,
     DISPO
     ) as select 
          MATNR,
          WERKS,
          DISPO 
     from MARC</v>
      </c>
      <c r="AH240" s="8"/>
      <c r="AI240" s="20"/>
      <c r="AJ240" s="20"/>
      <c r="AK240" s="31">
        <v>42</v>
      </c>
      <c r="AL240" s="31"/>
    </row>
    <row r="241" spans="1:46" s="38" customFormat="1" ht="48" hidden="1" x14ac:dyDescent="0.25">
      <c r="A241" s="14">
        <v>239</v>
      </c>
      <c r="B241" s="15" t="s">
        <v>3973</v>
      </c>
      <c r="C241" s="15" t="s">
        <v>1207</v>
      </c>
      <c r="D241" s="15" t="s">
        <v>6719</v>
      </c>
      <c r="E241" s="15" t="s">
        <v>6720</v>
      </c>
      <c r="F241" s="15" t="s">
        <v>6722</v>
      </c>
      <c r="G241" s="15"/>
      <c r="H241" s="15"/>
      <c r="I241" s="15" t="s">
        <v>3971</v>
      </c>
      <c r="J241" s="27" t="str">
        <f>VLOOKUP(V241,Table_to_BRG!A:D,3,FALSE)</f>
        <v>General data</v>
      </c>
      <c r="K241" s="27" t="str">
        <f>VLOOKUP(V241,Table_to_BRG!A:D,2,FALSE)</f>
        <v>General</v>
      </c>
      <c r="L241" s="27"/>
      <c r="M241" s="27"/>
      <c r="N241" s="14" t="s">
        <v>6465</v>
      </c>
      <c r="O241" s="54" t="str">
        <f>"Superceded by rule "&amp;A1009</f>
        <v>Superceded by rule 389</v>
      </c>
      <c r="P241" s="16" t="s">
        <v>818</v>
      </c>
      <c r="Q241" s="17"/>
      <c r="R241" s="16" t="s">
        <v>735</v>
      </c>
      <c r="S241" s="15" t="s">
        <v>139</v>
      </c>
      <c r="T241" s="15"/>
      <c r="U241" s="16" t="s">
        <v>6616</v>
      </c>
      <c r="V241" s="15" t="s">
        <v>3542</v>
      </c>
      <c r="W241" s="16" t="s">
        <v>6427</v>
      </c>
      <c r="X241" s="16" t="s">
        <v>6428</v>
      </c>
      <c r="Y241" s="15" t="s">
        <v>5978</v>
      </c>
      <c r="Z241" s="15" t="s">
        <v>5978</v>
      </c>
      <c r="AA241" s="26" t="s">
        <v>6618</v>
      </c>
      <c r="AB241" s="26"/>
      <c r="AC241" s="26"/>
      <c r="AD241" s="26"/>
      <c r="AE241" s="18"/>
      <c r="AF241" s="18"/>
      <c r="AG241" s="17"/>
      <c r="AH241" s="16"/>
      <c r="AI241" s="27" t="s">
        <v>7660</v>
      </c>
      <c r="AJ241" s="27"/>
      <c r="AK241" s="52"/>
      <c r="AL241" s="52"/>
    </row>
    <row r="242" spans="1:46" s="3" customFormat="1" ht="96" hidden="1" x14ac:dyDescent="0.25">
      <c r="A242" s="9">
        <v>237</v>
      </c>
      <c r="B242" s="7" t="s">
        <v>3973</v>
      </c>
      <c r="C242" s="7" t="s">
        <v>16</v>
      </c>
      <c r="D242" s="7" t="s">
        <v>6711</v>
      </c>
      <c r="E242" s="7" t="s">
        <v>6714</v>
      </c>
      <c r="F242" s="7" t="s">
        <v>6724</v>
      </c>
      <c r="G242" s="7" t="s">
        <v>6365</v>
      </c>
      <c r="H242" s="7" t="s">
        <v>2759</v>
      </c>
      <c r="I242" s="7"/>
      <c r="J242" s="20" t="str">
        <f>VLOOKUP(V242,Table_to_BRG!A:D,3,FALSE)</f>
        <v>Customer sales data</v>
      </c>
      <c r="K242" s="20" t="str">
        <f>VLOOKUP(V242,Table_to_BRG!A:D,2,FALSE)</f>
        <v>Sales</v>
      </c>
      <c r="L242" s="20"/>
      <c r="M242" s="20"/>
      <c r="N242" s="9"/>
      <c r="O242" s="54"/>
      <c r="P242" s="7" t="s">
        <v>7871</v>
      </c>
      <c r="Q242" s="11" t="str">
        <f>UPPER(LEFT(Table362[[#This Row],[Entity]],3))&amp;RIGHT("00"&amp;Table362[[#This Row],[Rule '# by Entity]],3)&amp;"0_"&amp;MID(SUBSTITUTE(Table362[[#This Row],[Rule Name]],"_","|",3),SEARCH("|",SUBSTITUTE(Table362[[#This Row],[Rule Name]],"_","|",3))+1,LEN(Table362[[#This Row],[Rule Name]]))</f>
        <v>CUS1050_SalesGroupRef</v>
      </c>
      <c r="R242" s="13" t="s">
        <v>8041</v>
      </c>
      <c r="S242" s="7" t="s">
        <v>2</v>
      </c>
      <c r="T242" s="7"/>
      <c r="U242" s="7" t="s">
        <v>812</v>
      </c>
      <c r="V242" s="7" t="s">
        <v>3334</v>
      </c>
      <c r="W242" s="7" t="s">
        <v>3407</v>
      </c>
      <c r="X242" s="8" t="s">
        <v>1243</v>
      </c>
      <c r="Y242" s="7" t="s">
        <v>5720</v>
      </c>
      <c r="Z242" s="7" t="s">
        <v>3407</v>
      </c>
      <c r="AA242" s="11" t="str">
        <f>"BEGIN
     RETURN exists('DS_IS_RDS', '"&amp;Table362[[#This Row],[Lookup Table]]&amp;"', '"&amp;Table362[[#This Row],[Lookup Field]]&amp;"', "&amp;Table362[[#This Row],[IS Parameter]]&amp;");
END"</f>
        <v>BEGIN
     RETURN exists('DS_IS_RDS', 'TVBVK', 'VKGRP', $P_I_SalesGroup);
END</v>
      </c>
      <c r="AB242" s="11" t="str">
        <f>Table362[[#This Row],[IS Parameter]]&amp;" IS NOT NULL
AND "&amp; Table362[[#This Row],[IS Parameter]]&amp;" != ''"</f>
        <v>$P_I_SalesGroup IS NOT NULL
AND $P_I_SalesGroup != ''</v>
      </c>
      <c r="AC242" s="10" t="s">
        <v>6663</v>
      </c>
      <c r="AD242" s="10"/>
      <c r="AE242" s="13" t="str">
        <f>IF(Table362[[#This Row],[Entity]]="Customer","KUNNR",IF(Table362[[#This Row],[Entity]]="Vendor","LIFNR","MATNR"))&amp;",VKORG,VTWEG,SPART,"&amp;Table362[[#This Row],[Field]]</f>
        <v>KUNNR,VKORG,VTWEG,SPART,VKGRP</v>
      </c>
      <c r="AF242" s="13" t="str">
        <f>"VW_"&amp;Table362[[#This Row],[New Rule Name]]</f>
        <v>VW_CUS1050_SalesGroupRef</v>
      </c>
      <c r="AG242" s="11" t="str">
        <f>"create view "&amp;Table362[[#This Row],[View Name]]&amp;" as 
     select 
          "&amp;IF(Table362[[#This Row],[Entity]]="Customer","KUNNR",IF(Table362[[#This Row],[Entity]]="Vendor","LIFNR","MATNR"))&amp;",
          VKORG,
          VTWEG,
          SPART,
          "&amp;Table362[[#This Row],[Field]]&amp;" 
     from "&amp;Table362[[#This Row],[Table]]</f>
        <v>create view VW_CUS1050_SalesGroupRef as 
     select 
          KUNNR,
          VKORG,
          VTWEG,
          SPART,
          VKGRP 
     from KNVV</v>
      </c>
      <c r="AH242" s="13"/>
      <c r="AI242" s="20" t="s">
        <v>7727</v>
      </c>
      <c r="AJ242" s="20"/>
      <c r="AK242" s="31">
        <v>105</v>
      </c>
      <c r="AL242" s="31"/>
    </row>
    <row r="243" spans="1:46" s="3" customFormat="1" ht="72" x14ac:dyDescent="0.25">
      <c r="A243" s="9">
        <v>238</v>
      </c>
      <c r="B243" s="7" t="s">
        <v>3973</v>
      </c>
      <c r="C243" s="7" t="s">
        <v>3</v>
      </c>
      <c r="D243" s="7" t="s">
        <v>5978</v>
      </c>
      <c r="E243" s="7" t="s">
        <v>5978</v>
      </c>
      <c r="F243" s="7" t="s">
        <v>5978</v>
      </c>
      <c r="G243" s="7" t="s">
        <v>6385</v>
      </c>
      <c r="H243" s="7"/>
      <c r="I243" s="7"/>
      <c r="J243" s="20" t="str">
        <f>VLOOKUP(V243,Table_to_BRG!A:D,3,FALSE)</f>
        <v>General data</v>
      </c>
      <c r="K243" s="20" t="str">
        <f>VLOOKUP(V243,Table_to_BRG!A:D,2,FALSE)</f>
        <v>General</v>
      </c>
      <c r="L243" s="20"/>
      <c r="M243" s="20"/>
      <c r="N243" s="9"/>
      <c r="O243" s="54"/>
      <c r="P243" s="7" t="s">
        <v>8563</v>
      </c>
      <c r="Q243" s="11" t="s">
        <v>8556</v>
      </c>
      <c r="R243" s="8" t="s">
        <v>7957</v>
      </c>
      <c r="S243" s="7" t="s">
        <v>2</v>
      </c>
      <c r="T243" s="7"/>
      <c r="U243" s="7" t="s">
        <v>816</v>
      </c>
      <c r="V243" s="7" t="s">
        <v>1526</v>
      </c>
      <c r="W243" s="7" t="s">
        <v>1635</v>
      </c>
      <c r="X243" s="8" t="s">
        <v>1653</v>
      </c>
      <c r="Y243" s="7" t="s">
        <v>1526</v>
      </c>
      <c r="Z243" s="7" t="s">
        <v>1492</v>
      </c>
      <c r="AA243" s="11" t="str">
        <f>"BEGIN
     RETURN exists('DS_IS_RDS', '"&amp;Table362[[#This Row],[Lookup Table]]&amp;"', '"&amp;Table362[[#This Row],[Lookup Field]]&amp;"', "&amp;Table362[[#This Row],[IS Parameter]]&amp;");
END"</f>
        <v>BEGIN
     RETURN exists('DS_IS_RDS', 'MARA', 'MATNR', $P_I_RefMatPackaging);
END</v>
      </c>
      <c r="AB243" s="11" t="str">
        <f>Table362[[#This Row],[IS Parameter]]&amp;" IS NOT NULL AND rtrim("&amp;Table362[[#This Row],[IS Parameter]]&amp;", ' ') != ''"</f>
        <v>$P_I_RefMatPackaging IS NOT NULL AND rtrim($P_I_RefMatPackaging, ' ') != ''</v>
      </c>
      <c r="AC243" s="10" t="s">
        <v>6663</v>
      </c>
      <c r="AD243" s="10"/>
      <c r="AE243" s="13" t="str">
        <f>IF(Table362[[#This Row],[Entity]]="Customer","KUNNR",IF(Table362[[#This Row],[Entity]]="Vendor","LIFNR","MATNR"))&amp;","&amp;Table362[[#This Row],[Field]]</f>
        <v>MATNR,RMATP</v>
      </c>
      <c r="AF243" s="13" t="str">
        <f>"VW_"&amp;Table362[[#This Row],[New Rule Name]]</f>
        <v>VW_MAT0320_ReferenceMatlForPackagingRef</v>
      </c>
      <c r="AG243" s="11" t="str">
        <f>"create view "&amp;Table362[[#This Row],[View Name]]&amp;" as 
     select 
          "&amp;IF(Table362[[#This Row],[Entity]]="Customer","KUNNR",IF(Table362[[#This Row],[Entity]]="Vendor","LIFNR","MATNR"))&amp;",
          "&amp;Table362[[#This Row],[Field]]&amp;" 
     from "&amp;Table362[[#This Row],[Table]]</f>
        <v>create view VW_MAT0320_ReferenceMatlForPackagingRef as 
     select 
          MATNR,
          RMATP 
     from MARA</v>
      </c>
      <c r="AH243" s="8" t="s">
        <v>7787</v>
      </c>
      <c r="AI243" s="20"/>
      <c r="AJ243" s="20"/>
      <c r="AK243" s="31">
        <v>32</v>
      </c>
      <c r="AL243" s="31"/>
    </row>
    <row r="244" spans="1:46" s="38" customFormat="1" ht="60" hidden="1" x14ac:dyDescent="0.25">
      <c r="A244" s="9">
        <v>242</v>
      </c>
      <c r="B244" s="7" t="s">
        <v>3973</v>
      </c>
      <c r="C244" s="7" t="s">
        <v>1207</v>
      </c>
      <c r="D244" s="7" t="s">
        <v>6719</v>
      </c>
      <c r="E244" s="7" t="s">
        <v>6740</v>
      </c>
      <c r="F244" s="7" t="s">
        <v>6749</v>
      </c>
      <c r="G244" s="20" t="s">
        <v>6387</v>
      </c>
      <c r="H244" s="20" t="s">
        <v>6367</v>
      </c>
      <c r="I244" s="20"/>
      <c r="J244" s="20" t="str">
        <f>VLOOKUP(V244,Table_to_BRG!A:D,3,FALSE)</f>
        <v>Purchasing data</v>
      </c>
      <c r="K244" s="9" t="str">
        <f>VLOOKUP(V244,Table_to_BRG!A:D,2,FALSE)</f>
        <v>Partner functions</v>
      </c>
      <c r="L244" s="54"/>
      <c r="M244" s="7"/>
      <c r="N244" s="11"/>
      <c r="O244" s="8"/>
      <c r="P244" s="7" t="s">
        <v>8498</v>
      </c>
      <c r="Q244" s="11" t="str">
        <f>UPPER(LEFT(Table362[[#This Row],[Entity]],3))&amp;RIGHT("00"&amp;Table362[[#This Row],[Rule '# by Entity]],3)&amp;"0_"&amp;MID(SUBSTITUTE(Table362[[#This Row],[Rule Name]],"_","|",3),SEARCH("|",SUBSTITUTE(Table362[[#This Row],[Rule Name]],"_","|",3))+1,LEN(Table362[[#This Row],[Rule Name]]))</f>
        <v>VEN0710_PartnerFunctionRef</v>
      </c>
      <c r="R244" s="7" t="s">
        <v>6488</v>
      </c>
      <c r="S244" s="7" t="s">
        <v>2</v>
      </c>
      <c r="T244" s="7"/>
      <c r="U244" s="8" t="s">
        <v>179</v>
      </c>
      <c r="V244" s="7" t="s">
        <v>3817</v>
      </c>
      <c r="W244" s="7" t="s">
        <v>3353</v>
      </c>
      <c r="X244" s="10" t="s">
        <v>1231</v>
      </c>
      <c r="Y244" s="10" t="s">
        <v>4286</v>
      </c>
      <c r="Z244" s="10" t="s">
        <v>3353</v>
      </c>
      <c r="AA244" s="13" t="str">
        <f>"BEGIN
     RETURN exists('DS_IS_RDS', '"&amp;Table362[[#This Row],[Lookup Table]]&amp;"', '"&amp;Table362[[#This Row],[Lookup Field]]&amp;"', "&amp;Table362[[#This Row],[IS Parameter]]&amp;");
END"</f>
        <v>BEGIN
     RETURN exists('DS_IS_RDS', 'TPAR', 'PARVW', $P_I_PartnerFunction);
END</v>
      </c>
      <c r="AB244" s="13"/>
      <c r="AC244" s="13" t="s">
        <v>6663</v>
      </c>
      <c r="AD244" s="11"/>
      <c r="AE244" s="13" t="str">
        <f>IF(Table362[[#This Row],[Entity]]="Customer","KUNNR",IF(Table362[[#This Row],[Entity]]="Vendor","LIFNR","MATNR"))&amp;","&amp;Table362[[#This Row],[Field]]</f>
        <v>LIFNR,PARVW</v>
      </c>
      <c r="AF244" s="13" t="str">
        <f>"VW_"&amp;Table362[[#This Row],[New Rule Name]]</f>
        <v>VW_VEN0710_PartnerFunctionRef</v>
      </c>
      <c r="AG244" s="20"/>
      <c r="AH244" s="31" t="s">
        <v>7767</v>
      </c>
      <c r="AI244" s="31" t="s">
        <v>7596</v>
      </c>
      <c r="AJ244" s="3"/>
      <c r="AK244" s="31">
        <v>71</v>
      </c>
      <c r="AL244" s="3"/>
      <c r="AM244" s="3"/>
      <c r="AN244" s="3"/>
      <c r="AO244" s="3"/>
      <c r="AP244" s="3"/>
      <c r="AQ244" s="3"/>
      <c r="AR244" s="3"/>
      <c r="AS244" s="3"/>
      <c r="AT244" s="3"/>
    </row>
    <row r="245" spans="1:46" s="3" customFormat="1" ht="60" hidden="1" x14ac:dyDescent="0.25">
      <c r="A245" s="9">
        <v>240</v>
      </c>
      <c r="B245" s="7" t="s">
        <v>3973</v>
      </c>
      <c r="C245" s="7" t="s">
        <v>1207</v>
      </c>
      <c r="D245" s="7" t="s">
        <v>5978</v>
      </c>
      <c r="E245" s="7" t="s">
        <v>5978</v>
      </c>
      <c r="F245" s="7" t="s">
        <v>5978</v>
      </c>
      <c r="G245" s="7" t="s">
        <v>6361</v>
      </c>
      <c r="H245" s="7" t="s">
        <v>3967</v>
      </c>
      <c r="I245" s="7"/>
      <c r="J245" s="20" t="str">
        <f>VLOOKUP(V245,Table_to_BRG!A:D,3,FALSE)</f>
        <v>General data</v>
      </c>
      <c r="K245" s="20" t="str">
        <f>VLOOKUP(V245,Table_to_BRG!A:D,2,FALSE)</f>
        <v>General</v>
      </c>
      <c r="L245" s="20"/>
      <c r="M245" s="20"/>
      <c r="N245" s="9"/>
      <c r="O245" s="54"/>
      <c r="P245" s="7" t="s">
        <v>8499</v>
      </c>
      <c r="Q245" s="11" t="str">
        <f>UPPER(LEFT(Table362[[#This Row],[Entity]],3))&amp;RIGHT("00"&amp;Table362[[#This Row],[Rule '# by Entity]],3)&amp;"0_"&amp;MID(SUBSTITUTE(Table362[[#This Row],[Rule Name]],"_","|",3),SEARCH("|",SUBSTITUTE(Table362[[#This Row],[Rule Name]],"_","|",3))+1,LEN(Table362[[#This Row],[Rule Name]]))</f>
        <v>VEN0070_RegionRef</v>
      </c>
      <c r="R245" s="13" t="s">
        <v>8250</v>
      </c>
      <c r="S245" s="7" t="s">
        <v>2</v>
      </c>
      <c r="T245" s="7"/>
      <c r="U245" s="7" t="s">
        <v>265</v>
      </c>
      <c r="V245" s="8" t="s">
        <v>3542</v>
      </c>
      <c r="W245" s="7" t="s">
        <v>2959</v>
      </c>
      <c r="X245" s="8" t="s">
        <v>2970</v>
      </c>
      <c r="Y245" s="7" t="s">
        <v>4225</v>
      </c>
      <c r="Z245" s="7" t="s">
        <v>4226</v>
      </c>
      <c r="AA245" s="11" t="str">
        <f>"BEGIN
     RETURN exists('DS_IS_RDS', '"&amp;Table362[[#This Row],[Lookup Table]]&amp;"', '"&amp;Table362[[#This Row],[Lookup Field]]&amp;"', "&amp;Table362[[#This Row],[IS Parameter]]&amp;");
END"</f>
        <v>BEGIN
     RETURN exists('DS_IS_RDS', 'T005S', 'BLAND', $P_I_Region);
END</v>
      </c>
      <c r="AB245" s="11"/>
      <c r="AC245" s="10" t="s">
        <v>6663</v>
      </c>
      <c r="AD245" s="10"/>
      <c r="AE245" s="13" t="str">
        <f>IF(Table362[[#This Row],[Entity]]="Customer","KUNNR",IF(Table362[[#This Row],[Entity]]="Vendor","LIFNR","MATNR"))&amp;","&amp;Table362[[#This Row],[Field]]</f>
        <v>LIFNR,REGIO</v>
      </c>
      <c r="AF245" s="13" t="str">
        <f>"VW_"&amp;Table362[[#This Row],[New Rule Name]]</f>
        <v>VW_VEN0070_RegionRef</v>
      </c>
      <c r="AG245" s="11" t="str">
        <f>"create view "&amp;Table362[[#This Row],[View Name]]&amp;" as 
     select 
          "&amp;IF(Table362[[#This Row],[Entity]]="Customer","KUNNR",IF(Table362[[#This Row],[Entity]]="Vendor","LIFNR","MATNR"))&amp;",
          "&amp;Table362[[#This Row],[Field]]&amp;" 
     from "&amp;Table362[[#This Row],[Table]]</f>
        <v>create view VW_VEN0070_RegionRef as 
     select 
          LIFNR,
          REGIO 
     from LFA1</v>
      </c>
      <c r="AH245" s="8"/>
      <c r="AI245" s="20" t="s">
        <v>7677</v>
      </c>
      <c r="AJ245" s="20"/>
      <c r="AK245" s="31">
        <v>7</v>
      </c>
      <c r="AL245" s="31"/>
    </row>
    <row r="246" spans="1:46" s="3" customFormat="1" ht="96" hidden="1" x14ac:dyDescent="0.25">
      <c r="A246" s="9">
        <v>241</v>
      </c>
      <c r="B246" s="7" t="s">
        <v>3973</v>
      </c>
      <c r="C246" s="7" t="s">
        <v>16</v>
      </c>
      <c r="D246" s="7" t="s">
        <v>6711</v>
      </c>
      <c r="E246" s="7" t="s">
        <v>6714</v>
      </c>
      <c r="F246" s="7" t="s">
        <v>6724</v>
      </c>
      <c r="G246" s="7" t="s">
        <v>6365</v>
      </c>
      <c r="H246" s="7" t="s">
        <v>2759</v>
      </c>
      <c r="I246" s="7"/>
      <c r="J246" s="20" t="str">
        <f>VLOOKUP(V246,Table_to_BRG!A:D,3,FALSE)</f>
        <v>Customer sales data</v>
      </c>
      <c r="K246" s="20" t="str">
        <f>VLOOKUP(V246,Table_to_BRG!A:D,2,FALSE)</f>
        <v>Sales</v>
      </c>
      <c r="L246" s="20"/>
      <c r="M246" s="20"/>
      <c r="N246" s="9"/>
      <c r="O246" s="54"/>
      <c r="P246" s="7" t="s">
        <v>7872</v>
      </c>
      <c r="Q246" s="11" t="str">
        <f>UPPER(LEFT(Table362[[#This Row],[Entity]],3))&amp;RIGHT("00"&amp;Table362[[#This Row],[Rule '# by Entity]],3)&amp;"0_"&amp;MID(SUBSTITUTE(Table362[[#This Row],[Rule Name]],"_","|",3),SEARCH("|",SUBSTITUTE(Table362[[#This Row],[Rule Name]],"_","|",3))+1,LEN(Table362[[#This Row],[Rule Name]]))</f>
        <v>CUS0990_PriceListTypeRef</v>
      </c>
      <c r="R246" s="13" t="s">
        <v>8042</v>
      </c>
      <c r="S246" s="7" t="s">
        <v>2</v>
      </c>
      <c r="T246" s="7"/>
      <c r="U246" s="7" t="s">
        <v>823</v>
      </c>
      <c r="V246" s="7" t="s">
        <v>3334</v>
      </c>
      <c r="W246" s="7" t="s">
        <v>3416</v>
      </c>
      <c r="X246" s="8" t="s">
        <v>6415</v>
      </c>
      <c r="Y246" s="7" t="s">
        <v>6050</v>
      </c>
      <c r="Z246" s="7" t="s">
        <v>3416</v>
      </c>
      <c r="AA246" s="11" t="str">
        <f>"BEGIN
     RETURN exists('DS_IS_RDS', '"&amp;Table362[[#This Row],[Lookup Table]]&amp;"', '"&amp;Table362[[#This Row],[Lookup Field]]&amp;"', "&amp;Table362[[#This Row],[IS Parameter]]&amp;");
END"</f>
        <v>BEGIN
     RETURN exists('DS_IS_RDS', 'T189', 'PLTYP', $P_I_PriceListType);
END</v>
      </c>
      <c r="AB246" s="11" t="str">
        <f>Table362[[#This Row],[IS Parameter]]&amp;" IS NOT NULL
AND "&amp; Table362[[#This Row],[IS Parameter]]&amp;" != ''"</f>
        <v>$P_I_PriceListType IS NOT NULL
AND $P_I_PriceListType != ''</v>
      </c>
      <c r="AC246" s="10" t="s">
        <v>6663</v>
      </c>
      <c r="AD246" s="10"/>
      <c r="AE246" s="13" t="str">
        <f>IF(Table362[[#This Row],[Entity]]="Customer","KUNNR",IF(Table362[[#This Row],[Entity]]="Vendor","LIFNR","MATNR"))&amp;",VKORG,VTWEG,SPART,"&amp;Table362[[#This Row],[Field]]</f>
        <v>KUNNR,VKORG,VTWEG,SPART,PLTYP</v>
      </c>
      <c r="AF246" s="13" t="str">
        <f>"VW_"&amp;Table362[[#This Row],[New Rule Name]]</f>
        <v>VW_CUS0990_PriceListTypeRef</v>
      </c>
      <c r="AG246" s="11" t="str">
        <f>"create view "&amp;Table362[[#This Row],[View Name]]&amp;" as 
     select 
          "&amp;IF(Table362[[#This Row],[Entity]]="Customer","KUNNR",IF(Table362[[#This Row],[Entity]]="Vendor","LIFNR","MATNR"))&amp;",
          VKORG,
          VTWEG,
          SPART,
          "&amp;Table362[[#This Row],[Field]]&amp;" 
     from "&amp;Table362[[#This Row],[Table]]</f>
        <v>create view VW_CUS0990_PriceListTypeRef as 
     select 
          KUNNR,
          VKORG,
          VTWEG,
          SPART,
          PLTYP 
     from KNVV</v>
      </c>
      <c r="AH246" s="13"/>
      <c r="AI246" s="20"/>
      <c r="AJ246" s="20"/>
      <c r="AK246" s="31">
        <v>99</v>
      </c>
      <c r="AL246" s="31"/>
    </row>
    <row r="247" spans="1:46" s="3" customFormat="1" ht="108" x14ac:dyDescent="0.25">
      <c r="A247" s="9">
        <v>243</v>
      </c>
      <c r="B247" s="7" t="s">
        <v>3973</v>
      </c>
      <c r="C247" s="7" t="s">
        <v>3</v>
      </c>
      <c r="D247" s="7" t="s">
        <v>6711</v>
      </c>
      <c r="E247" s="7" t="s">
        <v>6712</v>
      </c>
      <c r="F247" s="7" t="s">
        <v>6713</v>
      </c>
      <c r="G247" s="7" t="s">
        <v>6703</v>
      </c>
      <c r="H247" s="7" t="s">
        <v>6373</v>
      </c>
      <c r="I247" s="7"/>
      <c r="J247" s="20" t="str">
        <f>VLOOKUP(V247,Table_to_BRG!A:D,3,FALSE)</f>
        <v>Plant data</v>
      </c>
      <c r="K247" s="20" t="str">
        <f>VLOOKUP(V247,Table_to_BRG!A:D,2,FALSE)</f>
        <v>Plant</v>
      </c>
      <c r="L247" s="20"/>
      <c r="M247" s="20"/>
      <c r="N247" s="9"/>
      <c r="O247" s="54"/>
      <c r="P247" s="7" t="s">
        <v>8396</v>
      </c>
      <c r="Q247" s="11" t="str">
        <f>UPPER(LEFT(Table362[[#This Row],[Entity]],3))&amp;RIGHT("00"&amp;Table362[[#This Row],[Rule '# by Entity]],3)&amp;"0_"&amp;MID(SUBSTITUTE(Table362[[#This Row],[Rule Name]],"_","|",3),SEARCH("|",SUBSTITUTE(Table362[[#This Row],[Rule Name]],"_","|",3))+1,LEN(Table362[[#This Row],[Rule Name]]))</f>
        <v>MAT0400_MRPTypePopulated</v>
      </c>
      <c r="R247" s="8" t="s">
        <v>7997</v>
      </c>
      <c r="S247" s="7" t="s">
        <v>21</v>
      </c>
      <c r="T247"/>
      <c r="U247" s="7" t="s">
        <v>830</v>
      </c>
      <c r="V247" s="7" t="s">
        <v>1527</v>
      </c>
      <c r="W247" s="7" t="s">
        <v>2047</v>
      </c>
      <c r="X247" s="8" t="s">
        <v>8643</v>
      </c>
      <c r="Y247" s="7" t="s">
        <v>5978</v>
      </c>
      <c r="Z247" s="7" t="s">
        <v>5978</v>
      </c>
      <c r="AA247" s="10" t="s">
        <v>831</v>
      </c>
      <c r="AB247" s="10"/>
      <c r="AC247" s="10" t="s">
        <v>6813</v>
      </c>
      <c r="AD247" s="10"/>
      <c r="AE247" s="13" t="str">
        <f>IF(Table362[[#This Row],[Entity]]="Customer","KUNNR",IF(Table362[[#This Row],[Entity]]="Vendor","LIFNR","MATNR"))&amp;",WERKS"&amp;","&amp;Table362[[#This Row],[Field]]</f>
        <v>MATNR,WERKS,DISMM</v>
      </c>
      <c r="AF247" s="13" t="str">
        <f>"VW_"&amp;Table362[[#This Row],[New Rule Name]]</f>
        <v>VW_MAT0400_MRPTypePopulated</v>
      </c>
      <c r="AG247"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VW_MAT0400_MRPTypePopulated (
     MATNR,
     WERKS,
     DISMM
     ) as select 
          MATNR,
          WERKS,
          DISMM 
     from MARC</v>
      </c>
      <c r="AH247" s="8"/>
      <c r="AI247" s="20" t="s">
        <v>7703</v>
      </c>
      <c r="AJ247" s="20"/>
      <c r="AK247" s="31">
        <v>40</v>
      </c>
      <c r="AL247" s="31"/>
    </row>
    <row r="248" spans="1:46" s="3" customFormat="1" ht="60" hidden="1" x14ac:dyDescent="0.25">
      <c r="A248" s="9">
        <v>244</v>
      </c>
      <c r="B248" s="7" t="s">
        <v>3973</v>
      </c>
      <c r="C248" s="7" t="s">
        <v>1207</v>
      </c>
      <c r="D248" s="7" t="s">
        <v>6719</v>
      </c>
      <c r="E248" s="7" t="s">
        <v>6720</v>
      </c>
      <c r="F248" s="7" t="s">
        <v>6722</v>
      </c>
      <c r="G248" s="7" t="s">
        <v>6361</v>
      </c>
      <c r="H248" s="7" t="s">
        <v>6363</v>
      </c>
      <c r="I248" s="7"/>
      <c r="J248" s="20" t="str">
        <f>VLOOKUP(V248,Table_to_BRG!A:D,3,FALSE)</f>
        <v>General data</v>
      </c>
      <c r="K248" s="20" t="str">
        <f>VLOOKUP(V248,Table_to_BRG!A:D,2,FALSE)</f>
        <v>General</v>
      </c>
      <c r="L248" s="20"/>
      <c r="M248" s="20"/>
      <c r="N248" s="9"/>
      <c r="O248" s="54"/>
      <c r="P248" s="7" t="s">
        <v>8500</v>
      </c>
      <c r="Q248" s="11" t="str">
        <f>UPPER(LEFT(Table362[[#This Row],[Entity]],3))&amp;RIGHT("00"&amp;Table362[[#This Row],[Rule '# by Entity]],3)&amp;"0_"&amp;MID(SUBSTITUTE(Table362[[#This Row],[Rule Name]],"_","|",3),SEARCH("|",SUBSTITUTE(Table362[[#This Row],[Rule Name]],"_","|",3))+1,LEN(Table362[[#This Row],[Rule Name]]))</f>
        <v>VEN0130_IndustryRef</v>
      </c>
      <c r="R248" s="8" t="s">
        <v>8253</v>
      </c>
      <c r="S248" s="7" t="s">
        <v>2</v>
      </c>
      <c r="T248" s="7"/>
      <c r="U248" s="7" t="s">
        <v>83</v>
      </c>
      <c r="V248" s="7" t="s">
        <v>3542</v>
      </c>
      <c r="W248" s="7" t="s">
        <v>3051</v>
      </c>
      <c r="X248" s="8" t="s">
        <v>3070</v>
      </c>
      <c r="Y248" s="7" t="s">
        <v>5981</v>
      </c>
      <c r="Z248" s="7" t="s">
        <v>3051</v>
      </c>
      <c r="AA248" s="11" t="str">
        <f>"BEGIN
     RETURN exists('DS_IS_RDS', '"&amp;Table362[[#This Row],[Lookup Table]]&amp;"', '"&amp;Table362[[#This Row],[Lookup Field]]&amp;"', "&amp;Table362[[#This Row],[IS Parameter]]&amp;");
END"</f>
        <v>BEGIN
     RETURN exists('DS_IS_RDS', 'T016', 'BRSCH', $P_I_Industry);
END</v>
      </c>
      <c r="AB248" s="11"/>
      <c r="AC248" s="10" t="s">
        <v>6663</v>
      </c>
      <c r="AD248" s="10"/>
      <c r="AE248" s="13" t="str">
        <f>IF(Table362[[#This Row],[Entity]]="Customer","KUNNR",IF(Table362[[#This Row],[Entity]]="Vendor","LIFNR","MATNR"))&amp;","&amp;Table362[[#This Row],[Field]]</f>
        <v>LIFNR,BRSCH</v>
      </c>
      <c r="AF248" s="13" t="str">
        <f>"VW_"&amp;Table362[[#This Row],[New Rule Name]]</f>
        <v>VW_VEN0130_IndustryRef</v>
      </c>
      <c r="AG248" s="11" t="str">
        <f>"create view "&amp;Table362[[#This Row],[View Name]]&amp;" as 
     select 
          "&amp;IF(Table362[[#This Row],[Entity]]="Customer","KUNNR",IF(Table362[[#This Row],[Entity]]="Vendor","LIFNR","MATNR"))&amp;",
          "&amp;Table362[[#This Row],[Field]]&amp;" 
     from "&amp;Table362[[#This Row],[Table]]</f>
        <v>create view VW_VEN0130_IndustryRef as 
     select 
          LIFNR,
          BRSCH 
     from LFA1</v>
      </c>
      <c r="AH248" s="8"/>
      <c r="AI248" s="20" t="s">
        <v>7590</v>
      </c>
      <c r="AJ248" s="20"/>
      <c r="AK248" s="31">
        <v>13</v>
      </c>
      <c r="AL248" s="31"/>
    </row>
    <row r="249" spans="1:46" s="3" customFormat="1" ht="108" hidden="1" x14ac:dyDescent="0.25">
      <c r="A249" s="9">
        <v>245</v>
      </c>
      <c r="B249" s="7" t="s">
        <v>3973</v>
      </c>
      <c r="C249" s="7" t="s">
        <v>1207</v>
      </c>
      <c r="D249" s="7" t="s">
        <v>5978</v>
      </c>
      <c r="E249" s="7" t="s">
        <v>5978</v>
      </c>
      <c r="F249" s="7" t="s">
        <v>5978</v>
      </c>
      <c r="G249" s="7" t="s">
        <v>6361</v>
      </c>
      <c r="H249" s="7" t="s">
        <v>3967</v>
      </c>
      <c r="I249" s="7" t="s">
        <v>3968</v>
      </c>
      <c r="J249" s="20" t="e">
        <f>VLOOKUP(V249,Table_to_BRG!A:D,3,FALSE)</f>
        <v>#N/A</v>
      </c>
      <c r="K249" s="20" t="e">
        <f>VLOOKUP(V249,Table_to_BRG!A:D,2,FALSE)</f>
        <v>#N/A</v>
      </c>
      <c r="L249" s="20"/>
      <c r="M249" s="20"/>
      <c r="N249" s="9"/>
      <c r="O249" s="54"/>
      <c r="P249" s="7" t="s">
        <v>8501</v>
      </c>
      <c r="Q249" s="11" t="str">
        <f>UPPER(LEFT(Table362[[#This Row],[Entity]],3))&amp;RIGHT("00"&amp;Table362[[#This Row],[Rule '# by Entity]],3)&amp;"0_"&amp;MID(SUBSTITUTE(Table362[[#This Row],[Rule Name]],"_","|",3),SEARCH("|",SUBSTITUTE(Table362[[#This Row],[Rule Name]],"_","|",3))+1,LEN(Table362[[#This Row],[Rule Name]]))</f>
        <v>VEN0750_EmailAddressPopulated</v>
      </c>
      <c r="R249" s="8" t="s">
        <v>8294</v>
      </c>
      <c r="S249" s="7" t="s">
        <v>21</v>
      </c>
      <c r="T249" s="7"/>
      <c r="U249" s="7" t="s">
        <v>6087</v>
      </c>
      <c r="V249" s="8" t="s">
        <v>8239</v>
      </c>
      <c r="W249" s="7" t="s">
        <v>8236</v>
      </c>
      <c r="X249" s="8" t="s">
        <v>8237</v>
      </c>
      <c r="Y249" s="7" t="s">
        <v>5978</v>
      </c>
      <c r="Z249" s="7" t="s">
        <v>5978</v>
      </c>
      <c r="AA249" s="10" t="s">
        <v>240</v>
      </c>
      <c r="AB249" s="10"/>
      <c r="AC249" s="10" t="s">
        <v>6813</v>
      </c>
      <c r="AD249" s="10"/>
      <c r="AE249" s="13" t="s">
        <v>8238</v>
      </c>
      <c r="AF249" s="13" t="str">
        <f>"VW_"&amp;Table362[[#This Row],[New Rule Name]]</f>
        <v>VW_VEN0750_EmailAddressPopulated</v>
      </c>
      <c r="AG249" s="11" t="s">
        <v>8218</v>
      </c>
      <c r="AH249" s="8" t="s">
        <v>7768</v>
      </c>
      <c r="AI249" s="20" t="s">
        <v>6520</v>
      </c>
      <c r="AJ249" s="20"/>
      <c r="AK249" s="31">
        <v>75</v>
      </c>
      <c r="AL249" s="31"/>
    </row>
    <row r="250" spans="1:46" s="3" customFormat="1" ht="108" x14ac:dyDescent="0.25">
      <c r="A250" s="9">
        <v>246</v>
      </c>
      <c r="B250" s="7" t="s">
        <v>3973</v>
      </c>
      <c r="C250" s="7" t="s">
        <v>3</v>
      </c>
      <c r="D250" s="7" t="s">
        <v>6711</v>
      </c>
      <c r="E250" s="7" t="s">
        <v>6712</v>
      </c>
      <c r="F250" s="7" t="s">
        <v>6713</v>
      </c>
      <c r="G250" s="7" t="s">
        <v>6703</v>
      </c>
      <c r="H250" s="7" t="s">
        <v>6374</v>
      </c>
      <c r="I250" s="7"/>
      <c r="J250" s="20" t="str">
        <f>VLOOKUP(V250,Table_to_BRG!A:D,3,FALSE)</f>
        <v>Plant data</v>
      </c>
      <c r="K250" s="20" t="str">
        <f>VLOOKUP(V250,Table_to_BRG!A:D,2,FALSE)</f>
        <v>Plant</v>
      </c>
      <c r="L250" s="20"/>
      <c r="M250" s="20"/>
      <c r="N250" s="9"/>
      <c r="O250" s="54"/>
      <c r="P250" s="7" t="s">
        <v>8397</v>
      </c>
      <c r="Q250" s="11" t="str">
        <f>UPPER(LEFT(Table362[[#This Row],[Entity]],3))&amp;RIGHT("00"&amp;Table362[[#This Row],[Rule '# by Entity]],3)&amp;"0_"&amp;MID(SUBSTITUTE(Table362[[#This Row],[Rule Name]],"_","|",3),SEARCH("|",SUBSTITUTE(Table362[[#This Row],[Rule Name]],"_","|",3))+1,LEN(Table362[[#This Row],[Rule Name]]))</f>
        <v>MAT0850_BatchEntryIsValid</v>
      </c>
      <c r="R250" s="8" t="s">
        <v>8177</v>
      </c>
      <c r="S250" s="7" t="s">
        <v>4135</v>
      </c>
      <c r="T250" s="7" t="s">
        <v>2</v>
      </c>
      <c r="U250" s="7" t="s">
        <v>836</v>
      </c>
      <c r="V250" s="7" t="s">
        <v>1527</v>
      </c>
      <c r="W250" s="7" t="s">
        <v>2114</v>
      </c>
      <c r="X250" s="8" t="s">
        <v>2249</v>
      </c>
      <c r="Y250" s="7" t="s">
        <v>5978</v>
      </c>
      <c r="Z250" s="7" t="s">
        <v>5978</v>
      </c>
      <c r="AA250" s="10" t="s">
        <v>8588</v>
      </c>
      <c r="AB250" s="11" t="str">
        <f>Table362[[#This Row],[IS Parameter]]&amp;" IS NOT NULL AND rtrim("&amp;Table362[[#This Row],[IS Parameter]]&amp;", ' ') != ''"</f>
        <v>$P_I_BatchEntryDomain IS NOT NULL AND rtrim($P_I_BatchEntryDomain, ' ') != ''</v>
      </c>
      <c r="AC250" s="13" t="s">
        <v>7792</v>
      </c>
      <c r="AD250"/>
      <c r="AE250" s="13" t="str">
        <f>IF(Table362[[#This Row],[Entity]]="Customer","KUNNR",IF(Table362[[#This Row],[Entity]]="Vendor","LIFNR","MATNR"))&amp;",WERKS"&amp;","&amp;Table362[[#This Row],[Field]]</f>
        <v>MATNR,WERKS,KZECH</v>
      </c>
      <c r="AF250" s="13" t="str">
        <f>"VW_"&amp;Table362[[#This Row],[New Rule Name]]</f>
        <v>VW_MAT0850_BatchEntryIsValid</v>
      </c>
      <c r="AG250"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VW_MAT0850_BatchEntryIsValid (
     MATNR,
     WERKS,
     KZECH
     ) as select 
          MATNR,
          WERKS,
          KZECH 
     from MARC</v>
      </c>
      <c r="AH250" s="8"/>
      <c r="AI250" s="20"/>
      <c r="AJ250" s="20"/>
      <c r="AK250" s="31">
        <v>85</v>
      </c>
      <c r="AL250" s="31"/>
    </row>
    <row r="251" spans="1:46" s="3" customFormat="1" ht="60" hidden="1" x14ac:dyDescent="0.25">
      <c r="A251" s="9">
        <v>249</v>
      </c>
      <c r="B251" s="7" t="s">
        <v>3973</v>
      </c>
      <c r="C251" s="7" t="s">
        <v>1207</v>
      </c>
      <c r="D251" s="7" t="s">
        <v>5978</v>
      </c>
      <c r="E251" s="7" t="s">
        <v>5978</v>
      </c>
      <c r="F251" s="7" t="s">
        <v>5978</v>
      </c>
      <c r="G251" s="7" t="s">
        <v>6361</v>
      </c>
      <c r="H251" s="7" t="s">
        <v>6362</v>
      </c>
      <c r="I251" s="7" t="s">
        <v>1403</v>
      </c>
      <c r="J251" s="20" t="str">
        <f>VLOOKUP(V251,Table_to_BRG!A:D,3,FALSE)</f>
        <v>Address data</v>
      </c>
      <c r="K251" s="20" t="str">
        <f>VLOOKUP(V251,Table_to_BRG!A:D,2,FALSE)</f>
        <v>Address</v>
      </c>
      <c r="L251" s="20"/>
      <c r="M251" s="20"/>
      <c r="N251" s="9" t="s">
        <v>6465</v>
      </c>
      <c r="O251" s="54" t="s">
        <v>6906</v>
      </c>
      <c r="P251" s="16" t="s">
        <v>8502</v>
      </c>
      <c r="Q251" s="11"/>
      <c r="R251" s="8" t="s">
        <v>8178</v>
      </c>
      <c r="S251" s="7" t="s">
        <v>2</v>
      </c>
      <c r="T251" s="7"/>
      <c r="U251" s="7" t="s">
        <v>549</v>
      </c>
      <c r="V251" s="23" t="s">
        <v>6900</v>
      </c>
      <c r="W251" s="23" t="s">
        <v>3669</v>
      </c>
      <c r="X251" s="24"/>
      <c r="Y251" s="7" t="s">
        <v>5978</v>
      </c>
      <c r="Z251" s="7" t="s">
        <v>5978</v>
      </c>
      <c r="AA251" s="10" t="s">
        <v>550</v>
      </c>
      <c r="AB251" s="10"/>
      <c r="AC251" s="13" t="s">
        <v>6924</v>
      </c>
      <c r="AD251"/>
      <c r="AE251" s="13"/>
      <c r="AF251" s="13"/>
      <c r="AG251" s="11"/>
      <c r="AH251" s="8"/>
      <c r="AI251" s="20" t="s">
        <v>6522</v>
      </c>
      <c r="AJ251" s="20"/>
      <c r="AK251" s="31"/>
      <c r="AL251" s="31"/>
    </row>
    <row r="252" spans="1:46" s="3" customFormat="1" ht="60" hidden="1" x14ac:dyDescent="0.25">
      <c r="A252" s="9">
        <v>247</v>
      </c>
      <c r="B252" s="7" t="s">
        <v>3973</v>
      </c>
      <c r="C252" s="7" t="s">
        <v>16</v>
      </c>
      <c r="D252" s="7" t="s">
        <v>6711</v>
      </c>
      <c r="E252" s="7" t="s">
        <v>6714</v>
      </c>
      <c r="F252" s="7" t="s">
        <v>6715</v>
      </c>
      <c r="G252" s="7" t="s">
        <v>6361</v>
      </c>
      <c r="H252" s="7" t="s">
        <v>3967</v>
      </c>
      <c r="I252" s="7"/>
      <c r="J252" s="20" t="str">
        <f>VLOOKUP(V252,Table_to_BRG!A:D,3,FALSE)</f>
        <v>General data</v>
      </c>
      <c r="K252" s="20" t="str">
        <f>VLOOKUP(V252,Table_to_BRG!A:D,2,FALSE)</f>
        <v>General</v>
      </c>
      <c r="L252" s="20"/>
      <c r="M252" s="20"/>
      <c r="N252" s="9"/>
      <c r="O252" s="54"/>
      <c r="P252" s="7" t="s">
        <v>8095</v>
      </c>
      <c r="Q252" s="11" t="str">
        <f>UPPER(LEFT(Table362[[#This Row],[Entity]],3))&amp;RIGHT("00"&amp;Table362[[#This Row],[Rule '# by Entity]],3)&amp;"0_"&amp;MID(SUBSTITUTE(Table362[[#This Row],[Rule Name]],"_","|",3),SEARCH("|",SUBSTITUTE(Table362[[#This Row],[Rule Name]],"_","|",3))+1,LEN(Table362[[#This Row],[Rule Name]]))</f>
        <v>CUS0210_LanguageKeyPopulated</v>
      </c>
      <c r="R252" s="8" t="s">
        <v>8123</v>
      </c>
      <c r="S252" s="7" t="s">
        <v>21</v>
      </c>
      <c r="T252" s="7"/>
      <c r="U252" s="7" t="s">
        <v>523</v>
      </c>
      <c r="V252" s="7" t="s">
        <v>2741</v>
      </c>
      <c r="W252" s="7" t="s">
        <v>1534</v>
      </c>
      <c r="X252" s="8" t="s">
        <v>2974</v>
      </c>
      <c r="Y252" s="7" t="s">
        <v>5978</v>
      </c>
      <c r="Z252" s="7" t="s">
        <v>5978</v>
      </c>
      <c r="AA252" s="10" t="s">
        <v>840</v>
      </c>
      <c r="AB252" s="10"/>
      <c r="AC252" s="10" t="s">
        <v>6813</v>
      </c>
      <c r="AD252" s="10"/>
      <c r="AE252" s="13" t="str">
        <f>IF(Table362[[#This Row],[Entity]]="Customer","KUNNR",IF(Table362[[#This Row],[Entity]]="Vendor","LIFNR","MATNR"))&amp;","&amp;Table362[[#This Row],[Field]]</f>
        <v>KUNNR,SPRAS</v>
      </c>
      <c r="AF252" s="13" t="str">
        <f>"VW_"&amp;Table362[[#This Row],[New Rule Name]]</f>
        <v>VW_CUS0210_LanguageKeyPopulated</v>
      </c>
      <c r="AG252" s="11" t="str">
        <f>"create view "&amp;Table362[[#This Row],[View Name]]&amp;" as 
     select 
          "&amp;Table362[[#This Row],[Table]]&amp;",
          "&amp;Table362[[#This Row],[Field]]&amp;" 
     from "&amp;Table362[[#This Row],[Table]]</f>
        <v>create view VW_CUS0210_LanguageKeyPopulated as 
     select 
          KNA1,
          SPRAS 
     from KNA1</v>
      </c>
      <c r="AH252" s="8"/>
      <c r="AI252" s="20" t="s">
        <v>6527</v>
      </c>
      <c r="AJ252" s="20"/>
      <c r="AK252" s="31">
        <v>21</v>
      </c>
      <c r="AL252" s="31"/>
    </row>
    <row r="253" spans="1:46" s="3" customFormat="1" ht="84" x14ac:dyDescent="0.25">
      <c r="A253" s="9">
        <v>248</v>
      </c>
      <c r="B253" s="7" t="s">
        <v>3973</v>
      </c>
      <c r="C253" s="7" t="s">
        <v>3</v>
      </c>
      <c r="D253" s="7" t="s">
        <v>6711</v>
      </c>
      <c r="E253" s="7" t="s">
        <v>6712</v>
      </c>
      <c r="F253" s="7" t="s">
        <v>6745</v>
      </c>
      <c r="G253" s="7" t="s">
        <v>6369</v>
      </c>
      <c r="H253" s="7"/>
      <c r="I253" s="7"/>
      <c r="J253" s="20" t="str">
        <f>VLOOKUP(V253,Table_to_BRG!A:D,3,FALSE)</f>
        <v>Valuation data</v>
      </c>
      <c r="K253" s="20" t="str">
        <f>VLOOKUP(V253,Table_to_BRG!A:D,2,FALSE)</f>
        <v>Valuation</v>
      </c>
      <c r="L253" s="20"/>
      <c r="M253" s="20"/>
      <c r="N253" s="9"/>
      <c r="O253" s="54"/>
      <c r="P253" s="7" t="s">
        <v>8398</v>
      </c>
      <c r="Q253" s="11" t="str">
        <f>UPPER(LEFT(Table362[[#This Row],[Entity]],3))&amp;RIGHT("00"&amp;Table362[[#This Row],[Rule '# by Entity]],3)&amp;"0_"&amp;MID(SUBSTITUTE(Table362[[#This Row],[Rule Name]],"_","|",3),SEARCH("|",SUBSTITUTE(Table362[[#This Row],[Rule Name]],"_","|",3))+1,LEN(Table362[[#This Row],[Rule Name]]))</f>
        <v>MAT1040_ValuationClassRef</v>
      </c>
      <c r="R253" s="8" t="s">
        <v>7958</v>
      </c>
      <c r="S253" s="7" t="s">
        <v>2</v>
      </c>
      <c r="T253" s="7"/>
      <c r="U253" s="7" t="s">
        <v>843</v>
      </c>
      <c r="V253" s="7" t="s">
        <v>1528</v>
      </c>
      <c r="W253" s="7" t="s">
        <v>1501</v>
      </c>
      <c r="X253" s="8" t="s">
        <v>8632</v>
      </c>
      <c r="Y253" s="7" t="s">
        <v>4269</v>
      </c>
      <c r="Z253" s="7" t="s">
        <v>1501</v>
      </c>
      <c r="AA253" s="11" t="str">
        <f>"BEGIN
     RETURN exists('DS_IS_RDS', '"&amp;Table362[[#This Row],[Lookup Table]]&amp;"', '"&amp;Table362[[#This Row],[Lookup Field]]&amp;"', "&amp;Table362[[#This Row],[IS Parameter]]&amp;");
END"</f>
        <v>BEGIN
     RETURN exists('DS_IS_RDS', 'T025', 'BKLAS', $P_I_ValuationClass);
END</v>
      </c>
      <c r="AB253" s="11" t="str">
        <f>Table362[[#This Row],[IS Parameter]]&amp;" IS NOT NULL AND rtrim("&amp;Table362[[#This Row],[IS Parameter]]&amp;", ' ') != ''"</f>
        <v>$P_I_ValuationClass IS NOT NULL AND rtrim($P_I_ValuationClass, ' ') != ''</v>
      </c>
      <c r="AC253" s="10" t="s">
        <v>6663</v>
      </c>
      <c r="AD253" s="10"/>
      <c r="AE253" s="13" t="str">
        <f>IF(Table362[[#This Row],[Entity]]="Customer","KUNNR",IF(Table362[[#This Row],[Entity]]="Vendor","LIFNR","MATNR"))&amp;",BWKEY,BWTAR,"&amp;Table362[[#This Row],[Field]]</f>
        <v>MATNR,BWKEY,BWTAR,BKLAS</v>
      </c>
      <c r="AF253" s="13" t="str">
        <f>"VW_"&amp;Table362[[#This Row],[New Rule Name]]</f>
        <v>VW_MAT1040_ValuationClassRef</v>
      </c>
      <c r="AG253" s="11" t="str">
        <f>"create view "&amp;Table362[[#This Row],[View Name]]&amp;" as 
     select 
          "&amp;IF(Table362[[#This Row],[Entity]]="Customer","KUNNR",IF(Table362[[#This Row],[Entity]]="Vendor","LIFNR","MATNR"))&amp;",
          BWKEY,
          BWTAR,
          "&amp;Table362[[#This Row],[Field]]&amp;" 
     from "&amp;Table362[[#This Row],[Table]]</f>
        <v>create view VW_MAT1040_ValuationClassRef as 
     select 
          MATNR,
          BWKEY,
          BWTAR,
          BKLAS 
     from MBEW</v>
      </c>
      <c r="AH253" s="8"/>
      <c r="AI253" s="20"/>
      <c r="AJ253" s="20"/>
      <c r="AK253" s="31">
        <v>104</v>
      </c>
      <c r="AL253" s="31"/>
    </row>
    <row r="254" spans="1:46" s="3" customFormat="1" ht="60" x14ac:dyDescent="0.25">
      <c r="A254" s="9">
        <v>250</v>
      </c>
      <c r="B254" s="7" t="s">
        <v>3973</v>
      </c>
      <c r="C254" s="7" t="s">
        <v>3</v>
      </c>
      <c r="D254" s="7" t="s">
        <v>6711</v>
      </c>
      <c r="E254" s="7" t="s">
        <v>6712</v>
      </c>
      <c r="F254" s="7" t="s">
        <v>6725</v>
      </c>
      <c r="G254" s="7" t="s">
        <v>6371</v>
      </c>
      <c r="H254" s="7" t="s">
        <v>6372</v>
      </c>
      <c r="I254" s="7"/>
      <c r="J254" s="20" t="str">
        <f>VLOOKUP(V254,Table_to_BRG!A:D,3,FALSE)</f>
        <v>General data</v>
      </c>
      <c r="K254" s="20" t="str">
        <f>VLOOKUP(V254,Table_to_BRG!A:D,2,FALSE)</f>
        <v>General</v>
      </c>
      <c r="L254" s="20"/>
      <c r="M254" s="20"/>
      <c r="N254" s="9"/>
      <c r="O254" s="54"/>
      <c r="P254" s="7" t="s">
        <v>8399</v>
      </c>
      <c r="Q254" s="11" t="str">
        <f>UPPER(LEFT(Table362[[#This Row],[Entity]],3))&amp;RIGHT("00"&amp;Table362[[#This Row],[Rule '# by Entity]],3)&amp;"0_"&amp;MID(SUBSTITUTE(Table362[[#This Row],[Rule Name]],"_","|",3),SEARCH("|",SUBSTITUTE(Table362[[#This Row],[Rule Name]],"_","|",3))+1,LEN(Table362[[#This Row],[Rule Name]]))</f>
        <v>MAT0200_LabelTypeRef</v>
      </c>
      <c r="R254" s="8" t="s">
        <v>7959</v>
      </c>
      <c r="S254" s="7" t="s">
        <v>2</v>
      </c>
      <c r="T254" s="7"/>
      <c r="U254" s="7" t="s">
        <v>848</v>
      </c>
      <c r="V254" s="7" t="s">
        <v>1526</v>
      </c>
      <c r="W254" s="7" t="s">
        <v>1976</v>
      </c>
      <c r="X254" s="8" t="s">
        <v>1271</v>
      </c>
      <c r="Y254" s="7" t="s">
        <v>6051</v>
      </c>
      <c r="Z254" s="7" t="s">
        <v>1976</v>
      </c>
      <c r="AA254" s="11" t="str">
        <f>"BEGIN
     RETURN exists('DS_IS_RDS', '"&amp;Table362[[#This Row],[Lookup Table]]&amp;"', '"&amp;Table362[[#This Row],[Lookup Field]]&amp;"', "&amp;Table362[[#This Row],[IS Parameter]]&amp;");
END"</f>
        <v>BEGIN
     RETURN exists('DS_IS_RDS', 'T6WP3', 'ETIAR', $P_I_LabelType);
END</v>
      </c>
      <c r="AB254" s="11" t="str">
        <f>Table362[[#This Row],[IS Parameter]]&amp;" IS NOT NULL AND rtrim("&amp;Table362[[#This Row],[IS Parameter]]&amp;", ' ') != ''"</f>
        <v>$P_I_LabelType IS NOT NULL AND rtrim($P_I_LabelType, ' ') != ''</v>
      </c>
      <c r="AC254" s="10" t="s">
        <v>6663</v>
      </c>
      <c r="AD254" s="10"/>
      <c r="AE254" s="13" t="str">
        <f>IF(Table362[[#This Row],[Entity]]="Customer","KUNNR",IF(Table362[[#This Row],[Entity]]="Vendor","LIFNR","MATNR"))&amp;","&amp;Table362[[#This Row],[Field]]</f>
        <v>MATNR,ETIAR</v>
      </c>
      <c r="AF254" s="13" t="str">
        <f>"VW_"&amp;Table362[[#This Row],[New Rule Name]]</f>
        <v>VW_MAT0200_LabelTypeRef</v>
      </c>
      <c r="AG254" s="11" t="str">
        <f>"create view "&amp;Table362[[#This Row],[View Name]]&amp;" as 
     select 
          "&amp;IF(Table362[[#This Row],[Entity]]="Customer","KUNNR",IF(Table362[[#This Row],[Entity]]="Vendor","LIFNR","MATNR"))&amp;",
          "&amp;Table362[[#This Row],[Field]]&amp;" 
     from "&amp;Table362[[#This Row],[Table]]</f>
        <v>create view VW_MAT0200_LabelTypeRef as 
     select 
          MATNR,
          ETIAR 
     from MARA</v>
      </c>
      <c r="AH254" s="8"/>
      <c r="AI254" s="20"/>
      <c r="AJ254" s="20"/>
      <c r="AK254" s="31">
        <v>20</v>
      </c>
      <c r="AL254" s="31"/>
    </row>
    <row r="255" spans="1:46" s="3" customFormat="1" ht="72" hidden="1" x14ac:dyDescent="0.25">
      <c r="A255" s="9">
        <v>251</v>
      </c>
      <c r="B255" s="7" t="s">
        <v>3973</v>
      </c>
      <c r="C255" s="7" t="s">
        <v>16</v>
      </c>
      <c r="D255" s="7" t="s">
        <v>6719</v>
      </c>
      <c r="E255" s="7" t="s">
        <v>6720</v>
      </c>
      <c r="F255" s="7" t="s">
        <v>6721</v>
      </c>
      <c r="G255" s="7" t="s">
        <v>6358</v>
      </c>
      <c r="H255" s="7" t="s">
        <v>6360</v>
      </c>
      <c r="I255" s="7"/>
      <c r="J255" s="20" t="str">
        <f>VLOOKUP(V255,Table_to_BRG!A:D,3,FALSE)</f>
        <v>Company Code data</v>
      </c>
      <c r="K255" s="20" t="str">
        <f>VLOOKUP(V255,Table_to_BRG!A:D,2,FALSE)</f>
        <v>Company Code</v>
      </c>
      <c r="L255" s="20"/>
      <c r="M255" s="20"/>
      <c r="N255" s="9"/>
      <c r="O255" s="54"/>
      <c r="P255" s="7" t="s">
        <v>7873</v>
      </c>
      <c r="Q255" s="11" t="str">
        <f>UPPER(LEFT(Table362[[#This Row],[Entity]],3))&amp;RIGHT("00"&amp;Table362[[#This Row],[Rule '# by Entity]],3)&amp;"0_"&amp;MID(SUBSTITUTE(Table362[[#This Row],[Rule Name]],"_","|",3),SEARCH("|",SUBSTITUTE(Table362[[#This Row],[Rule Name]],"_","|",3))+1,LEN(Table362[[#This Row],[Rule Name]]))</f>
        <v>CUS0540_ToleranceGroupRef</v>
      </c>
      <c r="R255" s="13" t="s">
        <v>8043</v>
      </c>
      <c r="S255" s="7" t="s">
        <v>2</v>
      </c>
      <c r="T255" s="7"/>
      <c r="U255" s="7" t="s">
        <v>852</v>
      </c>
      <c r="V255" s="7" t="s">
        <v>2740</v>
      </c>
      <c r="W255" s="7" t="s">
        <v>2889</v>
      </c>
      <c r="X255" s="8" t="s">
        <v>2908</v>
      </c>
      <c r="Y255" s="7" t="s">
        <v>5675</v>
      </c>
      <c r="Z255" s="7" t="s">
        <v>2889</v>
      </c>
      <c r="AA255" s="11" t="str">
        <f>"BEGIN
     RETURN exists('DS_IS_RDS', '"&amp;Table362[[#This Row],[Lookup Table]]&amp;"', '"&amp;Table362[[#This Row],[Lookup Field]]&amp;"', "&amp;Table362[[#This Row],[IS Parameter]]&amp;");
END"</f>
        <v>BEGIN
     RETURN exists('DS_IS_RDS', 'T043G', 'TOGRU', $P_I_ToleranceGroup);
END</v>
      </c>
      <c r="AB255" s="11" t="str">
        <f>Table362[[#This Row],[IS Parameter]]&amp;" IS NOT NULL
AND "&amp; Table362[[#This Row],[IS Parameter]]&amp;" != ''"</f>
        <v>$P_I_ToleranceGroup IS NOT NULL
AND $P_I_ToleranceGroup != ''</v>
      </c>
      <c r="AC255" s="10" t="s">
        <v>6663</v>
      </c>
      <c r="AD255" s="10"/>
      <c r="AE255" s="13" t="str">
        <f>IF(Table362[[#This Row],[Entity]]="Customer","KUNNR",IF(Table362[[#This Row],[Entity]]="Vendor","LIFNR","MATNR"))&amp;",BUKRS"&amp;","&amp;Table362[[#This Row],[Field]]</f>
        <v>KUNNR,BUKRS,TOGRU</v>
      </c>
      <c r="AF255" s="13" t="str">
        <f>"VW_"&amp;Table362[[#This Row],[New Rule Name]]</f>
        <v>VW_CUS0540_ToleranceGroupRef</v>
      </c>
      <c r="AG255" s="11" t="str">
        <f>"create view "&amp;Table362[[#This Row],[View Name]]&amp;" as 
     select 
          "&amp;IF(Table362[[#This Row],[Entity]]="Customer","KUNNR",IF(Table362[[#This Row],[Entity]]="Vendor","LIFNR","MATNR"))&amp;",
          BUKRS,
          "&amp;Table362[[#This Row],[Field]]&amp;" 
     from "&amp;Table362[[#This Row],[Table]]</f>
        <v>create view VW_CUS0540_ToleranceGroupRef as 
     select 
          KUNNR,
          BUKRS,
          TOGRU 
     from KNB1</v>
      </c>
      <c r="AH255" s="8"/>
      <c r="AI255" s="20" t="s">
        <v>7598</v>
      </c>
      <c r="AJ255" s="20"/>
      <c r="AK255" s="31">
        <v>54</v>
      </c>
      <c r="AL255" s="31"/>
    </row>
    <row r="256" spans="1:46" s="3" customFormat="1" ht="72" x14ac:dyDescent="0.25">
      <c r="A256" s="9">
        <v>252</v>
      </c>
      <c r="B256" s="7" t="s">
        <v>3973</v>
      </c>
      <c r="C256" s="7" t="s">
        <v>3</v>
      </c>
      <c r="D256" s="7" t="s">
        <v>5978</v>
      </c>
      <c r="E256" s="7" t="s">
        <v>5978</v>
      </c>
      <c r="F256" s="7" t="s">
        <v>5978</v>
      </c>
      <c r="G256" s="7" t="s">
        <v>6703</v>
      </c>
      <c r="H256" s="7" t="s">
        <v>6380</v>
      </c>
      <c r="I256" s="7"/>
      <c r="J256" s="20" t="e">
        <f>VLOOKUP(V256,Table_to_BRG!A:D,3,FALSE)</f>
        <v>#N/A</v>
      </c>
      <c r="K256" s="20" t="e">
        <f>VLOOKUP(V256,Table_to_BRG!A:D,2,FALSE)</f>
        <v>#N/A</v>
      </c>
      <c r="L256" s="20"/>
      <c r="M256" s="20"/>
      <c r="N256" s="9"/>
      <c r="O256" s="54"/>
      <c r="P256" s="7" t="s">
        <v>8400</v>
      </c>
      <c r="Q256" s="11" t="str">
        <f>UPPER(LEFT(Table362[[#This Row],[Entity]],3))&amp;RIGHT("00"&amp;Table362[[#This Row],[Rule '# by Entity]],3)&amp;"0_"&amp;MID(SUBSTITUTE(Table362[[#This Row],[Rule Name]],"_","|",3),SEARCH("|",SUBSTITUTE(Table362[[#This Row],[Rule Name]],"_","|",3))+1,LEN(Table362[[#This Row],[Rule Name]]))</f>
        <v>MAT1080_PlanningPlantRef</v>
      </c>
      <c r="R256" s="8" t="s">
        <v>7960</v>
      </c>
      <c r="S256" s="7" t="s">
        <v>2</v>
      </c>
      <c r="T256" s="7"/>
      <c r="U256" s="7" t="s">
        <v>6052</v>
      </c>
      <c r="V256" s="7" t="s">
        <v>8645</v>
      </c>
      <c r="W256" s="7" t="s">
        <v>8646</v>
      </c>
      <c r="X256" s="8" t="s">
        <v>8634</v>
      </c>
      <c r="Y256" s="7" t="s">
        <v>4145</v>
      </c>
      <c r="Z256" s="7" t="s">
        <v>1495</v>
      </c>
      <c r="AA256" s="11" t="str">
        <f>"BEGIN
     RETURN exists('DS_IS_RDS', '"&amp;Table362[[#This Row],[Lookup Table]]&amp;"', '"&amp;Table362[[#This Row],[Lookup Field]]&amp;"', "&amp;Table362[[#This Row],[IS Parameter]]&amp;");
END"</f>
        <v>BEGIN
     RETURN exists('DS_IS_RDS', 'T001W', 'WERKS', $P_I_PlanningPlant);
END</v>
      </c>
      <c r="AB256" s="11" t="str">
        <f>Table362[[#This Row],[IS Parameter]]&amp;" IS NOT NULL AND rtrim("&amp;Table362[[#This Row],[IS Parameter]]&amp;", ' ') != ''"</f>
        <v>$P_I_PlanningPlant IS NOT NULL AND rtrim($P_I_PlanningPlant, ' ') != ''</v>
      </c>
      <c r="AC256" s="10" t="s">
        <v>6663</v>
      </c>
      <c r="AD256" s="10"/>
      <c r="AE256" s="13" t="s">
        <v>7788</v>
      </c>
      <c r="AF256" s="13" t="str">
        <f>"VW_"&amp;Table362[[#This Row],[New Rule Name]]</f>
        <v>VW_MAT1080_PlanningPlantRef</v>
      </c>
      <c r="AG256" s="11" t="str">
        <f>"create view "&amp;Table362[[#This Row],[View Name]]&amp;" as 
     select 
          DTNUM,
          DTPOS,
          "&amp;Table362[[#This Row],[Field]]&amp;" 
     from "&amp;Table362[[#This Row],[Table]]</f>
        <v>create view VW_MAT1080_PlanningPlantRef as 
     select 
          DTNUM,
          DTPOS,
          VPWRK 
     from MDIP</v>
      </c>
      <c r="AH256" s="8" t="s">
        <v>8647</v>
      </c>
      <c r="AI256" s="20" t="s">
        <v>6675</v>
      </c>
      <c r="AJ256" s="20"/>
      <c r="AK256" s="31">
        <v>108</v>
      </c>
      <c r="AL256" s="31"/>
    </row>
    <row r="257" spans="1:38" s="3" customFormat="1" ht="108" x14ac:dyDescent="0.25">
      <c r="A257" s="9">
        <v>253</v>
      </c>
      <c r="B257" s="7" t="s">
        <v>3973</v>
      </c>
      <c r="C257" s="7" t="s">
        <v>3</v>
      </c>
      <c r="D257" s="7" t="s">
        <v>6711</v>
      </c>
      <c r="E257" s="7" t="s">
        <v>6712</v>
      </c>
      <c r="F257" s="7" t="s">
        <v>6713</v>
      </c>
      <c r="G257" s="7" t="s">
        <v>6370</v>
      </c>
      <c r="H257" s="7"/>
      <c r="I257" s="7"/>
      <c r="J257" s="20" t="str">
        <f>VLOOKUP(V257,Table_to_BRG!A:D,3,FALSE)</f>
        <v>Plant data</v>
      </c>
      <c r="K257" s="20" t="str">
        <f>VLOOKUP(V257,Table_to_BRG!A:D,2,FALSE)</f>
        <v>Plant</v>
      </c>
      <c r="L257" s="20"/>
      <c r="M257" s="20"/>
      <c r="N257" s="9"/>
      <c r="O257" s="54"/>
      <c r="P257" s="7" t="s">
        <v>8401</v>
      </c>
      <c r="Q257" s="11" t="str">
        <f>UPPER(LEFT(Table362[[#This Row],[Entity]],3))&amp;RIGHT("00"&amp;Table362[[#This Row],[Rule '# by Entity]],3)&amp;"0_"&amp;MID(SUBSTITUTE(Table362[[#This Row],[Rule Name]],"_","|",3),SEARCH("|",SUBSTITUTE(Table362[[#This Row],[Rule Name]],"_","|",3))+1,LEN(Table362[[#This Row],[Rule Name]]))</f>
        <v>MAT0900_ControlCodeRef</v>
      </c>
      <c r="R257" s="8" t="s">
        <v>7961</v>
      </c>
      <c r="S257" s="7" t="s">
        <v>2</v>
      </c>
      <c r="T257" s="7"/>
      <c r="U257" s="7" t="s">
        <v>858</v>
      </c>
      <c r="V257" s="7" t="s">
        <v>1527</v>
      </c>
      <c r="W257" s="7" t="s">
        <v>1900</v>
      </c>
      <c r="X257" s="8" t="s">
        <v>1913</v>
      </c>
      <c r="Y257" s="7" t="s">
        <v>6053</v>
      </c>
      <c r="Z257" s="7" t="s">
        <v>1900</v>
      </c>
      <c r="AA257" s="11" t="str">
        <f>"BEGIN
     RETURN exists('DS_IS_RDS', '"&amp;Table362[[#This Row],[Lookup Table]]&amp;"', '"&amp;Table362[[#This Row],[Lookup Field]]&amp;"', "&amp;Table362[[#This Row],[IS Parameter]]&amp;");
END"</f>
        <v>BEGIN
     RETURN exists('DS_IS_RDS', 'T604F', 'STEUC', $P_I_ControlCode);
END</v>
      </c>
      <c r="AB257" s="11" t="str">
        <f>Table362[[#This Row],[IS Parameter]]&amp;" IS NOT NULL AND rtrim("&amp;Table362[[#This Row],[IS Parameter]]&amp;", ' ') != ''"</f>
        <v>$P_I_ControlCode IS NOT NULL AND rtrim($P_I_ControlCode, ' ') != ''</v>
      </c>
      <c r="AC257" s="10" t="s">
        <v>6663</v>
      </c>
      <c r="AD257" s="10"/>
      <c r="AE257" s="13" t="str">
        <f>IF(Table362[[#This Row],[Entity]]="Customer","KUNNR",IF(Table362[[#This Row],[Entity]]="Vendor","LIFNR","MATNR"))&amp;",WERKS"&amp;","&amp;Table362[[#This Row],[Field]]</f>
        <v>MATNR,WERKS,STEUC</v>
      </c>
      <c r="AF257" s="13" t="str">
        <f>"VW_"&amp;Table362[[#This Row],[New Rule Name]]</f>
        <v>VW_MAT0900_ControlCodeRef</v>
      </c>
      <c r="AG257" s="11" t="str">
        <f>"create view "&amp;Table362[[#This Row],[View Name]]&amp;" (
     "&amp;IF(Table362[[#This Row],[Entity]]="Customer","KUNNR",IF(Table362[[#This Row],[Entity]]="Vendor","LIFNR","MATNR"))&amp;",
     WERKS,
     "&amp;Table362[[#This Row],[Field]]&amp;"
     ) as select 
          "&amp;IF(Table362[[#This Row],[Entity]]="Customer","KUNNR",IF(Table362[[#This Row],[Entity]]="Vendor","LIFNR","MATNR"))&amp;",
          WERKS,
          "&amp;Table362[[#This Row],[Field]]&amp;" 
     from "&amp;Table362[[#This Row],[Table]]</f>
        <v>create view VW_MAT0900_ControlCodeRef (
     MATNR,
     WERKS,
     STEUC
     ) as select 
          MATNR,
          WERKS,
          STEUC 
     from MARC</v>
      </c>
      <c r="AH257" s="8"/>
      <c r="AI257" s="20"/>
      <c r="AJ257" s="20"/>
      <c r="AK257" s="31">
        <v>90</v>
      </c>
      <c r="AL257" s="31"/>
    </row>
    <row r="258" spans="1:38" s="38" customFormat="1" ht="48" hidden="1" x14ac:dyDescent="0.25">
      <c r="A258" s="14">
        <v>256</v>
      </c>
      <c r="B258" s="15" t="s">
        <v>3973</v>
      </c>
      <c r="C258" s="15" t="s">
        <v>16</v>
      </c>
      <c r="D258" s="15" t="s">
        <v>6711</v>
      </c>
      <c r="E258" s="15" t="s">
        <v>6714</v>
      </c>
      <c r="F258" s="15" t="s">
        <v>6715</v>
      </c>
      <c r="G258" s="15" t="s">
        <v>6361</v>
      </c>
      <c r="H258" s="15" t="s">
        <v>3967</v>
      </c>
      <c r="I258" s="15" t="s">
        <v>3967</v>
      </c>
      <c r="J258" s="27" t="str">
        <f>VLOOKUP(V258,Table_to_BRG!A:D,3,FALSE)</f>
        <v>General data</v>
      </c>
      <c r="K258" s="27" t="str">
        <f>VLOOKUP(V258,Table_to_BRG!A:D,2,FALSE)</f>
        <v>General</v>
      </c>
      <c r="L258" s="27"/>
      <c r="M258" s="27"/>
      <c r="N258" s="14" t="s">
        <v>6465</v>
      </c>
      <c r="O258" s="54" t="str">
        <f>"Superceded by rule "&amp;A998</f>
        <v>Superceded by rule 378</v>
      </c>
      <c r="P258" s="16" t="s">
        <v>867</v>
      </c>
      <c r="Q258" s="17"/>
      <c r="R258" s="16" t="s">
        <v>6498</v>
      </c>
      <c r="S258" s="15" t="s">
        <v>139</v>
      </c>
      <c r="T258" s="15"/>
      <c r="U258" s="16" t="s">
        <v>6095</v>
      </c>
      <c r="V258" s="15" t="s">
        <v>2741</v>
      </c>
      <c r="W258" s="16" t="s">
        <v>6430</v>
      </c>
      <c r="X258" s="16" t="s">
        <v>6431</v>
      </c>
      <c r="Y258" s="15" t="s">
        <v>5978</v>
      </c>
      <c r="Z258" s="15" t="s">
        <v>5978</v>
      </c>
      <c r="AA258" s="26" t="s">
        <v>753</v>
      </c>
      <c r="AB258" s="26"/>
      <c r="AC258" s="26"/>
      <c r="AD258" s="26"/>
      <c r="AE258" s="18"/>
      <c r="AF258" s="18"/>
      <c r="AG258" s="17"/>
      <c r="AH258" s="16"/>
      <c r="AI258" s="27" t="s">
        <v>7688</v>
      </c>
      <c r="AJ258" s="27"/>
      <c r="AK258" s="36"/>
      <c r="AL258" s="52"/>
    </row>
    <row r="259" spans="1:38" s="38" customFormat="1" ht="60" hidden="1" x14ac:dyDescent="0.25">
      <c r="A259" s="14">
        <v>257</v>
      </c>
      <c r="B259" s="15" t="s">
        <v>4292</v>
      </c>
      <c r="C259" s="15" t="s">
        <v>16</v>
      </c>
      <c r="D259" s="15" t="s">
        <v>6711</v>
      </c>
      <c r="E259" s="15" t="s">
        <v>6714</v>
      </c>
      <c r="F259" s="15" t="s">
        <v>6715</v>
      </c>
      <c r="G259" s="15" t="s">
        <v>6361</v>
      </c>
      <c r="H259" s="15" t="s">
        <v>3969</v>
      </c>
      <c r="I259" s="15" t="s">
        <v>3967</v>
      </c>
      <c r="J259" s="27" t="str">
        <f>VLOOKUP(V259,Table_to_BRG!A:D,3,FALSE)</f>
        <v>General data</v>
      </c>
      <c r="K259" s="27" t="str">
        <f>VLOOKUP(V259,Table_to_BRG!A:D,2,FALSE)</f>
        <v>General</v>
      </c>
      <c r="L259" s="27"/>
      <c r="M259" s="27"/>
      <c r="N259" s="14" t="s">
        <v>6465</v>
      </c>
      <c r="O259" s="54" t="str">
        <f>"Superceded by rule "&amp;A998&amp;"?"</f>
        <v>Superceded by rule 378?</v>
      </c>
      <c r="P259" s="16" t="s">
        <v>6844</v>
      </c>
      <c r="Q259" s="17"/>
      <c r="R259" s="16" t="s">
        <v>6493</v>
      </c>
      <c r="S259" s="15" t="s">
        <v>139</v>
      </c>
      <c r="T259" s="15"/>
      <c r="U259" s="16" t="s">
        <v>6095</v>
      </c>
      <c r="V259" s="15" t="s">
        <v>2741</v>
      </c>
      <c r="W259" s="16" t="s">
        <v>6430</v>
      </c>
      <c r="X259" s="16" t="s">
        <v>6431</v>
      </c>
      <c r="Y259" s="15" t="s">
        <v>5978</v>
      </c>
      <c r="Z259" s="15" t="s">
        <v>5978</v>
      </c>
      <c r="AA259" s="26" t="s">
        <v>4294</v>
      </c>
      <c r="AB259" s="26"/>
      <c r="AC259" s="26"/>
      <c r="AD259" s="26"/>
      <c r="AE259" s="18"/>
      <c r="AF259" s="18"/>
      <c r="AG259" s="17"/>
      <c r="AH259" s="16"/>
      <c r="AI259" s="27" t="s">
        <v>7689</v>
      </c>
      <c r="AJ259" s="27"/>
      <c r="AK259" s="52"/>
      <c r="AL259" s="52"/>
    </row>
    <row r="260" spans="1:38" s="3" customFormat="1" ht="84" x14ac:dyDescent="0.25">
      <c r="A260" s="9">
        <v>254</v>
      </c>
      <c r="B260" s="7" t="s">
        <v>3973</v>
      </c>
      <c r="C260" s="7" t="s">
        <v>3</v>
      </c>
      <c r="D260" s="7" t="s">
        <v>6711</v>
      </c>
      <c r="E260" s="7" t="s">
        <v>6712</v>
      </c>
      <c r="F260" s="7" t="s">
        <v>6713</v>
      </c>
      <c r="G260" s="7" t="s">
        <v>6644</v>
      </c>
      <c r="H260" s="7"/>
      <c r="I260" s="7"/>
      <c r="J260" s="20" t="str">
        <f>VLOOKUP(V260,Table_to_BRG!A:D,3,FALSE)</f>
        <v>Plant data</v>
      </c>
      <c r="K260" s="20" t="str">
        <f>VLOOKUP(V260,Table_to_BRG!A:D,2,FALSE)</f>
        <v>Plant</v>
      </c>
      <c r="L260" s="20"/>
      <c r="M260" s="20"/>
      <c r="N260" s="9"/>
      <c r="O260" s="54"/>
      <c r="P260" s="7" t="s">
        <v>8402</v>
      </c>
      <c r="Q260" s="11" t="str">
        <f>UPPER(LEFT(Table362[[#This Row],[Entity]],3))&amp;RIGHT("00"&amp;Table362[[#This Row],[Rule '# by Entity]],3)&amp;"0_"&amp;MID(SUBSTITUTE(Table362[[#This Row],[Rule Name]],"_","|",3),SEARCH("|",SUBSTITUTE(Table362[[#This Row],[Rule Name]],"_","|",3))+1,LEN(Table362[[#This Row],[Rule Name]]))</f>
        <v>MAT0470_IndividualOrCollectiveIsValid</v>
      </c>
      <c r="R260" s="8" t="s">
        <v>8179</v>
      </c>
      <c r="S260" s="7" t="s">
        <v>4135</v>
      </c>
      <c r="T260" s="7" t="s">
        <v>2</v>
      </c>
      <c r="U260" s="7" t="s">
        <v>6096</v>
      </c>
      <c r="V260" s="7" t="s">
        <v>1527</v>
      </c>
      <c r="W260" s="7" t="s">
        <v>2222</v>
      </c>
      <c r="X260" s="8" t="s">
        <v>2240</v>
      </c>
      <c r="Y260" s="7" t="s">
        <v>5978</v>
      </c>
      <c r="Z260" s="7" t="s">
        <v>5978</v>
      </c>
      <c r="AA260" s="10" t="s">
        <v>8589</v>
      </c>
      <c r="AB260" s="11" t="str">
        <f>Table362[[#This Row],[IS Parameter]]&amp;" IS NOT NULL AND rtrim("&amp;Table362[[#This Row],[IS Parameter]]&amp;", ' ') != ''"</f>
        <v>$P_I_IndividualOrCollective IS NOT NULL AND rtrim($P_I_IndividualOrCollective, ' ') != ''</v>
      </c>
      <c r="AC260" s="13" t="s">
        <v>7792</v>
      </c>
      <c r="AD260"/>
      <c r="AE260" s="13" t="str">
        <f>IF(Table362[[#This Row],[Entity]]="Customer","KUNNR",IF(Table362[[#This Row],[Entity]]="Vendor","LIFNR","MATNR"))&amp;",WERKS"&amp;","&amp;Table362[[#This Row],[Field]]</f>
        <v>MATNR,WERKS,SBDKZ</v>
      </c>
      <c r="AF260" s="13" t="str">
        <f>"VW_"&amp;Table362[[#This Row],[New Rule Name]]</f>
        <v>VW_MAT0470_IndividualOrCollectiveIsValid</v>
      </c>
      <c r="AG260" s="11" t="str">
        <f>"create view "&amp;Table362[[#This Row],[View Name]]&amp;" as 
     select 
          "&amp;IF(Table362[[#This Row],[Entity]]="Customer","KUNNR",IF(Table362[[#This Row],[Entity]]="Vendor","LIFNR","MATNR"))&amp;",
          WERKS,
          "&amp;Table362[[#This Row],[Field]]&amp;" 
     from "&amp;Table362[[#This Row],[Table]]</f>
        <v>create view VW_MAT0470_IndividualOrCollectiveIsValid as 
     select 
          MATNR,
          WERKS,
          SBDKZ 
     from MARC</v>
      </c>
      <c r="AH260" s="8"/>
      <c r="AI260" s="20"/>
      <c r="AJ260" s="20"/>
      <c r="AK260" s="31">
        <v>47</v>
      </c>
      <c r="AL260" s="31"/>
    </row>
    <row r="261" spans="1:38" s="3" customFormat="1" ht="72" x14ac:dyDescent="0.25">
      <c r="A261" s="9">
        <v>255</v>
      </c>
      <c r="B261" s="7" t="s">
        <v>3973</v>
      </c>
      <c r="C261" s="7" t="s">
        <v>3</v>
      </c>
      <c r="D261" s="7" t="s">
        <v>6711</v>
      </c>
      <c r="E261" s="7" t="s">
        <v>6712</v>
      </c>
      <c r="F261" s="7" t="s">
        <v>6730</v>
      </c>
      <c r="G261" s="7" t="s">
        <v>6687</v>
      </c>
      <c r="H261" s="7" t="s">
        <v>6686</v>
      </c>
      <c r="I261" s="7"/>
      <c r="J261" s="20" t="str">
        <f>VLOOKUP(V261,Table_to_BRG!A:D,3,FALSE)</f>
        <v>Warehouse data</v>
      </c>
      <c r="K261" s="20" t="str">
        <f>VLOOKUP(V261,Table_to_BRG!A:D,2,FALSE)</f>
        <v>Material Data for Each Warehouse Number</v>
      </c>
      <c r="L261" s="20"/>
      <c r="M261" s="20"/>
      <c r="N261" s="9"/>
      <c r="O261" s="54"/>
      <c r="P261" s="7" t="s">
        <v>8403</v>
      </c>
      <c r="Q261" s="11" t="str">
        <f>UPPER(LEFT(Table362[[#This Row],[Entity]],3))&amp;RIGHT("00"&amp;Table362[[#This Row],[Rule '# by Entity]],3)&amp;"0_"&amp;MID(SUBSTITUTE(Table362[[#This Row],[Rule Name]],"_","|",3),SEARCH("|",SUBSTITUTE(Table362[[#This Row],[Rule Name]],"_","|",3))+1,LEN(Table362[[#This Row],[Rule Name]]))</f>
        <v>MAT1150_SUT1Ref</v>
      </c>
      <c r="R261" s="8" t="s">
        <v>8566</v>
      </c>
      <c r="S261" s="7" t="s">
        <v>2</v>
      </c>
      <c r="T261" s="7"/>
      <c r="U261" s="7" t="s">
        <v>6766</v>
      </c>
      <c r="V261" s="7" t="s">
        <v>2594</v>
      </c>
      <c r="W261" s="8" t="s">
        <v>2614</v>
      </c>
      <c r="X261" s="8" t="s">
        <v>2623</v>
      </c>
      <c r="Y261" s="7" t="s">
        <v>6054</v>
      </c>
      <c r="Z261" s="7" t="s">
        <v>6055</v>
      </c>
      <c r="AA261" s="11" t="str">
        <f>"BEGIN
     RETURN exists('DS_IS_RDS', '"&amp;Table362[[#This Row],[Lookup Table]]&amp;"', '"&amp;Table362[[#This Row],[Lookup Field]]&amp;"', "&amp;Table362[[#This Row],[IS Parameter]]&amp;");
END"</f>
        <v>BEGIN
     RETURN exists('DS_IS_RDS', 'T307', 'LETYP', $P_I_SUT1);
END</v>
      </c>
      <c r="AB261" s="11" t="str">
        <f>Table362[[#This Row],[IS Parameter]]&amp;" IS NOT NULL AND rtrim("&amp;Table362[[#This Row],[IS Parameter]]&amp;", ' ') != ''"</f>
        <v>$P_I_SUT1 IS NOT NULL AND rtrim($P_I_SUT1, ' ') != ''</v>
      </c>
      <c r="AC261" s="10" t="s">
        <v>6663</v>
      </c>
      <c r="AD261" s="10"/>
      <c r="AE261" s="13" t="str">
        <f>IF(Table362[[#This Row],[Entity]]="Customer","KUNNR",IF(Table362[[#This Row],[Entity]]="Vendor","LIFNR","MATNR"))&amp;",LGNUM,"&amp;Table362[[#This Row],[Field]]</f>
        <v>MATNR,LGNUM,LETY1</v>
      </c>
      <c r="AF261" s="13" t="str">
        <f>"VW_"&amp;Table362[[#This Row],[New Rule Name]]</f>
        <v>VW_MAT1150_SUT1Ref</v>
      </c>
      <c r="AG261" s="11" t="str">
        <f>"create view "&amp;Table362[[#This Row],[View Name]]&amp;" as 
     select 
          "&amp;IF(Table362[[#This Row],[Entity]]="Customer","KUNNR",IF(Table362[[#This Row],[Entity]]="Vendor","LIFNR","MATNR"))&amp;",
          LGNUM,
          "&amp;Table362[[#This Row],[Field]]&amp;" 
     from "&amp;Table362[[#This Row],[Table]]</f>
        <v>create view VW_MAT1150_SUT1Ref as 
     select 
          MATNR,
          LGNUM,
          LETY1 
     from MLGN</v>
      </c>
      <c r="AH261" s="8" t="s">
        <v>7754</v>
      </c>
      <c r="AI261" s="20" t="s">
        <v>6761</v>
      </c>
      <c r="AJ261" s="20"/>
      <c r="AK261" s="31">
        <v>115</v>
      </c>
      <c r="AL261" s="31"/>
    </row>
    <row r="262" spans="1:38" s="3" customFormat="1" ht="60" hidden="1" x14ac:dyDescent="0.25">
      <c r="A262" s="9">
        <v>258</v>
      </c>
      <c r="B262" s="7" t="s">
        <v>3973</v>
      </c>
      <c r="C262" s="7" t="s">
        <v>1207</v>
      </c>
      <c r="D262" s="7" t="s">
        <v>6719</v>
      </c>
      <c r="E262" s="7" t="s">
        <v>6720</v>
      </c>
      <c r="F262" s="7" t="s">
        <v>6722</v>
      </c>
      <c r="G262" s="7" t="s">
        <v>6643</v>
      </c>
      <c r="H262" s="7"/>
      <c r="I262" s="7"/>
      <c r="J262" s="20" t="str">
        <f>VLOOKUP(V262,Table_to_BRG!A:D,3,FALSE)</f>
        <v>General data</v>
      </c>
      <c r="K262" s="20" t="str">
        <f>VLOOKUP(V262,Table_to_BRG!A:D,2,FALSE)</f>
        <v>General</v>
      </c>
      <c r="L262" s="20"/>
      <c r="M262" s="20"/>
      <c r="N262" s="9"/>
      <c r="O262" s="54"/>
      <c r="P262" s="7" t="s">
        <v>8503</v>
      </c>
      <c r="Q262" s="11" t="str">
        <f>UPPER(LEFT(Table362[[#This Row],[Entity]],3))&amp;RIGHT("00"&amp;Table362[[#This Row],[Rule '# by Entity]],3)&amp;"0_"&amp;MID(SUBSTITUTE(Table362[[#This Row],[Rule Name]],"_","|",3),SEARCH("|",SUBSTITUTE(Table362[[#This Row],[Rule Name]],"_","|",3))+1,LEN(Table362[[#This Row],[Rule Name]]))</f>
        <v>VEN0110_SortFieldPopulated</v>
      </c>
      <c r="R262" s="8" t="s">
        <v>8295</v>
      </c>
      <c r="S262" s="7" t="s">
        <v>21</v>
      </c>
      <c r="T262" s="7"/>
      <c r="U262" s="7" t="s">
        <v>722</v>
      </c>
      <c r="V262" s="7" t="s">
        <v>3542</v>
      </c>
      <c r="W262" s="7" t="s">
        <v>2960</v>
      </c>
      <c r="X262" s="8" t="s">
        <v>1457</v>
      </c>
      <c r="Y262" s="7" t="s">
        <v>5978</v>
      </c>
      <c r="Z262" s="7" t="s">
        <v>5978</v>
      </c>
      <c r="AA262" s="10" t="s">
        <v>723</v>
      </c>
      <c r="AB262" s="10"/>
      <c r="AC262" s="10" t="s">
        <v>6813</v>
      </c>
      <c r="AD262" s="10"/>
      <c r="AE262" s="13" t="str">
        <f>IF(Table362[[#This Row],[Entity]]="Customer","KUNNR",IF(Table362[[#This Row],[Entity]]="Vendor","LIFNR","MATNR"))&amp;","&amp;Table362[[#This Row],[Field]]</f>
        <v>LIFNR,SORTL</v>
      </c>
      <c r="AF262" s="13" t="str">
        <f>"VW_"&amp;Table362[[#This Row],[New Rule Name]]</f>
        <v>VW_VEN0110_SortFieldPopulated</v>
      </c>
      <c r="AG262" s="11" t="str">
        <f>"create view "&amp;Table362[[#This Row],[View Name]]&amp;" as 
     select 
          "&amp;IF(Table362[[#This Row],[Entity]]="Customer","KUNNR",IF(Table362[[#This Row],[Entity]]="Vendor","LIFNR","MATNR"))&amp;",
          "&amp;Table362[[#This Row],[Field]]&amp;" 
     from "&amp;Table362[[#This Row],[Table]]</f>
        <v>create view VW_VEN0110_SortFieldPopulated as 
     select 
          LIFNR,
          SORTL 
     from LFA1</v>
      </c>
      <c r="AH262" s="8"/>
      <c r="AI262" s="20" t="s">
        <v>6600</v>
      </c>
      <c r="AJ262" s="20"/>
      <c r="AK262" s="31">
        <v>11</v>
      </c>
      <c r="AL262" s="31"/>
    </row>
    <row r="263" spans="1:38" s="3" customFormat="1" ht="84" x14ac:dyDescent="0.25">
      <c r="A263" s="9">
        <v>259</v>
      </c>
      <c r="B263" s="7" t="s">
        <v>3973</v>
      </c>
      <c r="C263" s="7" t="s">
        <v>3</v>
      </c>
      <c r="D263" s="7" t="s">
        <v>6711</v>
      </c>
      <c r="E263" s="7" t="s">
        <v>6712</v>
      </c>
      <c r="F263" s="7" t="s">
        <v>6713</v>
      </c>
      <c r="G263" s="7" t="s">
        <v>6703</v>
      </c>
      <c r="H263" s="7" t="s">
        <v>6375</v>
      </c>
      <c r="I263" s="7"/>
      <c r="J263" s="20" t="str">
        <f>VLOOKUP(V263,Table_to_BRG!A:D,3,FALSE)</f>
        <v>Plant data</v>
      </c>
      <c r="K263" s="20" t="str">
        <f>VLOOKUP(V263,Table_to_BRG!A:D,2,FALSE)</f>
        <v>Plant</v>
      </c>
      <c r="L263" s="20"/>
      <c r="M263" s="20"/>
      <c r="N263" s="9"/>
      <c r="O263" s="54"/>
      <c r="P263" s="7" t="s">
        <v>8404</v>
      </c>
      <c r="Q263" s="11" t="str">
        <f>UPPER(LEFT(Table362[[#This Row],[Entity]],3))&amp;RIGHT("00"&amp;Table362[[#This Row],[Rule '# by Entity]],3)&amp;"0_"&amp;MID(SUBSTITUTE(Table362[[#This Row],[Rule Name]],"_","|",3),SEARCH("|",SUBSTITUTE(Table362[[#This Row],[Rule Name]],"_","|",3))+1,LEN(Table362[[#This Row],[Rule Name]]))</f>
        <v>MAT0520_MixedMRPIndicatorIsValid</v>
      </c>
      <c r="R263" s="8" t="s">
        <v>8180</v>
      </c>
      <c r="S263" s="7" t="s">
        <v>4135</v>
      </c>
      <c r="T263" s="7" t="s">
        <v>2</v>
      </c>
      <c r="U263" s="7" t="s">
        <v>872</v>
      </c>
      <c r="V263" s="7" t="s">
        <v>1527</v>
      </c>
      <c r="W263" s="7" t="s">
        <v>2178</v>
      </c>
      <c r="X263" s="8" t="s">
        <v>2186</v>
      </c>
      <c r="Y263" s="7" t="s">
        <v>5978</v>
      </c>
      <c r="Z263" s="7" t="s">
        <v>5978</v>
      </c>
      <c r="AA263" s="10" t="s">
        <v>8590</v>
      </c>
      <c r="AB263" s="11" t="str">
        <f>Table362[[#This Row],[IS Parameter]]&amp;" IS NULL"</f>
        <v>$P_I_MixedMRP IS NULL</v>
      </c>
      <c r="AC263" s="13" t="s">
        <v>7792</v>
      </c>
      <c r="AD263"/>
      <c r="AE263" s="13" t="str">
        <f>IF(Table362[[#This Row],[Entity]]="Customer","KUNNR",IF(Table362[[#This Row],[Entity]]="Vendor","LIFNR","MATNR"))&amp;",WERKS"&amp;","&amp;Table362[[#This Row],[Field]]</f>
        <v>MATNR,WERKS,MISKZ</v>
      </c>
      <c r="AF263" s="13" t="str">
        <f>"VW_"&amp;Table362[[#This Row],[New Rule Name]]</f>
        <v>VW_MAT0520_MixedMRPIndicatorIsValid</v>
      </c>
      <c r="AG263" s="11" t="str">
        <f>"create view "&amp;Table362[[#This Row],[View Name]]&amp;" as 
     select 
          "&amp;IF(Table362[[#This Row],[Entity]]="Customer","KUNNR",IF(Table362[[#This Row],[Entity]]="Vendor","LIFNR","MATNR"))&amp;",
          WERKS,
          "&amp;Table362[[#This Row],[Field]]&amp;" 
     from "&amp;Table362[[#This Row],[Table]]</f>
        <v>create view VW_MAT0520_MixedMRPIndicatorIsValid as 
     select 
          MATNR,
          WERKS,
          MISKZ 
     from MARC</v>
      </c>
      <c r="AH263" s="8"/>
      <c r="AI263" s="20"/>
      <c r="AJ263" s="20"/>
      <c r="AK263" s="31">
        <v>52</v>
      </c>
      <c r="AL263" s="31"/>
    </row>
    <row r="264" spans="1:38" s="38" customFormat="1" ht="60" hidden="1" x14ac:dyDescent="0.25">
      <c r="A264" s="14">
        <v>262</v>
      </c>
      <c r="B264" s="15" t="s">
        <v>3973</v>
      </c>
      <c r="C264" s="15" t="s">
        <v>16</v>
      </c>
      <c r="D264" s="15" t="s">
        <v>6711</v>
      </c>
      <c r="E264" s="15" t="s">
        <v>6714</v>
      </c>
      <c r="F264" s="15" t="s">
        <v>6715</v>
      </c>
      <c r="G264" s="15" t="s">
        <v>6361</v>
      </c>
      <c r="H264" s="15" t="s">
        <v>3969</v>
      </c>
      <c r="I264" s="15" t="s">
        <v>3967</v>
      </c>
      <c r="J264" s="27" t="str">
        <f>VLOOKUP(V264,Table_to_BRG!A:D,3,FALSE)</f>
        <v>General data</v>
      </c>
      <c r="K264" s="27" t="str">
        <f>VLOOKUP(V264,Table_to_BRG!A:D,2,FALSE)</f>
        <v>General</v>
      </c>
      <c r="L264" s="27"/>
      <c r="M264" s="27"/>
      <c r="N264" s="14" t="s">
        <v>6465</v>
      </c>
      <c r="O264" s="54" t="str">
        <f>"Superceded by rule "&amp;A998</f>
        <v>Superceded by rule 378</v>
      </c>
      <c r="P264" s="16" t="s">
        <v>879</v>
      </c>
      <c r="Q264" s="17"/>
      <c r="R264" s="16" t="s">
        <v>455</v>
      </c>
      <c r="S264" s="15" t="s">
        <v>139</v>
      </c>
      <c r="T264" s="15"/>
      <c r="U264" s="16" t="s">
        <v>6095</v>
      </c>
      <c r="V264" s="15" t="s">
        <v>2741</v>
      </c>
      <c r="W264" s="16" t="s">
        <v>6353</v>
      </c>
      <c r="X264" s="16" t="s">
        <v>6354</v>
      </c>
      <c r="Y264" s="15" t="s">
        <v>5978</v>
      </c>
      <c r="Z264" s="15" t="s">
        <v>5978</v>
      </c>
      <c r="AA264" s="26" t="s">
        <v>6516</v>
      </c>
      <c r="AB264" s="26"/>
      <c r="AC264" s="26"/>
      <c r="AD264" s="26"/>
      <c r="AE264" s="18"/>
      <c r="AF264" s="18"/>
      <c r="AG264" s="17"/>
      <c r="AH264" s="16" t="s">
        <v>5880</v>
      </c>
      <c r="AI264" s="27" t="s">
        <v>7690</v>
      </c>
      <c r="AJ264" s="27"/>
      <c r="AK264" s="36"/>
      <c r="AL264" s="52"/>
    </row>
    <row r="265" spans="1:38" s="3" customFormat="1" ht="72" hidden="1" x14ac:dyDescent="0.25">
      <c r="A265" s="9">
        <v>260</v>
      </c>
      <c r="B265" s="7" t="s">
        <v>3973</v>
      </c>
      <c r="C265" s="7" t="s">
        <v>16</v>
      </c>
      <c r="D265" s="7" t="s">
        <v>6711</v>
      </c>
      <c r="E265" s="7" t="s">
        <v>6714</v>
      </c>
      <c r="F265" s="7" t="s">
        <v>6715</v>
      </c>
      <c r="G265" s="7" t="s">
        <v>6361</v>
      </c>
      <c r="H265" s="7" t="s">
        <v>6364</v>
      </c>
      <c r="I265" s="7"/>
      <c r="J265" s="20" t="str">
        <f>VLOOKUP(V265,Table_to_BRG!A:D,3,FALSE)</f>
        <v>General data</v>
      </c>
      <c r="K265" s="20" t="str">
        <f>VLOOKUP(V265,Table_to_BRG!A:D,2,FALSE)</f>
        <v>General</v>
      </c>
      <c r="L265" s="20"/>
      <c r="M265" s="20"/>
      <c r="N265" s="9"/>
      <c r="O265" s="54"/>
      <c r="P265" s="7" t="s">
        <v>8209</v>
      </c>
      <c r="Q265" s="11" t="str">
        <f>UPPER(LEFT(Table362[[#This Row],[Entity]],3))&amp;RIGHT("00"&amp;Table362[[#This Row],[Rule '# by Entity]],3)&amp;"0_"&amp;MID(SUBSTITUTE(Table362[[#This Row],[Rule Name]],"_","|",3),SEARCH("|",SUBSTITUTE(Table362[[#This Row],[Rule Name]],"_","|",3))+1,LEN(Table362[[#This Row],[Rule Name]]))</f>
        <v>CUS0380_MissileTechIndicatorIsValid</v>
      </c>
      <c r="R265" s="8" t="s">
        <v>8154</v>
      </c>
      <c r="S265" s="7" t="s">
        <v>4135</v>
      </c>
      <c r="T265" s="7" t="s">
        <v>2</v>
      </c>
      <c r="U265" s="7" t="s">
        <v>876</v>
      </c>
      <c r="V265" s="7" t="s">
        <v>2741</v>
      </c>
      <c r="W265" s="7" t="s">
        <v>3115</v>
      </c>
      <c r="X265" s="8" t="s">
        <v>3128</v>
      </c>
      <c r="Y265" s="7" t="s">
        <v>5978</v>
      </c>
      <c r="Z265" s="7" t="s">
        <v>5978</v>
      </c>
      <c r="AA265" s="10" t="s">
        <v>8610</v>
      </c>
      <c r="AB265" s="11" t="str">
        <f>Table362[[#This Row],[IS Parameter]]&amp;" IS NOT NULL
AND "&amp; Table362[[#This Row],[IS Parameter]]&amp;" != ''"</f>
        <v>$P_I_MissleTechnologyInd IS NOT NULL
AND $P_I_MissleTechnologyInd != ''</v>
      </c>
      <c r="AC265" s="13" t="s">
        <v>7792</v>
      </c>
      <c r="AD265"/>
      <c r="AE265" s="13" t="str">
        <f>IF(Table362[[#This Row],[Entity]]="Customer","KUNNR",IF(Table362[[#This Row],[Entity]]="Vendor","LIFNR","MATNR"))&amp;","&amp;Table362[[#This Row],[Field]]</f>
        <v>KUNNR,CCC04</v>
      </c>
      <c r="AF265" s="13" t="str">
        <f>"VW_"&amp;Table362[[#This Row],[New Rule Name]]</f>
        <v>VW_CUS0380_MissileTechIndicatorIsValid</v>
      </c>
      <c r="AG265" s="11" t="str">
        <f>"create view "&amp;Table362[[#This Row],[View Name]]&amp;" as 
     select 
          "&amp;Table362[[#This Row],[Table]]&amp;",
          "&amp;Table362[[#This Row],[Field]]&amp;" 
     from "&amp;Table362[[#This Row],[Table]]</f>
        <v>create view VW_CUS0380_MissileTechIndicatorIsValid as 
     select 
          KNA1,
          CCC04 
     from KNA1</v>
      </c>
      <c r="AH265" s="8"/>
      <c r="AI265" s="20" t="s">
        <v>7607</v>
      </c>
      <c r="AJ265" s="20"/>
      <c r="AK265" s="31">
        <v>38</v>
      </c>
      <c r="AL265" s="31"/>
    </row>
    <row r="266" spans="1:38" s="3" customFormat="1" ht="96" hidden="1" x14ac:dyDescent="0.25">
      <c r="A266" s="9">
        <v>264</v>
      </c>
      <c r="B266" s="7" t="s">
        <v>3973</v>
      </c>
      <c r="C266" s="7" t="s">
        <v>16</v>
      </c>
      <c r="D266" s="7" t="s">
        <v>6711</v>
      </c>
      <c r="E266" s="7" t="s">
        <v>6714</v>
      </c>
      <c r="F266" s="7" t="s">
        <v>6742</v>
      </c>
      <c r="G266" s="7" t="s">
        <v>6361</v>
      </c>
      <c r="H266" s="7" t="s">
        <v>6362</v>
      </c>
      <c r="I266" s="7"/>
      <c r="J266" s="20" t="str">
        <f>VLOOKUP(V266,Table_to_BRG!A:D,3,FALSE)</f>
        <v>Contact data</v>
      </c>
      <c r="K266" s="20" t="str">
        <f>VLOOKUP(V266,Table_to_BRG!A:D,2,FALSE)</f>
        <v>Contact partner</v>
      </c>
      <c r="L266" s="20"/>
      <c r="M266" s="20"/>
      <c r="N266" s="9"/>
      <c r="O266" s="54"/>
      <c r="P266" s="7" t="s">
        <v>7874</v>
      </c>
      <c r="Q266" s="11" t="str">
        <f>UPPER(LEFT(Table362[[#This Row],[Entity]],3))&amp;RIGHT("00"&amp;Table362[[#This Row],[Rule '# by Entity]],3)&amp;"0_"&amp;MID(SUBSTITUTE(Table362[[#This Row],[Rule Name]],"_","|",3),SEARCH("|",SUBSTITUTE(Table362[[#This Row],[Rule Name]],"_","|",3))+1,LEN(Table362[[#This Row],[Rule Name]]))</f>
        <v>CUS0810_MaritalStatusRef</v>
      </c>
      <c r="R266" s="13" t="s">
        <v>8153</v>
      </c>
      <c r="S266" s="7" t="s">
        <v>2</v>
      </c>
      <c r="T266" s="7"/>
      <c r="U266" s="7" t="s">
        <v>402</v>
      </c>
      <c r="V266" s="7" t="s">
        <v>3001</v>
      </c>
      <c r="W266" s="7" t="s">
        <v>3670</v>
      </c>
      <c r="X266" s="8" t="s">
        <v>3680</v>
      </c>
      <c r="Y266" s="7" t="s">
        <v>5744</v>
      </c>
      <c r="Z266" s="7" t="s">
        <v>3670</v>
      </c>
      <c r="AA266" s="11" t="str">
        <f>"BEGIN
     RETURN exists('DS_IS_RDS', '"&amp;Table362[[#This Row],[Lookup Table]]&amp;"', '"&amp;Table362[[#This Row],[Lookup Field]]&amp;"', "&amp;Table362[[#This Row],[IS Parameter]]&amp;");
END"</f>
        <v>BEGIN
     RETURN exists('DS_IS_RDS', 'T502T', 'FAMST', $P_I_MaritalStatus);
END</v>
      </c>
      <c r="AB266" s="11" t="str">
        <f>Table362[[#This Row],[IS Parameter]]&amp;" IS NOT NULL
AND "&amp; Table362[[#This Row],[IS Parameter]]&amp;" != ''"</f>
        <v>$P_I_MaritalStatus IS NOT NULL
AND $P_I_MaritalStatus != ''</v>
      </c>
      <c r="AC266" s="10" t="s">
        <v>6663</v>
      </c>
      <c r="AD266" s="10"/>
      <c r="AE266" s="13" t="str">
        <f>"PARNR,KUNNR"&amp;","&amp;Table362[[#This Row],[Field]]</f>
        <v>PARNR,KUNNR,FAMST</v>
      </c>
      <c r="AF266" s="13" t="str">
        <f>"VW_"&amp;Table362[[#This Row],[New Rule Name]]</f>
        <v>VW_CUS0810_MaritalStatusRef</v>
      </c>
      <c r="AG266" s="11" t="str">
        <f>"create view "&amp;Table362[[#This Row],[View Name]]&amp;" as 
     select 
          t2.PARNR,
          t1.KUNNR, 
          t2."&amp;Table362[[#This Row],[Field]]&amp;"
     from KNA1 t1
     inner join "&amp;Table362[[#This Row],[Table]]&amp;" t2
     on t2.KUNNR = t1.KUNNR;"</f>
        <v>create view VW_CUS0810_MaritalStatusRef as 
     select 
          t2.PARNR,
          t1.KUNNR, 
          t2.FAMST
     from KNA1 t1
     inner join KNVK t2
     on t2.KUNNR = t1.KUNNR;</v>
      </c>
      <c r="AH266" s="8"/>
      <c r="AI266" s="20" t="s">
        <v>7566</v>
      </c>
      <c r="AJ266" s="20"/>
      <c r="AK266" s="31">
        <v>81</v>
      </c>
      <c r="AL266" s="31"/>
    </row>
    <row r="267" spans="1:38" s="38" customFormat="1" ht="48" hidden="1" x14ac:dyDescent="0.25">
      <c r="A267" s="14">
        <v>265</v>
      </c>
      <c r="B267" s="15" t="s">
        <v>3973</v>
      </c>
      <c r="C267" s="15" t="s">
        <v>16</v>
      </c>
      <c r="D267" s="15" t="s">
        <v>6711</v>
      </c>
      <c r="E267" s="15" t="s">
        <v>6714</v>
      </c>
      <c r="F267" s="15" t="s">
        <v>6715</v>
      </c>
      <c r="G267" s="15" t="s">
        <v>6361</v>
      </c>
      <c r="H267" s="15" t="s">
        <v>3967</v>
      </c>
      <c r="I267" s="15" t="s">
        <v>3967</v>
      </c>
      <c r="J267" s="27" t="str">
        <f>VLOOKUP(V267,Table_to_BRG!A:D,3,FALSE)</f>
        <v>General data</v>
      </c>
      <c r="K267" s="27" t="str">
        <f>VLOOKUP(V267,Table_to_BRG!A:D,2,FALSE)</f>
        <v>General</v>
      </c>
      <c r="L267" s="27"/>
      <c r="M267" s="27"/>
      <c r="N267" s="14" t="s">
        <v>6465</v>
      </c>
      <c r="O267" s="54" t="str">
        <f>"Superceded by rule "&amp;A998</f>
        <v>Superceded by rule 378</v>
      </c>
      <c r="P267" s="16" t="s">
        <v>885</v>
      </c>
      <c r="Q267" s="17"/>
      <c r="R267" s="16" t="s">
        <v>6494</v>
      </c>
      <c r="S267" s="15" t="s">
        <v>139</v>
      </c>
      <c r="T267" s="15"/>
      <c r="U267" s="16" t="s">
        <v>6095</v>
      </c>
      <c r="V267" s="15" t="s">
        <v>2741</v>
      </c>
      <c r="W267" s="16" t="s">
        <v>6353</v>
      </c>
      <c r="X267" s="16" t="s">
        <v>6354</v>
      </c>
      <c r="Y267" s="15" t="s">
        <v>5978</v>
      </c>
      <c r="Z267" s="15" t="s">
        <v>5978</v>
      </c>
      <c r="AA267" s="26" t="s">
        <v>753</v>
      </c>
      <c r="AB267" s="26"/>
      <c r="AC267" s="26"/>
      <c r="AD267" s="26"/>
      <c r="AE267" s="18"/>
      <c r="AF267" s="18"/>
      <c r="AG267" s="17"/>
      <c r="AH267" s="16"/>
      <c r="AI267" s="27" t="s">
        <v>7691</v>
      </c>
      <c r="AJ267" s="27"/>
      <c r="AK267" s="36"/>
      <c r="AL267" s="52"/>
    </row>
    <row r="268" spans="1:38" s="38" customFormat="1" ht="60" hidden="1" x14ac:dyDescent="0.25">
      <c r="A268" s="14">
        <v>266</v>
      </c>
      <c r="B268" s="15" t="s">
        <v>4292</v>
      </c>
      <c r="C268" s="15" t="s">
        <v>16</v>
      </c>
      <c r="D268" s="15" t="s">
        <v>6711</v>
      </c>
      <c r="E268" s="15" t="s">
        <v>6714</v>
      </c>
      <c r="F268" s="15" t="s">
        <v>6715</v>
      </c>
      <c r="G268" s="15" t="s">
        <v>6361</v>
      </c>
      <c r="H268" s="15" t="s">
        <v>3969</v>
      </c>
      <c r="I268" s="15" t="s">
        <v>3967</v>
      </c>
      <c r="J268" s="27" t="str">
        <f>VLOOKUP(V268,Table_to_BRG!A:D,3,FALSE)</f>
        <v>General data</v>
      </c>
      <c r="K268" s="27" t="str">
        <f>VLOOKUP(V268,Table_to_BRG!A:D,2,FALSE)</f>
        <v>General</v>
      </c>
      <c r="L268" s="27"/>
      <c r="M268" s="27"/>
      <c r="N268" s="14" t="s">
        <v>6465</v>
      </c>
      <c r="O268" s="54" t="str">
        <f>"Superceded by rule "&amp;A998</f>
        <v>Superceded by rule 378</v>
      </c>
      <c r="P268" s="16" t="s">
        <v>6845</v>
      </c>
      <c r="Q268" s="17"/>
      <c r="R268" s="16" t="s">
        <v>4293</v>
      </c>
      <c r="S268" s="15" t="s">
        <v>4135</v>
      </c>
      <c r="T268" s="15"/>
      <c r="U268" s="16" t="s">
        <v>6095</v>
      </c>
      <c r="V268" s="15" t="s">
        <v>2741</v>
      </c>
      <c r="W268" s="16" t="s">
        <v>6353</v>
      </c>
      <c r="X268" s="16" t="s">
        <v>6354</v>
      </c>
      <c r="Y268" s="15" t="s">
        <v>5978</v>
      </c>
      <c r="Z268" s="15" t="s">
        <v>5978</v>
      </c>
      <c r="AA268" s="26" t="s">
        <v>4294</v>
      </c>
      <c r="AB268" s="26"/>
      <c r="AC268" s="26"/>
      <c r="AD268" s="26"/>
      <c r="AE268" s="18"/>
      <c r="AF268" s="18"/>
      <c r="AG268" s="17"/>
      <c r="AH268" s="16"/>
      <c r="AI268" s="27" t="s">
        <v>7692</v>
      </c>
      <c r="AJ268" s="27"/>
      <c r="AK268" s="52"/>
      <c r="AL268" s="52"/>
    </row>
    <row r="269" spans="1:38" s="38" customFormat="1" ht="48" hidden="1" x14ac:dyDescent="0.25">
      <c r="A269" s="14">
        <v>267</v>
      </c>
      <c r="B269" s="15" t="s">
        <v>3973</v>
      </c>
      <c r="C269" s="15" t="s">
        <v>1207</v>
      </c>
      <c r="D269" s="15" t="s">
        <v>6719</v>
      </c>
      <c r="E269" s="15" t="s">
        <v>6720</v>
      </c>
      <c r="F269" s="15" t="s">
        <v>6722</v>
      </c>
      <c r="G269" s="15" t="s">
        <v>6361</v>
      </c>
      <c r="H269" s="15" t="s">
        <v>3967</v>
      </c>
      <c r="I269" s="15" t="s">
        <v>3967</v>
      </c>
      <c r="J269" s="27" t="str">
        <f>VLOOKUP(V269,Table_to_BRG!A:D,3,FALSE)</f>
        <v>General data</v>
      </c>
      <c r="K269" s="27" t="str">
        <f>VLOOKUP(V269,Table_to_BRG!A:D,2,FALSE)</f>
        <v>General</v>
      </c>
      <c r="L269" s="27"/>
      <c r="M269" s="27"/>
      <c r="N269" s="14" t="s">
        <v>6465</v>
      </c>
      <c r="O269" s="54" t="str">
        <f>"Superceded by rule "&amp;A998</f>
        <v>Superceded by rule 378</v>
      </c>
      <c r="P269" s="16" t="s">
        <v>886</v>
      </c>
      <c r="Q269" s="17"/>
      <c r="R269" s="16" t="s">
        <v>6498</v>
      </c>
      <c r="S269" s="15" t="s">
        <v>139</v>
      </c>
      <c r="T269" s="15"/>
      <c r="U269" s="16" t="s">
        <v>6095</v>
      </c>
      <c r="V269" s="15" t="s">
        <v>3542</v>
      </c>
      <c r="W269" s="16" t="s">
        <v>6430</v>
      </c>
      <c r="X269" s="16" t="s">
        <v>6354</v>
      </c>
      <c r="Y269" s="15" t="s">
        <v>5978</v>
      </c>
      <c r="Z269" s="15" t="s">
        <v>5978</v>
      </c>
      <c r="AA269" s="26" t="s">
        <v>753</v>
      </c>
      <c r="AB269" s="26"/>
      <c r="AC269" s="26"/>
      <c r="AD269" s="26"/>
      <c r="AE269" s="18"/>
      <c r="AF269" s="18"/>
      <c r="AG269" s="17"/>
      <c r="AH269" s="16"/>
      <c r="AI269" s="27" t="s">
        <v>7688</v>
      </c>
      <c r="AJ269" s="27"/>
      <c r="AK269" s="52"/>
      <c r="AL269" s="52"/>
    </row>
    <row r="270" spans="1:38" s="38" customFormat="1" ht="60" hidden="1" x14ac:dyDescent="0.25">
      <c r="A270" s="14">
        <v>268</v>
      </c>
      <c r="B270" s="15" t="s">
        <v>4292</v>
      </c>
      <c r="C270" s="15" t="s">
        <v>1207</v>
      </c>
      <c r="D270" s="15" t="s">
        <v>6711</v>
      </c>
      <c r="E270" s="15" t="s">
        <v>6714</v>
      </c>
      <c r="F270" s="15" t="s">
        <v>6715</v>
      </c>
      <c r="G270" s="15" t="s">
        <v>6361</v>
      </c>
      <c r="H270" s="15" t="s">
        <v>3969</v>
      </c>
      <c r="I270" s="15" t="s">
        <v>3967</v>
      </c>
      <c r="J270" s="27" t="str">
        <f>VLOOKUP(V270,Table_to_BRG!A:D,3,FALSE)</f>
        <v>General data</v>
      </c>
      <c r="K270" s="27" t="str">
        <f>VLOOKUP(V270,Table_to_BRG!A:D,2,FALSE)</f>
        <v>General</v>
      </c>
      <c r="L270" s="27"/>
      <c r="M270" s="27"/>
      <c r="N270" s="14" t="s">
        <v>6465</v>
      </c>
      <c r="O270" s="54" t="str">
        <f>"Superceded by rule "&amp;A997</f>
        <v>Superceded by rule 377</v>
      </c>
      <c r="P270" s="16" t="s">
        <v>8504</v>
      </c>
      <c r="Q270" s="17"/>
      <c r="R270" s="16" t="s">
        <v>6493</v>
      </c>
      <c r="S270" s="15" t="s">
        <v>139</v>
      </c>
      <c r="T270" s="15"/>
      <c r="U270" s="16" t="s">
        <v>6095</v>
      </c>
      <c r="V270" s="15" t="s">
        <v>2741</v>
      </c>
      <c r="W270" s="16" t="s">
        <v>6430</v>
      </c>
      <c r="X270" s="16" t="s">
        <v>6431</v>
      </c>
      <c r="Y270" s="15" t="s">
        <v>5978</v>
      </c>
      <c r="Z270" s="15" t="s">
        <v>5978</v>
      </c>
      <c r="AA270" s="26" t="s">
        <v>4294</v>
      </c>
      <c r="AB270" s="26"/>
      <c r="AC270" s="26"/>
      <c r="AD270" s="26"/>
      <c r="AE270" s="18"/>
      <c r="AF270" s="18"/>
      <c r="AG270" s="17"/>
      <c r="AH270" s="16"/>
      <c r="AI270" s="27" t="s">
        <v>7693</v>
      </c>
      <c r="AJ270" s="27"/>
      <c r="AK270" s="52"/>
      <c r="AL270" s="52"/>
    </row>
    <row r="271" spans="1:38" s="3" customFormat="1" ht="60" hidden="1" x14ac:dyDescent="0.25">
      <c r="A271" s="9">
        <v>261</v>
      </c>
      <c r="B271" s="7" t="s">
        <v>3973</v>
      </c>
      <c r="C271" s="7" t="s">
        <v>1207</v>
      </c>
      <c r="D271" s="7" t="s">
        <v>6719</v>
      </c>
      <c r="E271" s="7" t="s">
        <v>6720</v>
      </c>
      <c r="F271" s="7" t="s">
        <v>6722</v>
      </c>
      <c r="G271" s="7" t="s">
        <v>6361</v>
      </c>
      <c r="H271" s="7" t="s">
        <v>6360</v>
      </c>
      <c r="I271" s="7"/>
      <c r="J271" s="20" t="str">
        <f>VLOOKUP(V271,Table_to_BRG!A:D,3,FALSE)</f>
        <v>General data</v>
      </c>
      <c r="K271" s="20" t="str">
        <f>VLOOKUP(V271,Table_to_BRG!A:D,2,FALSE)</f>
        <v>General</v>
      </c>
      <c r="L271" s="20"/>
      <c r="M271" s="20"/>
      <c r="N271" s="9"/>
      <c r="O271" s="54"/>
      <c r="P271" s="7" t="s">
        <v>8505</v>
      </c>
      <c r="Q271" s="11" t="str">
        <f>UPPER(LEFT(Table362[[#This Row],[Entity]],3))&amp;RIGHT("00"&amp;Table362[[#This Row],[Rule '# by Entity]],3)&amp;"0_"&amp;MID(SUBSTITUTE(Table362[[#This Row],[Rule Name]],"_","|",3),SEARCH("|",SUBSTITUTE(Table362[[#This Row],[Rule Name]],"_","|",3))+1,LEN(Table362[[#This Row],[Rule Name]]))</f>
        <v>VEN0200_NextPayeeRef</v>
      </c>
      <c r="R271" s="8" t="s">
        <v>8243</v>
      </c>
      <c r="S271" s="7" t="s">
        <v>2</v>
      </c>
      <c r="T271" s="7"/>
      <c r="U271" s="7" t="s">
        <v>226</v>
      </c>
      <c r="V271" s="7" t="s">
        <v>3542</v>
      </c>
      <c r="W271" s="7" t="s">
        <v>3790</v>
      </c>
      <c r="X271" s="8" t="s">
        <v>3796</v>
      </c>
      <c r="Y271" s="7" t="s">
        <v>3542</v>
      </c>
      <c r="Z271" s="7" t="s">
        <v>3045</v>
      </c>
      <c r="AA271" s="11" t="str">
        <f>"BEGIN
     RETURN exists('DS_IS_RDS', '"&amp;Table362[[#This Row],[Lookup Table]]&amp;"', '"&amp;Table362[[#This Row],[Lookup Field]]&amp;"', "&amp;Table362[[#This Row],[IS Parameter]]&amp;");
END"</f>
        <v>BEGIN
     RETURN exists('DS_IS_RDS', 'LFA1', 'LIFNR', $P_I_NextPayee);
END</v>
      </c>
      <c r="AB271" s="11"/>
      <c r="AC271" s="10" t="s">
        <v>6663</v>
      </c>
      <c r="AD271" s="10"/>
      <c r="AE271" s="13" t="str">
        <f>IF(Table362[[#This Row],[Entity]]="Customer","KUNNR",IF(Table362[[#This Row],[Entity]]="Vendor","LIFNR","MATNR"))&amp;","&amp;Table362[[#This Row],[Field]]</f>
        <v>LIFNR,LNRZA</v>
      </c>
      <c r="AF271" s="13" t="str">
        <f>"VW_"&amp;Table362[[#This Row],[New Rule Name]]</f>
        <v>VW_VEN0200_NextPayeeRef</v>
      </c>
      <c r="AG271" s="11" t="str">
        <f>"create view "&amp;Table362[[#This Row],[View Name]]&amp;" as 
     select 
          "&amp;IF(Table362[[#This Row],[Entity]]="Customer","KUNNR",IF(Table362[[#This Row],[Entity]]="Vendor","LIFNR","MATNR"))&amp;",
          "&amp;Table362[[#This Row],[Field]]&amp;" 
     from "&amp;Table362[[#This Row],[Table]]</f>
        <v>create view VW_VEN0200_NextPayeeRef as 
     select 
          LIFNR,
          LNRZA 
     from LFA1</v>
      </c>
      <c r="AH271" s="8" t="s">
        <v>7744</v>
      </c>
      <c r="AI271" s="20" t="s">
        <v>6461</v>
      </c>
      <c r="AJ271" s="20"/>
      <c r="AK271" s="31">
        <v>20</v>
      </c>
      <c r="AL271" s="31"/>
    </row>
    <row r="272" spans="1:38" s="3" customFormat="1" ht="84" x14ac:dyDescent="0.25">
      <c r="A272" s="9">
        <v>263</v>
      </c>
      <c r="B272" s="7" t="s">
        <v>3973</v>
      </c>
      <c r="C272" s="7" t="s">
        <v>3</v>
      </c>
      <c r="D272" s="7" t="s">
        <v>6711</v>
      </c>
      <c r="E272" s="7" t="s">
        <v>6712</v>
      </c>
      <c r="F272" s="7" t="s">
        <v>6713</v>
      </c>
      <c r="G272" s="7" t="s">
        <v>6377</v>
      </c>
      <c r="H272" s="7"/>
      <c r="I272" s="7"/>
      <c r="J272" s="20" t="str">
        <f>VLOOKUP(V272,Table_to_BRG!A:D,3,FALSE)</f>
        <v>Plant data</v>
      </c>
      <c r="K272" s="20" t="str">
        <f>VLOOKUP(V272,Table_to_BRG!A:D,2,FALSE)</f>
        <v>Plant</v>
      </c>
      <c r="L272" s="20"/>
      <c r="M272" s="20"/>
      <c r="N272" s="9"/>
      <c r="O272" s="54"/>
      <c r="P272" s="7" t="s">
        <v>8405</v>
      </c>
      <c r="Q272" s="11" t="str">
        <f>UPPER(LEFT(Table362[[#This Row],[Entity]],3))&amp;RIGHT("00"&amp;Table362[[#This Row],[Rule '# by Entity]],3)&amp;"0_"&amp;MID(SUBSTITUTE(Table362[[#This Row],[Rule Name]],"_","|",3),SEARCH("|",SUBSTITUTE(Table362[[#This Row],[Rule Name]],"_","|",3))+1,LEN(Table362[[#This Row],[Rule Name]]))</f>
        <v>MAT0910_JITSchedulingIndicatorIsValid</v>
      </c>
      <c r="R272" s="8" t="s">
        <v>8181</v>
      </c>
      <c r="S272" s="7" t="s">
        <v>4135</v>
      </c>
      <c r="T272" s="7" t="s">
        <v>2</v>
      </c>
      <c r="U272" s="7" t="s">
        <v>882</v>
      </c>
      <c r="V272" s="7" t="s">
        <v>1527</v>
      </c>
      <c r="W272" s="7" t="s">
        <v>2120</v>
      </c>
      <c r="X272" s="8" t="s">
        <v>2249</v>
      </c>
      <c r="Y272" s="7" t="s">
        <v>5978</v>
      </c>
      <c r="Z272" s="7" t="s">
        <v>5978</v>
      </c>
      <c r="AA272" s="10" t="s">
        <v>8591</v>
      </c>
      <c r="AB272" s="11" t="str">
        <f>Table362[[#This Row],[IS Parameter]]&amp;" IS NOT NULL AND rtrim("&amp;Table362[[#This Row],[IS Parameter]]&amp;", ' ') != ''"</f>
        <v>$P_I_JITSchedulingInd IS NOT NULL AND rtrim($P_I_JITSchedulingInd, ' ') != ''</v>
      </c>
      <c r="AC272" s="13" t="s">
        <v>7792</v>
      </c>
      <c r="AD272"/>
      <c r="AE272" s="13" t="str">
        <f>IF(Table362[[#This Row],[Entity]]="Customer","KUNNR",IF(Table362[[#This Row],[Entity]]="Vendor","LIFNR","MATNR"))&amp;",WERKS"&amp;","&amp;Table362[[#This Row],[Field]]</f>
        <v>MATNR,WERKS,FABKZ</v>
      </c>
      <c r="AF272" s="13" t="str">
        <f>"VW_"&amp;Table362[[#This Row],[New Rule Name]]</f>
        <v>VW_MAT0910_JITSchedulingIndicatorIsValid</v>
      </c>
      <c r="AG272" s="11" t="str">
        <f>"create view "&amp;Table362[[#This Row],[View Name]]&amp;" as 
     select 
          "&amp;IF(Table362[[#This Row],[Entity]]="Customer","KUNNR",IF(Table362[[#This Row],[Entity]]="Vendor","LIFNR","MATNR"))&amp;",
          WERKS,
          "&amp;Table362[[#This Row],[Field]]&amp;" 
     from "&amp;Table362[[#This Row],[Table]]</f>
        <v>create view VW_MAT0910_JITSchedulingIndicatorIsValid as 
     select 
          MATNR,
          WERKS,
          FABKZ 
     from MARC</v>
      </c>
      <c r="AH272" s="8"/>
      <c r="AI272" s="20" t="s">
        <v>7712</v>
      </c>
      <c r="AJ272" s="20"/>
      <c r="AK272" s="31">
        <v>91</v>
      </c>
      <c r="AL272" s="31"/>
    </row>
    <row r="273" spans="1:38" s="3" customFormat="1" ht="60" hidden="1" x14ac:dyDescent="0.25">
      <c r="A273" s="9">
        <v>269</v>
      </c>
      <c r="B273" s="7" t="s">
        <v>3973</v>
      </c>
      <c r="C273" s="7" t="s">
        <v>16</v>
      </c>
      <c r="D273" s="7" t="s">
        <v>6711</v>
      </c>
      <c r="E273" s="7" t="s">
        <v>6714</v>
      </c>
      <c r="F273" s="7" t="s">
        <v>6715</v>
      </c>
      <c r="G273" s="7" t="s">
        <v>6361</v>
      </c>
      <c r="H273" s="7" t="s">
        <v>3967</v>
      </c>
      <c r="I273" s="7"/>
      <c r="J273" s="20" t="str">
        <f>VLOOKUP(V273,Table_to_BRG!A:D,3,FALSE)</f>
        <v>General data</v>
      </c>
      <c r="K273" s="20" t="str">
        <f>VLOOKUP(V273,Table_to_BRG!A:D,2,FALSE)</f>
        <v>General</v>
      </c>
      <c r="L273" s="20"/>
      <c r="M273" s="20"/>
      <c r="N273" s="9"/>
      <c r="O273" s="54"/>
      <c r="P273" s="7" t="s">
        <v>8096</v>
      </c>
      <c r="Q273" s="11" t="str">
        <f>UPPER(LEFT(Table362[[#This Row],[Entity]],3))&amp;RIGHT("00"&amp;Table362[[#This Row],[Rule '# by Entity]],3)&amp;"0_"&amp;MID(SUBSTITUTE(Table362[[#This Row],[Rule Name]],"_","|",3),SEARCH("|",SUBSTITUTE(Table362[[#This Row],[Rule Name]],"_","|",3))+1,LEN(Table362[[#This Row],[Rule Name]]))</f>
        <v>CUS0050_CityPopulated</v>
      </c>
      <c r="R273" s="8" t="s">
        <v>8124</v>
      </c>
      <c r="S273" s="7" t="s">
        <v>21</v>
      </c>
      <c r="T273" s="7"/>
      <c r="U273" s="7" t="s">
        <v>326</v>
      </c>
      <c r="V273" s="7" t="s">
        <v>2741</v>
      </c>
      <c r="W273" s="8" t="s">
        <v>2705</v>
      </c>
      <c r="X273" s="8" t="s">
        <v>1203</v>
      </c>
      <c r="Y273" s="7" t="s">
        <v>5978</v>
      </c>
      <c r="Z273" s="7" t="s">
        <v>5978</v>
      </c>
      <c r="AA273" s="10" t="s">
        <v>327</v>
      </c>
      <c r="AB273" s="10"/>
      <c r="AC273" s="10" t="s">
        <v>6813</v>
      </c>
      <c r="AD273" s="10"/>
      <c r="AE273" s="13" t="str">
        <f>IF(Table362[[#This Row],[Entity]]="Customer","KUNNR",IF(Table362[[#This Row],[Entity]]="Vendor","LIFNR","MATNR"))&amp;","&amp;Table362[[#This Row],[Field]]</f>
        <v>KUNNR,ORT01</v>
      </c>
      <c r="AF273" s="13" t="str">
        <f>"VW_"&amp;Table362[[#This Row],[New Rule Name]]</f>
        <v>VW_CUS0050_CityPopulated</v>
      </c>
      <c r="AG273" s="11" t="str">
        <f>"create view "&amp;Table362[[#This Row],[View Name]]&amp;" as 
     select 
          "&amp;Table362[[#This Row],[Table]]&amp;",
          "&amp;Table362[[#This Row],[Field]]&amp;" 
     from "&amp;Table362[[#This Row],[Table]]</f>
        <v>create view VW_CUS0050_CityPopulated as 
     select 
          KNA1,
          ORT01 
     from KNA1</v>
      </c>
      <c r="AH273" s="8"/>
      <c r="AI273" s="20" t="s">
        <v>7672</v>
      </c>
      <c r="AJ273" s="20"/>
      <c r="AK273" s="31">
        <v>5</v>
      </c>
      <c r="AL273" s="31"/>
    </row>
    <row r="274" spans="1:38" s="3" customFormat="1" ht="60" x14ac:dyDescent="0.25">
      <c r="A274" s="9">
        <v>270</v>
      </c>
      <c r="B274" s="7" t="s">
        <v>3973</v>
      </c>
      <c r="C274" s="7" t="s">
        <v>3</v>
      </c>
      <c r="D274" s="7" t="s">
        <v>6711</v>
      </c>
      <c r="E274" s="7" t="s">
        <v>6712</v>
      </c>
      <c r="F274" s="7" t="s">
        <v>6725</v>
      </c>
      <c r="G274" s="7" t="s">
        <v>6385</v>
      </c>
      <c r="H274" s="7"/>
      <c r="I274" s="7"/>
      <c r="J274" s="20" t="str">
        <f>VLOOKUP(V274,Table_to_BRG!A:D,3,FALSE)</f>
        <v>General data</v>
      </c>
      <c r="K274" s="20" t="str">
        <f>VLOOKUP(V274,Table_to_BRG!A:D,2,FALSE)</f>
        <v>General</v>
      </c>
      <c r="L274" s="20"/>
      <c r="M274" s="20"/>
      <c r="N274" s="9"/>
      <c r="O274" s="54"/>
      <c r="P274" s="7" t="s">
        <v>8406</v>
      </c>
      <c r="Q274" s="11" t="str">
        <f>UPPER(LEFT(Table362[[#This Row],[Entity]],3))&amp;RIGHT("00"&amp;Table362[[#This Row],[Rule '# by Entity]],3)&amp;"0_"&amp;MID(SUBSTITUTE(Table362[[#This Row],[Rule Name]],"_","|",3),SEARCH("|",SUBSTITUTE(Table362[[#This Row],[Rule Name]],"_","|",3))+1,LEN(Table362[[#This Row],[Rule Name]]))</f>
        <v>MAT0060_MaterialGroupPopulated</v>
      </c>
      <c r="R274" s="8" t="s">
        <v>7998</v>
      </c>
      <c r="S274" s="7" t="s">
        <v>21</v>
      </c>
      <c r="T274"/>
      <c r="U274" s="7" t="s">
        <v>635</v>
      </c>
      <c r="V274" s="7" t="s">
        <v>1526</v>
      </c>
      <c r="W274" s="7" t="s">
        <v>1620</v>
      </c>
      <c r="X274" s="8" t="s">
        <v>8626</v>
      </c>
      <c r="Y274" s="7" t="s">
        <v>5978</v>
      </c>
      <c r="Z274" s="7" t="s">
        <v>5978</v>
      </c>
      <c r="AA274" s="10" t="s">
        <v>890</v>
      </c>
      <c r="AB274" s="10"/>
      <c r="AC274" s="10" t="s">
        <v>6813</v>
      </c>
      <c r="AD274" s="10"/>
      <c r="AE274" s="13" t="str">
        <f>IF(Table362[[#This Row],[Entity]]="Customer","KUNNR",IF(Table362[[#This Row],[Entity]]="Vendor","LIFNR","MATNR"))&amp;","&amp;Table362[[#This Row],[Field]]</f>
        <v>MATNR,MATKL</v>
      </c>
      <c r="AF274" s="13" t="str">
        <f>"VW_"&amp;Table362[[#This Row],[New Rule Name]]</f>
        <v>VW_MAT0060_MaterialGroupPopulated</v>
      </c>
      <c r="AG274" s="11" t="str">
        <f>"create view "&amp;Table362[[#This Row],[View Name]]&amp;" as 
     select 
          "&amp;IF(Table362[[#This Row],[Entity]]="Customer","KUNNR",IF(Table362[[#This Row],[Entity]]="Vendor","LIFNR","MATNR"))&amp;",
          "&amp;Table362[[#This Row],[Field]]&amp;" 
     from "&amp;Table362[[#This Row],[Table]]</f>
        <v>create view VW_MAT0060_MaterialGroupPopulated as 
     select 
          MATNR,
          MATKL 
     from MARA</v>
      </c>
      <c r="AH274" s="8"/>
      <c r="AI274" s="20"/>
      <c r="AJ274" s="20"/>
      <c r="AK274" s="31">
        <v>6</v>
      </c>
      <c r="AL274" s="31"/>
    </row>
    <row r="275" spans="1:38" s="3" customFormat="1" ht="60" x14ac:dyDescent="0.25">
      <c r="A275" s="9">
        <v>271</v>
      </c>
      <c r="B275" s="7" t="s">
        <v>3973</v>
      </c>
      <c r="C275" s="7" t="s">
        <v>3</v>
      </c>
      <c r="D275" s="7" t="s">
        <v>6711</v>
      </c>
      <c r="E275" s="7" t="s">
        <v>6712</v>
      </c>
      <c r="F275" s="7" t="s">
        <v>6725</v>
      </c>
      <c r="G275" s="7" t="s">
        <v>6385</v>
      </c>
      <c r="H275" s="7"/>
      <c r="I275" s="7"/>
      <c r="J275" s="20" t="str">
        <f>VLOOKUP(V275,Table_to_BRG!A:D,3,FALSE)</f>
        <v>General data</v>
      </c>
      <c r="K275" s="20" t="str">
        <f>VLOOKUP(V275,Table_to_BRG!A:D,2,FALSE)</f>
        <v>General</v>
      </c>
      <c r="L275" s="20"/>
      <c r="M275" s="20"/>
      <c r="N275" s="9"/>
      <c r="O275" s="54"/>
      <c r="P275" s="7" t="s">
        <v>8407</v>
      </c>
      <c r="Q275" s="11" t="str">
        <f>UPPER(LEFT(Table362[[#This Row],[Entity]],3))&amp;RIGHT("00"&amp;Table362[[#This Row],[Rule '# by Entity]],3)&amp;"0_"&amp;MID(SUBSTITUTE(Table362[[#This Row],[Rule Name]],"_","|",3),SEARCH("|",SUBSTITUTE(Table362[[#This Row],[Rule Name]],"_","|",3))+1,LEN(Table362[[#This Row],[Rule Name]]))</f>
        <v>MAT0020_MaterialTypeRef</v>
      </c>
      <c r="R275" s="8" t="s">
        <v>7962</v>
      </c>
      <c r="S275" s="7" t="s">
        <v>2</v>
      </c>
      <c r="T275" s="7"/>
      <c r="U275" s="7" t="s">
        <v>893</v>
      </c>
      <c r="V275" s="7" t="s">
        <v>1526</v>
      </c>
      <c r="W275" s="7" t="s">
        <v>1494</v>
      </c>
      <c r="X275" s="8" t="s">
        <v>8633</v>
      </c>
      <c r="Y275" s="7" t="s">
        <v>6056</v>
      </c>
      <c r="Z275" s="7" t="s">
        <v>1494</v>
      </c>
      <c r="AA275" s="11" t="str">
        <f>"BEGIN
     RETURN exists('DS_IS_RDS', '"&amp;Table362[[#This Row],[Lookup Table]]&amp;"', '"&amp;Table362[[#This Row],[Lookup Field]]&amp;"', "&amp;Table362[[#This Row],[IS Parameter]]&amp;");
END"</f>
        <v>BEGIN
     RETURN exists('DS_IS_RDS', 'T134', 'MTART', $P_I_MaterialType);
END</v>
      </c>
      <c r="AB275" s="11" t="str">
        <f>Table362[[#This Row],[IS Parameter]]&amp;" IS NOT NULL AND rtrim("&amp;Table362[[#This Row],[IS Parameter]]&amp;", ' ') != ''"</f>
        <v>$P_I_MaterialType IS NOT NULL AND rtrim($P_I_MaterialType, ' ') != ''</v>
      </c>
      <c r="AC275" s="10" t="s">
        <v>6663</v>
      </c>
      <c r="AD275" s="10"/>
      <c r="AE275" s="13" t="str">
        <f>IF(Table362[[#This Row],[Entity]]="Customer","KUNNR",IF(Table362[[#This Row],[Entity]]="Vendor","LIFNR","MATNR"))&amp;","&amp;Table362[[#This Row],[Field]]</f>
        <v>MATNR,MTART</v>
      </c>
      <c r="AF275" s="13" t="str">
        <f>"VW_"&amp;Table362[[#This Row],[New Rule Name]]</f>
        <v>VW_MAT0020_MaterialTypeRef</v>
      </c>
      <c r="AG275" s="11" t="str">
        <f>"create view "&amp;Table362[[#This Row],[View Name]]&amp;" as 
     select 
          "&amp;IF(Table362[[#This Row],[Entity]]="Customer","KUNNR",IF(Table362[[#This Row],[Entity]]="Vendor","LIFNR","MATNR"))&amp;",
          "&amp;Table362[[#This Row],[Field]]&amp;" 
     from "&amp;Table362[[#This Row],[Table]]</f>
        <v>create view VW_MAT0020_MaterialTypeRef as 
     select 
          MATNR,
          MTART 
     from MARA</v>
      </c>
      <c r="AH275" s="8"/>
      <c r="AI275" s="20" t="s">
        <v>6679</v>
      </c>
      <c r="AJ275" s="20"/>
      <c r="AK275" s="31">
        <v>2</v>
      </c>
      <c r="AL275" s="31"/>
    </row>
    <row r="276" spans="1:38" s="3" customFormat="1" ht="72" hidden="1" x14ac:dyDescent="0.25">
      <c r="A276" s="9">
        <v>272</v>
      </c>
      <c r="B276" s="7" t="s">
        <v>3973</v>
      </c>
      <c r="C276" s="7" t="s">
        <v>1207</v>
      </c>
      <c r="D276" s="7" t="s">
        <v>6711</v>
      </c>
      <c r="E276" s="7" t="s">
        <v>6714</v>
      </c>
      <c r="F276" s="7" t="s">
        <v>6742</v>
      </c>
      <c r="G276" s="7" t="s">
        <v>6361</v>
      </c>
      <c r="H276" s="7" t="s">
        <v>6362</v>
      </c>
      <c r="I276" s="7"/>
      <c r="J276" s="20" t="str">
        <f>VLOOKUP(V276,Table_to_BRG!A:D,3,FALSE)</f>
        <v>Contact data</v>
      </c>
      <c r="K276" s="20" t="str">
        <f>VLOOKUP(V276,Table_to_BRG!A:D,2,FALSE)</f>
        <v>Contact partner</v>
      </c>
      <c r="L276" s="20"/>
      <c r="M276" s="20"/>
      <c r="N276" s="9"/>
      <c r="O276" s="54"/>
      <c r="P276" s="7" t="s">
        <v>8506</v>
      </c>
      <c r="Q276" s="11" t="str">
        <f>UPPER(LEFT(Table362[[#This Row],[Entity]],3))&amp;RIGHT("00"&amp;Table362[[#This Row],[Rule '# by Entity]],3)&amp;"0_"&amp;MID(SUBSTITUTE(Table362[[#This Row],[Rule Name]],"_","|",3),SEARCH("|",SUBSTITUTE(Table362[[#This Row],[Rule Name]],"_","|",3))+1,LEN(Table362[[#This Row],[Rule Name]]))</f>
        <v>VEN0730_VIPPartnerRef</v>
      </c>
      <c r="R276" s="8" t="s">
        <v>8275</v>
      </c>
      <c r="S276" s="7" t="s">
        <v>2</v>
      </c>
      <c r="T276" s="7"/>
      <c r="U276" s="7" t="s">
        <v>897</v>
      </c>
      <c r="V276" s="7" t="s">
        <v>3001</v>
      </c>
      <c r="W276" s="8" t="s">
        <v>3668</v>
      </c>
      <c r="X276" s="8" t="s">
        <v>6440</v>
      </c>
      <c r="Y276" s="7" t="s">
        <v>5687</v>
      </c>
      <c r="Z276" s="7" t="s">
        <v>3668</v>
      </c>
      <c r="AA276" s="11" t="str">
        <f>"BEGIN
     RETURN exists('DS_IS_RDS', '"&amp;Table362[[#This Row],[Lookup Table]]&amp;"', '"&amp;Table362[[#This Row],[Lookup Field]]&amp;"', "&amp;Table362[[#This Row],[IS Parameter]]&amp;");
END"</f>
        <v>BEGIN
     RETURN exists('DS_IS_RDS', 'TVIP', 'PAVIP', $P_I_VIPPartner);
END</v>
      </c>
      <c r="AB276" s="11"/>
      <c r="AC276" s="10" t="s">
        <v>6663</v>
      </c>
      <c r="AD276" s="10"/>
      <c r="AE276" s="13" t="str">
        <f>"PARNR,LIFNR,"&amp;Table362[[#This Row],[Field]]</f>
        <v>PARNR,LIFNR,PAVIP</v>
      </c>
      <c r="AF276" s="13" t="str">
        <f>"VW_"&amp;Table362[[#This Row],[New Rule Name]]</f>
        <v>VW_VEN0730_VIPPartnerRef</v>
      </c>
      <c r="AG276" s="11" t="str">
        <f>"create view "&amp;Table362[[#This Row],[View Name]]&amp;" as 
     select 
          PARNR,
          LIFNR,
          "&amp;Table362[[#This Row],[Field]]&amp;" 
     from "&amp;Table362[[#This Row],[Table]]</f>
        <v>create view VW_VEN0730_VIPPartnerRef as 
     select 
          PARNR,
          LIFNR,
          PAVIP 
     from KNVK</v>
      </c>
      <c r="AH276" s="8"/>
      <c r="AI276" s="20"/>
      <c r="AJ276" s="20"/>
      <c r="AK276" s="31">
        <v>73</v>
      </c>
      <c r="AL276" s="31"/>
    </row>
    <row r="277" spans="1:38" s="3" customFormat="1" ht="84" hidden="1" x14ac:dyDescent="0.25">
      <c r="A277" s="9">
        <v>273</v>
      </c>
      <c r="B277" s="7" t="s">
        <v>3973</v>
      </c>
      <c r="C277" s="7" t="s">
        <v>16</v>
      </c>
      <c r="D277" s="7" t="s">
        <v>6719</v>
      </c>
      <c r="E277" s="7" t="s">
        <v>6720</v>
      </c>
      <c r="F277" s="7" t="s">
        <v>6744</v>
      </c>
      <c r="G277" s="7" t="s">
        <v>6651</v>
      </c>
      <c r="H277" s="7" t="s">
        <v>6359</v>
      </c>
      <c r="I277" s="7" t="s">
        <v>6421</v>
      </c>
      <c r="J277" s="20" t="str">
        <f>VLOOKUP(V277,Table_to_BRG!A:D,3,FALSE)</f>
        <v>Dunning data</v>
      </c>
      <c r="K277" s="20" t="str">
        <f>VLOOKUP(V277,Table_to_BRG!A:D,2,FALSE)</f>
        <v>Dunning</v>
      </c>
      <c r="L277" s="20"/>
      <c r="M277" s="20"/>
      <c r="N277" s="9"/>
      <c r="O277" s="54"/>
      <c r="P277" s="7" t="s">
        <v>7875</v>
      </c>
      <c r="Q277" s="11" t="str">
        <f>UPPER(LEFT(Table362[[#This Row],[Entity]],3))&amp;RIGHT("00"&amp;Table362[[#This Row],[Rule '# by Entity]],3)&amp;"0_"&amp;MID(SUBSTITUTE(Table362[[#This Row],[Rule Name]],"_","|",3),SEARCH("|",SUBSTITUTE(Table362[[#This Row],[Rule Name]],"_","|",3))+1,LEN(Table362[[#This Row],[Rule Name]]))</f>
        <v>CUS0640_DunningBlockRef</v>
      </c>
      <c r="R277" s="13" t="s">
        <v>8044</v>
      </c>
      <c r="S277" s="7" t="s">
        <v>2</v>
      </c>
      <c r="T277" s="7"/>
      <c r="U277" s="7" t="s">
        <v>901</v>
      </c>
      <c r="V277" s="7" t="s">
        <v>2827</v>
      </c>
      <c r="W277" s="7" t="s">
        <v>2787</v>
      </c>
      <c r="X277" s="8" t="s">
        <v>6478</v>
      </c>
      <c r="Y277" s="7" t="s">
        <v>5772</v>
      </c>
      <c r="Z277" s="7" t="s">
        <v>2787</v>
      </c>
      <c r="AA277" s="11" t="str">
        <f>"BEGIN
     RETURN exists('DS_IS_RDS', '"&amp;Table362[[#This Row],[Lookup Table]]&amp;"', '"&amp;Table362[[#This Row],[Lookup Field]]&amp;"', "&amp;Table362[[#This Row],[IS Parameter]]&amp;");
END"</f>
        <v>BEGIN
     RETURN exists('DS_IS_RDS', 'T040S', 'MANSP', $P_I_DunningBlock);
END</v>
      </c>
      <c r="AB277" s="11" t="str">
        <f>Table362[[#This Row],[IS Parameter]]&amp;" IS NOT NULL
AND "&amp; Table362[[#This Row],[IS Parameter]]&amp;" != ''"</f>
        <v>$P_I_DunningBlock IS NOT NULL
AND $P_I_DunningBlock != ''</v>
      </c>
      <c r="AC277" s="10" t="s">
        <v>6663</v>
      </c>
      <c r="AD277" s="10"/>
      <c r="AE277" s="13" t="str">
        <f>IF(Table362[[#This Row],[Entity]]="Customer","KUNNR",IF(Table362[[#This Row],[Entity]]="Vendor","LIFNR","MATNR"))&amp;",BUKRS,MABER"&amp;","&amp;Table362[[#This Row],[Field]]</f>
        <v>KUNNR,BUKRS,MABER,MANSP</v>
      </c>
      <c r="AF277" s="13" t="str">
        <f>"VW_"&amp;Table362[[#This Row],[New Rule Name]]</f>
        <v>VW_CUS0640_DunningBlockRef</v>
      </c>
      <c r="AG277" s="11" t="str">
        <f>"create view "&amp;Table362[[#This Row],[View Name]]&amp;" as 
     select 
          "&amp;IF(Table362[[#This Row],[Entity]]="Customer","KUNNR",IF(Table362[[#This Row],[Entity]]="Vendor","LIFNR","MATNR"))&amp;",
          BUKRS,
          MABER,
          "&amp;Table362[[#This Row],[Field]]&amp;" 
     from "&amp;Table362[[#This Row],[Table]]</f>
        <v>create view VW_CUS0640_DunningBlockRef as 
     select 
          KUNNR,
          BUKRS,
          MABER,
          MANSP 
     from KNB5</v>
      </c>
      <c r="AH277" s="8"/>
      <c r="AI277" s="20" t="s">
        <v>6445</v>
      </c>
      <c r="AJ277" s="20"/>
      <c r="AK277" s="31">
        <v>64</v>
      </c>
      <c r="AL277" s="31"/>
    </row>
    <row r="278" spans="1:38" s="3" customFormat="1" ht="84" x14ac:dyDescent="0.25">
      <c r="A278" s="9">
        <v>274</v>
      </c>
      <c r="B278" s="7" t="s">
        <v>3973</v>
      </c>
      <c r="C278" s="7" t="s">
        <v>3</v>
      </c>
      <c r="D278" s="7" t="s">
        <v>6711</v>
      </c>
      <c r="E278" s="7" t="s">
        <v>6712</v>
      </c>
      <c r="F278" s="7" t="s">
        <v>6730</v>
      </c>
      <c r="G278" s="7" t="s">
        <v>6687</v>
      </c>
      <c r="H278" s="7" t="s">
        <v>6686</v>
      </c>
      <c r="I278" s="7"/>
      <c r="J278" s="20" t="str">
        <f>VLOOKUP(V278,Table_to_BRG!A:D,3,FALSE)</f>
        <v>Warehouse data</v>
      </c>
      <c r="K278" s="20" t="str">
        <f>VLOOKUP(V278,Table_to_BRG!A:D,2,FALSE)</f>
        <v>Material Data for Each Warehouse Number</v>
      </c>
      <c r="L278" s="20"/>
      <c r="M278" s="20"/>
      <c r="N278" s="9"/>
      <c r="O278" s="54"/>
      <c r="P278" s="7" t="s">
        <v>8408</v>
      </c>
      <c r="Q278" s="11" t="str">
        <f>UPPER(LEFT(Table362[[#This Row],[Entity]],3))&amp;RIGHT("00"&amp;Table362[[#This Row],[Rule '# by Entity]],3)&amp;"0_"&amp;MID(SUBSTITUTE(Table362[[#This Row],[Rule Name]],"_","|",3),SEARCH("|",SUBSTITUTE(Table362[[#This Row],[Rule Name]],"_","|",3))+1,LEN(Table362[[#This Row],[Rule Name]]))</f>
        <v>MAT1140_StorageSectionIndicatorRef</v>
      </c>
      <c r="R278" s="8" t="s">
        <v>7963</v>
      </c>
      <c r="S278" s="7" t="s">
        <v>2</v>
      </c>
      <c r="T278" s="7"/>
      <c r="U278" s="7" t="s">
        <v>905</v>
      </c>
      <c r="V278" s="7" t="s">
        <v>2594</v>
      </c>
      <c r="W278" s="7" t="s">
        <v>2574</v>
      </c>
      <c r="X278" s="8" t="s">
        <v>8635</v>
      </c>
      <c r="Y278" s="7" t="s">
        <v>6057</v>
      </c>
      <c r="Z278" s="7" t="s">
        <v>2574</v>
      </c>
      <c r="AA278" s="11" t="str">
        <f>"BEGIN
     RETURN exists('DS_IS_RDS', '"&amp;Table362[[#This Row],[Lookup Table]]&amp;"', '"&amp;Table362[[#This Row],[Lookup Field]]&amp;"', "&amp;Table362[[#This Row],[IS Parameter]]&amp;");
END"</f>
        <v>BEGIN
     RETURN exists('DS_IS_RDS', 'T304', 'LGBKZ', $P_I_StorageSectionIndicator);
END</v>
      </c>
      <c r="AB278" s="11" t="str">
        <f>Table362[[#This Row],[IS Parameter]]&amp;" IS NOT NULL AND rtrim("&amp;Table362[[#This Row],[IS Parameter]]&amp;", ' ') != ''"</f>
        <v>$P_I_StorageSectionIndicator IS NOT NULL AND rtrim($P_I_StorageSectionIndicator, ' ') != ''</v>
      </c>
      <c r="AC278" s="10" t="s">
        <v>6663</v>
      </c>
      <c r="AD278" s="10"/>
      <c r="AE278" s="13" t="str">
        <f>IF(Table362[[#This Row],[Entity]]="Customer","KUNNR",IF(Table362[[#This Row],[Entity]]="Vendor","LIFNR","MATNR"))&amp;",LGNUM,"&amp;Table362[[#This Row],[Field]]</f>
        <v>MATNR,LGNUM,LGBKZ</v>
      </c>
      <c r="AF278" s="13" t="str">
        <f>"VW_"&amp;Table362[[#This Row],[New Rule Name]]</f>
        <v>VW_MAT1140_StorageSectionIndicatorRef</v>
      </c>
      <c r="AG278" s="11" t="str">
        <f>"create view "&amp;Table362[[#This Row],[View Name]]&amp;" as 
     select 
          "&amp;IF(Table362[[#This Row],[Entity]]="Customer","KUNNR",IF(Table362[[#This Row],[Entity]]="Vendor","LIFNR","MATNR"))&amp;",
          LGNUM,
          "&amp;Table362[[#This Row],[Field]]&amp;" 
     from "&amp;Table362[[#This Row],[Table]]</f>
        <v>create view VW_MAT1140_StorageSectionIndicatorRef as 
     select 
          MATNR,
          LGNUM,
          LGBKZ 
     from MLGN</v>
      </c>
      <c r="AH278" s="8" t="s">
        <v>7754</v>
      </c>
      <c r="AI278" s="20" t="s">
        <v>7807</v>
      </c>
      <c r="AJ278" s="20"/>
      <c r="AK278" s="31">
        <v>114</v>
      </c>
      <c r="AL278" s="31"/>
    </row>
    <row r="279" spans="1:38" s="3" customFormat="1" ht="60" hidden="1" x14ac:dyDescent="0.25">
      <c r="A279" s="9">
        <v>275</v>
      </c>
      <c r="B279" s="7" t="s">
        <v>3973</v>
      </c>
      <c r="C279" s="7" t="s">
        <v>16</v>
      </c>
      <c r="D279" s="7" t="s">
        <v>6711</v>
      </c>
      <c r="E279" s="7" t="s">
        <v>6714</v>
      </c>
      <c r="F279" s="7" t="s">
        <v>6715</v>
      </c>
      <c r="G279" s="7" t="s">
        <v>6361</v>
      </c>
      <c r="H279" s="7" t="s">
        <v>3967</v>
      </c>
      <c r="I279" s="7"/>
      <c r="J279" s="20" t="str">
        <f>VLOOKUP(V279,Table_to_BRG!A:D,3,FALSE)</f>
        <v>General data</v>
      </c>
      <c r="K279" s="20" t="str">
        <f>VLOOKUP(V279,Table_to_BRG!A:D,2,FALSE)</f>
        <v>General</v>
      </c>
      <c r="L279" s="20"/>
      <c r="M279" s="20"/>
      <c r="N279" s="9"/>
      <c r="O279" s="54"/>
      <c r="P279" s="7" t="s">
        <v>7876</v>
      </c>
      <c r="Q279" s="11" t="str">
        <f>UPPER(LEFT(Table362[[#This Row],[Entity]],3))&amp;RIGHT("00"&amp;Table362[[#This Row],[Rule '# by Entity]],3)&amp;"0_"&amp;MID(SUBSTITUTE(Table362[[#This Row],[Rule Name]],"_","|",3),SEARCH("|",SUBSTITUTE(Table362[[#This Row],[Rule Name]],"_","|",3))+1,LEN(Table362[[#This Row],[Rule Name]]))</f>
        <v>CUS0080_RegionRef</v>
      </c>
      <c r="R279" s="13" t="s">
        <v>8045</v>
      </c>
      <c r="S279" s="7" t="s">
        <v>21</v>
      </c>
      <c r="T279" s="7" t="s">
        <v>2</v>
      </c>
      <c r="U279" s="7" t="s">
        <v>265</v>
      </c>
      <c r="V279" s="8" t="s">
        <v>2741</v>
      </c>
      <c r="W279" s="7" t="s">
        <v>2959</v>
      </c>
      <c r="X279" s="8" t="s">
        <v>6416</v>
      </c>
      <c r="Y279" s="7" t="s">
        <v>4225</v>
      </c>
      <c r="Z279" s="7" t="s">
        <v>4226</v>
      </c>
      <c r="AA279" s="11" t="str">
        <f>"BEGIN
     RETURN exists('DS_IS_RDS', '"&amp;Table362[[#This Row],[Lookup Table]]&amp;"', '"&amp;Table362[[#This Row],[Lookup Field]]&amp;"', "&amp;Table362[[#This Row],[IS Parameter]]&amp;");
END"</f>
        <v>BEGIN
     RETURN exists('DS_IS_RDS', 'T005S', 'BLAND', $P_I_Region);
END</v>
      </c>
      <c r="AB279" s="11" t="str">
        <f>Table362[[#This Row],[IS Parameter]]&amp;" IS NOT NULL
AND "&amp; Table362[[#This Row],[IS Parameter]]&amp;" != ''"</f>
        <v>$P_I_Region IS NOT NULL
AND $P_I_Region != ''</v>
      </c>
      <c r="AC279" s="10" t="s">
        <v>6663</v>
      </c>
      <c r="AD279" s="10"/>
      <c r="AE279" s="13" t="str">
        <f>IF(Table362[[#This Row],[Entity]]="Customer","KUNNR",IF(Table362[[#This Row],[Entity]]="Vendor","LIFNR","MATNR"))&amp;","&amp;Table362[[#This Row],[Field]]</f>
        <v>KUNNR,REGIO</v>
      </c>
      <c r="AF279" s="13" t="str">
        <f>"VW_"&amp;Table362[[#This Row],[New Rule Name]]</f>
        <v>VW_CUS0080_RegionRef</v>
      </c>
      <c r="AG279" s="11" t="str">
        <f>"create view "&amp;Table362[[#This Row],[View Name]]&amp;" as 
     select 
          "&amp;IF(Table362[[#This Row],[Entity]]="Customer","KUNNR",IF(Table362[[#This Row],[Entity]]="Vendor","LIFNR","MATNR"))&amp;",
          "&amp;Table362[[#This Row],[Field]]&amp;" 
     from "&amp;Table362[[#This Row],[Table]]</f>
        <v>create view VW_CUS0080_RegionRef as 
     select 
          KUNNR,
          REGIO 
     from KNA1</v>
      </c>
      <c r="AH279" s="8"/>
      <c r="AI279" s="20" t="s">
        <v>7678</v>
      </c>
      <c r="AJ279" s="20"/>
      <c r="AK279" s="31">
        <v>8</v>
      </c>
      <c r="AL279" s="31"/>
    </row>
    <row r="280" spans="1:38" s="3" customFormat="1" ht="84" hidden="1" x14ac:dyDescent="0.25">
      <c r="A280" s="9">
        <v>276</v>
      </c>
      <c r="B280" s="7" t="s">
        <v>3973</v>
      </c>
      <c r="C280" s="7" t="s">
        <v>16</v>
      </c>
      <c r="D280" s="7" t="s">
        <v>6719</v>
      </c>
      <c r="E280" s="7" t="s">
        <v>6720</v>
      </c>
      <c r="F280" s="7" t="s">
        <v>6743</v>
      </c>
      <c r="G280" s="7" t="s">
        <v>6652</v>
      </c>
      <c r="H280" s="7" t="s">
        <v>6360</v>
      </c>
      <c r="I280" s="7" t="s">
        <v>3970</v>
      </c>
      <c r="J280" s="20" t="str">
        <f>VLOOKUP(V280,Table_to_BRG!A:D,3,FALSE)</f>
        <v>Bank data</v>
      </c>
      <c r="K280" s="20" t="str">
        <f>VLOOKUP(V280,Table_to_BRG!A:D,2,FALSE)</f>
        <v>Bank Details</v>
      </c>
      <c r="L280" s="20"/>
      <c r="M280" s="20"/>
      <c r="N280" s="9"/>
      <c r="O280" s="54"/>
      <c r="P280" s="7" t="s">
        <v>8097</v>
      </c>
      <c r="Q280" s="11" t="str">
        <f>UPPER(LEFT(Table362[[#This Row],[Entity]],3))&amp;RIGHT("00"&amp;Table362[[#This Row],[Rule '# by Entity]],3)&amp;"0_"&amp;MID(SUBSTITUTE(Table362[[#This Row],[Rule Name]],"_","|",3),SEARCH("|",SUBSTITUTE(Table362[[#This Row],[Rule Name]],"_","|",3))+1,LEN(Table362[[#This Row],[Rule Name]]))</f>
        <v>CUS0670_BankKeyPopulated</v>
      </c>
      <c r="R280" s="8" t="s">
        <v>8125</v>
      </c>
      <c r="S280" s="7" t="s">
        <v>21</v>
      </c>
      <c r="T280" s="7"/>
      <c r="U280" s="7" t="s">
        <v>910</v>
      </c>
      <c r="V280" s="8" t="s">
        <v>3198</v>
      </c>
      <c r="W280" s="8" t="s">
        <v>3168</v>
      </c>
      <c r="X280" s="8" t="s">
        <v>1218</v>
      </c>
      <c r="Y280" s="7" t="s">
        <v>5978</v>
      </c>
      <c r="Z280" s="7" t="s">
        <v>5978</v>
      </c>
      <c r="AA280" s="10" t="s">
        <v>911</v>
      </c>
      <c r="AB280" s="10"/>
      <c r="AC280" s="10" t="s">
        <v>6813</v>
      </c>
      <c r="AD280" s="10"/>
      <c r="AE280" s="13" t="str">
        <f>IF(Table362[[#This Row],[Entity]]="Customer","KUNNR",IF(Table362[[#This Row],[Entity]]="Vendor","LIFNR","MATNR"))&amp;",BANKS,"&amp;Table362[[#This Row],[Field]]</f>
        <v>KUNNR,BANKS,BANKL</v>
      </c>
      <c r="AF280" s="13" t="str">
        <f>"VW_"&amp;Table362[[#This Row],[New Rule Name]]</f>
        <v>VW_CUS0670_BankKeyPopulated</v>
      </c>
      <c r="AG280" s="11" t="str">
        <f>"create view "&amp;Table362[[#This Row],[View Name]]&amp;" as 
     select 
          "&amp;IF(Table362[[#This Row],[Entity]]="Customer","KUNNR",IF(Table362[[#This Row],[Entity]]="Vendor","LIFNR","MATNR"))&amp;",
          BANKS,
          "&amp;Table362[[#This Row],[Field]]&amp;" 
     from "&amp;Table362[[#This Row],[Table]]&amp;"
     group by KUNNR,BANKS,BANKL"</f>
        <v>create view VW_CUS0670_BankKeyPopulated as 
     select 
          KUNNR,
          BANKS,
          BANKL 
     from KNBK
     group by KUNNR,BANKS,BANKL</v>
      </c>
      <c r="AH280" s="8"/>
      <c r="AI280" s="20" t="s">
        <v>7600</v>
      </c>
      <c r="AJ280" s="20"/>
      <c r="AK280" s="31">
        <v>67</v>
      </c>
      <c r="AL280" s="31"/>
    </row>
    <row r="281" spans="1:38" s="3" customFormat="1" ht="60" hidden="1" x14ac:dyDescent="0.25">
      <c r="A281" s="9">
        <v>277</v>
      </c>
      <c r="B281" s="7" t="s">
        <v>3973</v>
      </c>
      <c r="C281" s="7" t="s">
        <v>1207</v>
      </c>
      <c r="D281" s="7" t="s">
        <v>6719</v>
      </c>
      <c r="E281" s="7" t="s">
        <v>6720</v>
      </c>
      <c r="F281" s="7" t="s">
        <v>6722</v>
      </c>
      <c r="G281" s="7" t="s">
        <v>6361</v>
      </c>
      <c r="H281" s="7" t="s">
        <v>3967</v>
      </c>
      <c r="I281" s="7" t="s">
        <v>3967</v>
      </c>
      <c r="J281" s="20" t="str">
        <f>VLOOKUP(V281,Table_to_BRG!A:D,3,FALSE)</f>
        <v>General data</v>
      </c>
      <c r="K281" s="20" t="str">
        <f>VLOOKUP(V281,Table_to_BRG!A:D,2,FALSE)</f>
        <v>General</v>
      </c>
      <c r="L281" s="20"/>
      <c r="M281" s="20"/>
      <c r="N281" s="9"/>
      <c r="O281" s="54"/>
      <c r="P281" s="7" t="s">
        <v>8507</v>
      </c>
      <c r="Q281" s="11" t="str">
        <f>UPPER(LEFT(Table362[[#This Row],[Entity]],3))&amp;RIGHT("00"&amp;Table362[[#This Row],[Rule '# by Entity]],3)&amp;"0_"&amp;MID(SUBSTITUTE(Table362[[#This Row],[Rule Name]],"_","|",3),SEARCH("|",SUBSTITUTE(Table362[[#This Row],[Rule Name]],"_","|",3))+1,LEN(Table362[[#This Row],[Rule Name]]))</f>
        <v>VEN0060_RegionPopulated</v>
      </c>
      <c r="R281" s="8" t="s">
        <v>8113</v>
      </c>
      <c r="S281" s="7" t="s">
        <v>21</v>
      </c>
      <c r="T281" s="7"/>
      <c r="U281" s="7" t="s">
        <v>265</v>
      </c>
      <c r="V281" s="7" t="s">
        <v>3542</v>
      </c>
      <c r="W281" s="8" t="s">
        <v>2959</v>
      </c>
      <c r="X281" s="8" t="s">
        <v>6424</v>
      </c>
      <c r="Y281" s="7" t="s">
        <v>5978</v>
      </c>
      <c r="Z281" s="7" t="s">
        <v>5978</v>
      </c>
      <c r="AA281" s="10" t="s">
        <v>413</v>
      </c>
      <c r="AB281" s="10"/>
      <c r="AC281" s="10" t="s">
        <v>6813</v>
      </c>
      <c r="AD281" s="10"/>
      <c r="AE281" s="13" t="str">
        <f>IF(Table362[[#This Row],[Entity]]="Customer","KUNNR",IF(Table362[[#This Row],[Entity]]="Vendor","LIFNR","MATNR"))&amp;","&amp;Table362[[#This Row],[Field]]</f>
        <v>LIFNR,REGIO</v>
      </c>
      <c r="AF281" s="13" t="str">
        <f>"VW_"&amp;Table362[[#This Row],[New Rule Name]]</f>
        <v>VW_VEN0060_RegionPopulated</v>
      </c>
      <c r="AG281" s="11" t="str">
        <f>"create view "&amp;Table362[[#This Row],[View Name]]&amp;" as 
     select 
          "&amp;IF(Table362[[#This Row],[Entity]]="Customer","KUNNR",IF(Table362[[#This Row],[Entity]]="Vendor","LIFNR","MATNR"))&amp;",
          "&amp;Table362[[#This Row],[Field]]&amp;" 
     from "&amp;Table362[[#This Row],[Table]]</f>
        <v>create view VW_VEN0060_RegionPopulated as 
     select 
          LIFNR,
          REGIO 
     from LFA1</v>
      </c>
      <c r="AH281" s="8"/>
      <c r="AI281" s="20" t="s">
        <v>7679</v>
      </c>
      <c r="AJ281" s="20"/>
      <c r="AK281" s="31">
        <v>6</v>
      </c>
      <c r="AL281" s="31"/>
    </row>
    <row r="282" spans="1:38" s="3" customFormat="1" ht="84" hidden="1" x14ac:dyDescent="0.25">
      <c r="A282" s="9">
        <v>278</v>
      </c>
      <c r="B282" s="7" t="s">
        <v>3973</v>
      </c>
      <c r="C282" s="7" t="s">
        <v>1207</v>
      </c>
      <c r="D282" s="7" t="s">
        <v>6719</v>
      </c>
      <c r="E282" s="7" t="s">
        <v>6720</v>
      </c>
      <c r="F282" s="7" t="s">
        <v>6738</v>
      </c>
      <c r="G282" s="7" t="s">
        <v>6361</v>
      </c>
      <c r="H282" s="7" t="s">
        <v>6360</v>
      </c>
      <c r="I282" s="7" t="s">
        <v>3970</v>
      </c>
      <c r="J282" s="20" t="str">
        <f>VLOOKUP(V282,Table_to_BRG!A:D,3,FALSE)</f>
        <v>Bank data</v>
      </c>
      <c r="K282" s="20" t="str">
        <f>VLOOKUP(V282,Table_to_BRG!A:D,2,FALSE)</f>
        <v>Bank details</v>
      </c>
      <c r="L282" s="20"/>
      <c r="M282" s="20"/>
      <c r="N282" s="9"/>
      <c r="O282" s="54"/>
      <c r="P282" s="7" t="s">
        <v>8508</v>
      </c>
      <c r="Q282" s="11" t="str">
        <f>UPPER(LEFT(Table362[[#This Row],[Entity]],3))&amp;RIGHT("00"&amp;Table362[[#This Row],[Rule '# by Entity]],3)&amp;"0_"&amp;MID(SUBSTITUTE(Table362[[#This Row],[Rule Name]],"_","|",3),SEARCH("|",SUBSTITUTE(Table362[[#This Row],[Rule Name]],"_","|",3))+1,LEN(Table362[[#This Row],[Rule Name]]))</f>
        <v>VEN0550_BankKeyPopulated</v>
      </c>
      <c r="R282" s="8" t="s">
        <v>8296</v>
      </c>
      <c r="S282" s="7" t="s">
        <v>21</v>
      </c>
      <c r="T282" s="7"/>
      <c r="U282" s="7" t="s">
        <v>910</v>
      </c>
      <c r="V282" s="7" t="s">
        <v>3802</v>
      </c>
      <c r="W282" s="7" t="s">
        <v>3168</v>
      </c>
      <c r="X282" s="8" t="s">
        <v>1218</v>
      </c>
      <c r="Y282" s="7" t="s">
        <v>5978</v>
      </c>
      <c r="Z282" s="7" t="s">
        <v>5978</v>
      </c>
      <c r="AA282" s="10" t="s">
        <v>911</v>
      </c>
      <c r="AB282" s="10"/>
      <c r="AC282" s="10" t="s">
        <v>6813</v>
      </c>
      <c r="AD282" s="10"/>
      <c r="AE282" s="13" t="str">
        <f>IF(Table362[[#This Row],[Entity]]="Customer","KUNNR",IF(Table362[[#This Row],[Entity]]="Vendor","LIFNR","MATNR"))&amp;",BANKS,"&amp;Table362[[#This Row],[Field]]</f>
        <v>LIFNR,BANKS,BANKL</v>
      </c>
      <c r="AF282" s="13" t="str">
        <f>"VW_"&amp;Table362[[#This Row],[New Rule Name]]</f>
        <v>VW_VEN0550_BankKeyPopulated</v>
      </c>
      <c r="AG282" s="11" t="str">
        <f>"create view "&amp;Table362[[#This Row],[View Name]]&amp;" as 
     select 
          "&amp;IF(Table362[[#This Row],[Entity]]="Customer","KUNNR",IF(Table362[[#This Row],[Entity]]="Vendor","LIFNR","MATNR"))&amp;",
          BANKS, 
          "&amp;Table362[[#This Row],[Field]]&amp;" 
     from "&amp;Table362[[#This Row],[Table]]&amp;"
     group by BANKS,BANKL"</f>
        <v>create view VW_VEN0550_BankKeyPopulated as 
     select 
          LIFNR,
          BANKS, 
          BANKL 
     from LFBK
     group by BANKS,BANKL</v>
      </c>
      <c r="AH282" s="8"/>
      <c r="AI282" s="20" t="s">
        <v>7601</v>
      </c>
      <c r="AJ282" s="20"/>
      <c r="AK282" s="31">
        <v>55</v>
      </c>
      <c r="AL282" s="31"/>
    </row>
    <row r="283" spans="1:38" s="3" customFormat="1" ht="60" hidden="1" x14ac:dyDescent="0.25">
      <c r="A283" s="9">
        <v>279</v>
      </c>
      <c r="B283" s="7" t="s">
        <v>3973</v>
      </c>
      <c r="C283" s="7" t="s">
        <v>16</v>
      </c>
      <c r="D283" s="7" t="s">
        <v>6711</v>
      </c>
      <c r="E283" s="7" t="s">
        <v>6714</v>
      </c>
      <c r="F283" s="7" t="s">
        <v>6715</v>
      </c>
      <c r="G283" s="7" t="s">
        <v>6361</v>
      </c>
      <c r="H283" s="7"/>
      <c r="I283" s="7"/>
      <c r="J283" s="20" t="str">
        <f>VLOOKUP(V283,Table_to_BRG!A:D,3,FALSE)</f>
        <v>General data</v>
      </c>
      <c r="K283" s="20" t="str">
        <f>VLOOKUP(V283,Table_to_BRG!A:D,2,FALSE)</f>
        <v>General</v>
      </c>
      <c r="L283" s="20"/>
      <c r="M283" s="20"/>
      <c r="N283" s="9"/>
      <c r="O283" s="54"/>
      <c r="P283" s="7" t="s">
        <v>8098</v>
      </c>
      <c r="Q283" s="11" t="str">
        <f>UPPER(LEFT(Table362[[#This Row],[Entity]],3))&amp;RIGHT("00"&amp;Table362[[#This Row],[Rule '# by Entity]],3)&amp;"0_"&amp;MID(SUBSTITUTE(Table362[[#This Row],[Rule Name]],"_","|",3),SEARCH("|",SUBSTITUTE(Table362[[#This Row],[Rule Name]],"_","|",3))+1,LEN(Table362[[#This Row],[Rule Name]]))</f>
        <v>CUS0110_SearchTerm1Populated</v>
      </c>
      <c r="R283" s="8" t="s">
        <v>8126</v>
      </c>
      <c r="S283" s="7" t="s">
        <v>21</v>
      </c>
      <c r="T283" s="7"/>
      <c r="U283" s="7" t="s">
        <v>916</v>
      </c>
      <c r="V283" s="7" t="s">
        <v>2741</v>
      </c>
      <c r="W283" s="7" t="s">
        <v>3647</v>
      </c>
      <c r="X283" s="8" t="s">
        <v>3650</v>
      </c>
      <c r="Y283" s="7" t="s">
        <v>5978</v>
      </c>
      <c r="Z283" s="7" t="s">
        <v>5978</v>
      </c>
      <c r="AA283" s="10" t="s">
        <v>917</v>
      </c>
      <c r="AB283" s="10"/>
      <c r="AC283" s="10" t="s">
        <v>6813</v>
      </c>
      <c r="AD283" s="10"/>
      <c r="AE283" s="13" t="str">
        <f>IF(Table362[[#This Row],[Entity]]="Customer","KUNNR",IF(Table362[[#This Row],[Entity]]="Vendor","LIFNR","MATNR"))&amp;","&amp;Table362[[#This Row],[Field]]</f>
        <v>KUNNR,MCOD1</v>
      </c>
      <c r="AF283" s="13" t="str">
        <f>"VW_"&amp;Table362[[#This Row],[New Rule Name]]</f>
        <v>VW_CUS0110_SearchTerm1Populated</v>
      </c>
      <c r="AG283" s="11" t="str">
        <f>"create view "&amp;Table362[[#This Row],[View Name]]&amp;" as 
     select 
          "&amp;Table362[[#This Row],[Table]]&amp;",
          "&amp;Table362[[#This Row],[Field]]&amp;" 
     from "&amp;Table362[[#This Row],[Table]]</f>
        <v>create view VW_CUS0110_SearchTerm1Populated as 
     select 
          KNA1,
          MCOD1 
     from KNA1</v>
      </c>
      <c r="AH283" s="8"/>
      <c r="AI283" s="20" t="s">
        <v>6596</v>
      </c>
      <c r="AJ283" s="20"/>
      <c r="AK283" s="31">
        <v>11</v>
      </c>
      <c r="AL283" s="31"/>
    </row>
    <row r="284" spans="1:38" s="3" customFormat="1" ht="72" x14ac:dyDescent="0.25">
      <c r="A284" s="9">
        <v>280</v>
      </c>
      <c r="B284" s="7" t="s">
        <v>3973</v>
      </c>
      <c r="C284" s="7" t="s">
        <v>3</v>
      </c>
      <c r="D284" s="7" t="s">
        <v>6711</v>
      </c>
      <c r="E284" s="7" t="s">
        <v>6712</v>
      </c>
      <c r="F284" s="7" t="s">
        <v>6748</v>
      </c>
      <c r="G284" s="7" t="s">
        <v>6687</v>
      </c>
      <c r="H284" s="7" t="s">
        <v>6686</v>
      </c>
      <c r="I284" s="7"/>
      <c r="J284" s="20" t="str">
        <f>VLOOKUP(V284,Table_to_BRG!A:D,3,FALSE)</f>
        <v>Storage location</v>
      </c>
      <c r="K284" s="20" t="str">
        <f>VLOOKUP(V284,Table_to_BRG!A:D,2,FALSE)</f>
        <v>Storage Location</v>
      </c>
      <c r="L284" s="20"/>
      <c r="M284" s="20"/>
      <c r="N284" s="9"/>
      <c r="O284" s="54"/>
      <c r="P284" s="7" t="s">
        <v>8409</v>
      </c>
      <c r="Q284" s="11" t="s">
        <v>8572</v>
      </c>
      <c r="R284" s="8" t="s">
        <v>7964</v>
      </c>
      <c r="S284" s="7" t="s">
        <v>21</v>
      </c>
      <c r="T284" s="7" t="s">
        <v>2</v>
      </c>
      <c r="U284" s="7" t="s">
        <v>768</v>
      </c>
      <c r="V284" s="7" t="s">
        <v>1989</v>
      </c>
      <c r="W284" s="7" t="s">
        <v>4277</v>
      </c>
      <c r="X284" s="8" t="s">
        <v>6804</v>
      </c>
      <c r="Y284" s="7" t="s">
        <v>4253</v>
      </c>
      <c r="Z284" s="7" t="s">
        <v>4277</v>
      </c>
      <c r="AA284" s="11" t="str">
        <f>"BEGIN
     RETURN exists('DS_IS_RDS', '"&amp;Table362[[#This Row],[Lookup Table]]&amp;"', '"&amp;Table362[[#This Row],[Lookup Field]]&amp;"', "&amp;Table362[[#This Row],[IS Parameter]]&amp;");
END"</f>
        <v>BEGIN
     RETURN exists('DS_IS_RDS', 'T001L', 'LGORT', $P_I_StorageLocation);
END</v>
      </c>
      <c r="AB284" s="11" t="str">
        <f>Table362[[#This Row],[IS Parameter]]&amp;" IS NOT NULL AND rtrim("&amp;Table362[[#This Row],[IS Parameter]]&amp;", ' ') != ''"</f>
        <v>$P_I_StorageLocation IS NOT NULL AND rtrim($P_I_StorageLocation, ' ') != ''</v>
      </c>
      <c r="AC284" s="10" t="s">
        <v>6663</v>
      </c>
      <c r="AD284" s="10"/>
      <c r="AE284" s="13" t="str">
        <f>IF(Table362[[#This Row],[Entity]]="Customer","KUNNR",IF(Table362[[#This Row],[Entity]]="Vendor","LIFNR","MATNR"))&amp;",WERKS"&amp;","&amp;Table362[[#This Row],[Field]]</f>
        <v>MATNR,WERKS,LGORT</v>
      </c>
      <c r="AF284" s="13" t="str">
        <f>"VW_"&amp;Table362[[#This Row],[New Rule Name]]</f>
        <v>VW_MAT0982_StorageLocationRef</v>
      </c>
      <c r="AG284" s="11" t="str">
        <f>"create view "&amp;Table362[[#This Row],[View Name]]&amp;" as 
     select 
          "&amp;IF(Table362[[#This Row],[Entity]]="Customer","KUNNR",IF(Table362[[#This Row],[Entity]]="Vendor","LIFNR","MATNR"))&amp;",
          WERKS,
          "&amp;Table362[[#This Row],[Field]]&amp;" 
     from "&amp;Table362[[#This Row],[Table]]</f>
        <v>create view VW_MAT0982_StorageLocationRef as 
     select 
          MATNR,
          WERKS,
          LGORT 
     from MARD</v>
      </c>
      <c r="AH284" s="8"/>
      <c r="AI284" s="20" t="s">
        <v>7806</v>
      </c>
      <c r="AJ284" s="20"/>
      <c r="AK284" s="58" t="s">
        <v>8570</v>
      </c>
      <c r="AL284" s="31"/>
    </row>
    <row r="285" spans="1:38" s="3" customFormat="1" ht="84" x14ac:dyDescent="0.25">
      <c r="A285" s="9">
        <v>281</v>
      </c>
      <c r="B285" s="7" t="s">
        <v>3973</v>
      </c>
      <c r="C285" s="7" t="s">
        <v>3</v>
      </c>
      <c r="D285" s="7" t="s">
        <v>6711</v>
      </c>
      <c r="E285" s="7" t="s">
        <v>6712</v>
      </c>
      <c r="F285" s="7" t="s">
        <v>6729</v>
      </c>
      <c r="G285" s="7" t="s">
        <v>6382</v>
      </c>
      <c r="H285" s="7"/>
      <c r="I285" s="7"/>
      <c r="J285" s="20" t="str">
        <f>VLOOKUP(V285,Table_to_BRG!A:D,3,FALSE)</f>
        <v>Sales data</v>
      </c>
      <c r="K285" s="20" t="str">
        <f>VLOOKUP(V285,Table_to_BRG!A:D,2,FALSE)</f>
        <v>Sales</v>
      </c>
      <c r="L285" s="20"/>
      <c r="M285" s="20"/>
      <c r="N285" s="9"/>
      <c r="O285" s="54"/>
      <c r="P285" s="7" t="s">
        <v>8410</v>
      </c>
      <c r="Q285" s="11" t="str">
        <f>UPPER(LEFT(Table362[[#This Row],[Entity]],3))&amp;RIGHT("00"&amp;Table362[[#This Row],[Rule '# by Entity]],3)&amp;"0_"&amp;MID(SUBSTITUTE(Table362[[#This Row],[Rule Name]],"_","|",3),SEARCH("|",SUBSTITUTE(Table362[[#This Row],[Rule Name]],"_","|",3))+1,LEN(Table362[[#This Row],[Rule Name]]))</f>
        <v>MAT1260_VolumeRebateGroupRef</v>
      </c>
      <c r="R285" s="8" t="s">
        <v>7965</v>
      </c>
      <c r="S285" s="7" t="s">
        <v>2</v>
      </c>
      <c r="T285" s="7"/>
      <c r="U285" s="7" t="s">
        <v>923</v>
      </c>
      <c r="V285" s="7" t="s">
        <v>2460</v>
      </c>
      <c r="W285" s="7" t="s">
        <v>2501</v>
      </c>
      <c r="X285" s="8" t="s">
        <v>1341</v>
      </c>
      <c r="Y285" s="7" t="s">
        <v>6058</v>
      </c>
      <c r="Z285" s="7" t="s">
        <v>2501</v>
      </c>
      <c r="AA285" s="11" t="str">
        <f>"BEGIN
     RETURN exists('DS_IS_RDS', '"&amp;Table362[[#This Row],[Lookup Table]]&amp;"', '"&amp;Table362[[#This Row],[Lookup Field]]&amp;"', "&amp;Table362[[#This Row],[IS Parameter]]&amp;");
END"</f>
        <v>BEGIN
     RETURN exists('DS_IS_RDS', 'TVBO', 'BONUS', $P_I_VolRebateGroup);
END</v>
      </c>
      <c r="AB285" s="11" t="str">
        <f>Table362[[#This Row],[IS Parameter]]&amp;" IS NOT NULL AND rtrim("&amp;Table362[[#This Row],[IS Parameter]]&amp;", ' ') != ''"</f>
        <v>$P_I_VolRebateGroup IS NOT NULL AND rtrim($P_I_VolRebateGroup, ' ') != ''</v>
      </c>
      <c r="AC285" s="10" t="s">
        <v>6663</v>
      </c>
      <c r="AD285" s="10"/>
      <c r="AE285" s="13" t="str">
        <f>IF(Table362[[#This Row],[Entity]]="Customer","KUNNR",IF(Table362[[#This Row],[Entity]]="Vendor","LIFNR","MATNR"))&amp;",VKORG,VTWEG,"&amp;Table362[[#This Row],[Field]]</f>
        <v>MATNR,VKORG,VTWEG,BONUS</v>
      </c>
      <c r="AF285" s="13" t="str">
        <f>"VW_"&amp;Table362[[#This Row],[New Rule Name]]</f>
        <v>VW_MAT1260_VolumeRebateGroupRef</v>
      </c>
      <c r="AG285" s="11" t="str">
        <f>"create view "&amp;Table362[[#This Row],[View Name]]&amp;" as 
     select 
          "&amp;IF(Table362[[#This Row],[Entity]]="Customer","KUNNR",IF(Table362[[#This Row],[Entity]]="Vendor","LIFNR","MATNR"))&amp;",
          VKORG,
          VTWEG,
          "&amp;Table362[[#This Row],[Field]]&amp;" 
     from "&amp;Table362[[#This Row],[Table]]</f>
        <v>create view VW_MAT1260_VolumeRebateGroupRef as 
     select 
          MATNR,
          VKORG,
          VTWEG,
          BONUS 
     from MVKE</v>
      </c>
      <c r="AH285" s="8"/>
      <c r="AI285" s="20"/>
      <c r="AJ285" s="20"/>
      <c r="AK285" s="31">
        <v>126</v>
      </c>
      <c r="AL285" s="31"/>
    </row>
    <row r="286" spans="1:38" s="3" customFormat="1" ht="72" x14ac:dyDescent="0.25">
      <c r="A286" s="9">
        <v>282</v>
      </c>
      <c r="B286" s="7" t="s">
        <v>3973</v>
      </c>
      <c r="C286" s="7" t="s">
        <v>3</v>
      </c>
      <c r="D286" s="7" t="s">
        <v>6711</v>
      </c>
      <c r="E286" s="7" t="s">
        <v>6712</v>
      </c>
      <c r="F286" s="7" t="s">
        <v>6713</v>
      </c>
      <c r="G286" s="7" t="s">
        <v>6703</v>
      </c>
      <c r="H286" s="7" t="s">
        <v>6376</v>
      </c>
      <c r="I286" s="7"/>
      <c r="J286" s="20" t="str">
        <f>VLOOKUP(V286,Table_to_BRG!A:D,3,FALSE)</f>
        <v>Plant data</v>
      </c>
      <c r="K286" s="20" t="str">
        <f>VLOOKUP(V286,Table_to_BRG!A:D,2,FALSE)</f>
        <v>Plant</v>
      </c>
      <c r="L286" s="20"/>
      <c r="M286" s="20"/>
      <c r="N286" s="9"/>
      <c r="O286" s="54"/>
      <c r="P286" s="7" t="s">
        <v>8411</v>
      </c>
      <c r="Q286" s="11" t="str">
        <f>UPPER(LEFT(Table362[[#This Row],[Entity]],3))&amp;RIGHT("00"&amp;Table362[[#This Row],[Rule '# by Entity]],3)&amp;"0_"&amp;MID(SUBSTITUTE(Table362[[#This Row],[Rule Name]],"_","|",3),SEARCH("|",SUBSTITUTE(Table362[[#This Row],[Rule Name]],"_","|",3))+1,LEN(Table362[[#This Row],[Rule Name]]))</f>
        <v>MAT0490_SelectionMethodIsValid</v>
      </c>
      <c r="R286" s="8" t="s">
        <v>8182</v>
      </c>
      <c r="S286" s="7" t="s">
        <v>4135</v>
      </c>
      <c r="T286" s="7" t="s">
        <v>2</v>
      </c>
      <c r="U286" s="7" t="s">
        <v>927</v>
      </c>
      <c r="V286" s="7" t="s">
        <v>1527</v>
      </c>
      <c r="W286" s="7" t="s">
        <v>2220</v>
      </c>
      <c r="X286" s="8" t="s">
        <v>2238</v>
      </c>
      <c r="Y286" s="7" t="s">
        <v>5978</v>
      </c>
      <c r="Z286" s="7" t="s">
        <v>5978</v>
      </c>
      <c r="AA286" s="10" t="s">
        <v>8592</v>
      </c>
      <c r="AB286" s="11" t="str">
        <f>Table362[[#This Row],[IS Parameter]]&amp;" IS NOT NULL AND rtrim("&amp;Table362[[#This Row],[IS Parameter]]&amp;", ' ') != ''"</f>
        <v>$P_I_SelectionMethod IS NOT NULL AND rtrim($P_I_SelectionMethod, ' ') != ''</v>
      </c>
      <c r="AC286" s="13" t="s">
        <v>7792</v>
      </c>
      <c r="AD286"/>
      <c r="AE286" s="13" t="str">
        <f>IF(Table362[[#This Row],[Entity]]="Customer","KUNNR",IF(Table362[[#This Row],[Entity]]="Vendor","LIFNR","MATNR"))&amp;",WERKS"&amp;","&amp;Table362[[#This Row],[Field]]</f>
        <v>MATNR,WERKS,ALTSL</v>
      </c>
      <c r="AF286" s="13" t="str">
        <f>"VW_"&amp;Table362[[#This Row],[New Rule Name]]</f>
        <v>VW_MAT0490_SelectionMethodIsValid</v>
      </c>
      <c r="AG286" s="11" t="str">
        <f>"create view "&amp;Table362[[#This Row],[View Name]]&amp;" as 
     select 
          "&amp;IF(Table362[[#This Row],[Entity]]="Customer","KUNNR",IF(Table362[[#This Row],[Entity]]="Vendor","LIFNR","MATNR"))&amp;",
          WERKS,
          "&amp;Table362[[#This Row],[Field]]&amp;" 
     from "&amp;Table362[[#This Row],[Table]]</f>
        <v>create view VW_MAT0490_SelectionMethodIsValid as 
     select 
          MATNR,
          WERKS,
          ALTSL 
     from MARC</v>
      </c>
      <c r="AH286" s="8"/>
      <c r="AI286" s="20"/>
      <c r="AJ286" s="20"/>
      <c r="AK286" s="31">
        <v>49</v>
      </c>
      <c r="AL286" s="31"/>
    </row>
    <row r="287" spans="1:38" s="3" customFormat="1" ht="96" hidden="1" x14ac:dyDescent="0.25">
      <c r="A287" s="9">
        <v>283</v>
      </c>
      <c r="B287" s="7" t="s">
        <v>3973</v>
      </c>
      <c r="C287" s="7" t="s">
        <v>16</v>
      </c>
      <c r="D287" s="7" t="s">
        <v>6719</v>
      </c>
      <c r="E287" s="7" t="s">
        <v>6720</v>
      </c>
      <c r="F287" s="7" t="s">
        <v>6743</v>
      </c>
      <c r="G287" s="7" t="s">
        <v>6652</v>
      </c>
      <c r="H287" s="7" t="s">
        <v>6360</v>
      </c>
      <c r="I287" s="7" t="s">
        <v>3970</v>
      </c>
      <c r="J287" s="20" t="str">
        <f>VLOOKUP(V287,Table_to_BRG!A:D,3,FALSE)</f>
        <v>Bank data</v>
      </c>
      <c r="K287" s="20" t="str">
        <f>VLOOKUP(V287,Table_to_BRG!A:D,2,FALSE)</f>
        <v>Bank Details</v>
      </c>
      <c r="L287" s="20"/>
      <c r="M287" s="20"/>
      <c r="N287" s="9"/>
      <c r="O287" s="54"/>
      <c r="P287" s="7" t="s">
        <v>8099</v>
      </c>
      <c r="Q287" s="11" t="str">
        <f>UPPER(LEFT(Table362[[#This Row],[Entity]],3))&amp;RIGHT("00"&amp;Table362[[#This Row],[Rule '# by Entity]],3)&amp;"0_"&amp;MID(SUBSTITUTE(Table362[[#This Row],[Rule Name]],"_","|",3),SEARCH("|",SUBSTITUTE(Table362[[#This Row],[Rule Name]],"_","|",3))+1,LEN(Table362[[#This Row],[Rule Name]]))</f>
        <v>CUS0680_BankAccountNumberPopulated</v>
      </c>
      <c r="R287" s="8" t="s">
        <v>8127</v>
      </c>
      <c r="S287" s="7" t="s">
        <v>21</v>
      </c>
      <c r="T287" s="7"/>
      <c r="U287" s="7" t="s">
        <v>277</v>
      </c>
      <c r="V287" s="7" t="s">
        <v>3198</v>
      </c>
      <c r="W287" s="7" t="s">
        <v>3169</v>
      </c>
      <c r="X287" s="8" t="s">
        <v>3186</v>
      </c>
      <c r="Y287" s="7" t="s">
        <v>5978</v>
      </c>
      <c r="Z287" s="7" t="s">
        <v>5978</v>
      </c>
      <c r="AA287" s="10" t="s">
        <v>278</v>
      </c>
      <c r="AB287" s="10"/>
      <c r="AC287" s="10" t="s">
        <v>6813</v>
      </c>
      <c r="AD287" s="10"/>
      <c r="AE287" s="13" t="str">
        <f>IF(Table362[[#This Row],[Entity]]="Customer","KUNNR",IF(Table362[[#This Row],[Entity]]="Vendor","LIFNR","MATNR"))&amp;",BANKS,BANKL,"&amp;Table362[[#This Row],[Field]]</f>
        <v>KUNNR,BANKS,BANKL,BANKN</v>
      </c>
      <c r="AF287" s="13" t="str">
        <f>"VW_"&amp;Table362[[#This Row],[New Rule Name]]</f>
        <v>VW_CUS0680_BankAccountNumberPopulated</v>
      </c>
      <c r="AG287" s="11" t="str">
        <f>"create view "&amp;Table362[[#This Row],[View Name]]&amp;" as 
     select 
          "&amp;IF(Table362[[#This Row],[Entity]]="Customer","KUNNR",IF(Table362[[#This Row],[Entity]]="Vendor","LIFNR","MATNR"))&amp;",
          BANKS,
          BANKL,
          "&amp;Table362[[#This Row],[Field]]&amp;" 
     from "&amp;Table362[[#This Row],[Table]]</f>
        <v>create view VW_CUS0680_BankAccountNumberPopulated as 
     select 
          KUNNR,
          BANKS,
          BANKL,
          BANKN 
     from KNBK</v>
      </c>
      <c r="AH287" s="8"/>
      <c r="AI287" s="20" t="s">
        <v>7632</v>
      </c>
      <c r="AJ287" s="20"/>
      <c r="AK287" s="31">
        <v>68</v>
      </c>
      <c r="AL287" s="31"/>
    </row>
    <row r="288" spans="1:38" s="3" customFormat="1" ht="72" hidden="1" x14ac:dyDescent="0.25">
      <c r="A288" s="9">
        <v>284</v>
      </c>
      <c r="B288" s="7" t="s">
        <v>3973</v>
      </c>
      <c r="C288" s="7" t="s">
        <v>1207</v>
      </c>
      <c r="D288" s="7" t="s">
        <v>6719</v>
      </c>
      <c r="E288" s="7" t="s">
        <v>6720</v>
      </c>
      <c r="F288" s="7" t="s">
        <v>6732</v>
      </c>
      <c r="G288" s="7" t="s">
        <v>6358</v>
      </c>
      <c r="H288" s="7" t="s">
        <v>6386</v>
      </c>
      <c r="I288" s="7"/>
      <c r="J288" s="20" t="str">
        <f>VLOOKUP(V288,Table_to_BRG!A:D,3,FALSE)</f>
        <v>Company Code data</v>
      </c>
      <c r="K288" s="20" t="str">
        <f>VLOOKUP(V288,Table_to_BRG!A:D,2,FALSE)</f>
        <v>Company Code</v>
      </c>
      <c r="L288" s="20"/>
      <c r="M288" s="20"/>
      <c r="N288" s="9"/>
      <c r="O288" s="54"/>
      <c r="P288" s="7" t="s">
        <v>8509</v>
      </c>
      <c r="Q288" s="11" t="str">
        <f>UPPER(LEFT(Table362[[#This Row],[Entity]],3))&amp;RIGHT("00"&amp;Table362[[#This Row],[Rule '# by Entity]],3)&amp;"0_"&amp;MID(SUBSTITUTE(Table362[[#This Row],[Rule Name]],"_","|",3),SEARCH("|",SUBSTITUTE(Table362[[#This Row],[Rule Name]],"_","|",3))+1,LEN(Table362[[#This Row],[Rule Name]]))</f>
        <v>VEN0360_ReconAccountRef</v>
      </c>
      <c r="R288" s="13" t="s">
        <v>8245</v>
      </c>
      <c r="S288" s="7" t="s">
        <v>2</v>
      </c>
      <c r="T288" s="7"/>
      <c r="U288" s="7" t="s">
        <v>647</v>
      </c>
      <c r="V288" s="7" t="s">
        <v>3543</v>
      </c>
      <c r="W288" s="7" t="s">
        <v>2708</v>
      </c>
      <c r="X288" s="8" t="s">
        <v>2725</v>
      </c>
      <c r="Y288" s="7" t="s">
        <v>4271</v>
      </c>
      <c r="Z288" s="7" t="s">
        <v>4272</v>
      </c>
      <c r="AA288" s="11" t="str">
        <f>"BEGIN
     RETURN exists('DS_IS_RDS', '"&amp;Table362[[#This Row],[Lookup Table]]&amp;"', '"&amp;Table362[[#This Row],[Lookup Field]]&amp;"', "&amp;Table362[[#This Row],[IS Parameter]]&amp;");
END"</f>
        <v>BEGIN
     RETURN exists('DS_IS_RDS', 'SKB1', 'SAKNR', $P_I_ReconciliationAccount);
END</v>
      </c>
      <c r="AB288" s="11"/>
      <c r="AC288" s="10" t="s">
        <v>6663</v>
      </c>
      <c r="AD288" s="10"/>
      <c r="AE288" s="13" t="str">
        <f>IF(Table362[[#This Row],[Entity]]="Customer","KUNNR",IF(Table362[[#This Row],[Entity]]="Vendor","LIFNR","MATNR"))&amp;",BUKRS,"&amp;Table362[[#This Row],[Field]]</f>
        <v>LIFNR,BUKRS,AKONT</v>
      </c>
      <c r="AF288" s="13" t="str">
        <f>"VW_"&amp;Table362[[#This Row],[New Rule Name]]</f>
        <v>VW_VEN0360_ReconAccountRef</v>
      </c>
      <c r="AG288" s="11" t="str">
        <f>"create view "&amp;Table362[[#This Row],[View Name]]&amp;" as 
     select 
          "&amp;IF(Table362[[#This Row],[Entity]]="Customer","KUNNR",IF(Table362[[#This Row],[Entity]]="Vendor","LIFNR","MATNR"))&amp;",
          BUKRS,
          "&amp;Table362[[#This Row],[Field]]&amp;" 
     from "&amp;Table362[[#This Row],[Table]]</f>
        <v>create view VW_VEN0360_ReconAccountRef as 
     select 
          LIFNR,
          BUKRS,
          AKONT 
     from LFB1</v>
      </c>
      <c r="AH288" s="8"/>
      <c r="AI288" s="20" t="s">
        <v>7586</v>
      </c>
      <c r="AJ288" s="20"/>
      <c r="AK288" s="31">
        <v>36</v>
      </c>
      <c r="AL288" s="31"/>
    </row>
    <row r="289" spans="1:38" s="3" customFormat="1" ht="48" hidden="1" x14ac:dyDescent="0.25">
      <c r="A289" s="9">
        <v>287</v>
      </c>
      <c r="B289" s="7" t="s">
        <v>3973</v>
      </c>
      <c r="C289" s="7" t="s">
        <v>3</v>
      </c>
      <c r="D289" s="7" t="s">
        <v>5978</v>
      </c>
      <c r="E289" s="7" t="s">
        <v>5978</v>
      </c>
      <c r="F289" s="7" t="s">
        <v>5978</v>
      </c>
      <c r="G289" s="7"/>
      <c r="H289" s="7"/>
      <c r="I289" s="7"/>
      <c r="J289" s="20" t="e">
        <f>VLOOKUP(V289,Table_to_BRG!A:D,3,FALSE)</f>
        <v>#N/A</v>
      </c>
      <c r="K289" s="20" t="e">
        <f>VLOOKUP(V289,Table_to_BRG!A:D,2,FALSE)</f>
        <v>#N/A</v>
      </c>
      <c r="L289" s="20"/>
      <c r="M289" s="20"/>
      <c r="N289" s="9" t="s">
        <v>6465</v>
      </c>
      <c r="O289" s="54" t="str">
        <f>"Duplicate of rule "&amp;A233&amp;" (see note)"</f>
        <v>Duplicate of rule 229 (see note)</v>
      </c>
      <c r="P289" s="7" t="s">
        <v>8412</v>
      </c>
      <c r="Q289" s="11"/>
      <c r="R289" s="13" t="s">
        <v>6489</v>
      </c>
      <c r="S289" s="7" t="s">
        <v>2</v>
      </c>
      <c r="T289" s="7"/>
      <c r="U289" s="7" t="s">
        <v>22</v>
      </c>
      <c r="V289" s="7"/>
      <c r="W289" s="7"/>
      <c r="X289" s="8"/>
      <c r="Y289" s="7" t="s">
        <v>4148</v>
      </c>
      <c r="Z289" s="7" t="s">
        <v>2850</v>
      </c>
      <c r="AA289" s="11" t="str">
        <f>"BEGIN
     RETURN exists('DS_IS_RDS', '"&amp;Table362[[#This Row],[Lookup Table]]&amp;"', '"&amp;Table362[[#This Row],[Lookup Field]]&amp;"', "&amp;Table362[[#This Row],[IS Parameter]]&amp;");
END"</f>
        <v>BEGIN
     RETURN exists('DS_IS_RDS', 'TCURC', 'WAERS', $P_I_Currency);
END</v>
      </c>
      <c r="AB289" s="11"/>
      <c r="AC289" s="10" t="s">
        <v>6663</v>
      </c>
      <c r="AD289" s="10"/>
      <c r="AE289" s="13"/>
      <c r="AF289" s="13"/>
      <c r="AG289" s="11"/>
      <c r="AH289" s="8" t="s">
        <v>6890</v>
      </c>
      <c r="AI289" s="20" t="s">
        <v>7593</v>
      </c>
      <c r="AJ289" s="20"/>
      <c r="AK289" s="31"/>
      <c r="AL289" s="31"/>
    </row>
    <row r="290" spans="1:38" s="3" customFormat="1" ht="72" x14ac:dyDescent="0.25">
      <c r="A290" s="9">
        <v>285</v>
      </c>
      <c r="B290" s="7" t="s">
        <v>3973</v>
      </c>
      <c r="C290" s="7" t="s">
        <v>3</v>
      </c>
      <c r="D290" s="7" t="s">
        <v>6711</v>
      </c>
      <c r="E290" s="7" t="s">
        <v>6712</v>
      </c>
      <c r="F290" s="7" t="s">
        <v>6713</v>
      </c>
      <c r="G290" s="7" t="s">
        <v>6703</v>
      </c>
      <c r="H290" s="7" t="s">
        <v>6374</v>
      </c>
      <c r="I290" s="7"/>
      <c r="J290" s="20" t="str">
        <f>VLOOKUP(V290,Table_to_BRG!A:D,3,FALSE)</f>
        <v>Plant data</v>
      </c>
      <c r="K290" s="20" t="str">
        <f>VLOOKUP(V290,Table_to_BRG!A:D,2,FALSE)</f>
        <v>Plant</v>
      </c>
      <c r="L290" s="20"/>
      <c r="M290" s="20"/>
      <c r="N290" s="9"/>
      <c r="O290" s="54"/>
      <c r="P290" s="7" t="s">
        <v>8413</v>
      </c>
      <c r="Q290" s="11" t="str">
        <f>UPPER(LEFT(Table362[[#This Row],[Entity]],3))&amp;RIGHT("00"&amp;Table362[[#This Row],[Rule '# by Entity]],3)&amp;"0_"&amp;MID(SUBSTITUTE(Table362[[#This Row],[Rule Name]],"_","|",3),SEARCH("|",SUBSTITUTE(Table362[[#This Row],[Rule Name]],"_","|",3))+1,LEN(Table362[[#This Row],[Rule Name]]))</f>
        <v>MAT0720_CoverageProfileRef</v>
      </c>
      <c r="R290" s="8" t="s">
        <v>7966</v>
      </c>
      <c r="S290" s="7" t="s">
        <v>2</v>
      </c>
      <c r="T290" s="7"/>
      <c r="U290" s="7" t="s">
        <v>933</v>
      </c>
      <c r="V290" s="7" t="s">
        <v>1527</v>
      </c>
      <c r="W290" s="7" t="s">
        <v>2130</v>
      </c>
      <c r="X290" s="8" t="s">
        <v>2153</v>
      </c>
      <c r="Y290" s="7" t="s">
        <v>6677</v>
      </c>
      <c r="Z290" s="7" t="s">
        <v>2130</v>
      </c>
      <c r="AA290" s="11" t="str">
        <f>"BEGIN
     RETURN exists('DS_IS_RDS', '"&amp;Table362[[#This Row],[Lookup Table]]&amp;"', '"&amp;Table362[[#This Row],[Lookup Field]]&amp;"', "&amp;Table362[[#This Row],[IS Parameter]]&amp;");
END"</f>
        <v>BEGIN
     RETURN exists('DS_IS_RDS', 'T438R', 'RWPRO', $P_I_CoverageProfile);
END</v>
      </c>
      <c r="AB290" s="11" t="str">
        <f>Table362[[#This Row],[IS Parameter]]&amp;" IS NOT NULL AND rtrim("&amp;Table362[[#This Row],[IS Parameter]]&amp;", ' ') != ''"</f>
        <v>$P_I_CoverageProfile IS NOT NULL AND rtrim($P_I_CoverageProfile, ' ') != ''</v>
      </c>
      <c r="AC290" s="10" t="s">
        <v>6663</v>
      </c>
      <c r="AD290" s="10"/>
      <c r="AE290" s="13" t="str">
        <f>IF(Table362[[#This Row],[Entity]]="Customer","KUNNR",IF(Table362[[#This Row],[Entity]]="Vendor","LIFNR","MATNR"))&amp;",WERKS"&amp;","&amp;Table362[[#This Row],[Field]]</f>
        <v>MATNR,WERKS,RWPRO</v>
      </c>
      <c r="AF290" s="13" t="str">
        <f>"VW_"&amp;Table362[[#This Row],[New Rule Name]]</f>
        <v>VW_MAT0720_CoverageProfileRef</v>
      </c>
      <c r="AG290" s="11" t="str">
        <f>"create view "&amp;Table362[[#This Row],[View Name]]&amp;" as 
     select 
          "&amp;IF(Table362[[#This Row],[Entity]]="Customer","KUNNR",IF(Table362[[#This Row],[Entity]]="Vendor","LIFNR","MATNR"))&amp;",
          WERKS,
          "&amp;Table362[[#This Row],[Field]]&amp;" 
     from "&amp;Table362[[#This Row],[Table]]</f>
        <v>create view VW_MAT0720_CoverageProfileRef as 
     select 
          MATNR,
          WERKS,
          RWPRO 
     from MARC</v>
      </c>
      <c r="AH290" s="8"/>
      <c r="AI290" s="20"/>
      <c r="AJ290" s="20"/>
      <c r="AK290" s="31">
        <v>72</v>
      </c>
      <c r="AL290" s="31"/>
    </row>
    <row r="291" spans="1:38" s="3" customFormat="1" ht="72" x14ac:dyDescent="0.25">
      <c r="A291" s="9">
        <v>286</v>
      </c>
      <c r="B291" s="7" t="s">
        <v>3973</v>
      </c>
      <c r="C291" s="7" t="s">
        <v>3</v>
      </c>
      <c r="D291" s="7" t="s">
        <v>6711</v>
      </c>
      <c r="E291" s="7" t="s">
        <v>6712</v>
      </c>
      <c r="F291" s="7" t="s">
        <v>6725</v>
      </c>
      <c r="G291" s="7" t="s">
        <v>6371</v>
      </c>
      <c r="H291" s="7" t="s">
        <v>6372</v>
      </c>
      <c r="I291" s="7"/>
      <c r="J291" s="20" t="str">
        <f>VLOOKUP(V291,Table_to_BRG!A:D,3,FALSE)</f>
        <v>General data</v>
      </c>
      <c r="K291" s="20" t="str">
        <f>VLOOKUP(V291,Table_to_BRG!A:D,2,FALSE)</f>
        <v>General</v>
      </c>
      <c r="L291" s="20"/>
      <c r="M291" s="20"/>
      <c r="N291" s="9"/>
      <c r="O291" s="54"/>
      <c r="P291" s="7" t="s">
        <v>8414</v>
      </c>
      <c r="Q291" s="11" t="str">
        <f>UPPER(LEFT(Table362[[#This Row],[Entity]],3))&amp;RIGHT("00"&amp;Table362[[#This Row],[Rule '# by Entity]],3)&amp;"0_"&amp;MID(SUBSTITUTE(Table362[[#This Row],[Rule Name]],"_","|",3),SEARCH("|",SUBSTITUTE(Table362[[#This Row],[Rule Name]],"_","|",3))+1,LEN(Table362[[#This Row],[Rule Name]]))</f>
        <v>MAT0130_ContainerRequirementsRef</v>
      </c>
      <c r="R291" s="8" t="s">
        <v>7967</v>
      </c>
      <c r="S291" s="7" t="s">
        <v>2</v>
      </c>
      <c r="T291" s="7"/>
      <c r="U291" s="7" t="s">
        <v>937</v>
      </c>
      <c r="V291" s="7" t="s">
        <v>1526</v>
      </c>
      <c r="W291" s="7" t="s">
        <v>1971</v>
      </c>
      <c r="X291" s="8" t="s">
        <v>6678</v>
      </c>
      <c r="Y291" s="7" t="s">
        <v>6059</v>
      </c>
      <c r="Z291" s="7" t="s">
        <v>1971</v>
      </c>
      <c r="AA291" s="11" t="str">
        <f>"BEGIN
     RETURN exists('DS_IS_RDS', '"&amp;Table362[[#This Row],[Lookup Table]]&amp;"', '"&amp;Table362[[#This Row],[Lookup Field]]&amp;"', "&amp;Table362[[#This Row],[IS Parameter]]&amp;");
END"</f>
        <v>BEGIN
     RETURN exists('DS_IS_RDS', 'T144', 'BEHVO', $P_I_ContainerRequirements);
END</v>
      </c>
      <c r="AB291" s="11" t="str">
        <f>Table362[[#This Row],[IS Parameter]]&amp;" IS NOT NULL AND rtrim("&amp;Table362[[#This Row],[IS Parameter]]&amp;", ' ') != ''"</f>
        <v>$P_I_ContainerRequirements IS NOT NULL AND rtrim($P_I_ContainerRequirements, ' ') != ''</v>
      </c>
      <c r="AC291" s="10" t="s">
        <v>6663</v>
      </c>
      <c r="AD291" s="10"/>
      <c r="AE291" s="13" t="str">
        <f>IF(Table362[[#This Row],[Entity]]="Customer","KUNNR",IF(Table362[[#This Row],[Entity]]="Vendor","LIFNR","MATNR"))&amp;","&amp;Table362[[#This Row],[Field]]</f>
        <v>MATNR,BEHVO</v>
      </c>
      <c r="AF291" s="13" t="str">
        <f>"VW_"&amp;Table362[[#This Row],[New Rule Name]]</f>
        <v>VW_MAT0130_ContainerRequirementsRef</v>
      </c>
      <c r="AG291" s="11" t="str">
        <f>"create view "&amp;Table362[[#This Row],[View Name]]&amp;" as 
     select 
          "&amp;IF(Table362[[#This Row],[Entity]]="Customer","KUNNR",IF(Table362[[#This Row],[Entity]]="Vendor","LIFNR","MATNR"))&amp;",
          "&amp;Table362[[#This Row],[Field]]&amp;" 
     from "&amp;Table362[[#This Row],[Table]]</f>
        <v>create view VW_MAT0130_ContainerRequirementsRef as 
     select 
          MATNR,
          BEHVO 
     from MARA</v>
      </c>
      <c r="AH291" s="8"/>
      <c r="AI291" s="20"/>
      <c r="AJ291" s="20"/>
      <c r="AK291" s="31">
        <v>13</v>
      </c>
      <c r="AL291" s="31"/>
    </row>
    <row r="292" spans="1:38" s="3" customFormat="1" ht="60" x14ac:dyDescent="0.25">
      <c r="A292" s="9">
        <v>288</v>
      </c>
      <c r="B292" s="7" t="s">
        <v>3973</v>
      </c>
      <c r="C292" s="7" t="s">
        <v>3</v>
      </c>
      <c r="D292" s="7" t="s">
        <v>6711</v>
      </c>
      <c r="E292" s="7" t="s">
        <v>6712</v>
      </c>
      <c r="F292" s="7" t="s">
        <v>6725</v>
      </c>
      <c r="G292" s="7" t="s">
        <v>6385</v>
      </c>
      <c r="H292" s="7"/>
      <c r="I292" s="7"/>
      <c r="J292" s="20" t="str">
        <f>VLOOKUP(V292,Table_to_BRG!A:D,3,FALSE)</f>
        <v>General data</v>
      </c>
      <c r="K292" s="20" t="str">
        <f>VLOOKUP(V292,Table_to_BRG!A:D,2,FALSE)</f>
        <v>General</v>
      </c>
      <c r="L292" s="20"/>
      <c r="M292" s="20"/>
      <c r="N292" s="9"/>
      <c r="O292" s="54"/>
      <c r="P292" s="7" t="s">
        <v>8415</v>
      </c>
      <c r="Q292" s="11" t="str">
        <f>UPPER(LEFT(Table362[[#This Row],[Entity]],3))&amp;RIGHT("00"&amp;Table362[[#This Row],[Rule '# by Entity]],3)&amp;"0_"&amp;MID(SUBSTITUTE(Table362[[#This Row],[Rule Name]],"_","|",3),SEARCH("|",SUBSTITUTE(Table362[[#This Row],[Rule Name]],"_","|",3))+1,LEN(Table362[[#This Row],[Rule Name]]))</f>
        <v>MAT0220_EANCategoryRef</v>
      </c>
      <c r="R292" s="8" t="s">
        <v>7968</v>
      </c>
      <c r="S292" s="7" t="s">
        <v>2</v>
      </c>
      <c r="T292" s="7"/>
      <c r="U292" s="7" t="s">
        <v>943</v>
      </c>
      <c r="V292" s="7" t="s">
        <v>1526</v>
      </c>
      <c r="W292" s="7" t="s">
        <v>1633</v>
      </c>
      <c r="X292" s="8" t="s">
        <v>1651</v>
      </c>
      <c r="Y292" s="7" t="s">
        <v>6060</v>
      </c>
      <c r="Z292" s="7" t="s">
        <v>1633</v>
      </c>
      <c r="AA292" s="11" t="str">
        <f>"BEGIN
     RETURN exists('DS_IS_RDS', '"&amp;Table362[[#This Row],[Lookup Table]]&amp;"', '"&amp;Table362[[#This Row],[Lookup Field]]&amp;"', "&amp;Table362[[#This Row],[IS Parameter]]&amp;");
END"</f>
        <v>BEGIN
     RETURN exists('DS_IS_RDS', 'TNTP', 'NUMTP', $P_I_EANCategory);
END</v>
      </c>
      <c r="AB292" s="11" t="str">
        <f>Table362[[#This Row],[IS Parameter]]&amp;" IS NOT NULL AND rtrim("&amp;Table362[[#This Row],[IS Parameter]]&amp;", ' ') != ''"</f>
        <v>$P_I_EANCategory IS NOT NULL AND rtrim($P_I_EANCategory, ' ') != ''</v>
      </c>
      <c r="AC292" s="10" t="s">
        <v>6663</v>
      </c>
      <c r="AD292" s="10"/>
      <c r="AE292" s="13" t="str">
        <f>IF(Table362[[#This Row],[Entity]]="Customer","KUNNR",IF(Table362[[#This Row],[Entity]]="Vendor","LIFNR","MATNR"))&amp;","&amp;Table362[[#This Row],[Field]]</f>
        <v>MATNR,NUMTP</v>
      </c>
      <c r="AF292" s="13" t="str">
        <f>"VW_"&amp;Table362[[#This Row],[New Rule Name]]</f>
        <v>VW_MAT0220_EANCategoryRef</v>
      </c>
      <c r="AG292" s="11" t="str">
        <f>"create view "&amp;Table362[[#This Row],[View Name]]&amp;" as 
     select 
          "&amp;IF(Table362[[#This Row],[Entity]]="Customer","KUNNR",IF(Table362[[#This Row],[Entity]]="Vendor","LIFNR","MATNR"))&amp;",
          "&amp;Table362[[#This Row],[Field]]&amp;" 
     from "&amp;Table362[[#This Row],[Table]]</f>
        <v>create view VW_MAT0220_EANCategoryRef as 
     select 
          MATNR,
          NUMTP 
     from MARA</v>
      </c>
      <c r="AH292" s="8"/>
      <c r="AI292" s="20"/>
      <c r="AJ292" s="20"/>
      <c r="AK292" s="31">
        <v>22</v>
      </c>
      <c r="AL292" s="31"/>
    </row>
    <row r="293" spans="1:38" s="3" customFormat="1" ht="72" hidden="1" x14ac:dyDescent="0.25">
      <c r="A293" s="9">
        <v>290</v>
      </c>
      <c r="B293" s="7" t="s">
        <v>3973</v>
      </c>
      <c r="C293" s="7" t="s">
        <v>1207</v>
      </c>
      <c r="D293" s="7" t="s">
        <v>6711</v>
      </c>
      <c r="E293" s="7" t="s">
        <v>6733</v>
      </c>
      <c r="F293" s="7" t="s">
        <v>6739</v>
      </c>
      <c r="G293" s="7" t="s">
        <v>6377</v>
      </c>
      <c r="H293" s="7"/>
      <c r="I293" s="7"/>
      <c r="J293" s="20" t="str">
        <f>VLOOKUP(V293,Table_to_BRG!A:D,3,FALSE)</f>
        <v>Purchasing data</v>
      </c>
      <c r="K293" s="20" t="str">
        <f>VLOOKUP(V293,Table_to_BRG!A:D,2,FALSE)</f>
        <v>Purchasing org.</v>
      </c>
      <c r="L293" s="20"/>
      <c r="M293" s="20"/>
      <c r="N293" s="9"/>
      <c r="O293" s="54"/>
      <c r="P293" s="7" t="s">
        <v>8510</v>
      </c>
      <c r="Q293" s="11" t="str">
        <f>UPPER(LEFT(Table362[[#This Row],[Entity]],3))&amp;RIGHT("00"&amp;Table362[[#This Row],[Rule '# by Entity]],3)&amp;"0_"&amp;MID(SUBSTITUTE(Table362[[#This Row],[Rule Name]],"_","|",3),SEARCH("|",SUBSTITUTE(Table362[[#This Row],[Rule Name]],"_","|",3))+1,LEN(Table362[[#This Row],[Rule Name]]))</f>
        <v>VEN0610_OfficeOfEntryRef</v>
      </c>
      <c r="R293" s="13" t="s">
        <v>8266</v>
      </c>
      <c r="S293" s="7" t="s">
        <v>2</v>
      </c>
      <c r="T293" s="7"/>
      <c r="U293" s="7" t="s">
        <v>573</v>
      </c>
      <c r="V293" s="7" t="s">
        <v>3818</v>
      </c>
      <c r="W293" s="7" t="s">
        <v>3900</v>
      </c>
      <c r="X293" s="8" t="s">
        <v>3928</v>
      </c>
      <c r="Y293" s="7" t="s">
        <v>6022</v>
      </c>
      <c r="Z293" s="7" t="s">
        <v>3900</v>
      </c>
      <c r="AA293" s="11" t="str">
        <f>"BEGIN
     RETURN exists('DS_IS_RDS', '"&amp;Table362[[#This Row],[Lookup Table]]&amp;"', '"&amp;Table362[[#This Row],[Lookup Field]]&amp;"', "&amp;Table362[[#This Row],[IS Parameter]]&amp;");
END"</f>
        <v>BEGIN
     RETURN exists('DS_IS_RDS', 'T615T', 'ZOLLA', $P_I_OfficeOfEntry);
END</v>
      </c>
      <c r="AB293" s="11"/>
      <c r="AC293" s="10" t="s">
        <v>6663</v>
      </c>
      <c r="AD293" s="10"/>
      <c r="AE293" s="13" t="str">
        <f>IF(Table362[[#This Row],[Entity]]="Customer","KUNNR",IF(Table362[[#This Row],[Entity]]="Vendor","LIFNR","MATNR"))&amp;",EKORG,"&amp;Table362[[#This Row],[Field]]</f>
        <v>LIFNR,EKORG,ZOLLA</v>
      </c>
      <c r="AF293" s="13" t="str">
        <f>"VW_"&amp;Table362[[#This Row],[New Rule Name]]</f>
        <v>VW_VEN0610_OfficeOfEntryRef</v>
      </c>
      <c r="AG293" s="11" t="str">
        <f>"create view "&amp;Table362[[#This Row],[View Name]]&amp;" as 
     select 
          "&amp;IF(Table362[[#This Row],[Entity]]="Customer","KUNNR",IF(Table362[[#This Row],[Entity]]="Vendor","LIFNR","MATNR"))&amp;",
          EKORG,
          "&amp;Table362[[#This Row],[Field]]&amp;" 
     from "&amp;Table362[[#This Row],[Table]]</f>
        <v>create view VW_VEN0610_OfficeOfEntryRef as 
     select 
          LIFNR,
          EKORG,
          ZOLLA 
     from LFM1</v>
      </c>
      <c r="AH293" s="8"/>
      <c r="AI293" s="20" t="s">
        <v>7584</v>
      </c>
      <c r="AJ293" s="20"/>
      <c r="AK293" s="31">
        <v>61</v>
      </c>
      <c r="AL293" s="31"/>
    </row>
    <row r="294" spans="1:38" s="3" customFormat="1" ht="60" x14ac:dyDescent="0.25">
      <c r="A294" s="9">
        <v>291</v>
      </c>
      <c r="B294" s="7" t="s">
        <v>3973</v>
      </c>
      <c r="C294" s="7" t="s">
        <v>3</v>
      </c>
      <c r="D294" s="7" t="s">
        <v>6711</v>
      </c>
      <c r="E294" s="7" t="s">
        <v>6712</v>
      </c>
      <c r="F294" s="7" t="s">
        <v>6725</v>
      </c>
      <c r="G294" s="7" t="s">
        <v>6379</v>
      </c>
      <c r="H294" s="7" t="s">
        <v>6380</v>
      </c>
      <c r="I294" s="7"/>
      <c r="J294" s="20" t="str">
        <f>VLOOKUP(V294,Table_to_BRG!A:D,3,FALSE)</f>
        <v>General data</v>
      </c>
      <c r="K294" s="20" t="str">
        <f>VLOOKUP(V294,Table_to_BRG!A:D,2,FALSE)</f>
        <v>General</v>
      </c>
      <c r="L294" s="20"/>
      <c r="M294" s="20"/>
      <c r="N294" s="9"/>
      <c r="O294" s="54"/>
      <c r="P294" s="7" t="s">
        <v>8416</v>
      </c>
      <c r="Q294" s="11" t="str">
        <f>UPPER(LEFT(Table362[[#This Row],[Entity]],3))&amp;RIGHT("00"&amp;Table362[[#This Row],[Rule '# by Entity]],3)&amp;"0_"&amp;MID(SUBSTITUTE(Table362[[#This Row],[Rule Name]],"_","|",3),SEARCH("|",SUBSTITUTE(Table362[[#This Row],[Rule Name]],"_","|",3))+1,LEN(Table362[[#This Row],[Rule Name]]))</f>
        <v>MAT0170_TransportationGroupRef</v>
      </c>
      <c r="R294" s="8" t="s">
        <v>7969</v>
      </c>
      <c r="S294" s="7" t="s">
        <v>2</v>
      </c>
      <c r="T294" s="7"/>
      <c r="U294" s="7" t="s">
        <v>60</v>
      </c>
      <c r="V294" s="7" t="s">
        <v>1526</v>
      </c>
      <c r="W294" s="7" t="s">
        <v>2393</v>
      </c>
      <c r="X294" s="8" t="s">
        <v>8636</v>
      </c>
      <c r="Y294" s="7" t="s">
        <v>4223</v>
      </c>
      <c r="Z294" s="7" t="s">
        <v>2393</v>
      </c>
      <c r="AA294" s="11" t="str">
        <f>"BEGIN
     RETURN exists('DS_IS_RDS', '"&amp;Table362[[#This Row],[Lookup Table]]&amp;"', '"&amp;Table362[[#This Row],[Lookup Field]]&amp;"', "&amp;Table362[[#This Row],[IS Parameter]]&amp;");
END"</f>
        <v>BEGIN
     RETURN exists('DS_IS_RDS', 'TTGR', 'TRAGR', $P_I_TransportationGroup);
END</v>
      </c>
      <c r="AB294" s="11" t="str">
        <f>Table362[[#This Row],[IS Parameter]]&amp;" IS NOT NULL AND rtrim("&amp;Table362[[#This Row],[IS Parameter]]&amp;", ' ') != ''"</f>
        <v>$P_I_TransportationGroup IS NOT NULL AND rtrim($P_I_TransportationGroup, ' ') != ''</v>
      </c>
      <c r="AC294" s="10" t="s">
        <v>6663</v>
      </c>
      <c r="AD294" s="10"/>
      <c r="AE294" s="13" t="str">
        <f>IF(Table362[[#This Row],[Entity]]="Customer","KUNNR",IF(Table362[[#This Row],[Entity]]="Vendor","LIFNR","MATNR"))&amp;","&amp;Table362[[#This Row],[Field]]</f>
        <v>MATNR,TRAGR</v>
      </c>
      <c r="AF294" s="13" t="str">
        <f>"VW_"&amp;Table362[[#This Row],[New Rule Name]]</f>
        <v>VW_MAT0170_TransportationGroupRef</v>
      </c>
      <c r="AG294" s="11" t="str">
        <f>"create view "&amp;Table362[[#This Row],[View Name]]&amp;" as 
     select 
          "&amp;IF(Table362[[#This Row],[Entity]]="Customer","KUNNR",IF(Table362[[#This Row],[Entity]]="Vendor","LIFNR","MATNR"))&amp;",
          "&amp;Table362[[#This Row],[Field]]&amp;" 
     from "&amp;Table362[[#This Row],[Table]]</f>
        <v>create view VW_MAT0170_TransportationGroupRef as 
     select 
          MATNR,
          TRAGR 
     from MARA</v>
      </c>
      <c r="AH294" s="8"/>
      <c r="AI294" s="20" t="s">
        <v>7707</v>
      </c>
      <c r="AJ294" s="20"/>
      <c r="AK294" s="31">
        <v>17</v>
      </c>
      <c r="AL294" s="31"/>
    </row>
    <row r="295" spans="1:38" s="3" customFormat="1" ht="72" hidden="1" x14ac:dyDescent="0.25">
      <c r="A295" s="9">
        <v>292</v>
      </c>
      <c r="B295" s="7" t="s">
        <v>3973</v>
      </c>
      <c r="C295" s="7" t="s">
        <v>16</v>
      </c>
      <c r="D295" s="7" t="s">
        <v>6719</v>
      </c>
      <c r="E295" s="7" t="s">
        <v>6720</v>
      </c>
      <c r="F295" s="7" t="s">
        <v>6721</v>
      </c>
      <c r="G295" s="7" t="s">
        <v>6358</v>
      </c>
      <c r="H295" s="7" t="s">
        <v>6383</v>
      </c>
      <c r="I295" s="7"/>
      <c r="J295" s="20" t="str">
        <f>VLOOKUP(V295,Table_to_BRG!A:D,3,FALSE)</f>
        <v>Company Code data</v>
      </c>
      <c r="K295" s="20" t="str">
        <f>VLOOKUP(V295,Table_to_BRG!A:D,2,FALSE)</f>
        <v>Company Code</v>
      </c>
      <c r="L295" s="20"/>
      <c r="M295" s="20"/>
      <c r="N295" s="9"/>
      <c r="O295" s="54"/>
      <c r="P295" s="7" t="s">
        <v>7877</v>
      </c>
      <c r="Q295" s="11" t="str">
        <f>UPPER(LEFT(Table362[[#This Row],[Entity]],3))&amp;RIGHT("00"&amp;Table362[[#This Row],[Rule '# by Entity]],3)&amp;"0_"&amp;MID(SUBSTITUTE(Table362[[#This Row],[Rule Name]],"_","|",3),SEARCH("|",SUBSTITUTE(Table362[[#This Row],[Rule Name]],"_","|",3))+1,LEN(Table362[[#This Row],[Rule Name]]))</f>
        <v>CUS0620_ValueAdjustmentKeyRef</v>
      </c>
      <c r="R295" s="13" t="s">
        <v>8046</v>
      </c>
      <c r="S295" s="7" t="s">
        <v>2</v>
      </c>
      <c r="T295" s="7"/>
      <c r="U295" s="7" t="s">
        <v>952</v>
      </c>
      <c r="V295" s="7" t="s">
        <v>2740</v>
      </c>
      <c r="W295" s="7" t="s">
        <v>2714</v>
      </c>
      <c r="X295" s="8" t="s">
        <v>2731</v>
      </c>
      <c r="Y295" s="7" t="s">
        <v>6061</v>
      </c>
      <c r="Z295" s="7" t="s">
        <v>2714</v>
      </c>
      <c r="AA295" s="11" t="str">
        <f>"BEGIN
     RETURN exists('DS_IS_RDS', '"&amp;Table362[[#This Row],[Lookup Table]]&amp;"', '"&amp;Table362[[#This Row],[Lookup Field]]&amp;"', "&amp;Table362[[#This Row],[IS Parameter]]&amp;");
END"</f>
        <v>BEGIN
     RETURN exists('DS_IS_RDS', 'T044G', 'WBRSL', $P_I_ValueAdjustment);
END</v>
      </c>
      <c r="AB295" s="11" t="str">
        <f>Table362[[#This Row],[IS Parameter]]&amp;" IS NOT NULL
AND "&amp; Table362[[#This Row],[IS Parameter]]&amp;" != ''"</f>
        <v>$P_I_ValueAdjustment IS NOT NULL
AND $P_I_ValueAdjustment != ''</v>
      </c>
      <c r="AC295" s="10" t="s">
        <v>6663</v>
      </c>
      <c r="AD295" s="10"/>
      <c r="AE295" s="13" t="str">
        <f>IF(Table362[[#This Row],[Entity]]="Customer","KUNNR",IF(Table362[[#This Row],[Entity]]="Vendor","LIFNR","MATNR"))&amp;",BUKRS"&amp;","&amp;Table362[[#This Row],[Field]]</f>
        <v>KUNNR,BUKRS,WBRSL</v>
      </c>
      <c r="AF295" s="13" t="str">
        <f>"VW_"&amp;Table362[[#This Row],[New Rule Name]]</f>
        <v>VW_CUS0620_ValueAdjustmentKeyRef</v>
      </c>
      <c r="AG295" s="11" t="str">
        <f>"create view "&amp;Table362[[#This Row],[View Name]]&amp;" as 
     select 
          "&amp;IF(Table362[[#This Row],[Entity]]="Customer","KUNNR",IF(Table362[[#This Row],[Entity]]="Vendor","LIFNR","MATNR"))&amp;",
          BUKRS,
          "&amp;Table362[[#This Row],[Field]]&amp;" 
     from "&amp;Table362[[#This Row],[Table]]</f>
        <v>create view VW_CUS0620_ValueAdjustmentKeyRef as 
     select 
          KUNNR,
          BUKRS,
          WBRSL 
     from KNB1</v>
      </c>
      <c r="AH295" s="8"/>
      <c r="AI295" s="20"/>
      <c r="AJ295" s="20"/>
      <c r="AK295" s="31">
        <v>62</v>
      </c>
      <c r="AL295" s="31"/>
    </row>
    <row r="296" spans="1:38" s="3" customFormat="1" ht="60" hidden="1" x14ac:dyDescent="0.25">
      <c r="A296" s="9">
        <v>293</v>
      </c>
      <c r="B296" s="7" t="s">
        <v>3973</v>
      </c>
      <c r="C296" s="7" t="s">
        <v>1207</v>
      </c>
      <c r="D296" s="7" t="s">
        <v>6719</v>
      </c>
      <c r="E296" s="7" t="s">
        <v>6720</v>
      </c>
      <c r="F296" s="7" t="s">
        <v>6722</v>
      </c>
      <c r="G296" s="7" t="s">
        <v>6361</v>
      </c>
      <c r="H296" s="7" t="s">
        <v>3967</v>
      </c>
      <c r="I296" s="7"/>
      <c r="J296" s="20" t="str">
        <f>VLOOKUP(V296,Table_to_BRG!A:D,3,FALSE)</f>
        <v>General data</v>
      </c>
      <c r="K296" s="20" t="str">
        <f>VLOOKUP(V296,Table_to_BRG!A:D,2,FALSE)</f>
        <v>General</v>
      </c>
      <c r="L296" s="20"/>
      <c r="M296" s="20"/>
      <c r="N296" s="9"/>
      <c r="O296" s="54"/>
      <c r="P296" s="7" t="s">
        <v>8511</v>
      </c>
      <c r="Q296" s="11" t="str">
        <f>UPPER(LEFT(Table362[[#This Row],[Entity]],3))&amp;RIGHT("00"&amp;Table362[[#This Row],[Rule '# by Entity]],3)&amp;"0_"&amp;MID(SUBSTITUTE(Table362[[#This Row],[Rule Name]],"_","|",3),SEARCH("|",SUBSTITUTE(Table362[[#This Row],[Rule Name]],"_","|",3))+1,LEN(Table362[[#This Row],[Rule Name]]))</f>
        <v>VEN0120_SearchTerm1Populated</v>
      </c>
      <c r="R296" s="8" t="s">
        <v>8297</v>
      </c>
      <c r="S296" s="7" t="s">
        <v>21</v>
      </c>
      <c r="T296" s="7"/>
      <c r="U296" s="7" t="s">
        <v>916</v>
      </c>
      <c r="V296" s="7" t="s">
        <v>3542</v>
      </c>
      <c r="W296" s="7" t="s">
        <v>3647</v>
      </c>
      <c r="X296" s="8" t="s">
        <v>3650</v>
      </c>
      <c r="Y296" s="7" t="s">
        <v>5978</v>
      </c>
      <c r="Z296" s="7" t="s">
        <v>5978</v>
      </c>
      <c r="AA296" s="10" t="s">
        <v>917</v>
      </c>
      <c r="AB296" s="10"/>
      <c r="AC296" s="10" t="s">
        <v>6813</v>
      </c>
      <c r="AD296" s="10"/>
      <c r="AE296" s="13" t="str">
        <f>IF(Table362[[#This Row],[Entity]]="Customer","KUNNR",IF(Table362[[#This Row],[Entity]]="Vendor","LIFNR","MATNR"))&amp;","&amp;Table362[[#This Row],[Field]]</f>
        <v>LIFNR,MCOD1</v>
      </c>
      <c r="AF296" s="13" t="str">
        <f>"VW_"&amp;Table362[[#This Row],[New Rule Name]]</f>
        <v>VW_VEN0120_SearchTerm1Populated</v>
      </c>
      <c r="AG296" s="11" t="str">
        <f>"create view "&amp;Table362[[#This Row],[View Name]]&amp;" as 
     select 
          "&amp;IF(Table362[[#This Row],[Entity]]="Customer","KUNNR",IF(Table362[[#This Row],[Entity]]="Vendor","LIFNR","MATNR"))&amp;",
          "&amp;Table362[[#This Row],[Field]]&amp;" 
     from "&amp;Table362[[#This Row],[Table]]</f>
        <v>create view VW_VEN0120_SearchTerm1Populated as 
     select 
          LIFNR,
          MCOD1 
     from LFA1</v>
      </c>
      <c r="AH296" s="8"/>
      <c r="AI296" s="20" t="s">
        <v>6597</v>
      </c>
      <c r="AJ296" s="20"/>
      <c r="AK296" s="31">
        <v>12</v>
      </c>
      <c r="AL296" s="31"/>
    </row>
    <row r="297" spans="1:38" s="3" customFormat="1" ht="84" hidden="1" x14ac:dyDescent="0.25">
      <c r="A297" s="9">
        <v>294</v>
      </c>
      <c r="B297" s="7" t="s">
        <v>3973</v>
      </c>
      <c r="C297" s="7" t="s">
        <v>16</v>
      </c>
      <c r="D297" s="7" t="s">
        <v>6719</v>
      </c>
      <c r="E297" s="7" t="s">
        <v>6720</v>
      </c>
      <c r="F297" s="7" t="s">
        <v>6721</v>
      </c>
      <c r="G297" s="7" t="s">
        <v>6358</v>
      </c>
      <c r="H297" s="7" t="s">
        <v>6359</v>
      </c>
      <c r="I297" s="7" t="s">
        <v>3970</v>
      </c>
      <c r="J297" s="20" t="str">
        <f>VLOOKUP(V297,Table_to_BRG!A:D,3,FALSE)</f>
        <v>Company Code data</v>
      </c>
      <c r="K297" s="20" t="str">
        <f>VLOOKUP(V297,Table_to_BRG!A:D,2,FALSE)</f>
        <v>Company Code</v>
      </c>
      <c r="L297" s="20"/>
      <c r="M297" s="20"/>
      <c r="N297" s="9"/>
      <c r="O297" s="54"/>
      <c r="P297" s="7" t="s">
        <v>7878</v>
      </c>
      <c r="Q297" s="11" t="str">
        <f>UPPER(LEFT(Table362[[#This Row],[Entity]],3))&amp;RIGHT("00"&amp;Table362[[#This Row],[Rule '# by Entity]],3)&amp;"0_"&amp;MID(SUBSTITUTE(Table362[[#This Row],[Rule Name]],"_","|",3),SEARCH("|",SUBSTITUTE(Table362[[#This Row],[Rule Name]],"_","|",3))+1,LEN(Table362[[#This Row],[Rule Name]]))</f>
        <v>CUS0520_BankStatementIndicatorRef</v>
      </c>
      <c r="R297" s="13" t="s">
        <v>8047</v>
      </c>
      <c r="S297" s="7" t="s">
        <v>2</v>
      </c>
      <c r="T297" s="7"/>
      <c r="U297" s="7" t="s">
        <v>167</v>
      </c>
      <c r="V297" s="7" t="s">
        <v>2740</v>
      </c>
      <c r="W297" s="7" t="s">
        <v>2794</v>
      </c>
      <c r="X297" s="8" t="s">
        <v>2813</v>
      </c>
      <c r="Y297" s="7" t="s">
        <v>4236</v>
      </c>
      <c r="Z297" s="7" t="s">
        <v>2794</v>
      </c>
      <c r="AA297" s="11" t="str">
        <f>"BEGIN
     RETURN exists('DS_IS_RDS', '"&amp;Table362[[#This Row],[Lookup Table]]&amp;"', '"&amp;Table362[[#This Row],[Lookup Field]]&amp;"', "&amp;Table362[[#This Row],[IS Parameter]]&amp;");
END"</f>
        <v>BEGIN
     RETURN exists('DS_IS_RDS', 'T048K', 'XAUSZ', $P_I_BankStmtInd);
END</v>
      </c>
      <c r="AB297" s="11" t="str">
        <f>Table362[[#This Row],[IS Parameter]]&amp;" IS NOT NULL
AND "&amp; Table362[[#This Row],[IS Parameter]]&amp;" != ''"</f>
        <v>$P_I_BankStmtInd IS NOT NULL
AND $P_I_BankStmtInd != ''</v>
      </c>
      <c r="AC297" s="10" t="s">
        <v>6663</v>
      </c>
      <c r="AD297" s="10"/>
      <c r="AE297" s="13" t="str">
        <f>IF(Table362[[#This Row],[Entity]]="Customer","KUNNR",IF(Table362[[#This Row],[Entity]]="Vendor","LIFNR","MATNR"))&amp;",BUKRS"&amp;","&amp;Table362[[#This Row],[Field]]</f>
        <v>KUNNR,BUKRS,XAUSZ</v>
      </c>
      <c r="AF297" s="13" t="str">
        <f>"VW_"&amp;Table362[[#This Row],[New Rule Name]]</f>
        <v>VW_CUS0520_BankStatementIndicatorRef</v>
      </c>
      <c r="AG297" s="11" t="str">
        <f>"create view "&amp;Table362[[#This Row],[View Name]]&amp;" as 
     select 
          "&amp;IF(Table362[[#This Row],[Entity]]="Customer","KUNNR",IF(Table362[[#This Row],[Entity]]="Vendor","LIFNR","MATNR"))&amp;",
          BUKRS,
          "&amp;Table362[[#This Row],[Field]]&amp;" 
     from "&amp;Table362[[#This Row],[Table]]</f>
        <v>create view VW_CUS0520_BankStatementIndicatorRef as 
     select 
          KUNNR,
          BUKRS,
          XAUSZ 
     from KNB1</v>
      </c>
      <c r="AH297" s="8"/>
      <c r="AI297" s="20" t="s">
        <v>7622</v>
      </c>
      <c r="AJ297" s="20"/>
      <c r="AK297" s="31">
        <v>52</v>
      </c>
      <c r="AL297" s="31"/>
    </row>
    <row r="298" spans="1:38" s="38" customFormat="1" ht="48" hidden="1" x14ac:dyDescent="0.25">
      <c r="A298" s="14">
        <v>296</v>
      </c>
      <c r="B298" s="15" t="s">
        <v>3973</v>
      </c>
      <c r="C298" s="15" t="s">
        <v>16</v>
      </c>
      <c r="D298" s="15" t="s">
        <v>6711</v>
      </c>
      <c r="E298" s="15" t="s">
        <v>6714</v>
      </c>
      <c r="F298" s="15" t="s">
        <v>6715</v>
      </c>
      <c r="G298" s="15"/>
      <c r="H298" s="15"/>
      <c r="I298" s="15" t="s">
        <v>3971</v>
      </c>
      <c r="J298" s="27" t="str">
        <f>VLOOKUP(V298,Table_to_BRG!A:D,3,FALSE)</f>
        <v>General data</v>
      </c>
      <c r="K298" s="27" t="str">
        <f>VLOOKUP(V298,Table_to_BRG!A:D,2,FALSE)</f>
        <v>General</v>
      </c>
      <c r="L298" s="27"/>
      <c r="M298" s="27"/>
      <c r="N298" s="14" t="s">
        <v>6465</v>
      </c>
      <c r="O298" s="54" t="str">
        <f>"Superceded by rule "&amp;A1008</f>
        <v>Superceded by rule 388</v>
      </c>
      <c r="P298" s="16" t="s">
        <v>957</v>
      </c>
      <c r="Q298" s="17"/>
      <c r="R298" s="16" t="s">
        <v>477</v>
      </c>
      <c r="S298" s="15" t="s">
        <v>139</v>
      </c>
      <c r="T298" s="15"/>
      <c r="U298" s="16" t="s">
        <v>6616</v>
      </c>
      <c r="V298" s="15" t="s">
        <v>2741</v>
      </c>
      <c r="W298" s="16" t="s">
        <v>6427</v>
      </c>
      <c r="X298" s="16" t="s">
        <v>6428</v>
      </c>
      <c r="Y298" s="15" t="s">
        <v>5978</v>
      </c>
      <c r="Z298" s="15" t="s">
        <v>5978</v>
      </c>
      <c r="AA298" s="26" t="s">
        <v>6617</v>
      </c>
      <c r="AB298" s="26"/>
      <c r="AC298" s="26"/>
      <c r="AD298" s="26"/>
      <c r="AE298" s="18"/>
      <c r="AF298" s="18"/>
      <c r="AG298" s="17"/>
      <c r="AH298" s="16"/>
      <c r="AI298" s="27" t="s">
        <v>7659</v>
      </c>
      <c r="AJ298" s="27"/>
      <c r="AK298" s="36"/>
      <c r="AL298" s="52"/>
    </row>
    <row r="299" spans="1:38" s="3" customFormat="1" ht="84" hidden="1" x14ac:dyDescent="0.25">
      <c r="A299" s="9">
        <v>295</v>
      </c>
      <c r="B299" s="7" t="s">
        <v>3973</v>
      </c>
      <c r="C299" s="7" t="s">
        <v>16</v>
      </c>
      <c r="D299" s="7" t="s">
        <v>6719</v>
      </c>
      <c r="E299" s="7" t="s">
        <v>6720</v>
      </c>
      <c r="F299" s="7" t="s">
        <v>6721</v>
      </c>
      <c r="G299" s="7" t="s">
        <v>6358</v>
      </c>
      <c r="H299" s="7" t="s">
        <v>6359</v>
      </c>
      <c r="I299" s="7" t="s">
        <v>6421</v>
      </c>
      <c r="J299" s="20" t="str">
        <f>VLOOKUP(V299,Table_to_BRG!A:D,3,FALSE)</f>
        <v>Company Code data</v>
      </c>
      <c r="K299" s="20" t="str">
        <f>VLOOKUP(V299,Table_to_BRG!A:D,2,FALSE)</f>
        <v>Company Code</v>
      </c>
      <c r="L299" s="20"/>
      <c r="M299" s="20"/>
      <c r="N299" s="9"/>
      <c r="O299" s="54"/>
      <c r="P299" s="7" t="s">
        <v>7879</v>
      </c>
      <c r="Q299" s="11" t="str">
        <f>UPPER(LEFT(Table362[[#This Row],[Entity]],3))&amp;RIGHT("00"&amp;Table362[[#This Row],[Rule '# by Entity]],3)&amp;"0_"&amp;MID(SUBSTITUTE(Table362[[#This Row],[Rule Name]],"_","|",3),SEARCH("|",SUBSTITUTE(Table362[[#This Row],[Rule Name]],"_","|",3))+1,LEN(Table362[[#This Row],[Rule Name]]))</f>
        <v>CUS0570_DunningNoticeGroupingKeyRef</v>
      </c>
      <c r="R299" s="8" t="s">
        <v>8048</v>
      </c>
      <c r="S299" s="7" t="s">
        <v>2</v>
      </c>
      <c r="T299" s="7"/>
      <c r="U299" s="7" t="s">
        <v>440</v>
      </c>
      <c r="V299" s="7" t="s">
        <v>2740</v>
      </c>
      <c r="W299" s="7" t="s">
        <v>2793</v>
      </c>
      <c r="X299" s="8" t="s">
        <v>2811</v>
      </c>
      <c r="Y299" s="7" t="s">
        <v>6014</v>
      </c>
      <c r="Z299" s="7" t="s">
        <v>2793</v>
      </c>
      <c r="AA299" s="11" t="str">
        <f>"BEGIN
     RETURN exists('DS_IS_RDS', '"&amp;Table362[[#This Row],[Lookup Table]]&amp;"', '"&amp;Table362[[#This Row],[Lookup Field]]&amp;"', "&amp;Table362[[#This Row],[IS Parameter]]&amp;");
END"</f>
        <v>BEGIN
     RETURN exists('DS_IS_RDS', 'T047R', 'MGRUP', $P_I_DunningNoticeGroupingkey);
END</v>
      </c>
      <c r="AB299" s="11" t="str">
        <f>Table362[[#This Row],[IS Parameter]]&amp;" IS NOT NULL
AND "&amp; Table362[[#This Row],[IS Parameter]]&amp;" != ''"</f>
        <v>$P_I_DunningNoticeGroupingkey IS NOT NULL
AND $P_I_DunningNoticeGroupingkey != ''</v>
      </c>
      <c r="AC299" s="10" t="s">
        <v>6663</v>
      </c>
      <c r="AD299" s="10"/>
      <c r="AE299" s="13" t="str">
        <f>IF(Table362[[#This Row],[Entity]]="Customer","KUNNR",IF(Table362[[#This Row],[Entity]]="Vendor","LIFNR","MATNR"))&amp;",BUKRS"&amp;","&amp;Table362[[#This Row],[Field]]</f>
        <v>KUNNR,BUKRS,MGRUP</v>
      </c>
      <c r="AF299" s="13" t="str">
        <f>"VW_"&amp;Table362[[#This Row],[New Rule Name]]</f>
        <v>VW_CUS0570_DunningNoticeGroupingKeyRef</v>
      </c>
      <c r="AG299" s="11" t="str">
        <f>"create view "&amp;Table362[[#This Row],[View Name]]&amp;" as 
     select 
          "&amp;IF(Table362[[#This Row],[Entity]]="Customer","KUNNR",IF(Table362[[#This Row],[Entity]]="Vendor","LIFNR","MATNR"))&amp;",
          BUKRS,
          "&amp;Table362[[#This Row],[Field]]&amp;" 
     from "&amp;Table362[[#This Row],[Table]]</f>
        <v>create view VW_CUS0570_DunningNoticeGroupingKeyRef as 
     select 
          KUNNR,
          BUKRS,
          MGRUP 
     from KNB1</v>
      </c>
      <c r="AH299" s="8"/>
      <c r="AI299" s="20" t="s">
        <v>6444</v>
      </c>
      <c r="AJ299" s="20"/>
      <c r="AK299" s="31">
        <v>57</v>
      </c>
      <c r="AL299" s="31"/>
    </row>
    <row r="300" spans="1:38" s="3" customFormat="1" ht="60" hidden="1" x14ac:dyDescent="0.25">
      <c r="A300" s="9">
        <v>297</v>
      </c>
      <c r="B300" s="7" t="s">
        <v>3973</v>
      </c>
      <c r="C300" s="7" t="s">
        <v>16</v>
      </c>
      <c r="D300" s="7" t="s">
        <v>6711</v>
      </c>
      <c r="E300" s="7" t="s">
        <v>6714</v>
      </c>
      <c r="F300" s="7" t="s">
        <v>6715</v>
      </c>
      <c r="G300" s="7" t="s">
        <v>6361</v>
      </c>
      <c r="H300" s="7" t="s">
        <v>6384</v>
      </c>
      <c r="I300" s="7"/>
      <c r="J300" s="20" t="str">
        <f>VLOOKUP(V300,Table_to_BRG!A:D,3,FALSE)</f>
        <v>General data</v>
      </c>
      <c r="K300" s="20" t="str">
        <f>VLOOKUP(V300,Table_to_BRG!A:D,2,FALSE)</f>
        <v>General</v>
      </c>
      <c r="L300" s="20"/>
      <c r="M300" s="20"/>
      <c r="N300" s="9"/>
      <c r="O300" s="54"/>
      <c r="P300" s="7" t="s">
        <v>7880</v>
      </c>
      <c r="Q300" s="11" t="str">
        <f>UPPER(LEFT(Table362[[#This Row],[Entity]],3))&amp;RIGHT("00"&amp;Table362[[#This Row],[Rule '# by Entity]],3)&amp;"0_"&amp;MID(SUBSTITUTE(Table362[[#This Row],[Rule Name]],"_","|",3),SEARCH("|",SUBSTITUTE(Table362[[#This Row],[Rule Name]],"_","|",3))+1,LEN(Table362[[#This Row],[Rule Name]]))</f>
        <v>CUS0270_LegalStatusRef</v>
      </c>
      <c r="R300" s="13" t="s">
        <v>8049</v>
      </c>
      <c r="S300" s="7" t="s">
        <v>21</v>
      </c>
      <c r="T300" s="7" t="s">
        <v>2</v>
      </c>
      <c r="U300" s="7" t="s">
        <v>960</v>
      </c>
      <c r="V300" s="7" t="s">
        <v>2741</v>
      </c>
      <c r="W300" s="7" t="s">
        <v>3245</v>
      </c>
      <c r="X300" s="8" t="s">
        <v>6417</v>
      </c>
      <c r="Y300" s="7" t="s">
        <v>6062</v>
      </c>
      <c r="Z300" s="7" t="s">
        <v>3245</v>
      </c>
      <c r="AA300" s="11" t="str">
        <f>"BEGIN
     RETURN exists('DS_IS_RDS', '"&amp;Table362[[#This Row],[Lookup Table]]&amp;"', '"&amp;Table362[[#This Row],[Lookup Field]]&amp;"', "&amp;Table362[[#This Row],[IS Parameter]]&amp;");
END"</f>
        <v>BEGIN
     RETURN exists('DS_IS_RDS', 'TVGF', 'GFORM', $P_I_LegalStatus);
END</v>
      </c>
      <c r="AB300" s="11" t="str">
        <f>Table362[[#This Row],[IS Parameter]]&amp;" IS NOT NULL
AND "&amp; Table362[[#This Row],[IS Parameter]]&amp;" != ''"</f>
        <v>$P_I_LegalStatus IS NOT NULL
AND $P_I_LegalStatus != ''</v>
      </c>
      <c r="AC300" s="10" t="s">
        <v>6663</v>
      </c>
      <c r="AD300" s="10"/>
      <c r="AE300" s="13" t="str">
        <f>IF(Table362[[#This Row],[Entity]]="Customer","KUNNR",IF(Table362[[#This Row],[Entity]]="Vendor","LIFNR","MATNR"))&amp;","&amp;Table362[[#This Row],[Field]]</f>
        <v>KUNNR,GFORM</v>
      </c>
      <c r="AF300" s="13" t="str">
        <f>"VW_"&amp;Table362[[#This Row],[New Rule Name]]</f>
        <v>VW_CUS0270_LegalStatusRef</v>
      </c>
      <c r="AG300" s="11" t="str">
        <f>"create view "&amp;Table362[[#This Row],[View Name]]&amp;" as 
     select 
          "&amp;IF(Table362[[#This Row],[Entity]]="Customer","KUNNR",IF(Table362[[#This Row],[Entity]]="Vendor","LIFNR","MATNR"))&amp;",
          "&amp;Table362[[#This Row],[Field]]&amp;" 
     from "&amp;Table362[[#This Row],[Table]]</f>
        <v>create view VW_CUS0270_LegalStatusRef as 
     select 
          KUNNR,
          GFORM 
     from KNA1</v>
      </c>
      <c r="AH300" s="8"/>
      <c r="AI300" s="20"/>
      <c r="AJ300" s="20"/>
      <c r="AK300" s="31">
        <v>27</v>
      </c>
      <c r="AL300" s="31"/>
    </row>
    <row r="301" spans="1:38" s="3" customFormat="1" ht="96" hidden="1" x14ac:dyDescent="0.25">
      <c r="A301" s="9">
        <v>298</v>
      </c>
      <c r="B301" s="7" t="s">
        <v>3973</v>
      </c>
      <c r="C301" s="7" t="s">
        <v>16</v>
      </c>
      <c r="D301" s="7" t="s">
        <v>6711</v>
      </c>
      <c r="E301" s="7" t="s">
        <v>6714</v>
      </c>
      <c r="F301" s="7" t="s">
        <v>6724</v>
      </c>
      <c r="G301" s="7" t="s">
        <v>6365</v>
      </c>
      <c r="H301" s="7" t="s">
        <v>2759</v>
      </c>
      <c r="I301" s="7"/>
      <c r="J301" s="20" t="str">
        <f>VLOOKUP(V301,Table_to_BRG!A:D,3,FALSE)</f>
        <v>Customer sales data</v>
      </c>
      <c r="K301" s="20" t="str">
        <f>VLOOKUP(V301,Table_to_BRG!A:D,2,FALSE)</f>
        <v>Sales</v>
      </c>
      <c r="L301" s="20"/>
      <c r="M301" s="20"/>
      <c r="N301" s="9"/>
      <c r="O301" s="54"/>
      <c r="P301" s="7" t="s">
        <v>7881</v>
      </c>
      <c r="Q301" s="11" t="str">
        <f>UPPER(LEFT(Table362[[#This Row],[Entity]],3))&amp;RIGHT("00"&amp;Table362[[#This Row],[Rule '# by Entity]],3)&amp;"0_"&amp;MID(SUBSTITUTE(Table362[[#This Row],[Rule Name]],"_","|",3),SEARCH("|",SUBSTITUTE(Table362[[#This Row],[Rule Name]],"_","|",3))+1,LEN(Table362[[#This Row],[Rule Name]]))</f>
        <v>CUS0950_PricingProcedureRef</v>
      </c>
      <c r="R301" s="13" t="s">
        <v>8050</v>
      </c>
      <c r="S301" s="7" t="s">
        <v>2</v>
      </c>
      <c r="T301" s="7"/>
      <c r="U301" s="7" t="s">
        <v>203</v>
      </c>
      <c r="V301" s="7" t="s">
        <v>3334</v>
      </c>
      <c r="W301" s="7" t="s">
        <v>3415</v>
      </c>
      <c r="X301" s="8" t="s">
        <v>3426</v>
      </c>
      <c r="Y301" s="7" t="s">
        <v>5776</v>
      </c>
      <c r="Z301" s="7" t="s">
        <v>3415</v>
      </c>
      <c r="AA301" s="11" t="str">
        <f>"BEGIN
     RETURN exists('DS_IS_RDS', '"&amp;Table362[[#This Row],[Lookup Table]]&amp;"', '"&amp;Table362[[#This Row],[Lookup Field]]&amp;"', "&amp;Table362[[#This Row],[IS Parameter]]&amp;");
END"</f>
        <v>BEGIN
     RETURN exists('DS_IS_RDS', 'TVKD', 'KALKS', $P_I_PricingProcedure);
END</v>
      </c>
      <c r="AB301" s="11" t="str">
        <f>Table362[[#This Row],[IS Parameter]]&amp;" IS NOT NULL
AND "&amp; Table362[[#This Row],[IS Parameter]]&amp;" != ''"</f>
        <v>$P_I_PricingProcedure IS NOT NULL
AND $P_I_PricingProcedure != ''</v>
      </c>
      <c r="AC301" s="10" t="s">
        <v>6663</v>
      </c>
      <c r="AD301" s="10"/>
      <c r="AE301" s="13" t="str">
        <f>IF(Table362[[#This Row],[Entity]]="Customer","KUNNR",IF(Table362[[#This Row],[Entity]]="Vendor","LIFNR","MATNR"))&amp;",VKORG,VTWEG,SPART,"&amp;Table362[[#This Row],[Field]]</f>
        <v>KUNNR,VKORG,VTWEG,SPART,KALKS</v>
      </c>
      <c r="AF301" s="13" t="str">
        <f>"VW_"&amp;Table362[[#This Row],[New Rule Name]]</f>
        <v>VW_CUS0950_PricingProcedureRef</v>
      </c>
      <c r="AG301" s="11" t="str">
        <f>"create view "&amp;Table362[[#This Row],[View Name]]&amp;" as 
     select 
          "&amp;IF(Table362[[#This Row],[Entity]]="Customer","KUNNR",IF(Table362[[#This Row],[Entity]]="Vendor","LIFNR","MATNR"))&amp;",
          VKORG,
          VTWEG,
          SPART,
          "&amp;Table362[[#This Row],[Field]]&amp;" 
     from "&amp;Table362[[#This Row],[Table]]</f>
        <v>create view VW_CUS0950_PricingProcedureRef as 
     select 
          KUNNR,
          VKORG,
          VTWEG,
          SPART,
          KALKS 
     from KNVV</v>
      </c>
      <c r="AH301" s="13"/>
      <c r="AI301" s="20"/>
      <c r="AJ301" s="20"/>
      <c r="AK301" s="31">
        <v>95</v>
      </c>
      <c r="AL301" s="31"/>
    </row>
    <row r="302" spans="1:38" s="3" customFormat="1" ht="60" hidden="1" x14ac:dyDescent="0.25">
      <c r="A302" s="9">
        <v>299</v>
      </c>
      <c r="B302" s="7" t="s">
        <v>3973</v>
      </c>
      <c r="C302" s="7" t="s">
        <v>1207</v>
      </c>
      <c r="D302" s="7" t="s">
        <v>6719</v>
      </c>
      <c r="E302" s="7" t="s">
        <v>6720</v>
      </c>
      <c r="F302" s="7" t="s">
        <v>6722</v>
      </c>
      <c r="G302" s="7" t="s">
        <v>6361</v>
      </c>
      <c r="H302" s="7" t="s">
        <v>6363</v>
      </c>
      <c r="I302" s="7"/>
      <c r="J302" s="20" t="str">
        <f>VLOOKUP(V302,Table_to_BRG!A:D,3,FALSE)</f>
        <v>General data</v>
      </c>
      <c r="K302" s="20" t="str">
        <f>VLOOKUP(V302,Table_to_BRG!A:D,2,FALSE)</f>
        <v>General</v>
      </c>
      <c r="L302" s="20"/>
      <c r="M302" s="20"/>
      <c r="N302" s="9"/>
      <c r="O302" s="54"/>
      <c r="P302" s="7" t="s">
        <v>8512</v>
      </c>
      <c r="Q302" s="11" t="str">
        <f>UPPER(LEFT(Table362[[#This Row],[Entity]],3))&amp;RIGHT("00"&amp;Table362[[#This Row],[Rule '# by Entity]],3)&amp;"0_"&amp;MID(SUBSTITUTE(Table362[[#This Row],[Rule Name]],"_","|",3),SEARCH("|",SUBSTITUTE(Table362[[#This Row],[Rule Name]],"_","|",3))+1,LEN(Table362[[#This Row],[Rule Name]]))</f>
        <v>VEN0270_CarrierFreightGroupRef</v>
      </c>
      <c r="R302" s="8" t="s">
        <v>8273</v>
      </c>
      <c r="S302" s="7" t="s">
        <v>2</v>
      </c>
      <c r="T302" s="7"/>
      <c r="U302" s="7" t="s">
        <v>967</v>
      </c>
      <c r="V302" s="7" t="s">
        <v>3542</v>
      </c>
      <c r="W302" s="7" t="s">
        <v>3742</v>
      </c>
      <c r="X302" s="8" t="s">
        <v>3755</v>
      </c>
      <c r="Y302" s="7" t="s">
        <v>6063</v>
      </c>
      <c r="Z302" s="7" t="s">
        <v>3742</v>
      </c>
      <c r="AA302" s="11" t="str">
        <f>"BEGIN
     RETURN exists('DS_IS_RDS', '"&amp;Table362[[#This Row],[Lookup Table]]&amp;"', '"&amp;Table362[[#This Row],[Lookup Field]]&amp;"', "&amp;Table362[[#This Row],[IS Parameter]]&amp;");
END"</f>
        <v>BEGIN
     RETURN exists('DS_IS_RDS', 'TSFG', 'SFRGR', $P_I_CarrFrieghtGroup);
END</v>
      </c>
      <c r="AB302" s="11"/>
      <c r="AC302" s="10" t="s">
        <v>6663</v>
      </c>
      <c r="AD302" s="10"/>
      <c r="AE302" s="13" t="str">
        <f>IF(Table362[[#This Row],[Entity]]="Customer","KUNNR",IF(Table362[[#This Row],[Entity]]="Vendor","LIFNR","MATNR"))&amp;","&amp;Table362[[#This Row],[Field]]</f>
        <v>LIFNR,SFRGR</v>
      </c>
      <c r="AF302" s="13" t="str">
        <f>"VW_"&amp;Table362[[#This Row],[New Rule Name]]</f>
        <v>VW_VEN0270_CarrierFreightGroupRef</v>
      </c>
      <c r="AG302" s="11" t="str">
        <f>"create view "&amp;Table362[[#This Row],[View Name]]&amp;" as 
     select 
          "&amp;IF(Table362[[#This Row],[Entity]]="Customer","KUNNR",IF(Table362[[#This Row],[Entity]]="Vendor","LIFNR","MATNR"))&amp;",
          "&amp;Table362[[#This Row],[Field]]&amp;" 
     from "&amp;Table362[[#This Row],[Table]]</f>
        <v>create view VW_VEN0270_CarrierFreightGroupRef as 
     select 
          LIFNR,
          SFRGR 
     from LFA1</v>
      </c>
      <c r="AH302" s="8"/>
      <c r="AI302" s="20"/>
      <c r="AJ302" s="20"/>
      <c r="AK302" s="31">
        <v>27</v>
      </c>
      <c r="AL302" s="31"/>
    </row>
    <row r="303" spans="1:38" s="3" customFormat="1" ht="60" hidden="1" x14ac:dyDescent="0.25">
      <c r="A303" s="9">
        <v>300</v>
      </c>
      <c r="B303" s="7" t="s">
        <v>3973</v>
      </c>
      <c r="C303" s="7" t="s">
        <v>1207</v>
      </c>
      <c r="D303" s="7" t="s">
        <v>6719</v>
      </c>
      <c r="E303" s="7" t="s">
        <v>6720</v>
      </c>
      <c r="F303" s="7" t="s">
        <v>6722</v>
      </c>
      <c r="G303" s="7" t="s">
        <v>6361</v>
      </c>
      <c r="H303" s="7" t="s">
        <v>3967</v>
      </c>
      <c r="I303" s="7"/>
      <c r="J303" s="20" t="str">
        <f>VLOOKUP(V303,Table_to_BRG!A:D,3,FALSE)</f>
        <v>General data</v>
      </c>
      <c r="K303" s="20" t="str">
        <f>VLOOKUP(V303,Table_to_BRG!A:D,2,FALSE)</f>
        <v>General</v>
      </c>
      <c r="L303" s="20"/>
      <c r="M303" s="20"/>
      <c r="N303" s="9"/>
      <c r="O303" s="54"/>
      <c r="P303" s="7" t="s">
        <v>8513</v>
      </c>
      <c r="Q303" s="11" t="str">
        <f>UPPER(LEFT(Table362[[#This Row],[Entity]],3))&amp;RIGHT("00"&amp;Table362[[#This Row],[Rule '# by Entity]],3)&amp;"0_"&amp;MID(SUBSTITUTE(Table362[[#This Row],[Rule Name]],"_","|",3),SEARCH("|",SUBSTITUTE(Table362[[#This Row],[Rule Name]],"_","|",3))+1,LEN(Table362[[#This Row],[Rule Name]]))</f>
        <v>VEN0210_LanguageKeyPopulated</v>
      </c>
      <c r="R303" s="8" t="s">
        <v>8123</v>
      </c>
      <c r="S303" s="7" t="s">
        <v>21</v>
      </c>
      <c r="T303" s="7"/>
      <c r="U303" s="7" t="s">
        <v>523</v>
      </c>
      <c r="V303" s="7" t="s">
        <v>3542</v>
      </c>
      <c r="W303" s="7" t="s">
        <v>1534</v>
      </c>
      <c r="X303" s="8" t="s">
        <v>2974</v>
      </c>
      <c r="Y303" s="7" t="s">
        <v>5978</v>
      </c>
      <c r="Z303" s="7" t="s">
        <v>5978</v>
      </c>
      <c r="AA303" s="10" t="s">
        <v>840</v>
      </c>
      <c r="AB303" s="10"/>
      <c r="AC303" s="10" t="s">
        <v>6813</v>
      </c>
      <c r="AD303" s="10"/>
      <c r="AE303" s="13" t="str">
        <f>IF(Table362[[#This Row],[Entity]]="Customer","KUNNR",IF(Table362[[#This Row],[Entity]]="Vendor","LIFNR","MATNR"))&amp;","&amp;Table362[[#This Row],[Field]]</f>
        <v>LIFNR,SPRAS</v>
      </c>
      <c r="AF303" s="13" t="str">
        <f>"VW_"&amp;Table362[[#This Row],[New Rule Name]]</f>
        <v>VW_VEN0210_LanguageKeyPopulated</v>
      </c>
      <c r="AG303" s="11" t="str">
        <f>"create view "&amp;Table362[[#This Row],[View Name]]&amp;" as 
     select 
          "&amp;IF(Table362[[#This Row],[Entity]]="Customer","KUNNR",IF(Table362[[#This Row],[Entity]]="Vendor","LIFNR","MATNR"))&amp;",
          "&amp;Table362[[#This Row],[Field]]&amp;" 
     from "&amp;Table362[[#This Row],[Table]]</f>
        <v>create view VW_VEN0210_LanguageKeyPopulated as 
     select 
          LIFNR,
          SPRAS 
     from LFA1</v>
      </c>
      <c r="AH303" s="8"/>
      <c r="AI303" s="20" t="s">
        <v>6528</v>
      </c>
      <c r="AJ303" s="20"/>
      <c r="AK303" s="31">
        <v>21</v>
      </c>
      <c r="AL303" s="31"/>
    </row>
    <row r="304" spans="1:38" s="3" customFormat="1" ht="60" x14ac:dyDescent="0.25">
      <c r="A304" s="9">
        <v>301</v>
      </c>
      <c r="B304" s="7" t="s">
        <v>3973</v>
      </c>
      <c r="C304" s="7" t="s">
        <v>3</v>
      </c>
      <c r="D304" s="7" t="s">
        <v>6711</v>
      </c>
      <c r="E304" s="7" t="s">
        <v>6712</v>
      </c>
      <c r="F304" s="7" t="s">
        <v>6725</v>
      </c>
      <c r="G304" s="7" t="s">
        <v>6703</v>
      </c>
      <c r="H304" s="7" t="s">
        <v>6373</v>
      </c>
      <c r="I304" s="7"/>
      <c r="J304" s="20" t="str">
        <f>VLOOKUP(V304,Table_to_BRG!A:D,3,FALSE)</f>
        <v>Plant data</v>
      </c>
      <c r="K304" s="20" t="str">
        <f>VLOOKUP(V304,Table_to_BRG!A:D,2,FALSE)</f>
        <v>Plant</v>
      </c>
      <c r="L304" s="20"/>
      <c r="M304" s="20"/>
      <c r="N304" s="9"/>
      <c r="O304" s="54"/>
      <c r="P304" s="7" t="s">
        <v>8417</v>
      </c>
      <c r="Q304" s="11" t="str">
        <f>UPPER(LEFT(Table362[[#This Row],[Entity]],3))&amp;RIGHT("00"&amp;Table362[[#This Row],[Rule '# by Entity]],3)&amp;"0_"&amp;MID(SUBSTITUTE(Table362[[#This Row],[Rule Name]],"_","|",3),SEARCH("|",SUBSTITUTE(Table362[[#This Row],[Rule Name]],"_","|",3))+1,LEN(Table362[[#This Row],[Rule Name]]))</f>
        <v>MAT0030_MRPGroupRef</v>
      </c>
      <c r="R304" s="8" t="s">
        <v>7970</v>
      </c>
      <c r="S304" s="7" t="s">
        <v>2</v>
      </c>
      <c r="T304" s="7"/>
      <c r="U304" s="7" t="s">
        <v>972</v>
      </c>
      <c r="V304" s="7" t="s">
        <v>1527</v>
      </c>
      <c r="W304" s="7" t="s">
        <v>2044</v>
      </c>
      <c r="X304" s="8" t="s">
        <v>8626</v>
      </c>
      <c r="Y304" s="7" t="s">
        <v>6064</v>
      </c>
      <c r="Z304" s="7" t="s">
        <v>1494</v>
      </c>
      <c r="AA304" s="11" t="str">
        <f>"BEGIN
     RETURN exists('DS_IS_RDS', '"&amp;Table362[[#This Row],[Lookup Table]]&amp;"', '"&amp;Table362[[#This Row],[Lookup Field]]&amp;"', "&amp;Table362[[#This Row],[IS Parameter]]&amp;");
END"</f>
        <v>BEGIN
     RETURN exists('DS_IS_RDS', 'T438M', 'MTART', $P_I_MRPGroup);
END</v>
      </c>
      <c r="AB304" s="11" t="str">
        <f>Table362[[#This Row],[IS Parameter]]&amp;" IS NOT NULL AND rtrim("&amp;Table362[[#This Row],[IS Parameter]]&amp;", ' ') != ''"</f>
        <v>$P_I_MRPGroup IS NOT NULL AND rtrim($P_I_MRPGroup, ' ') != ''</v>
      </c>
      <c r="AC304" s="10" t="s">
        <v>6663</v>
      </c>
      <c r="AD304" s="10"/>
      <c r="AE304" s="13" t="str">
        <f>IF(Table362[[#This Row],[Entity]]="Customer","KUNNR",IF(Table362[[#This Row],[Entity]]="Vendor","LIFNR","MATNR"))&amp;","&amp;Table362[[#This Row],[Field]]</f>
        <v>MATNR,DISGR</v>
      </c>
      <c r="AF304" s="13" t="str">
        <f>"VW_"&amp;Table362[[#This Row],[New Rule Name]]</f>
        <v>VW_MAT0030_MRPGroupRef</v>
      </c>
      <c r="AG304" s="11" t="str">
        <f>"create view "&amp;Table362[[#This Row],[View Name]]&amp;" as 
     select 
          "&amp;IF(Table362[[#This Row],[Entity]]="Customer","KUNNR",IF(Table362[[#This Row],[Entity]]="Vendor","LIFNR","MATNR"))&amp;",
          "&amp;Table362[[#This Row],[Field]]&amp;" 
     from "&amp;Table362[[#This Row],[Table]]</f>
        <v>create view VW_MAT0030_MRPGroupRef as 
     select 
          MATNR,
          DISGR 
     from MARC</v>
      </c>
      <c r="AH304" s="8"/>
      <c r="AI304" s="20" t="s">
        <v>6680</v>
      </c>
      <c r="AJ304" s="20"/>
      <c r="AK304" s="31">
        <v>3</v>
      </c>
      <c r="AL304" s="31"/>
    </row>
    <row r="305" spans="1:38" s="3" customFormat="1" ht="48" hidden="1" x14ac:dyDescent="0.25">
      <c r="A305" s="9">
        <v>303</v>
      </c>
      <c r="B305" s="7" t="s">
        <v>3973</v>
      </c>
      <c r="C305" s="7" t="s">
        <v>16</v>
      </c>
      <c r="D305" s="7" t="s">
        <v>6711</v>
      </c>
      <c r="E305" s="7" t="s">
        <v>6714</v>
      </c>
      <c r="F305" s="7" t="s">
        <v>6715</v>
      </c>
      <c r="G305" s="7" t="s">
        <v>6361</v>
      </c>
      <c r="H305" s="7" t="s">
        <v>3967</v>
      </c>
      <c r="I305" s="7"/>
      <c r="J305" s="20" t="str">
        <f>VLOOKUP(V305,Table_to_BRG!A:D,3,FALSE)</f>
        <v>General data</v>
      </c>
      <c r="K305" s="20" t="str">
        <f>VLOOKUP(V305,Table_to_BRG!A:D,2,FALSE)</f>
        <v>General</v>
      </c>
      <c r="L305" s="20"/>
      <c r="M305" s="20"/>
      <c r="N305" s="9" t="s">
        <v>6465</v>
      </c>
      <c r="O305" s="54" t="s">
        <v>7785</v>
      </c>
      <c r="P305" s="7" t="s">
        <v>8232</v>
      </c>
      <c r="Q305" s="11"/>
      <c r="R305" s="8" t="s">
        <v>8175</v>
      </c>
      <c r="S305" s="7" t="s">
        <v>21</v>
      </c>
      <c r="T305" s="7"/>
      <c r="U305" s="7" t="s">
        <v>787</v>
      </c>
      <c r="V305" s="7" t="s">
        <v>2741</v>
      </c>
      <c r="W305" s="7" t="s">
        <v>6490</v>
      </c>
      <c r="X305" s="8" t="s">
        <v>6491</v>
      </c>
      <c r="Y305"/>
      <c r="Z305"/>
      <c r="AA305" s="10" t="s">
        <v>788</v>
      </c>
      <c r="AB305" s="10"/>
      <c r="AC305" s="10" t="s">
        <v>6813</v>
      </c>
      <c r="AD305" s="10"/>
      <c r="AE305" s="13" t="s">
        <v>6433</v>
      </c>
      <c r="AF305" s="13"/>
      <c r="AG305" s="11"/>
      <c r="AH305" s="8"/>
      <c r="AI305" s="20" t="s">
        <v>7595</v>
      </c>
      <c r="AJ305" s="20"/>
      <c r="AK305" s="36"/>
      <c r="AL305" s="31"/>
    </row>
    <row r="306" spans="1:38" s="3" customFormat="1" ht="48" hidden="1" x14ac:dyDescent="0.25">
      <c r="A306" s="9">
        <v>304</v>
      </c>
      <c r="B306" s="7" t="s">
        <v>3973</v>
      </c>
      <c r="C306" s="7" t="s">
        <v>16</v>
      </c>
      <c r="D306" s="7" t="s">
        <v>5978</v>
      </c>
      <c r="E306" s="7" t="s">
        <v>5978</v>
      </c>
      <c r="F306" s="7" t="s">
        <v>5978</v>
      </c>
      <c r="G306" s="7" t="s">
        <v>6365</v>
      </c>
      <c r="H306" s="7" t="s">
        <v>6368</v>
      </c>
      <c r="I306" s="7"/>
      <c r="J306" s="20" t="str">
        <f>VLOOKUP(V306,Table_to_BRG!A:D,3,FALSE)</f>
        <v>Customer sales data</v>
      </c>
      <c r="K306" s="20" t="str">
        <f>VLOOKUP(V306,Table_to_BRG!A:D,2,FALSE)</f>
        <v>Sales</v>
      </c>
      <c r="L306" s="20"/>
      <c r="M306" s="20"/>
      <c r="N306" s="9"/>
      <c r="O306" s="54"/>
      <c r="P306" s="7" t="s">
        <v>8193</v>
      </c>
      <c r="Q306" s="11" t="str">
        <f>UPPER(LEFT(Table362[[#This Row],[Entity]],3))&amp;RIGHT("00"&amp;Table362[[#This Row],[Rule '# by Entity]],3)&amp;"0_"&amp;MID(SUBSTITUTE(Table362[[#This Row],[Rule Name]],"_","|",3),SEARCH("|",SUBSTITUTE(Table362[[#This Row],[Rule Name]],"_","|",3))+1,LEN(Table362[[#This Row],[Rule Name]]))</f>
        <v>CUS1010_PartialDeliveryperItemIsValid</v>
      </c>
      <c r="R306" s="8" t="s">
        <v>8192</v>
      </c>
      <c r="S306" s="7" t="s">
        <v>4135</v>
      </c>
      <c r="T306" s="7" t="s">
        <v>2</v>
      </c>
      <c r="U306" s="7" t="s">
        <v>981</v>
      </c>
      <c r="V306" s="7" t="s">
        <v>3334</v>
      </c>
      <c r="W306" s="7" t="s">
        <v>3462</v>
      </c>
      <c r="X306" s="8" t="s">
        <v>3471</v>
      </c>
      <c r="Y306" s="7" t="s">
        <v>5978</v>
      </c>
      <c r="Z306" s="7" t="s">
        <v>5978</v>
      </c>
      <c r="AA306" s="10" t="s">
        <v>8611</v>
      </c>
      <c r="AB306" s="11" t="str">
        <f>Table362[[#This Row],[IS Parameter]]&amp;" IS NOT NULL
AND "&amp; Table362[[#This Row],[IS Parameter]]&amp;" != ''"</f>
        <v>$P_I_PartialDelivery IS NOT NULL
AND $P_I_PartialDelivery != ''</v>
      </c>
      <c r="AC306" s="13" t="s">
        <v>6924</v>
      </c>
      <c r="AD306"/>
      <c r="AE306" s="13" t="str">
        <f>IF(Table362[[#This Row],[Entity]]="Customer","KUNNR",IF(Table362[[#This Row],[Entity]]="Vendor","LIFNR","MATNR"))&amp;",VKORG,VTWEG,SPART,"&amp;Table362[[#This Row],[Field]]</f>
        <v>KUNNR,VKORG,VTWEG,SPART,KZTLF</v>
      </c>
      <c r="AF306" s="13" t="str">
        <f>"VW_"&amp;Table362[[#This Row],[New Rule Name]]</f>
        <v>VW_CUS1010_PartialDeliveryperItemIsValid</v>
      </c>
      <c r="AG306" s="11"/>
      <c r="AH306" s="8"/>
      <c r="AI306" s="20"/>
      <c r="AJ306" s="20"/>
      <c r="AK306" s="31">
        <v>101</v>
      </c>
      <c r="AL306" s="31"/>
    </row>
    <row r="307" spans="1:38" s="3" customFormat="1" ht="84" x14ac:dyDescent="0.25">
      <c r="A307" s="9">
        <v>302</v>
      </c>
      <c r="B307" s="7" t="s">
        <v>3973</v>
      </c>
      <c r="C307" s="7" t="s">
        <v>3</v>
      </c>
      <c r="D307" s="7" t="s">
        <v>6711</v>
      </c>
      <c r="E307" s="7" t="s">
        <v>6712</v>
      </c>
      <c r="F307" s="7" t="s">
        <v>6713</v>
      </c>
      <c r="G307" s="7" t="s">
        <v>6703</v>
      </c>
      <c r="H307" s="7" t="s">
        <v>6376</v>
      </c>
      <c r="I307" s="7"/>
      <c r="J307" s="20" t="str">
        <f>VLOOKUP(V307,Table_to_BRG!A:D,3,FALSE)</f>
        <v>Plant data</v>
      </c>
      <c r="K307" s="20" t="str">
        <f>VLOOKUP(V307,Table_to_BRG!A:D,2,FALSE)</f>
        <v>Plant</v>
      </c>
      <c r="L307" s="20"/>
      <c r="M307" s="20"/>
      <c r="N307" s="9"/>
      <c r="O307" s="54"/>
      <c r="P307" s="7" t="s">
        <v>8557</v>
      </c>
      <c r="Q307" s="11" t="str">
        <f>UPPER(LEFT(Table362[[#This Row],[Entity]],3))&amp;RIGHT("00"&amp;Table362[[#This Row],[Rule '# by Entity]],3)&amp;"0_"&amp;MID(SUBSTITUTE(Table362[[#This Row],[Rule Name]],"_","|",3),SEARCH("|",SUBSTITUTE(Table362[[#This Row],[Rule Name]],"_","|",3))+1,LEN(Table362[[#This Row],[Rule Name]]))</f>
        <v>MAT0940_MRPDependentReqtIsValid</v>
      </c>
      <c r="R307" s="8" t="s">
        <v>8183</v>
      </c>
      <c r="S307" s="7" t="s">
        <v>4135</v>
      </c>
      <c r="T307" s="7" t="s">
        <v>2</v>
      </c>
      <c r="U307" s="7" t="s">
        <v>976</v>
      </c>
      <c r="V307" s="7" t="s">
        <v>1527</v>
      </c>
      <c r="W307" s="7" t="s">
        <v>2224</v>
      </c>
      <c r="X307" s="8" t="s">
        <v>2242</v>
      </c>
      <c r="Y307" s="7" t="s">
        <v>5978</v>
      </c>
      <c r="Z307" s="7" t="s">
        <v>5978</v>
      </c>
      <c r="AA307" s="10" t="s">
        <v>8593</v>
      </c>
      <c r="AB307" s="11" t="str">
        <f>Table362[[#This Row],[IS Parameter]]&amp;" IS NOT NULL AND rtrim("&amp;Table362[[#This Row],[IS Parameter]]&amp;", ' ') != ''"</f>
        <v>$P_I_MRPDependent IS NOT NULL AND rtrim($P_I_MRPDependent, ' ') != ''</v>
      </c>
      <c r="AC307" s="13" t="s">
        <v>7792</v>
      </c>
      <c r="AD307"/>
      <c r="AE307" s="13" t="str">
        <f>IF(Table362[[#This Row],[Entity]]="Customer","KUNNR",IF(Table362[[#This Row],[Entity]]="Vendor","LIFNR","MATNR"))&amp;",WERKS"&amp;","&amp;Table362[[#This Row],[Field]]</f>
        <v>MATNR,WERKS,AHDIS</v>
      </c>
      <c r="AF307" s="13" t="str">
        <f>"VW_"&amp;Table362[[#This Row],[New Rule Name]]</f>
        <v>VW_MAT0940_MRPDependentReqtIsValid</v>
      </c>
      <c r="AG307" s="11" t="str">
        <f>"create view "&amp;Table362[[#This Row],[View Name]]&amp;" as 
     select 
          "&amp;IF(Table362[[#This Row],[Entity]]="Customer","KUNNR",IF(Table362[[#This Row],[Entity]]="Vendor","LIFNR","MATNR"))&amp;",
          WERKS,
          "&amp;Table362[[#This Row],[Field]]&amp;" 
     from "&amp;Table362[[#This Row],[Table]]</f>
        <v>create view VW_MAT0940_MRPDependentReqtIsValid as 
     select 
          MATNR,
          WERKS,
          AHDIS 
     from MARC</v>
      </c>
      <c r="AH307" s="8"/>
      <c r="AI307" s="20"/>
      <c r="AJ307" s="20"/>
      <c r="AK307" s="31">
        <v>94</v>
      </c>
      <c r="AL307" s="31"/>
    </row>
    <row r="308" spans="1:38" s="3" customFormat="1" ht="72" hidden="1" x14ac:dyDescent="0.25">
      <c r="A308" s="9">
        <v>305</v>
      </c>
      <c r="B308" s="7" t="s">
        <v>3973</v>
      </c>
      <c r="C308" s="7" t="s">
        <v>16</v>
      </c>
      <c r="D308" s="7" t="s">
        <v>6719</v>
      </c>
      <c r="E308" s="7" t="s">
        <v>6720</v>
      </c>
      <c r="F308" s="7" t="s">
        <v>6721</v>
      </c>
      <c r="G308" s="7" t="s">
        <v>6358</v>
      </c>
      <c r="H308" s="7" t="s">
        <v>6360</v>
      </c>
      <c r="I308" s="7" t="s">
        <v>3970</v>
      </c>
      <c r="J308" s="20" t="str">
        <f>VLOOKUP(V308,Table_to_BRG!A:D,3,FALSE)</f>
        <v>Company Code data</v>
      </c>
      <c r="K308" s="20" t="str">
        <f>VLOOKUP(V308,Table_to_BRG!A:D,2,FALSE)</f>
        <v>Company Code</v>
      </c>
      <c r="L308" s="20"/>
      <c r="M308" s="20"/>
      <c r="N308" s="9"/>
      <c r="O308" s="54"/>
      <c r="P308" s="7" t="s">
        <v>7882</v>
      </c>
      <c r="Q308" s="11" t="str">
        <f>UPPER(LEFT(Table362[[#This Row],[Entity]],3))&amp;RIGHT("00"&amp;Table362[[#This Row],[Rule '# by Entity]],3)&amp;"0_"&amp;MID(SUBSTITUTE(Table362[[#This Row],[Rule Name]],"_","|",3),SEARCH("|",SUBSTITUTE(Table362[[#This Row],[Rule Name]],"_","|",3))+1,LEN(Table362[[#This Row],[Rule Name]]))</f>
        <v>CUS0550_HouseBankRef</v>
      </c>
      <c r="R308" s="13" t="s">
        <v>8051</v>
      </c>
      <c r="S308" s="7" t="s">
        <v>2</v>
      </c>
      <c r="T308" s="7"/>
      <c r="U308" s="7" t="s">
        <v>398</v>
      </c>
      <c r="V308" s="7" t="s">
        <v>2740</v>
      </c>
      <c r="W308" s="7" t="s">
        <v>2897</v>
      </c>
      <c r="X308" s="8" t="s">
        <v>2916</v>
      </c>
      <c r="Y308" s="7" t="s">
        <v>5774</v>
      </c>
      <c r="Z308" s="7" t="s">
        <v>2897</v>
      </c>
      <c r="AA308" s="11" t="str">
        <f>"BEGIN
     RETURN exists('DS_IS_RDS', '"&amp;Table362[[#This Row],[Lookup Table]]&amp;"', '"&amp;Table362[[#This Row],[Lookup Field]]&amp;"', "&amp;Table362[[#This Row],[IS Parameter]]&amp;");
END"</f>
        <v>BEGIN
     RETURN exists('DS_IS_RDS', 'T012', 'HBKID', $P_I_HouseBank);
END</v>
      </c>
      <c r="AB308" s="11" t="str">
        <f>Table362[[#This Row],[IS Parameter]]&amp;" IS NOT NULL
AND "&amp; Table362[[#This Row],[IS Parameter]]&amp;" != ''"</f>
        <v>$P_I_HouseBank IS NOT NULL
AND $P_I_HouseBank != ''</v>
      </c>
      <c r="AC308" s="10" t="s">
        <v>6663</v>
      </c>
      <c r="AD308" s="10"/>
      <c r="AE308" s="13" t="str">
        <f>IF(Table362[[#This Row],[Entity]]="Customer","KUNNR",IF(Table362[[#This Row],[Entity]]="Vendor","LIFNR","MATNR"))&amp;",BUKRS"&amp;","&amp;Table362[[#This Row],[Field]]</f>
        <v>KUNNR,BUKRS,HBKID</v>
      </c>
      <c r="AF308" s="13" t="str">
        <f>"VW_"&amp;Table362[[#This Row],[New Rule Name]]</f>
        <v>VW_CUS0550_HouseBankRef</v>
      </c>
      <c r="AG308" s="11" t="str">
        <f>"create view "&amp;Table362[[#This Row],[View Name]]&amp;" as 
     select 
          "&amp;IF(Table362[[#This Row],[Entity]]="Customer","KUNNR",IF(Table362[[#This Row],[Entity]]="Vendor","LIFNR","MATNR"))&amp;",
          BUKRS,
          "&amp;Table362[[#This Row],[Field]]&amp;" 
     from "&amp;Table362[[#This Row],[Table]]</f>
        <v>create view VW_CUS0550_HouseBankRef as 
     select 
          KUNNR,
          BUKRS,
          HBKID 
     from KNB1</v>
      </c>
      <c r="AH308" s="8"/>
      <c r="AI308" s="20" t="s">
        <v>7564</v>
      </c>
      <c r="AJ308" s="20"/>
      <c r="AK308" s="31">
        <v>55</v>
      </c>
      <c r="AL308" s="31"/>
    </row>
    <row r="309" spans="1:38" s="3" customFormat="1" ht="60" hidden="1" x14ac:dyDescent="0.25">
      <c r="A309" s="9">
        <v>306</v>
      </c>
      <c r="B309" s="7" t="s">
        <v>3973</v>
      </c>
      <c r="C309" s="7" t="s">
        <v>16</v>
      </c>
      <c r="D309" s="7" t="s">
        <v>6711</v>
      </c>
      <c r="E309" s="7" t="s">
        <v>6714</v>
      </c>
      <c r="F309" s="7" t="s">
        <v>6715</v>
      </c>
      <c r="G309" s="7" t="s">
        <v>6361</v>
      </c>
      <c r="H309" s="7" t="s">
        <v>6366</v>
      </c>
      <c r="I309" s="7"/>
      <c r="J309" s="20" t="str">
        <f>VLOOKUP(V309,Table_to_BRG!A:D,3,FALSE)</f>
        <v>General data</v>
      </c>
      <c r="K309" s="20" t="str">
        <f>VLOOKUP(V309,Table_to_BRG!A:D,2,FALSE)</f>
        <v>General</v>
      </c>
      <c r="L309" s="20"/>
      <c r="M309" s="20"/>
      <c r="N309" s="9"/>
      <c r="O309" s="54"/>
      <c r="P309" s="7" t="s">
        <v>7883</v>
      </c>
      <c r="Q309" s="11" t="str">
        <f>UPPER(LEFT(Table362[[#This Row],[Entity]],3))&amp;RIGHT("00"&amp;Table362[[#This Row],[Rule '# by Entity]],3)&amp;"0_"&amp;MID(SUBSTITUTE(Table362[[#This Row],[Rule Name]],"_","|",3),SEARCH("|",SUBSTITUTE(Table362[[#This Row],[Rule Name]],"_","|",3))+1,LEN(Table362[[#This Row],[Rule Name]]))</f>
        <v>CUS0140_InvoicingDateRef</v>
      </c>
      <c r="R309" s="13" t="s">
        <v>8052</v>
      </c>
      <c r="S309" s="7" t="s">
        <v>21</v>
      </c>
      <c r="T309" s="7" t="s">
        <v>2</v>
      </c>
      <c r="U309" s="7" t="s">
        <v>986</v>
      </c>
      <c r="V309" s="7" t="s">
        <v>2741</v>
      </c>
      <c r="W309" s="7" t="s">
        <v>6418</v>
      </c>
      <c r="X309" s="8" t="s">
        <v>6419</v>
      </c>
      <c r="Y309" s="7" t="s">
        <v>4956</v>
      </c>
      <c r="Z309" s="7" t="s">
        <v>4957</v>
      </c>
      <c r="AA309" s="11" t="str">
        <f>"BEGIN
     RETURN exists('DS_IS_RDS', '"&amp;Table362[[#This Row],[Lookup Table]]&amp;"', '"&amp;Table362[[#This Row],[Lookup Field]]&amp;"', "&amp;Table362[[#This Row],[IS Parameter]]&amp;");
END"</f>
        <v>BEGIN
     RETURN exists('DS_IS_RDS', 'TFACD', 'IDENT', $P_I_InvoicingDate);
END</v>
      </c>
      <c r="AB309" s="11" t="str">
        <f>Table362[[#This Row],[IS Parameter]]&amp;" IS NOT NULL
AND "&amp; Table362[[#This Row],[IS Parameter]]&amp;" != ''"</f>
        <v>$P_I_InvoicingDate IS NOT NULL
AND $P_I_InvoicingDate != ''</v>
      </c>
      <c r="AC309" s="10" t="s">
        <v>6663</v>
      </c>
      <c r="AD309" s="10"/>
      <c r="AE309" s="13" t="str">
        <f>IF(Table362[[#This Row],[Entity]]="Customer","KUNNR",IF(Table362[[#This Row],[Entity]]="Vendor","LIFNR","MATNR"))&amp;","&amp;Table362[[#This Row],[Field]]</f>
        <v>KUNNR,KNAZK</v>
      </c>
      <c r="AF309" s="13" t="str">
        <f>"VW_"&amp;Table362[[#This Row],[New Rule Name]]</f>
        <v>VW_CUS0140_InvoicingDateRef</v>
      </c>
      <c r="AG309" s="11" t="str">
        <f>"create view "&amp;Table362[[#This Row],[View Name]]&amp;" as 
     select 
          "&amp;IF(Table362[[#This Row],[Entity]]="Customer","KUNNR",IF(Table362[[#This Row],[Entity]]="Vendor","LIFNR","MATNR"))&amp;",
          "&amp;Table362[[#This Row],[Field]]&amp;" 
     from "&amp;Table362[[#This Row],[Table]]</f>
        <v>create view VW_CUS0140_InvoicingDateRef as 
     select 
          KUNNR,
          KNAZK 
     from KNA1</v>
      </c>
      <c r="AH309" s="8"/>
      <c r="AI309" s="20"/>
      <c r="AJ309" s="20"/>
      <c r="AK309" s="31">
        <v>14</v>
      </c>
      <c r="AL309" s="31"/>
    </row>
    <row r="310" spans="1:38" s="3" customFormat="1" ht="72" hidden="1" x14ac:dyDescent="0.25">
      <c r="A310" s="9">
        <v>307</v>
      </c>
      <c r="B310" s="7" t="s">
        <v>3973</v>
      </c>
      <c r="C310" s="7" t="s">
        <v>16</v>
      </c>
      <c r="D310" s="7" t="s">
        <v>6716</v>
      </c>
      <c r="E310" s="7" t="s">
        <v>6717</v>
      </c>
      <c r="F310" s="7" t="s">
        <v>6723</v>
      </c>
      <c r="G310" s="7" t="s">
        <v>6365</v>
      </c>
      <c r="H310" s="7" t="s">
        <v>6366</v>
      </c>
      <c r="I310" s="7" t="s">
        <v>3971</v>
      </c>
      <c r="J310" s="20" t="str">
        <f>VLOOKUP(V310,Table_to_BRG!A:D,3,FALSE)</f>
        <v>Tax data</v>
      </c>
      <c r="K310" s="20" t="str">
        <f>VLOOKUP(V310,Table_to_BRG!A:D,2,FALSE)</f>
        <v>Tax indicator</v>
      </c>
      <c r="L310" s="20"/>
      <c r="M310" s="20"/>
      <c r="N310" s="9"/>
      <c r="O310" s="54"/>
      <c r="P310" s="7" t="s">
        <v>7884</v>
      </c>
      <c r="Q310" s="11" t="str">
        <f>UPPER(LEFT(Table362[[#This Row],[Entity]],3))&amp;RIGHT("00"&amp;Table362[[#This Row],[Rule '# by Entity]],3)&amp;"0_"&amp;MID(SUBSTITUTE(Table362[[#This Row],[Rule Name]],"_","|",3),SEARCH("|",SUBSTITUTE(Table362[[#This Row],[Rule Name]],"_","|",3))+1,LEN(Table362[[#This Row],[Rule Name]]))</f>
        <v>CUS0730_TaxCategoryRef</v>
      </c>
      <c r="R310" s="13" t="s">
        <v>8053</v>
      </c>
      <c r="S310" s="7" t="s">
        <v>2</v>
      </c>
      <c r="T310" s="7"/>
      <c r="U310" s="7" t="s">
        <v>361</v>
      </c>
      <c r="V310" s="7" t="s">
        <v>3328</v>
      </c>
      <c r="W310" s="7" t="s">
        <v>3304</v>
      </c>
      <c r="X310" s="8" t="s">
        <v>3320</v>
      </c>
      <c r="Y310" s="7" t="s">
        <v>5827</v>
      </c>
      <c r="Z310" s="7" t="s">
        <v>5828</v>
      </c>
      <c r="AA310" s="11" t="str">
        <f>"BEGIN
     RETURN exists('DS_IS_RDS', '"&amp;Table362[[#This Row],[Lookup Table]]&amp;"', '"&amp;Table362[[#This Row],[Lookup Field]]&amp;"', "&amp;Table362[[#This Row],[IS Parameter]]&amp;");
END"</f>
        <v>BEGIN
     RETURN exists('DS_IS_RDS', 'T685A', 'KSCHL', $P_I_TaxCategory);
END</v>
      </c>
      <c r="AB310" s="11" t="str">
        <f>Table362[[#This Row],[IS Parameter]]&amp;" IS NOT NULL
AND "&amp; Table362[[#This Row],[IS Parameter]]&amp;" != ''"</f>
        <v>$P_I_TaxCategory IS NOT NULL
AND $P_I_TaxCategory != ''</v>
      </c>
      <c r="AC310" s="10" t="s">
        <v>6663</v>
      </c>
      <c r="AD310" s="10"/>
      <c r="AE310" s="13" t="s">
        <v>6936</v>
      </c>
      <c r="AF310" s="13" t="str">
        <f>"VW_"&amp;Table362[[#This Row],[New Rule Name]]</f>
        <v>VW_CUS0730_TaxCategoryRef</v>
      </c>
      <c r="AG310" s="11" t="str">
        <f>"create view "&amp;Table362[[#This Row],[View Name]]&amp;" as 
     select 
          "&amp;IF(Table362[[#This Row],[Entity]]="Customer","KUNNR",IF(Table362[[#This Row],[Entity]]="Vendor","LIFNR","MATNR"))&amp;",
          ALAND,
          "&amp;Table362[[#This Row],[Field]]&amp;" 
     from "&amp;Table362[[#This Row],[Table]]</f>
        <v>create view VW_CUS0730_TaxCategoryRef as 
     select 
          KUNNR,
          ALAND,
          TATYP 
     from KNVI</v>
      </c>
      <c r="AH310" s="8"/>
      <c r="AI310" s="20" t="s">
        <v>7653</v>
      </c>
      <c r="AJ310" s="20"/>
      <c r="AK310" s="31">
        <v>73</v>
      </c>
      <c r="AL310" s="31"/>
    </row>
    <row r="311" spans="1:38" s="3" customFormat="1" ht="72" hidden="1" x14ac:dyDescent="0.25">
      <c r="A311" s="9">
        <v>308</v>
      </c>
      <c r="B311" s="7" t="s">
        <v>3973</v>
      </c>
      <c r="C311" s="7" t="s">
        <v>1207</v>
      </c>
      <c r="D311" s="7" t="s">
        <v>6719</v>
      </c>
      <c r="E311" s="7" t="s">
        <v>6720</v>
      </c>
      <c r="F311" s="7" t="s">
        <v>6732</v>
      </c>
      <c r="G311" s="7" t="s">
        <v>6358</v>
      </c>
      <c r="H311" s="7" t="s">
        <v>6360</v>
      </c>
      <c r="I311" s="7"/>
      <c r="J311" s="20" t="str">
        <f>VLOOKUP(V311,Table_to_BRG!A:D,3,FALSE)</f>
        <v>Company Code data</v>
      </c>
      <c r="K311" s="20" t="str">
        <f>VLOOKUP(V311,Table_to_BRG!A:D,2,FALSE)</f>
        <v>Company Code</v>
      </c>
      <c r="L311" s="20"/>
      <c r="M311" s="20"/>
      <c r="N311" s="9"/>
      <c r="O311" s="54"/>
      <c r="P311" s="7" t="s">
        <v>8514</v>
      </c>
      <c r="Q311" s="11" t="str">
        <f>UPPER(LEFT(Table362[[#This Row],[Entity]],3))&amp;RIGHT("00"&amp;Table362[[#This Row],[Rule '# by Entity]],3)&amp;"0_"&amp;MID(SUBSTITUTE(Table362[[#This Row],[Rule Name]],"_","|",3),SEARCH("|",SUBSTITUTE(Table362[[#This Row],[Rule Name]],"_","|",3))+1,LEN(Table362[[#This Row],[Rule Name]]))</f>
        <v>VEN0390_PaymentBlockRef</v>
      </c>
      <c r="R311" s="8" t="s">
        <v>8251</v>
      </c>
      <c r="S311" s="7" t="s">
        <v>2</v>
      </c>
      <c r="T311" s="7"/>
      <c r="U311" s="7" t="s">
        <v>448</v>
      </c>
      <c r="V311" s="7" t="s">
        <v>3543</v>
      </c>
      <c r="W311" s="7" t="s">
        <v>2895</v>
      </c>
      <c r="X311" s="8" t="s">
        <v>6659</v>
      </c>
      <c r="Y311" s="7" t="s">
        <v>4203</v>
      </c>
      <c r="Z311" s="7" t="s">
        <v>2895</v>
      </c>
      <c r="AA311" s="11" t="str">
        <f>"BEGIN
     RETURN exists('DS_IS_RDS', '"&amp;Table362[[#This Row],[Lookup Table]]&amp;"', '"&amp;Table362[[#This Row],[Lookup Field]]&amp;"', "&amp;Table362[[#This Row],[IS Parameter]]&amp;");
END"</f>
        <v>BEGIN
     RETURN exists('DS_IS_RDS', 'T008', 'ZAHLS', $P_I_PaymentBlock);
END</v>
      </c>
      <c r="AB311" s="11"/>
      <c r="AC311" s="10" t="s">
        <v>6663</v>
      </c>
      <c r="AD311" s="10"/>
      <c r="AE311" s="13" t="str">
        <f>IF(Table362[[#This Row],[Entity]]="Customer","KUNNR",IF(Table362[[#This Row],[Entity]]="Vendor","LIFNR","MATNR"))&amp;",BUKRS,"&amp;Table362[[#This Row],[Field]]</f>
        <v>LIFNR,BUKRS,ZAHLS</v>
      </c>
      <c r="AF311" s="13" t="str">
        <f>"VW_"&amp;Table362[[#This Row],[New Rule Name]]</f>
        <v>VW_VEN0390_PaymentBlockRef</v>
      </c>
      <c r="AG311" s="11" t="str">
        <f>"create view "&amp;Table362[[#This Row],[View Name]]&amp;" as 
     select 
          "&amp;IF(Table362[[#This Row],[Entity]]="Customer","KUNNR",IF(Table362[[#This Row],[Entity]]="Vendor","LIFNR","MATNR"))&amp;",
          BUKRS,
          "&amp;Table362[[#This Row],[Field]]&amp;" 
     from "&amp;Table362[[#This Row],[Table]]</f>
        <v>create view VW_VEN0390_PaymentBlockRef as 
     select 
          LIFNR,
          BUKRS,
          ZAHLS 
     from LFB1</v>
      </c>
      <c r="AH311" s="8"/>
      <c r="AI311" s="20" t="s">
        <v>7568</v>
      </c>
      <c r="AJ311" s="20"/>
      <c r="AK311" s="31">
        <v>39</v>
      </c>
      <c r="AL311" s="31"/>
    </row>
    <row r="312" spans="1:38" s="3" customFormat="1" ht="72" x14ac:dyDescent="0.25">
      <c r="A312" s="9">
        <v>309</v>
      </c>
      <c r="B312" s="7" t="s">
        <v>3973</v>
      </c>
      <c r="C312" s="7" t="s">
        <v>3</v>
      </c>
      <c r="D312" s="7" t="s">
        <v>6711</v>
      </c>
      <c r="E312" s="7" t="s">
        <v>6712</v>
      </c>
      <c r="F312" s="7" t="s">
        <v>6713</v>
      </c>
      <c r="G312" s="7" t="s">
        <v>6377</v>
      </c>
      <c r="H312" s="7"/>
      <c r="I312" s="7"/>
      <c r="J312" s="20" t="str">
        <f>VLOOKUP(V312,Table_to_BRG!A:D,3,FALSE)</f>
        <v>Plant data</v>
      </c>
      <c r="K312" s="20" t="str">
        <f>VLOOKUP(V312,Table_to_BRG!A:D,2,FALSE)</f>
        <v>Plant</v>
      </c>
      <c r="L312" s="20"/>
      <c r="M312" s="20"/>
      <c r="N312" s="9"/>
      <c r="O312" s="54"/>
      <c r="P312" s="7" t="s">
        <v>8418</v>
      </c>
      <c r="Q312" s="11" t="str">
        <f>UPPER(LEFT(Table362[[#This Row],[Entity]],3))&amp;RIGHT("00"&amp;Table362[[#This Row],[Rule '# by Entity]],3)&amp;"0_"&amp;MID(SUBSTITUTE(Table362[[#This Row],[Rule Name]],"_","|",3),SEARCH("|",SUBSTITUTE(Table362[[#This Row],[Rule Name]],"_","|",3))+1,LEN(Table362[[#This Row],[Rule Name]]))</f>
        <v>MAT0970_OBManagementIsValid</v>
      </c>
      <c r="R312" s="8" t="s">
        <v>8184</v>
      </c>
      <c r="S312" s="7" t="s">
        <v>4135</v>
      </c>
      <c r="T312" s="7" t="s">
        <v>2</v>
      </c>
      <c r="U312" s="7" t="s">
        <v>994</v>
      </c>
      <c r="V312" s="7" t="s">
        <v>1527</v>
      </c>
      <c r="W312" s="7" t="s">
        <v>1979</v>
      </c>
      <c r="X312" s="8" t="s">
        <v>2324</v>
      </c>
      <c r="Y312" s="7" t="s">
        <v>5978</v>
      </c>
      <c r="Z312" s="7" t="s">
        <v>5978</v>
      </c>
      <c r="AA312" s="10" t="s">
        <v>8594</v>
      </c>
      <c r="AB312" s="11" t="str">
        <f>Table362[[#This Row],[IS Parameter]]&amp;" IS NOT NULL AND rtrim("&amp;Table362[[#This Row],[IS Parameter]]&amp;", ' ') != ''"</f>
        <v>$P_I_OBManagement IS NOT NULL AND rtrim($P_I_OBManagement, ' ') != ''</v>
      </c>
      <c r="AC312" s="13" t="s">
        <v>7792</v>
      </c>
      <c r="AD312"/>
      <c r="AE312" s="13" t="str">
        <f>IF(Table362[[#This Row],[Entity]]="Customer","KUNNR",IF(Table362[[#This Row],[Entity]]="Vendor","LIFNR","MATNR"))&amp;",WERKS"&amp;","&amp;Table362[[#This Row],[Field]]</f>
        <v>MATNR,WERKS,UCHKZ</v>
      </c>
      <c r="AF312" s="13" t="str">
        <f>"VW_"&amp;Table362[[#This Row],[New Rule Name]]</f>
        <v>VW_MAT0970_OBManagementIsValid</v>
      </c>
      <c r="AG312" s="11" t="str">
        <f>"create view "&amp;Table362[[#This Row],[View Name]]&amp;" as 
     select 
          "&amp;IF(Table362[[#This Row],[Entity]]="Customer","KUNNR",IF(Table362[[#This Row],[Entity]]="Vendor","LIFNR","MATNR"))&amp;",
          WERKS,
          "&amp;Table362[[#This Row],[Field]]&amp;" 
     from "&amp;Table362[[#This Row],[Table]]</f>
        <v>create view VW_MAT0970_OBManagementIsValid as 
     select 
          MATNR,
          WERKS,
          UCHKZ 
     from MARC</v>
      </c>
      <c r="AH312" s="8"/>
      <c r="AI312" s="20"/>
      <c r="AJ312" s="20"/>
      <c r="AK312" s="31">
        <v>97</v>
      </c>
      <c r="AL312" s="31"/>
    </row>
    <row r="313" spans="1:38" s="3" customFormat="1" ht="108" hidden="1" x14ac:dyDescent="0.25">
      <c r="A313" s="9">
        <v>310</v>
      </c>
      <c r="B313" s="7" t="s">
        <v>3973</v>
      </c>
      <c r="C313" s="7" t="s">
        <v>16</v>
      </c>
      <c r="D313" s="7" t="s">
        <v>6711</v>
      </c>
      <c r="E313" s="7" t="s">
        <v>6714</v>
      </c>
      <c r="F313" s="7" t="s">
        <v>6724</v>
      </c>
      <c r="G313" s="7" t="s">
        <v>6365</v>
      </c>
      <c r="H313" s="7" t="s">
        <v>6368</v>
      </c>
      <c r="I313" s="7"/>
      <c r="J313" s="20" t="str">
        <f>VLOOKUP(V313,Table_to_BRG!A:D,3,FALSE)</f>
        <v>Customer sales data</v>
      </c>
      <c r="K313" s="20" t="str">
        <f>VLOOKUP(V313,Table_to_BRG!A:D,2,FALSE)</f>
        <v>Sales</v>
      </c>
      <c r="L313" s="20"/>
      <c r="M313" s="20"/>
      <c r="N313" s="9"/>
      <c r="O313" s="54"/>
      <c r="P313" s="7" t="s">
        <v>8100</v>
      </c>
      <c r="Q313" s="11" t="str">
        <f>UPPER(LEFT(Table362[[#This Row],[Entity]],3))&amp;RIGHT("00"&amp;Table362[[#This Row],[Rule '# by Entity]],3)&amp;"0_"&amp;MID(SUBSTITUTE(Table362[[#This Row],[Rule Name]],"_","|",3),SEARCH("|",SUBSTITUTE(Table362[[#This Row],[Rule Name]],"_","|",3))+1,LEN(Table362[[#This Row],[Rule Name]]))</f>
        <v>CUS1020_ShippingConditionsPopulated</v>
      </c>
      <c r="R313" s="8" t="s">
        <v>8128</v>
      </c>
      <c r="S313" s="7" t="s">
        <v>21</v>
      </c>
      <c r="T313" s="7"/>
      <c r="U313" s="7" t="s">
        <v>512</v>
      </c>
      <c r="V313" s="7" t="s">
        <v>3334</v>
      </c>
      <c r="W313" s="7" t="s">
        <v>3457</v>
      </c>
      <c r="X313" s="8" t="s">
        <v>3466</v>
      </c>
      <c r="Y313" s="7" t="s">
        <v>5978</v>
      </c>
      <c r="Z313" s="7" t="s">
        <v>5978</v>
      </c>
      <c r="AA313" s="10" t="s">
        <v>998</v>
      </c>
      <c r="AB313" s="10"/>
      <c r="AC313" s="10" t="s">
        <v>6813</v>
      </c>
      <c r="AD313" s="10"/>
      <c r="AE313" s="13" t="s">
        <v>6932</v>
      </c>
      <c r="AF313" s="13" t="str">
        <f>"VW_"&amp;Table362[[#This Row],[New Rule Name]]</f>
        <v>VW_CUS1020_ShippingConditionsPopulated</v>
      </c>
      <c r="AG313" s="11" t="str">
        <f>"create view "&amp;Table362[[#This Row],[View Name]]&amp;" as 
     select 
          "&amp;IF(Table362[[#This Row],[Entity]]="Customer","KUNNR",IF(Table362[[#This Row],[Entity]]="Vendor","LIFNR","MATNR"))&amp;",
          VKORG,
          VTWEG,
          SPART,
          "&amp;Table362[[#This Row],[Field]]&amp;" 
     from "&amp;Table362[[#This Row],[Table]]</f>
        <v>create view VW_CUS1020_ShippingConditionsPopulated as 
     select 
          KUNNR,
          VKORG,
          VTWEG,
          SPART,
          VSBED 
     from KNVV</v>
      </c>
      <c r="AH313" s="8"/>
      <c r="AI313" s="20"/>
      <c r="AJ313" s="20"/>
      <c r="AK313" s="31">
        <v>102</v>
      </c>
      <c r="AL313" s="31"/>
    </row>
    <row r="314" spans="1:38" s="3" customFormat="1" ht="96" x14ac:dyDescent="0.25">
      <c r="A314" s="9">
        <v>311</v>
      </c>
      <c r="B314" s="7" t="s">
        <v>3973</v>
      </c>
      <c r="C314" s="7" t="s">
        <v>3</v>
      </c>
      <c r="D314" s="7" t="s">
        <v>6711</v>
      </c>
      <c r="E314" s="7" t="s">
        <v>6712</v>
      </c>
      <c r="F314" s="7" t="s">
        <v>6745</v>
      </c>
      <c r="G314" s="7" t="s">
        <v>6392</v>
      </c>
      <c r="H314" s="7"/>
      <c r="I314" s="7"/>
      <c r="J314" s="20" t="str">
        <f>VLOOKUP(V314,Table_to_BRG!A:D,3,FALSE)</f>
        <v>Valuation data</v>
      </c>
      <c r="K314" s="20" t="str">
        <f>VLOOKUP(V314,Table_to_BRG!A:D,2,FALSE)</f>
        <v>Valuation</v>
      </c>
      <c r="L314" s="20"/>
      <c r="M314" s="20"/>
      <c r="N314" s="9"/>
      <c r="O314" s="54"/>
      <c r="P314" s="7" t="s">
        <v>8419</v>
      </c>
      <c r="Q314" s="11" t="str">
        <f>UPPER(LEFT(Table362[[#This Row],[Entity]],3))&amp;RIGHT("00"&amp;Table362[[#This Row],[Rule '# by Entity]],3)&amp;"0_"&amp;MID(SUBSTITUTE(Table362[[#This Row],[Rule Name]],"_","|",3),SEARCH("|",SUBSTITUTE(Table362[[#This Row],[Rule Name]],"_","|",3))+1,LEN(Table362[[#This Row],[Rule Name]]))</f>
        <v>MAT1050_ValuationClassPopulated</v>
      </c>
      <c r="R314" s="8" t="s">
        <v>7999</v>
      </c>
      <c r="S314" s="7" t="s">
        <v>21</v>
      </c>
      <c r="T314"/>
      <c r="U314" s="7" t="s">
        <v>843</v>
      </c>
      <c r="V314" s="7" t="s">
        <v>1528</v>
      </c>
      <c r="W314" s="7" t="s">
        <v>1501</v>
      </c>
      <c r="X314" s="8" t="s">
        <v>8632</v>
      </c>
      <c r="Y314" s="7" t="s">
        <v>5978</v>
      </c>
      <c r="Z314" s="7" t="s">
        <v>5978</v>
      </c>
      <c r="AA314" s="10" t="s">
        <v>1001</v>
      </c>
      <c r="AB314" s="10"/>
      <c r="AC314" s="10" t="s">
        <v>6813</v>
      </c>
      <c r="AD314" s="10"/>
      <c r="AE314" s="13" t="str">
        <f>IF(Table362[[#This Row],[Entity]]="Customer","KUNNR",IF(Table362[[#This Row],[Entity]]="Vendor","LIFNR","MATNR"))&amp;",BWKEY,BWTAR,"&amp;Table362[[#This Row],[Field]]</f>
        <v>MATNR,BWKEY,BWTAR,BKLAS</v>
      </c>
      <c r="AF314" s="13" t="str">
        <f>"VW_"&amp;Table362[[#This Row],[New Rule Name]]</f>
        <v>VW_MAT1050_ValuationClassPopulated</v>
      </c>
      <c r="AG314" s="11" t="str">
        <f>"create view "&amp;Table362[[#This Row],[View Name]]&amp;" as 
     select 
          "&amp;IF(Table362[[#This Row],[Entity]]="Customer","KUNNR",IF(Table362[[#This Row],[Entity]]="Vendor","LIFNR","MATNR"))&amp;",
          BWKEY,
          BWTAR,
          "&amp;Table362[[#This Row],[Field]]&amp;" 
     from "&amp;Table362[[#This Row],[Table]]</f>
        <v>create view VW_MAT1050_ValuationClassPopulated as 
     select 
          MATNR,
          BWKEY,
          BWTAR,
          BKLAS 
     from MBEW</v>
      </c>
      <c r="AH314" s="8"/>
      <c r="AI314" s="20"/>
      <c r="AJ314" s="20"/>
      <c r="AK314" s="31">
        <v>105</v>
      </c>
      <c r="AL314" s="31"/>
    </row>
    <row r="315" spans="1:38" s="3" customFormat="1" ht="48" hidden="1" x14ac:dyDescent="0.25">
      <c r="A315" s="9">
        <v>313</v>
      </c>
      <c r="B315" s="7" t="s">
        <v>3973</v>
      </c>
      <c r="C315" s="7" t="s">
        <v>1207</v>
      </c>
      <c r="D315" s="7" t="s">
        <v>5978</v>
      </c>
      <c r="E315" s="7" t="s">
        <v>5978</v>
      </c>
      <c r="F315" s="7" t="s">
        <v>5978</v>
      </c>
      <c r="G315" s="7"/>
      <c r="H315" s="7"/>
      <c r="I315" s="7"/>
      <c r="J315" s="20" t="str">
        <f>VLOOKUP(V315,Table_to_BRG!A:D,3,FALSE)</f>
        <v>Address data</v>
      </c>
      <c r="K315" s="20" t="str">
        <f>VLOOKUP(V315,Table_to_BRG!A:D,2,FALSE)</f>
        <v>Address</v>
      </c>
      <c r="L315" s="20"/>
      <c r="M315" s="20"/>
      <c r="N315" s="9" t="s">
        <v>6465</v>
      </c>
      <c r="O315" s="54" t="s">
        <v>6909</v>
      </c>
      <c r="P315" s="15" t="s">
        <v>8515</v>
      </c>
      <c r="Q315" s="11"/>
      <c r="R315" s="8" t="s">
        <v>6486</v>
      </c>
      <c r="S315" s="7" t="s">
        <v>2</v>
      </c>
      <c r="T315" s="7"/>
      <c r="U315" s="7" t="s">
        <v>155</v>
      </c>
      <c r="V315" s="23" t="s">
        <v>6900</v>
      </c>
      <c r="W315" s="23" t="s">
        <v>6907</v>
      </c>
      <c r="X315" s="24" t="s">
        <v>6908</v>
      </c>
      <c r="Y315" s="7" t="s">
        <v>5989</v>
      </c>
      <c r="Z315" s="7" t="s">
        <v>5990</v>
      </c>
      <c r="AA315" s="11" t="str">
        <f>"BEGIN
     RETURN exists('DS_IS_RDS', '"&amp;Table362[[#This Row],[Lookup Table]]&amp;"', '"&amp;Table362[[#This Row],[Lookup Field]]&amp;"', "&amp;Table362[[#This Row],[IS Parameter]]&amp;");
END"</f>
        <v>BEGIN
     RETURN exists('DS_IS_RDS', 'TBRC', 'BRACO', $P_I_IndustryCode);
END</v>
      </c>
      <c r="AB315" s="11"/>
      <c r="AC315" s="10" t="s">
        <v>6663</v>
      </c>
      <c r="AD315" s="10"/>
      <c r="AE315" s="13"/>
      <c r="AF315" s="13"/>
      <c r="AG315" s="11"/>
      <c r="AH315" s="8"/>
      <c r="AI315" s="20" t="s">
        <v>7620</v>
      </c>
      <c r="AJ315" s="20"/>
      <c r="AK315" s="31"/>
      <c r="AL315" s="31"/>
    </row>
    <row r="316" spans="1:38" s="3" customFormat="1" ht="72" hidden="1" x14ac:dyDescent="0.25">
      <c r="A316" s="9">
        <v>312</v>
      </c>
      <c r="B316" s="7" t="s">
        <v>3973</v>
      </c>
      <c r="C316" s="7" t="s">
        <v>16</v>
      </c>
      <c r="D316" s="7" t="s">
        <v>6711</v>
      </c>
      <c r="E316" s="7" t="s">
        <v>6714</v>
      </c>
      <c r="F316" s="7" t="s">
        <v>6724</v>
      </c>
      <c r="G316" s="7" t="s">
        <v>6365</v>
      </c>
      <c r="H316" s="7" t="s">
        <v>2759</v>
      </c>
      <c r="I316" s="7"/>
      <c r="J316" s="20" t="str">
        <f>VLOOKUP(V316,Table_to_BRG!A:D,3,FALSE)</f>
        <v>Customer sales data</v>
      </c>
      <c r="K316" s="20" t="str">
        <f>VLOOKUP(V316,Table_to_BRG!A:D,2,FALSE)</f>
        <v>Sales</v>
      </c>
      <c r="L316" s="20"/>
      <c r="M316" s="20"/>
      <c r="N316" s="9"/>
      <c r="O316" s="54"/>
      <c r="P316" s="7" t="s">
        <v>8101</v>
      </c>
      <c r="Q316" s="11" t="str">
        <f>UPPER(LEFT(Table362[[#This Row],[Entity]],3))&amp;RIGHT("00"&amp;Table362[[#This Row],[Rule '# by Entity]],3)&amp;"0_"&amp;MID(SUBSTITUTE(Table362[[#This Row],[Rule Name]],"_","|",3),SEARCH("|",SUBSTITUTE(Table362[[#This Row],[Rule Name]],"_","|",3))+1,LEN(Table362[[#This Row],[Rule Name]]))</f>
        <v>CUS0870_SalesOrgPopulated</v>
      </c>
      <c r="R316" s="8" t="s">
        <v>7990</v>
      </c>
      <c r="S316" s="7" t="s">
        <v>21</v>
      </c>
      <c r="T316" s="7"/>
      <c r="U316" s="7" t="s">
        <v>91</v>
      </c>
      <c r="V316" s="8" t="s">
        <v>3334</v>
      </c>
      <c r="W316" s="7" t="s">
        <v>2434</v>
      </c>
      <c r="X316" s="8" t="s">
        <v>2448</v>
      </c>
      <c r="Y316" s="7" t="s">
        <v>5978</v>
      </c>
      <c r="Z316" s="7" t="s">
        <v>5978</v>
      </c>
      <c r="AA316" s="10" t="s">
        <v>234</v>
      </c>
      <c r="AB316" s="10"/>
      <c r="AC316" s="10" t="s">
        <v>6813</v>
      </c>
      <c r="AD316" s="10"/>
      <c r="AE316" s="13" t="str">
        <f>IF(Table362[[#This Row],[Entity]]="Customer","KUNNR",IF(Table362[[#This Row],[Entity]]="Vendor","LIFNR","MATNR"))&amp;","&amp;Table362[[#This Row],[Field]]</f>
        <v>KUNNR,VKORG</v>
      </c>
      <c r="AF316" s="13" t="str">
        <f>"VW_"&amp;Table362[[#This Row],[New Rule Name]]</f>
        <v>VW_CUS0870_SalesOrgPopulated</v>
      </c>
      <c r="AG316" s="11" t="str">
        <f>"create view "&amp;Table362[[#This Row],[View Name]]&amp;" as 
     select 
          "&amp;IF(Table362[[#This Row],[Entity]]="Customer","KUNNR",IF(Table362[[#This Row],[Entity]]="Vendor","LIFNR","MATNR"))&amp;",
          "&amp;Table362[[#This Row],[Field]]&amp;" 
     from "&amp;Table362[[#This Row],[Table]]&amp;"
     group by "&amp;IF(Table362[[#This Row],[Entity]]="Customer","KUNNR",IF(Table362[[#This Row],[Entity]]="Vendor","LIFNR","MATNR"))&amp;","&amp;Table362[[#This Row],[Field]]</f>
        <v>create view VW_CUS0870_SalesOrgPopulated as 
     select 
          KUNNR,
          VKORG 
     from KNVV
     group by KUNNR,VKORG</v>
      </c>
      <c r="AH316" s="8" t="s">
        <v>6691</v>
      </c>
      <c r="AI316" s="20" t="s">
        <v>6595</v>
      </c>
      <c r="AJ316" s="20"/>
      <c r="AK316" s="31">
        <v>87</v>
      </c>
      <c r="AL316" s="31"/>
    </row>
    <row r="317" spans="1:38" s="3" customFormat="1" ht="72" x14ac:dyDescent="0.25">
      <c r="A317" s="9">
        <v>314</v>
      </c>
      <c r="B317" s="7" t="s">
        <v>3973</v>
      </c>
      <c r="C317" s="7" t="s">
        <v>3</v>
      </c>
      <c r="D317" s="7" t="s">
        <v>6711</v>
      </c>
      <c r="E317" s="7" t="s">
        <v>6712</v>
      </c>
      <c r="F317" s="7" t="s">
        <v>6713</v>
      </c>
      <c r="G317" s="7" t="s">
        <v>6371</v>
      </c>
      <c r="H317" s="7" t="s">
        <v>6388</v>
      </c>
      <c r="I317" s="7"/>
      <c r="J317" s="20" t="str">
        <f>VLOOKUP(V317,Table_to_BRG!A:D,3,FALSE)</f>
        <v>Plant data</v>
      </c>
      <c r="K317" s="20" t="str">
        <f>VLOOKUP(V317,Table_to_BRG!A:D,2,FALSE)</f>
        <v>Plant</v>
      </c>
      <c r="L317" s="20"/>
      <c r="M317" s="20"/>
      <c r="N317" s="9"/>
      <c r="O317" s="54"/>
      <c r="P317" s="7" t="s">
        <v>8420</v>
      </c>
      <c r="Q317" s="11" t="str">
        <f>UPPER(LEFT(Table362[[#This Row],[Entity]],3))&amp;RIGHT("00"&amp;Table362[[#This Row],[Rule '# by Entity]],3)&amp;"0_"&amp;MID(SUBSTITUTE(Table362[[#This Row],[Rule Name]],"_","|",3),SEARCH("|",SUBSTITUTE(Table362[[#This Row],[Rule Name]],"_","|",3))+1,LEN(Table362[[#This Row],[Rule Name]]))</f>
        <v>MAT0880_LogHandlingGroupRef</v>
      </c>
      <c r="R317" s="8" t="s">
        <v>7971</v>
      </c>
      <c r="S317" s="7" t="s">
        <v>2</v>
      </c>
      <c r="T317" s="7"/>
      <c r="U317" s="7" t="s">
        <v>1007</v>
      </c>
      <c r="V317" s="7" t="s">
        <v>1527</v>
      </c>
      <c r="W317" s="7" t="s">
        <v>2002</v>
      </c>
      <c r="X317" s="8" t="s">
        <v>6681</v>
      </c>
      <c r="Y317" s="7" t="s">
        <v>6065</v>
      </c>
      <c r="Z317" s="7" t="s">
        <v>2002</v>
      </c>
      <c r="AA317" s="11" t="str">
        <f>"BEGIN
     RETURN exists('DS_IS_RDS', '"&amp;Table362[[#This Row],[Lookup Table]]&amp;"', '"&amp;Table362[[#This Row],[Lookup Field]]&amp;"', "&amp;Table362[[#This Row],[IS Parameter]]&amp;");
END"</f>
        <v>BEGIN
     RETURN exists('DS_IS_RDS', 'TLOG', 'LOGGR', $P_I_LogHandlingGroup);
END</v>
      </c>
      <c r="AB317" s="11" t="str">
        <f>Table362[[#This Row],[IS Parameter]]&amp;" IS NOT NULL AND rtrim("&amp;Table362[[#This Row],[IS Parameter]]&amp;", ' ') != ''"</f>
        <v>$P_I_LogHandlingGroup IS NOT NULL AND rtrim($P_I_LogHandlingGroup, ' ') != ''</v>
      </c>
      <c r="AC317" s="10" t="s">
        <v>6663</v>
      </c>
      <c r="AD317" s="10"/>
      <c r="AE317" s="13" t="str">
        <f>IF(Table362[[#This Row],[Entity]]="Customer","KUNNR",IF(Table362[[#This Row],[Entity]]="Vendor","LIFNR","MATNR"))&amp;",WERKS"&amp;","&amp;Table362[[#This Row],[Field]]</f>
        <v>MATNR,WERKS,LOGGR</v>
      </c>
      <c r="AF317" s="13" t="str">
        <f>"VW_"&amp;Table362[[#This Row],[New Rule Name]]</f>
        <v>VW_MAT0880_LogHandlingGroupRef</v>
      </c>
      <c r="AG317" s="11" t="str">
        <f>"create view "&amp;Table362[[#This Row],[View Name]]&amp;" as 
     select 
          "&amp;IF(Table362[[#This Row],[Entity]]="Customer","KUNNR",IF(Table362[[#This Row],[Entity]]="Vendor","LIFNR","MATNR"))&amp;",
          WERKS,
          "&amp;Table362[[#This Row],[Field]]&amp;" 
     from "&amp;Table362[[#This Row],[Table]]</f>
        <v>create view VW_MAT0880_LogHandlingGroupRef as 
     select 
          MATNR,
          WERKS,
          LOGGR 
     from MARC</v>
      </c>
      <c r="AH317" s="8"/>
      <c r="AI317" s="20"/>
      <c r="AJ317" s="20"/>
      <c r="AK317" s="31">
        <v>88</v>
      </c>
      <c r="AL317" s="31"/>
    </row>
    <row r="318" spans="1:38" s="3" customFormat="1" ht="84" hidden="1" x14ac:dyDescent="0.25">
      <c r="A318" s="9">
        <v>315</v>
      </c>
      <c r="B318" s="7" t="s">
        <v>3973</v>
      </c>
      <c r="C318" s="7" t="s">
        <v>16</v>
      </c>
      <c r="D318" s="7" t="s">
        <v>6711</v>
      </c>
      <c r="E318" s="7" t="s">
        <v>6714</v>
      </c>
      <c r="F318" s="7" t="s">
        <v>6742</v>
      </c>
      <c r="G318" s="7" t="s">
        <v>6361</v>
      </c>
      <c r="H318" s="7" t="s">
        <v>6362</v>
      </c>
      <c r="I318" s="7"/>
      <c r="J318" s="20" t="str">
        <f>VLOOKUP(V318,Table_to_BRG!A:D,3,FALSE)</f>
        <v>Contact data</v>
      </c>
      <c r="K318" s="20" t="str">
        <f>VLOOKUP(V318,Table_to_BRG!A:D,2,FALSE)</f>
        <v>Contact partner</v>
      </c>
      <c r="L318" s="20"/>
      <c r="M318" s="20"/>
      <c r="N318" s="9"/>
      <c r="O318" s="54"/>
      <c r="P318" s="7" t="s">
        <v>8071</v>
      </c>
      <c r="Q318" s="11" t="str">
        <f>UPPER(LEFT(Table362[[#This Row],[Entity]],3))&amp;RIGHT("00"&amp;Table362[[#This Row],[Rule '# by Entity]],3)&amp;"0_"&amp;MID(SUBSTITUTE(Table362[[#This Row],[Rule Name]],"_","|",3),SEARCH("|",SUBSTITUTE(Table362[[#This Row],[Rule Name]],"_","|",3))+1,LEN(Table362[[#This Row],[Rule Name]]))</f>
        <v>CUS0780_ContactPersonFunctionPopulated</v>
      </c>
      <c r="R318" s="8" t="s">
        <v>8129</v>
      </c>
      <c r="S318" s="7" t="s">
        <v>21</v>
      </c>
      <c r="T318" s="7"/>
      <c r="U318" s="7" t="s">
        <v>6097</v>
      </c>
      <c r="V318" s="7" t="s">
        <v>3001</v>
      </c>
      <c r="W318" s="7" t="s">
        <v>2996</v>
      </c>
      <c r="X318" s="8" t="s">
        <v>2999</v>
      </c>
      <c r="Y318" s="7" t="s">
        <v>5978</v>
      </c>
      <c r="Z318" s="7" t="s">
        <v>5978</v>
      </c>
      <c r="AA318" s="10" t="s">
        <v>1012</v>
      </c>
      <c r="AB318" s="10"/>
      <c r="AC318" s="10" t="s">
        <v>6813</v>
      </c>
      <c r="AD318" s="10"/>
      <c r="AE318" s="13" t="str">
        <f>"PARNR,KUNNR"&amp;","&amp;Table362[[#This Row],[Field]]</f>
        <v>PARNR,KUNNR,PAFKT</v>
      </c>
      <c r="AF318" s="13" t="str">
        <f>"VW_"&amp;Table362[[#This Row],[New Rule Name]]</f>
        <v>VW_CUS0780_ContactPersonFunctionPopulated</v>
      </c>
      <c r="AG318" s="11" t="str">
        <f>"create view "&amp;Table362[[#This Row],[View Name]]&amp;" as 
     select 
          PARNR,
          LIFNR,
          "&amp;Table362[[#This Row],[Field]]&amp;" 
     from "&amp;Table362[[#This Row],[Table]]</f>
        <v>create view VW_CUS0780_ContactPersonFunctionPopulated as 
     select 
          PARNR,
          LIFNR,
          PAFKT 
     from KNVK</v>
      </c>
      <c r="AH318" s="8"/>
      <c r="AI318" s="20" t="s">
        <v>7765</v>
      </c>
      <c r="AJ318" s="20"/>
      <c r="AK318" s="31">
        <v>78</v>
      </c>
      <c r="AL318" s="31"/>
    </row>
    <row r="319" spans="1:38" s="3" customFormat="1" ht="72" hidden="1" x14ac:dyDescent="0.25">
      <c r="A319" s="9">
        <v>316</v>
      </c>
      <c r="B319" s="7" t="s">
        <v>3973</v>
      </c>
      <c r="C319" s="7" t="s">
        <v>1207</v>
      </c>
      <c r="D319" s="7" t="s">
        <v>6711</v>
      </c>
      <c r="E319" s="7" t="s">
        <v>6733</v>
      </c>
      <c r="F319" s="7" t="s">
        <v>6739</v>
      </c>
      <c r="G319" s="7" t="s">
        <v>6377</v>
      </c>
      <c r="H319" s="7"/>
      <c r="I319" s="7"/>
      <c r="J319" s="20" t="str">
        <f>VLOOKUP(V319,Table_to_BRG!A:D,3,FALSE)</f>
        <v>Purchasing data</v>
      </c>
      <c r="K319" s="20" t="str">
        <f>VLOOKUP(V319,Table_to_BRG!A:D,2,FALSE)</f>
        <v>Purchasing org.</v>
      </c>
      <c r="L319" s="20"/>
      <c r="M319" s="20"/>
      <c r="N319" s="9"/>
      <c r="O319" s="54"/>
      <c r="P319" s="7" t="s">
        <v>8516</v>
      </c>
      <c r="Q319" s="11" t="str">
        <f>UPPER(LEFT(Table362[[#This Row],[Entity]],3))&amp;RIGHT("00"&amp;Table362[[#This Row],[Rule '# by Entity]],3)&amp;"0_"&amp;MID(SUBSTITUTE(Table362[[#This Row],[Rule Name]],"_","|",3),SEARCH("|",SUBSTITUTE(Table362[[#This Row],[Rule Name]],"_","|",3))+1,LEN(Table362[[#This Row],[Rule Name]]))</f>
        <v>VEN0600_SchemaGroupVendorRef</v>
      </c>
      <c r="R319" s="8" t="s">
        <v>8270</v>
      </c>
      <c r="S319" s="7" t="s">
        <v>2</v>
      </c>
      <c r="T319" s="7"/>
      <c r="U319" s="7" t="s">
        <v>1015</v>
      </c>
      <c r="V319" s="7" t="s">
        <v>3818</v>
      </c>
      <c r="W319" s="7" t="s">
        <v>3891</v>
      </c>
      <c r="X319" s="8" t="s">
        <v>3918</v>
      </c>
      <c r="Y319" s="7" t="s">
        <v>4166</v>
      </c>
      <c r="Z319" s="7" t="s">
        <v>3891</v>
      </c>
      <c r="AA319" s="11" t="str">
        <f>"BEGIN
     RETURN exists('DS_IS_RDS', '"&amp;Table362[[#This Row],[Lookup Table]]&amp;"', '"&amp;Table362[[#This Row],[Lookup Field]]&amp;"', "&amp;Table362[[#This Row],[IS Parameter]]&amp;");
END"</f>
        <v>BEGIN
     RETURN exists('DS_IS_RDS', 'TMKK', 'KALSK', $P_I_SchemaGroupVendor);
END</v>
      </c>
      <c r="AB319" s="11"/>
      <c r="AC319" s="10" t="s">
        <v>6663</v>
      </c>
      <c r="AD319" s="10"/>
      <c r="AE319" s="13" t="str">
        <f>IF(Table362[[#This Row],[Entity]]="Customer","KUNNR",IF(Table362[[#This Row],[Entity]]="Vendor","LIFNR","MATNR"))&amp;",EKORG,"&amp;Table362[[#This Row],[Field]]</f>
        <v>LIFNR,EKORG,KALSK</v>
      </c>
      <c r="AF319" s="13" t="str">
        <f>"VW_"&amp;Table362[[#This Row],[New Rule Name]]</f>
        <v>VW_VEN0600_SchemaGroupVendorRef</v>
      </c>
      <c r="AG319" s="11" t="str">
        <f>"create view "&amp;Table362[[#This Row],[View Name]]&amp;" as 
     select 
          "&amp;IF(Table362[[#This Row],[Entity]]="Customer","KUNNR",IF(Table362[[#This Row],[Entity]]="Vendor","LIFNR","MATNR"))&amp;",
          EKORG,
          "&amp;Table362[[#This Row],[Field]]&amp;" 
     from "&amp;Table362[[#This Row],[Table]]</f>
        <v>create view VW_VEN0600_SchemaGroupVendorRef as 
     select 
          LIFNR,
          EKORG,
          KALSK 
     from LFM1</v>
      </c>
      <c r="AH319" s="8"/>
      <c r="AI319" s="20"/>
      <c r="AJ319" s="20"/>
      <c r="AK319" s="31">
        <v>60</v>
      </c>
      <c r="AL319" s="31"/>
    </row>
    <row r="320" spans="1:38" s="3" customFormat="1" ht="48" hidden="1" x14ac:dyDescent="0.25">
      <c r="A320" s="9">
        <v>318</v>
      </c>
      <c r="B320" s="7" t="s">
        <v>3973</v>
      </c>
      <c r="C320" s="7" t="s">
        <v>3</v>
      </c>
      <c r="D320" s="7" t="s">
        <v>6711</v>
      </c>
      <c r="E320" s="7" t="s">
        <v>6712</v>
      </c>
      <c r="F320" s="7" t="s">
        <v>6713</v>
      </c>
      <c r="G320" s="7" t="s">
        <v>6391</v>
      </c>
      <c r="H320" s="7"/>
      <c r="I320" s="7"/>
      <c r="J320" s="20" t="str">
        <f>VLOOKUP(V320,Table_to_BRG!A:D,3,FALSE)</f>
        <v>Plant data</v>
      </c>
      <c r="K320" s="20" t="str">
        <f>VLOOKUP(V320,Table_to_BRG!A:D,2,FALSE)</f>
        <v>Plant</v>
      </c>
      <c r="L320" s="20"/>
      <c r="M320" s="20"/>
      <c r="N320" s="9" t="s">
        <v>6465</v>
      </c>
      <c r="O320" s="54" t="s">
        <v>7735</v>
      </c>
      <c r="P320" s="7" t="s">
        <v>8421</v>
      </c>
      <c r="Q320" s="11"/>
      <c r="R320" s="8" t="s">
        <v>7920</v>
      </c>
      <c r="S320" s="7" t="s">
        <v>2</v>
      </c>
      <c r="T320" s="7"/>
      <c r="U320" s="7" t="s">
        <v>1021</v>
      </c>
      <c r="V320" s="7" t="s">
        <v>1527</v>
      </c>
      <c r="W320" s="7" t="s">
        <v>1773</v>
      </c>
      <c r="X320" s="8" t="s">
        <v>6682</v>
      </c>
      <c r="Y320" s="7" t="s">
        <v>6066</v>
      </c>
      <c r="Z320" s="7" t="s">
        <v>1773</v>
      </c>
      <c r="AA320" s="11" t="str">
        <f>"BEGIN
     RETURN exists('DS_IS_RDS', '"&amp;Table362[[#This Row],[Lookup Table]]&amp;"', '"&amp;Table362[[#This Row],[Lookup Field]]&amp;"', "&amp;Table362[[#This Row],[IS Parameter]]&amp;");
END"</f>
        <v>BEGIN
     RETURN exists('DS_IS_RDS', 'M_PLKSA', 'PLNNR', $P_I_Group);
END</v>
      </c>
      <c r="AB320" s="11"/>
      <c r="AC320" s="10" t="s">
        <v>6663</v>
      </c>
      <c r="AD320" s="10"/>
      <c r="AE320" s="50"/>
      <c r="AF320" s="50"/>
      <c r="AG320" s="51"/>
      <c r="AH320" s="8"/>
      <c r="AI320" s="20"/>
      <c r="AJ320" s="20"/>
      <c r="AK320" s="31">
        <v>70</v>
      </c>
      <c r="AL320" s="31"/>
    </row>
    <row r="321" spans="1:38" s="3" customFormat="1" ht="72" x14ac:dyDescent="0.25">
      <c r="A321" s="9">
        <v>317</v>
      </c>
      <c r="B321" s="7" t="s">
        <v>3973</v>
      </c>
      <c r="C321" s="7" t="s">
        <v>3</v>
      </c>
      <c r="D321" s="7" t="s">
        <v>6711</v>
      </c>
      <c r="E321" s="7" t="s">
        <v>6712</v>
      </c>
      <c r="F321" s="7" t="s">
        <v>6713</v>
      </c>
      <c r="G321" s="7" t="s">
        <v>6377</v>
      </c>
      <c r="H321" s="7"/>
      <c r="I321" s="7"/>
      <c r="J321" s="20" t="str">
        <f>VLOOKUP(V321,Table_to_BRG!A:D,3,FALSE)</f>
        <v>Plant data</v>
      </c>
      <c r="K321" s="20" t="str">
        <f>VLOOKUP(V321,Table_to_BRG!A:D,2,FALSE)</f>
        <v>Plant</v>
      </c>
      <c r="L321" s="20"/>
      <c r="M321" s="20"/>
      <c r="N321" s="9"/>
      <c r="O321" s="54"/>
      <c r="P321" s="7" t="s">
        <v>8422</v>
      </c>
      <c r="Q321" s="11" t="str">
        <f>UPPER(LEFT(Table362[[#This Row],[Entity]],3))&amp;RIGHT("00"&amp;Table362[[#This Row],[Rule '# by Entity]],3)&amp;"0_"&amp;MID(SUBSTITUTE(Table362[[#This Row],[Rule Name]],"_","|",3),SEARCH("|",SUBSTITUTE(Table362[[#This Row],[Rule Name]],"_","|",3))+1,LEN(Table362[[#This Row],[Rule Name]]))</f>
        <v>MAT0390_PurchasingGroupRef</v>
      </c>
      <c r="R321" s="8" t="s">
        <v>7972</v>
      </c>
      <c r="S321" s="7" t="s">
        <v>2</v>
      </c>
      <c r="T321" s="7"/>
      <c r="U321" s="7" t="s">
        <v>131</v>
      </c>
      <c r="V321" s="7" t="s">
        <v>1527</v>
      </c>
      <c r="W321" s="7" t="s">
        <v>2045</v>
      </c>
      <c r="X321" s="8" t="s">
        <v>8637</v>
      </c>
      <c r="Y321" s="7" t="s">
        <v>4275</v>
      </c>
      <c r="Z321" s="7" t="s">
        <v>2045</v>
      </c>
      <c r="AA321" s="11" t="str">
        <f>"BEGIN
     RETURN exists('DS_IS_RDS', '"&amp;Table362[[#This Row],[Lookup Table]]&amp;"', '"&amp;Table362[[#This Row],[Lookup Field]]&amp;"', "&amp;Table362[[#This Row],[IS Parameter]]&amp;");
END"</f>
        <v>BEGIN
     RETURN exists('DS_IS_RDS', 'T024', 'EKGRP', $P_I_PurchasingGroup);
END</v>
      </c>
      <c r="AB321" s="11" t="str">
        <f>Table362[[#This Row],[IS Parameter]]&amp;" IS NOT NULL AND rtrim("&amp;Table362[[#This Row],[IS Parameter]]&amp;", ' ') != ''"</f>
        <v>$P_I_PurchasingGroup IS NOT NULL AND rtrim($P_I_PurchasingGroup, ' ') != ''</v>
      </c>
      <c r="AC321" s="10" t="s">
        <v>6663</v>
      </c>
      <c r="AD321" s="10"/>
      <c r="AE321" s="13" t="str">
        <f>IF(Table362[[#This Row],[Entity]]="Customer","KUNNR",IF(Table362[[#This Row],[Entity]]="Vendor","LIFNR","MATNR"))&amp;",WERKS"&amp;","&amp;Table362[[#This Row],[Field]]</f>
        <v>MATNR,WERKS,EKGRP</v>
      </c>
      <c r="AF321" s="13" t="str">
        <f>"VW_"&amp;Table362[[#This Row],[New Rule Name]]</f>
        <v>VW_MAT0390_PurchasingGroupRef</v>
      </c>
      <c r="AG321" s="11" t="str">
        <f>"create view "&amp;Table362[[#This Row],[View Name]]&amp;" as 
     select 
          "&amp;IF(Table362[[#This Row],[Entity]]="Customer","KUNNR",IF(Table362[[#This Row],[Entity]]="Vendor","LIFNR","MATNR"))&amp;",
          WERKS,
          "&amp;Table362[[#This Row],[Field]]&amp;" 
     from "&amp;Table362[[#This Row],[Table]]</f>
        <v>create view VW_MAT0390_PurchasingGroupRef as 
     select 
          MATNR,
          WERKS,
          EKGRP 
     from MARC</v>
      </c>
      <c r="AH321" s="8"/>
      <c r="AI321" s="20" t="s">
        <v>7810</v>
      </c>
      <c r="AJ321" s="20"/>
      <c r="AK321" s="31">
        <v>39</v>
      </c>
      <c r="AL321" s="31"/>
    </row>
    <row r="322" spans="1:38" s="3" customFormat="1" ht="48" hidden="1" x14ac:dyDescent="0.25">
      <c r="A322" s="9">
        <v>320</v>
      </c>
      <c r="B322" s="7" t="s">
        <v>3973</v>
      </c>
      <c r="C322" s="7" t="s">
        <v>1207</v>
      </c>
      <c r="D322" s="7" t="s">
        <v>5978</v>
      </c>
      <c r="E322" s="7" t="s">
        <v>5978</v>
      </c>
      <c r="F322" s="7" t="s">
        <v>5978</v>
      </c>
      <c r="G322" s="7" t="s">
        <v>6361</v>
      </c>
      <c r="H322" s="7" t="s">
        <v>6362</v>
      </c>
      <c r="I322" s="7"/>
      <c r="J322" s="20" t="e">
        <f>VLOOKUP(V322,Table_to_BRG!A:D,3,FALSE)</f>
        <v>#N/A</v>
      </c>
      <c r="K322" s="20" t="e">
        <f>VLOOKUP(V322,Table_to_BRG!A:D,2,FALSE)</f>
        <v>#N/A</v>
      </c>
      <c r="L322" s="20"/>
      <c r="M322" s="20"/>
      <c r="N322" s="9" t="s">
        <v>6465</v>
      </c>
      <c r="O322" s="54" t="s">
        <v>6910</v>
      </c>
      <c r="P322" s="15" t="s">
        <v>8517</v>
      </c>
      <c r="Q322" s="11"/>
      <c r="R322" s="13" t="s">
        <v>6485</v>
      </c>
      <c r="S322" s="7" t="s">
        <v>2</v>
      </c>
      <c r="T322" s="7"/>
      <c r="U322" s="7" t="s">
        <v>1029</v>
      </c>
      <c r="V322" s="23"/>
      <c r="W322" s="23"/>
      <c r="X322" s="24"/>
      <c r="Y322" s="7" t="s">
        <v>5755</v>
      </c>
      <c r="Z322" s="7" t="s">
        <v>2996</v>
      </c>
      <c r="AA322" s="11" t="str">
        <f>"BEGIN
     RETURN exists('DS_IS_RDS', '"&amp;Table362[[#This Row],[Lookup Table]]&amp;"', '"&amp;Table362[[#This Row],[Lookup Field]]&amp;"', "&amp;Table362[[#This Row],[IS Parameter]]&amp;");
END"</f>
        <v>BEGIN
     RETURN exists('DS_IS_RDS', 'TPFK', 'PAFKT', $P_I_Function);
END</v>
      </c>
      <c r="AB322" s="11"/>
      <c r="AC322" s="10" t="s">
        <v>6663</v>
      </c>
      <c r="AD322" s="10"/>
      <c r="AE322" s="13"/>
      <c r="AF322" s="13"/>
      <c r="AG322" s="11"/>
      <c r="AH322" s="8"/>
      <c r="AI322" s="20" t="s">
        <v>7613</v>
      </c>
      <c r="AJ322" s="20"/>
      <c r="AK322" s="31"/>
      <c r="AL322" s="31"/>
    </row>
    <row r="323" spans="1:38" s="3" customFormat="1" ht="84" x14ac:dyDescent="0.25">
      <c r="A323" s="9">
        <v>319</v>
      </c>
      <c r="B323" s="7" t="s">
        <v>3973</v>
      </c>
      <c r="C323" s="7" t="s">
        <v>3</v>
      </c>
      <c r="D323" s="7" t="s">
        <v>6711</v>
      </c>
      <c r="E323" s="7" t="s">
        <v>6712</v>
      </c>
      <c r="F323" s="7" t="s">
        <v>6713</v>
      </c>
      <c r="G323" s="7" t="s">
        <v>6703</v>
      </c>
      <c r="H323" s="7" t="s">
        <v>6376</v>
      </c>
      <c r="I323" s="7"/>
      <c r="J323" s="20" t="str">
        <f>VLOOKUP(V323,Table_to_BRG!A:D,3,FALSE)</f>
        <v>Plant data</v>
      </c>
      <c r="K323" s="20" t="str">
        <f>VLOOKUP(V323,Table_to_BRG!A:D,2,FALSE)</f>
        <v>Plant</v>
      </c>
      <c r="L323" s="20"/>
      <c r="M323" s="20"/>
      <c r="N323" s="9"/>
      <c r="O323" s="54"/>
      <c r="P323" s="7" t="s">
        <v>8423</v>
      </c>
      <c r="Q323" s="11" t="str">
        <f>UPPER(LEFT(Table362[[#This Row],[Entity]],3))&amp;RIGHT("00"&amp;Table362[[#This Row],[Rule '# by Entity]],3)&amp;"0_"&amp;MID(SUBSTITUTE(Table362[[#This Row],[Rule Name]],"_","|",3),SEARCH("|",SUBSTITUTE(Table362[[#This Row],[Rule Name]],"_","|",3))+1,LEN(Table362[[#This Row],[Rule Name]]))</f>
        <v>MAT0930_PushDistributionIsValid</v>
      </c>
      <c r="R323" s="8" t="s">
        <v>8185</v>
      </c>
      <c r="S323" s="7" t="s">
        <v>4135</v>
      </c>
      <c r="T323" s="7" t="s">
        <v>2</v>
      </c>
      <c r="U323" s="7" t="s">
        <v>1025</v>
      </c>
      <c r="V323" s="7" t="s">
        <v>1527</v>
      </c>
      <c r="W323" s="7" t="s">
        <v>2232</v>
      </c>
      <c r="X323" s="8" t="s">
        <v>2249</v>
      </c>
      <c r="Y323" s="7" t="s">
        <v>5978</v>
      </c>
      <c r="Z323" s="7" t="s">
        <v>5978</v>
      </c>
      <c r="AA323" s="10" t="s">
        <v>8595</v>
      </c>
      <c r="AB323" s="11" t="str">
        <f>Table362[[#This Row],[IS Parameter]]&amp;" IS NOT NULL AND rtrim("&amp;Table362[[#This Row],[IS Parameter]]&amp;", ' ') != ''"</f>
        <v>$P_I_PushDistribution IS NOT NULL AND rtrim($P_I_PushDistribution, ' ') != ''</v>
      </c>
      <c r="AC323" s="13" t="s">
        <v>7792</v>
      </c>
      <c r="AD323"/>
      <c r="AE323" s="13" t="str">
        <f>IF(Table362[[#This Row],[Entity]]="Customer","KUNNR",IF(Table362[[#This Row],[Entity]]="Vendor","LIFNR","MATNR"))&amp;",WERKS"&amp;","&amp;Table362[[#This Row],[Field]]</f>
        <v>MATNR,WERKS,DPLPU</v>
      </c>
      <c r="AF323" s="13" t="str">
        <f>"VW_"&amp;Table362[[#This Row],[New Rule Name]]</f>
        <v>VW_MAT0930_PushDistributionIsValid</v>
      </c>
      <c r="AG323" s="11" t="str">
        <f>"create view "&amp;Table362[[#This Row],[View Name]]&amp;" as 
     select 
          "&amp;IF(Table362[[#This Row],[Entity]]="Customer","KUNNR",IF(Table362[[#This Row],[Entity]]="Vendor","LIFNR","MATNR"))&amp;",
          WERKS,
          "&amp;Table362[[#This Row],[Field]]&amp;" 
     from "&amp;Table362[[#This Row],[Table]]</f>
        <v>create view VW_MAT0930_PushDistributionIsValid as 
     select 
          MATNR,
          WERKS,
          DPLPU 
     from MARC</v>
      </c>
      <c r="AH323" s="8"/>
      <c r="AI323" s="20"/>
      <c r="AJ323" s="20"/>
      <c r="AK323" s="31">
        <v>93</v>
      </c>
      <c r="AL323" s="31"/>
    </row>
    <row r="324" spans="1:38" s="3" customFormat="1" ht="84" x14ac:dyDescent="0.25">
      <c r="A324" s="9">
        <v>321</v>
      </c>
      <c r="B324" s="7" t="s">
        <v>3973</v>
      </c>
      <c r="C324" s="7" t="s">
        <v>3</v>
      </c>
      <c r="D324" s="7" t="s">
        <v>6711</v>
      </c>
      <c r="E324" s="7" t="s">
        <v>6712</v>
      </c>
      <c r="F324" s="7" t="s">
        <v>6729</v>
      </c>
      <c r="G324" s="7" t="s">
        <v>6382</v>
      </c>
      <c r="H324" s="7"/>
      <c r="I324" s="7"/>
      <c r="J324" s="20" t="str">
        <f>VLOOKUP(V324,Table_to_BRG!A:D,3,FALSE)</f>
        <v>Sales data</v>
      </c>
      <c r="K324" s="20" t="str">
        <f>VLOOKUP(V324,Table_to_BRG!A:D,2,FALSE)</f>
        <v>Sales</v>
      </c>
      <c r="L324" s="20"/>
      <c r="M324" s="20"/>
      <c r="N324" s="9"/>
      <c r="O324" s="54"/>
      <c r="P324" s="7" t="s">
        <v>8424</v>
      </c>
      <c r="Q324" s="11" t="str">
        <f>UPPER(LEFT(Table362[[#This Row],[Entity]],3))&amp;RIGHT("00"&amp;Table362[[#This Row],[Rule '# by Entity]],3)&amp;"0_"&amp;MID(SUBSTITUTE(Table362[[#This Row],[Rule Name]],"_","|",3),SEARCH("|",SUBSTITUTE(Table362[[#This Row],[Rule Name]],"_","|",3))+1,LEN(Table362[[#This Row],[Rule Name]]))</f>
        <v>MAT1350_MaterialGroup4Ref</v>
      </c>
      <c r="R324" s="8" t="s">
        <v>7973</v>
      </c>
      <c r="S324" s="7" t="s">
        <v>2</v>
      </c>
      <c r="T324" s="7"/>
      <c r="U324" s="7" t="s">
        <v>1033</v>
      </c>
      <c r="V324" s="7" t="s">
        <v>2460</v>
      </c>
      <c r="W324" s="7" t="s">
        <v>2510</v>
      </c>
      <c r="X324" s="8" t="s">
        <v>2530</v>
      </c>
      <c r="Y324" s="7" t="s">
        <v>6067</v>
      </c>
      <c r="Z324" s="7" t="s">
        <v>2510</v>
      </c>
      <c r="AA324" s="11" t="str">
        <f>"BEGIN
     RETURN exists('DS_IS_RDS', '"&amp;Table362[[#This Row],[Lookup Table]]&amp;"', '"&amp;Table362[[#This Row],[Lookup Field]]&amp;"', "&amp;Table362[[#This Row],[IS Parameter]]&amp;");
END"</f>
        <v>BEGIN
     RETURN exists('DS_IS_RDS', 'TVM4', 'MVGR4', $P_I_MatGroup4);
END</v>
      </c>
      <c r="AB324" s="11" t="str">
        <f>Table362[[#This Row],[IS Parameter]]&amp;" IS NOT NULL AND rtrim("&amp;Table362[[#This Row],[IS Parameter]]&amp;", ' ') != ''"</f>
        <v>$P_I_MatGroup4 IS NOT NULL AND rtrim($P_I_MatGroup4, ' ') != ''</v>
      </c>
      <c r="AC324" s="10" t="s">
        <v>6663</v>
      </c>
      <c r="AD324" s="10"/>
      <c r="AE324" s="13" t="str">
        <f>IF(Table362[[#This Row],[Entity]]="Customer","KUNNR",IF(Table362[[#This Row],[Entity]]="Vendor","LIFNR","MATNR"))&amp;",VKORG,VTWEG,"&amp;Table362[[#This Row],[Field]]</f>
        <v>MATNR,VKORG,VTWEG,MVGR4</v>
      </c>
      <c r="AF324" s="13" t="str">
        <f>"VW_"&amp;Table362[[#This Row],[New Rule Name]]</f>
        <v>VW_MAT1350_MaterialGroup4Ref</v>
      </c>
      <c r="AG324" s="11" t="str">
        <f>"create view "&amp;Table362[[#This Row],[View Name]]&amp;" as 
     select 
          "&amp;IF(Table362[[#This Row],[Entity]]="Customer","KUNNR",IF(Table362[[#This Row],[Entity]]="Vendor","LIFNR","MATNR"))&amp;",
          VKORG,
          VTWEG,
          "&amp;Table362[[#This Row],[Field]]&amp;" 
     from "&amp;Table362[[#This Row],[Table]]</f>
        <v>create view VW_MAT1350_MaterialGroup4Ref as 
     select 
          MATNR,
          VKORG,
          VTWEG,
          MVGR4 
     from MVKE</v>
      </c>
      <c r="AH324" s="8"/>
      <c r="AI324" s="20" t="s">
        <v>6668</v>
      </c>
      <c r="AJ324" s="20"/>
      <c r="AK324" s="31">
        <v>135</v>
      </c>
      <c r="AL324" s="31"/>
    </row>
    <row r="325" spans="1:38" s="3" customFormat="1" ht="90" hidden="1" x14ac:dyDescent="0.25">
      <c r="A325" s="9">
        <v>323</v>
      </c>
      <c r="B325" s="7" t="s">
        <v>3973</v>
      </c>
      <c r="C325" s="7" t="s">
        <v>16</v>
      </c>
      <c r="D325" s="7" t="s">
        <v>6735</v>
      </c>
      <c r="E325" s="7" t="s">
        <v>6736</v>
      </c>
      <c r="F325" s="7" t="s">
        <v>6750</v>
      </c>
      <c r="G325" s="20" t="s">
        <v>6361</v>
      </c>
      <c r="H325" s="20" t="s">
        <v>3967</v>
      </c>
      <c r="I325" s="20"/>
      <c r="J325" s="20" t="str">
        <f>VLOOKUP(V325,Table_to_BRG!A:D,3,FALSE)</f>
        <v>Address data</v>
      </c>
      <c r="K325" s="9" t="str">
        <f>VLOOKUP(V325,Table_to_BRG!A:D,2,FALSE)</f>
        <v>Address</v>
      </c>
      <c r="L325" s="45"/>
      <c r="M325" s="7"/>
      <c r="N325" s="11"/>
      <c r="O325" s="54"/>
      <c r="P325" s="7" t="s">
        <v>8200</v>
      </c>
      <c r="Q325" s="11" t="str">
        <f>UPPER(LEFT(Table362[[#This Row],[Entity]],3))&amp;RIGHT("00"&amp;Table362[[#This Row],[Rule '# by Entity]],3)&amp;"0_"&amp;MID(SUBSTITUTE(Table362[[#This Row],[Rule Name]],"_","|",3),SEARCH("|",SUBSTITUTE(Table362[[#This Row],[Rule Name]],"_","|",3))+1,LEN(Table362[[#This Row],[Rule Name]]))</f>
        <v>CUS1150_TitleRef</v>
      </c>
      <c r="R325" s="13" t="s">
        <v>8201</v>
      </c>
      <c r="S325" s="8" t="s">
        <v>2</v>
      </c>
      <c r="T325" s="7"/>
      <c r="U325" s="8" t="s">
        <v>8199</v>
      </c>
      <c r="V325" s="7" t="s">
        <v>6261</v>
      </c>
      <c r="W325" s="7" t="s">
        <v>8213</v>
      </c>
      <c r="X325" s="10" t="s">
        <v>6420</v>
      </c>
      <c r="Y325" s="10" t="s">
        <v>6037</v>
      </c>
      <c r="Z325" s="10" t="s">
        <v>6038</v>
      </c>
      <c r="AA325" s="13" t="s">
        <v>8229</v>
      </c>
      <c r="AB325" s="11" t="str">
        <f>Table362[[#This Row],[IS Parameter]]&amp;" IS NOT NULL
AND "&amp; Table362[[#This Row],[IS Parameter]]&amp;" != ''"</f>
        <v>$P_I_Title, $P_I_Language IS NOT NULL
AND $P_I_Title, $P_I_Language != ''</v>
      </c>
      <c r="AC325" s="10" t="s">
        <v>6663</v>
      </c>
      <c r="AD325" s="11"/>
      <c r="AE325" s="13" t="str">
        <f>"ADDRNUMBER,DATE_FROM,NATION,"&amp;Table362[[#This Row],[Field]]</f>
        <v>ADDRNUMBER,DATE_FROM,NATION,TITLE, LANGU</v>
      </c>
      <c r="AF325" s="13" t="str">
        <f>"VW_"&amp;Table362[[#This Row],[New Rule Name]]</f>
        <v>VW_CUS1150_TitleRef</v>
      </c>
      <c r="AG325" s="20"/>
      <c r="AH325" s="13" t="s">
        <v>8198</v>
      </c>
      <c r="AI325" s="31" t="s">
        <v>7588</v>
      </c>
      <c r="AJ325" s="33"/>
      <c r="AK325" s="31">
        <v>115</v>
      </c>
      <c r="AL325" s="31"/>
    </row>
    <row r="326" spans="1:38" s="3" customFormat="1" ht="72" hidden="1" x14ac:dyDescent="0.25">
      <c r="A326" s="9">
        <v>322</v>
      </c>
      <c r="B326" s="7" t="s">
        <v>3973</v>
      </c>
      <c r="C326" s="7" t="s">
        <v>1207</v>
      </c>
      <c r="D326" s="7" t="s">
        <v>6711</v>
      </c>
      <c r="E326" s="7" t="s">
        <v>6733</v>
      </c>
      <c r="F326" s="7" t="s">
        <v>6739</v>
      </c>
      <c r="G326" s="7" t="s">
        <v>6377</v>
      </c>
      <c r="H326" s="7"/>
      <c r="I326" s="7"/>
      <c r="J326" s="20" t="str">
        <f>VLOOKUP(V326,Table_to_BRG!A:D,3,FALSE)</f>
        <v>Purchasing data</v>
      </c>
      <c r="K326" s="20" t="str">
        <f>VLOOKUP(V326,Table_to_BRG!A:D,2,FALSE)</f>
        <v>Purchasing org.</v>
      </c>
      <c r="L326" s="20"/>
      <c r="M326" s="20"/>
      <c r="N326" s="9"/>
      <c r="O326" s="54"/>
      <c r="P326" s="7" t="s">
        <v>8518</v>
      </c>
      <c r="Q326" s="11" t="str">
        <f>UPPER(LEFT(Table362[[#This Row],[Entity]],3))&amp;RIGHT("00"&amp;Table362[[#This Row],[Rule '# by Entity]],3)&amp;"0_"&amp;MID(SUBSTITUTE(Table362[[#This Row],[Rule Name]],"_","|",3),SEARCH("|",SUBSTITUTE(Table362[[#This Row],[Rule Name]],"_","|",3))+1,LEN(Table362[[#This Row],[Rule Name]]))</f>
        <v>VEN0590_IncotermsPart1Ref</v>
      </c>
      <c r="R326" s="13" t="s">
        <v>8269</v>
      </c>
      <c r="S326" s="7" t="s">
        <v>2</v>
      </c>
      <c r="T326" s="7"/>
      <c r="U326" s="7" t="s">
        <v>1037</v>
      </c>
      <c r="V326" s="7" t="s">
        <v>3818</v>
      </c>
      <c r="W326" s="7" t="s">
        <v>3299</v>
      </c>
      <c r="X326" s="8" t="s">
        <v>3315</v>
      </c>
      <c r="Y326" s="7" t="s">
        <v>4214</v>
      </c>
      <c r="Z326" s="7" t="s">
        <v>3299</v>
      </c>
      <c r="AA326" s="11" t="str">
        <f>"BEGIN
     RETURN exists('DS_IS_RDS', '"&amp;Table362[[#This Row],[Lookup Table]]&amp;"', '"&amp;Table362[[#This Row],[Lookup Field]]&amp;"', "&amp;Table362[[#This Row],[IS Parameter]]&amp;");
END"</f>
        <v>BEGIN
     RETURN exists('DS_IS_RDS', 'TINC', 'INCO1', $P_I_Incoterms);
END</v>
      </c>
      <c r="AB326" s="11"/>
      <c r="AC326" s="10" t="s">
        <v>6663</v>
      </c>
      <c r="AD326" s="10"/>
      <c r="AE326" s="13" t="str">
        <f>IF(Table362[[#This Row],[Entity]]="Customer","KUNNR",IF(Table362[[#This Row],[Entity]]="Vendor","LIFNR","MATNR"))&amp;",EKORG,"&amp;Table362[[#This Row],[Field]]</f>
        <v>LIFNR,EKORG,INCO1</v>
      </c>
      <c r="AF326" s="13" t="str">
        <f>"VW_"&amp;Table362[[#This Row],[New Rule Name]]</f>
        <v>VW_VEN0590_IncotermsPart1Ref</v>
      </c>
      <c r="AG326" s="11" t="str">
        <f>"create view "&amp;Table362[[#This Row],[View Name]]&amp;" as 
     select 
          "&amp;IF(Table362[[#This Row],[Entity]]="Customer","KUNNR",IF(Table362[[#This Row],[Entity]]="Vendor","LIFNR","MATNR"))&amp;",
          EKORG,
          "&amp;Table362[[#This Row],[Field]]&amp;" 
     from "&amp;Table362[[#This Row],[Table]]</f>
        <v>create view VW_VEN0590_IncotermsPart1Ref as 
     select 
          LIFNR,
          EKORG,
          INCO1 
     from LFM1</v>
      </c>
      <c r="AH326" s="8"/>
      <c r="AI326" s="20" t="s">
        <v>7615</v>
      </c>
      <c r="AJ326" s="20"/>
      <c r="AK326" s="31">
        <v>59</v>
      </c>
      <c r="AL326" s="31"/>
    </row>
    <row r="327" spans="1:38" s="3" customFormat="1" ht="84" x14ac:dyDescent="0.25">
      <c r="A327" s="9">
        <v>324</v>
      </c>
      <c r="B327" s="7" t="s">
        <v>3973</v>
      </c>
      <c r="C327" s="7" t="s">
        <v>3</v>
      </c>
      <c r="D327" s="7" t="s">
        <v>6711</v>
      </c>
      <c r="E327" s="7" t="s">
        <v>6712</v>
      </c>
      <c r="F327" s="7" t="s">
        <v>6729</v>
      </c>
      <c r="G327" s="7" t="s">
        <v>6382</v>
      </c>
      <c r="H327" s="7"/>
      <c r="I327" s="7"/>
      <c r="J327" s="20" t="str">
        <f>VLOOKUP(V327,Table_to_BRG!A:D,3,FALSE)</f>
        <v>Sales data</v>
      </c>
      <c r="K327" s="20" t="str">
        <f>VLOOKUP(V327,Table_to_BRG!A:D,2,FALSE)</f>
        <v>Sales</v>
      </c>
      <c r="L327" s="20"/>
      <c r="M327" s="20"/>
      <c r="N327" s="9"/>
      <c r="O327" s="54"/>
      <c r="P327" s="7" t="s">
        <v>8425</v>
      </c>
      <c r="Q327" s="11" t="str">
        <f>UPPER(LEFT(Table362[[#This Row],[Entity]],3))&amp;RIGHT("00"&amp;Table362[[#This Row],[Rule '# by Entity]],3)&amp;"0_"&amp;MID(SUBSTITUTE(Table362[[#This Row],[Rule Name]],"_","|",3),SEARCH("|",SUBSTITUTE(Table362[[#This Row],[Rule Name]],"_","|",3))+1,LEN(Table362[[#This Row],[Rule Name]]))</f>
        <v>MAT1330_MaterialGroup2Ref</v>
      </c>
      <c r="R327" s="8" t="s">
        <v>7974</v>
      </c>
      <c r="S327" s="7" t="s">
        <v>2</v>
      </c>
      <c r="T327" s="7"/>
      <c r="U327" s="7" t="s">
        <v>1042</v>
      </c>
      <c r="V327" s="7" t="s">
        <v>2460</v>
      </c>
      <c r="W327" s="7" t="s">
        <v>2508</v>
      </c>
      <c r="X327" s="8" t="s">
        <v>2528</v>
      </c>
      <c r="Y327" s="7" t="s">
        <v>6068</v>
      </c>
      <c r="Z327" s="7" t="s">
        <v>2508</v>
      </c>
      <c r="AA327" s="11" t="str">
        <f>"BEGIN
     RETURN exists('DS_IS_RDS', '"&amp;Table362[[#This Row],[Lookup Table]]&amp;"', '"&amp;Table362[[#This Row],[Lookup Field]]&amp;"', "&amp;Table362[[#This Row],[IS Parameter]]&amp;");
END"</f>
        <v>BEGIN
     RETURN exists('DS_IS_RDS', 'TVM2', 'MVGR2', $P_I_MatGroup2);
END</v>
      </c>
      <c r="AB327" s="11" t="str">
        <f>Table362[[#This Row],[IS Parameter]]&amp;" IS NOT NULL AND rtrim("&amp;Table362[[#This Row],[IS Parameter]]&amp;", ' ') != ''"</f>
        <v>$P_I_MatGroup2 IS NOT NULL AND rtrim($P_I_MatGroup2, ' ') != ''</v>
      </c>
      <c r="AC327" s="10" t="s">
        <v>6663</v>
      </c>
      <c r="AD327" s="10"/>
      <c r="AE327" s="13" t="str">
        <f>IF(Table362[[#This Row],[Entity]]="Customer","KUNNR",IF(Table362[[#This Row],[Entity]]="Vendor","LIFNR","MATNR"))&amp;",VKORG,VTWEG,"&amp;Table362[[#This Row],[Field]]</f>
        <v>MATNR,VKORG,VTWEG,MVGR2</v>
      </c>
      <c r="AF327" s="13" t="str">
        <f>"VW_"&amp;Table362[[#This Row],[New Rule Name]]</f>
        <v>VW_MAT1330_MaterialGroup2Ref</v>
      </c>
      <c r="AG327" s="11" t="str">
        <f>"create view "&amp;Table362[[#This Row],[View Name]]&amp;" as 
     select 
          "&amp;IF(Table362[[#This Row],[Entity]]="Customer","KUNNR",IF(Table362[[#This Row],[Entity]]="Vendor","LIFNR","MATNR"))&amp;",
          VKORG,
          VTWEG,
          "&amp;Table362[[#This Row],[Field]]&amp;" 
     from "&amp;Table362[[#This Row],[Table]]</f>
        <v>create view VW_MAT1330_MaterialGroup2Ref as 
     select 
          MATNR,
          VKORG,
          VTWEG,
          MVGR2 
     from MVKE</v>
      </c>
      <c r="AH327" s="8"/>
      <c r="AI327" s="20" t="s">
        <v>6669</v>
      </c>
      <c r="AJ327" s="20"/>
      <c r="AK327" s="31">
        <v>133</v>
      </c>
      <c r="AL327" s="31"/>
    </row>
    <row r="328" spans="1:38" s="3" customFormat="1" ht="72" hidden="1" x14ac:dyDescent="0.25">
      <c r="A328" s="9">
        <v>326</v>
      </c>
      <c r="B328" s="7" t="s">
        <v>3973</v>
      </c>
      <c r="C328" s="7" t="s">
        <v>1207</v>
      </c>
      <c r="D328" s="7" t="s">
        <v>6719</v>
      </c>
      <c r="E328" s="7" t="s">
        <v>6720</v>
      </c>
      <c r="F328" s="7" t="s">
        <v>6732</v>
      </c>
      <c r="G328" s="7" t="s">
        <v>6358</v>
      </c>
      <c r="H328" s="7" t="s">
        <v>6360</v>
      </c>
      <c r="I328" s="7"/>
      <c r="J328" s="20" t="str">
        <f>VLOOKUP(V328,Table_to_BRG!A:D,3,FALSE)</f>
        <v>Company Code data</v>
      </c>
      <c r="K328" s="20" t="str">
        <f>VLOOKUP(V328,Table_to_BRG!A:D,2,FALSE)</f>
        <v>Company Code</v>
      </c>
      <c r="L328" s="20"/>
      <c r="M328" s="20"/>
      <c r="N328" s="9"/>
      <c r="O328" s="54"/>
      <c r="P328" s="7" t="s">
        <v>8519</v>
      </c>
      <c r="Q328" s="11" t="str">
        <f>UPPER(LEFT(Table362[[#This Row],[Entity]],3))&amp;RIGHT("00"&amp;Table362[[#This Row],[Rule '# by Entity]],3)&amp;"0_"&amp;MID(SUBSTITUTE(Table362[[#This Row],[Rule Name]],"_","|",3),SEARCH("|",SUBSTITUTE(Table362[[#This Row],[Rule Name]],"_","|",3))+1,LEN(Table362[[#This Row],[Rule Name]]))</f>
        <v>VEN0430_ToleranceGroupRef</v>
      </c>
      <c r="R328" s="13" t="s">
        <v>8256</v>
      </c>
      <c r="S328" s="7" t="s">
        <v>2</v>
      </c>
      <c r="T328" s="7"/>
      <c r="U328" s="7" t="s">
        <v>852</v>
      </c>
      <c r="V328" s="7" t="s">
        <v>3543</v>
      </c>
      <c r="W328" s="7" t="s">
        <v>2889</v>
      </c>
      <c r="X328" s="8" t="s">
        <v>2908</v>
      </c>
      <c r="Y328" s="7" t="s">
        <v>5675</v>
      </c>
      <c r="Z328" s="7" t="s">
        <v>2889</v>
      </c>
      <c r="AA328" s="11" t="str">
        <f>"BEGIN
     RETURN exists('DS_IS_RDS', '"&amp;Table362[[#This Row],[Lookup Table]]&amp;"', '"&amp;Table362[[#This Row],[Lookup Field]]&amp;"', "&amp;Table362[[#This Row],[IS Parameter]]&amp;");
END"</f>
        <v>BEGIN
     RETURN exists('DS_IS_RDS', 'T043G', 'TOGRU', $P_I_ToleranceGroup);
END</v>
      </c>
      <c r="AB328" s="11"/>
      <c r="AC328" s="10" t="s">
        <v>6663</v>
      </c>
      <c r="AD328" s="10"/>
      <c r="AE328" s="13" t="str">
        <f>IF(Table362[[#This Row],[Entity]]="Customer","KUNNR",IF(Table362[[#This Row],[Entity]]="Vendor","LIFNR","MATNR"))&amp;",BUKRS,"&amp;Table362[[#This Row],[Field]]</f>
        <v>LIFNR,BUKRS,TOGRU</v>
      </c>
      <c r="AF328" s="13" t="str">
        <f>"VW_"&amp;Table362[[#This Row],[New Rule Name]]</f>
        <v>VW_VEN0430_ToleranceGroupRef</v>
      </c>
      <c r="AG328" s="11" t="str">
        <f>"create view "&amp;Table362[[#This Row],[View Name]]&amp;" as 
     select 
          "&amp;IF(Table362[[#This Row],[Entity]]="Customer","KUNNR",IF(Table362[[#This Row],[Entity]]="Vendor","LIFNR","MATNR"))&amp;",
          BUKRS,
          "&amp;Table362[[#This Row],[Field]]&amp;" 
     from "&amp;Table362[[#This Row],[Table]]</f>
        <v>create view VW_VEN0430_ToleranceGroupRef as 
     select 
          LIFNR,
          BUKRS,
          TOGRU 
     from LFB1</v>
      </c>
      <c r="AH328" s="8"/>
      <c r="AI328" s="20" t="s">
        <v>7599</v>
      </c>
      <c r="AJ328" s="20"/>
      <c r="AK328" s="31">
        <v>43</v>
      </c>
      <c r="AL328" s="31"/>
    </row>
    <row r="329" spans="1:38" s="3" customFormat="1" ht="60" hidden="1" x14ac:dyDescent="0.25">
      <c r="A329" s="9" t="s">
        <v>7805</v>
      </c>
      <c r="B329" s="7" t="s">
        <v>3973</v>
      </c>
      <c r="C329" s="7" t="s">
        <v>1207</v>
      </c>
      <c r="D329" s="7" t="s">
        <v>6719</v>
      </c>
      <c r="E329" s="7" t="s">
        <v>6720</v>
      </c>
      <c r="F329" s="7" t="s">
        <v>6722</v>
      </c>
      <c r="G329" s="7" t="s">
        <v>6361</v>
      </c>
      <c r="H329" s="7" t="s">
        <v>6363</v>
      </c>
      <c r="I329" s="7"/>
      <c r="J329" s="20" t="str">
        <f>VLOOKUP(V329,Table_to_BRG!A:D,3,FALSE)</f>
        <v>General data</v>
      </c>
      <c r="K329" s="20" t="str">
        <f>VLOOKUP(V329,Table_to_BRG!A:D,2,FALSE)</f>
        <v>General</v>
      </c>
      <c r="L329" s="20"/>
      <c r="M329" s="20"/>
      <c r="N329" s="9"/>
      <c r="O329" s="54"/>
      <c r="P329" s="7" t="s">
        <v>8520</v>
      </c>
      <c r="Q329" s="11" t="str">
        <f>UPPER(LEFT(Table362[[#This Row],[Entity]],3))&amp;RIGHT("00"&amp;Table362[[#This Row],[Rule '# by Entity]],3)&amp;"0_"&amp;MID(SUBSTITUTE(Table362[[#This Row],[Rule Name]],"_","|",3),SEARCH("|",SUBSTITUTE(Table362[[#This Row],[Rule Name]],"_","|",3))+1,LEN(Table362[[#This Row],[Rule Name]]))</f>
        <v>VEN0260_QMSystemRef</v>
      </c>
      <c r="R329" s="8" t="s">
        <v>8271</v>
      </c>
      <c r="S329" s="7" t="s">
        <v>2</v>
      </c>
      <c r="T329" s="7"/>
      <c r="U329" s="7" t="s">
        <v>1051</v>
      </c>
      <c r="V329" s="7" t="s">
        <v>3542</v>
      </c>
      <c r="W329" s="7" t="s">
        <v>2371</v>
      </c>
      <c r="X329" s="8" t="s">
        <v>3758</v>
      </c>
      <c r="Y329" s="7" t="s">
        <v>6069</v>
      </c>
      <c r="Z329" s="7" t="s">
        <v>6070</v>
      </c>
      <c r="AA329" s="11" t="str">
        <f>"BEGIN
     RETURN exists('DS_IS_RDS', '"&amp;Table362[[#This Row],[Lookup Table]]&amp;"', '"&amp;Table362[[#This Row],[Lookup Field]]&amp;"', "&amp;Table362[[#This Row],[IS Parameter]]&amp;");
END"</f>
        <v>BEGIN
     RETURN exists('DS_IS_RDS', 'TQ02B', 'QSSYSFAM', $P_I_ActuaQMSystem);
END</v>
      </c>
      <c r="AB329" s="11"/>
      <c r="AC329" s="10" t="s">
        <v>6663</v>
      </c>
      <c r="AD329" s="10"/>
      <c r="AE329" s="13" t="str">
        <f>IF(Table362[[#This Row],[Entity]]="Customer","KUNNR",IF(Table362[[#This Row],[Entity]]="Vendor","LIFNR","MATNR"))&amp;","&amp;Table362[[#This Row],[Field]]</f>
        <v>LIFNR,QSSYS</v>
      </c>
      <c r="AF329" s="13" t="str">
        <f>"VW_"&amp;Table362[[#This Row],[New Rule Name]]</f>
        <v>VW_VEN0260_QMSystemRef</v>
      </c>
      <c r="AG329" s="11" t="str">
        <f>"create view "&amp;Table362[[#This Row],[View Name]]&amp;" as 
     select 
          "&amp;IF(Table362[[#This Row],[Entity]]="Customer","KUNNR",IF(Table362[[#This Row],[Entity]]="Vendor","LIFNR","MATNR"))&amp;",
          "&amp;Table362[[#This Row],[Field]]&amp;" 
     from "&amp;Table362[[#This Row],[Table]]</f>
        <v>create view VW_VEN0260_QMSystemRef as 
     select 
          LIFNR,
          QSSYS 
     from LFA1</v>
      </c>
      <c r="AH329" s="8"/>
      <c r="AI329" s="20" t="s">
        <v>7698</v>
      </c>
      <c r="AJ329" s="20"/>
      <c r="AK329" s="31">
        <v>26</v>
      </c>
      <c r="AL329" s="31">
        <v>2</v>
      </c>
    </row>
    <row r="330" spans="1:38" s="3" customFormat="1" ht="72" hidden="1" x14ac:dyDescent="0.25">
      <c r="A330" s="9">
        <v>328</v>
      </c>
      <c r="B330" s="7" t="s">
        <v>3973</v>
      </c>
      <c r="C330" s="7" t="s">
        <v>1207</v>
      </c>
      <c r="D330" s="7" t="s">
        <v>6711</v>
      </c>
      <c r="E330" s="7" t="s">
        <v>6733</v>
      </c>
      <c r="F330" s="7" t="s">
        <v>6739</v>
      </c>
      <c r="G330" s="7" t="s">
        <v>6377</v>
      </c>
      <c r="H330" s="7"/>
      <c r="I330" s="7"/>
      <c r="J330" s="20" t="str">
        <f>VLOOKUP(V330,Table_to_BRG!A:D,3,FALSE)</f>
        <v>Purchasing data</v>
      </c>
      <c r="K330" s="20" t="str">
        <f>VLOOKUP(V330,Table_to_BRG!A:D,2,FALSE)</f>
        <v>Purchasing org.</v>
      </c>
      <c r="L330" s="20"/>
      <c r="M330" s="20"/>
      <c r="N330" s="9"/>
      <c r="O330" s="54"/>
      <c r="P330" s="7" t="s">
        <v>8521</v>
      </c>
      <c r="Q330" s="11" t="str">
        <f>UPPER(LEFT(Table362[[#This Row],[Entity]],3))&amp;RIGHT("00"&amp;Table362[[#This Row],[Rule '# by Entity]],3)&amp;"0_"&amp;MID(SUBSTITUTE(Table362[[#This Row],[Rule Name]],"_","|",3),SEARCH("|",SUBSTITUTE(Table362[[#This Row],[Rule Name]],"_","|",3))+1,LEN(Table362[[#This Row],[Rule Name]]))</f>
        <v>VEN0670_ConfirmationControlRef</v>
      </c>
      <c r="R330" s="8" t="s">
        <v>8265</v>
      </c>
      <c r="S330" s="7" t="s">
        <v>2</v>
      </c>
      <c r="T330" s="7"/>
      <c r="U330" s="7" t="s">
        <v>1055</v>
      </c>
      <c r="V330" s="7" t="s">
        <v>3818</v>
      </c>
      <c r="W330" s="7" t="s">
        <v>3912</v>
      </c>
      <c r="X330" s="8" t="s">
        <v>3940</v>
      </c>
      <c r="Y330" s="7" t="s">
        <v>6071</v>
      </c>
      <c r="Z330" s="7" t="s">
        <v>3912</v>
      </c>
      <c r="AA330" s="11" t="str">
        <f>"BEGIN
     RETURN exists('DS_IS_RDS', '"&amp;Table362[[#This Row],[Lookup Table]]&amp;"', '"&amp;Table362[[#This Row],[Lookup Field]]&amp;"', "&amp;Table362[[#This Row],[IS Parameter]]&amp;");
END"</f>
        <v>BEGIN
     RETURN exists('DS_IS_RDS', 'T163L', 'BSTAE', $P_I_ConfirmationControl);
END</v>
      </c>
      <c r="AB330" s="11"/>
      <c r="AC330" s="10" t="s">
        <v>6663</v>
      </c>
      <c r="AD330" s="10"/>
      <c r="AE330" s="13" t="str">
        <f>IF(Table362[[#This Row],[Entity]]="Customer","KUNNR",IF(Table362[[#This Row],[Entity]]="Vendor","LIFNR","MATNR"))&amp;",EKORG,"&amp;Table362[[#This Row],[Field]]</f>
        <v>LIFNR,EKORG,BSTAE</v>
      </c>
      <c r="AF330" s="13" t="str">
        <f>"VW_"&amp;Table362[[#This Row],[New Rule Name]]</f>
        <v>VW_VEN0670_ConfirmationControlRef</v>
      </c>
      <c r="AG330" s="11" t="str">
        <f>"create view "&amp;Table362[[#This Row],[View Name]]&amp;" as 
     select 
          "&amp;IF(Table362[[#This Row],[Entity]]="Customer","KUNNR",IF(Table362[[#This Row],[Entity]]="Vendor","LIFNR","MATNR"))&amp;",
          EKORG,
          "&amp;Table362[[#This Row],[Field]]&amp;" 
     from "&amp;Table362[[#This Row],[Table]]</f>
        <v>create view VW_VEN0670_ConfirmationControlRef as 
     select 
          LIFNR,
          EKORG,
          BSTAE 
     from LFM1</v>
      </c>
      <c r="AH330" s="8"/>
      <c r="AI330" s="20"/>
      <c r="AJ330" s="20"/>
      <c r="AK330" s="31">
        <v>67</v>
      </c>
      <c r="AL330" s="31"/>
    </row>
    <row r="331" spans="1:38" s="3" customFormat="1" ht="84" hidden="1" x14ac:dyDescent="0.25">
      <c r="A331" s="9">
        <v>329</v>
      </c>
      <c r="B331" s="7" t="s">
        <v>3973</v>
      </c>
      <c r="C331" s="7" t="s">
        <v>16</v>
      </c>
      <c r="D331" s="7" t="s">
        <v>6719</v>
      </c>
      <c r="E331" s="7" t="s">
        <v>6720</v>
      </c>
      <c r="F331" s="7" t="s">
        <v>6744</v>
      </c>
      <c r="G331" s="7" t="s">
        <v>6651</v>
      </c>
      <c r="H331" s="7" t="s">
        <v>6359</v>
      </c>
      <c r="I331" s="7" t="s">
        <v>6421</v>
      </c>
      <c r="J331" s="20" t="str">
        <f>VLOOKUP(V331,Table_to_BRG!A:D,3,FALSE)</f>
        <v>Dunning data</v>
      </c>
      <c r="K331" s="20" t="str">
        <f>VLOOKUP(V331,Table_to_BRG!A:D,2,FALSE)</f>
        <v>Dunning</v>
      </c>
      <c r="L331" s="20"/>
      <c r="M331" s="20"/>
      <c r="N331" s="9"/>
      <c r="O331" s="54"/>
      <c r="P331" s="7" t="s">
        <v>7885</v>
      </c>
      <c r="Q331" s="11" t="str">
        <f>UPPER(LEFT(Table362[[#This Row],[Entity]],3))&amp;RIGHT("00"&amp;Table362[[#This Row],[Rule '# by Entity]],3)&amp;"0_"&amp;MID(SUBSTITUTE(Table362[[#This Row],[Rule Name]],"_","|",3),SEARCH("|",SUBSTITUTE(Table362[[#This Row],[Rule Name]],"_","|",3))+1,LEN(Table362[[#This Row],[Rule Name]]))</f>
        <v>CUS0630_DunningProcedureRef</v>
      </c>
      <c r="R331" s="13" t="s">
        <v>8054</v>
      </c>
      <c r="S331" s="7" t="s">
        <v>2</v>
      </c>
      <c r="T331" s="7"/>
      <c r="U331" s="7" t="s">
        <v>1059</v>
      </c>
      <c r="V331" s="7" t="s">
        <v>2827</v>
      </c>
      <c r="W331" s="7" t="s">
        <v>2786</v>
      </c>
      <c r="X331" s="8" t="s">
        <v>2807</v>
      </c>
      <c r="Y331" s="7" t="s">
        <v>5725</v>
      </c>
      <c r="Z331" s="7" t="s">
        <v>2786</v>
      </c>
      <c r="AA331" s="11" t="str">
        <f>"BEGIN
     RETURN exists('DS_IS_RDS', '"&amp;Table362[[#This Row],[Lookup Table]]&amp;"', '"&amp;Table362[[#This Row],[Lookup Field]]&amp;"', "&amp;Table362[[#This Row],[IS Parameter]]&amp;");
END"</f>
        <v>BEGIN
     RETURN exists('DS_IS_RDS', 'T047A', 'MAHNA', $P_I_DunningProcedure);
END</v>
      </c>
      <c r="AB331" s="11" t="str">
        <f>Table362[[#This Row],[IS Parameter]]&amp;" IS NOT NULL
AND "&amp; Table362[[#This Row],[IS Parameter]]&amp;" != ''"</f>
        <v>$P_I_DunningProcedure IS NOT NULL
AND $P_I_DunningProcedure != ''</v>
      </c>
      <c r="AC331" s="10" t="s">
        <v>6663</v>
      </c>
      <c r="AD331" s="10"/>
      <c r="AE331" s="13" t="str">
        <f>IF(Table362[[#This Row],[Entity]]="Customer","KUNNR",IF(Table362[[#This Row],[Entity]]="Vendor","LIFNR","MATNR"))&amp;",BUKRS,MABER"&amp;","&amp;Table362[[#This Row],[Field]]</f>
        <v>KUNNR,BUKRS,MABER,MAHNA</v>
      </c>
      <c r="AF331" s="13" t="str">
        <f>"VW_"&amp;Table362[[#This Row],[New Rule Name]]</f>
        <v>VW_CUS0630_DunningProcedureRef</v>
      </c>
      <c r="AG331" s="11" t="str">
        <f>"create view "&amp;Table362[[#This Row],[View Name]]&amp;" as 
     select 
          "&amp;IF(Table362[[#This Row],[Entity]]="Customer","KUNNR",IF(Table362[[#This Row],[Entity]]="Vendor","LIFNR","MATNR"))&amp;",
          BUKRS,
          MABER,
          "&amp;Table362[[#This Row],[Field]]&amp;" 
     from "&amp;Table362[[#This Row],[Table]]</f>
        <v>create view VW_CUS0630_DunningProcedureRef as 
     select 
          KUNNR,
          BUKRS,
          MABER,
          MAHNA 
     from KNB5</v>
      </c>
      <c r="AH331" s="8"/>
      <c r="AI331" s="20" t="s">
        <v>6446</v>
      </c>
      <c r="AJ331" s="20"/>
      <c r="AK331" s="31">
        <v>63</v>
      </c>
      <c r="AL331" s="31"/>
    </row>
    <row r="332" spans="1:38" s="3" customFormat="1" ht="108" hidden="1" x14ac:dyDescent="0.25">
      <c r="A332" s="9">
        <v>330</v>
      </c>
      <c r="B332" s="7" t="s">
        <v>3973</v>
      </c>
      <c r="C332" s="7" t="s">
        <v>16</v>
      </c>
      <c r="D332" s="7" t="s">
        <v>6711</v>
      </c>
      <c r="E332" s="7" t="s">
        <v>6714</v>
      </c>
      <c r="F332" s="7" t="s">
        <v>6724</v>
      </c>
      <c r="G332" s="7" t="s">
        <v>6361</v>
      </c>
      <c r="H332" s="7" t="s">
        <v>6362</v>
      </c>
      <c r="I332" s="7"/>
      <c r="J332" s="20" t="str">
        <f>VLOOKUP(V332,Table_to_BRG!A:D,3,FALSE)</f>
        <v>Contact data</v>
      </c>
      <c r="K332" s="20" t="str">
        <f>VLOOKUP(V332,Table_to_BRG!A:D,2,FALSE)</f>
        <v>Contact partner</v>
      </c>
      <c r="L332" s="20"/>
      <c r="M332" s="20"/>
      <c r="N332" s="9"/>
      <c r="O332" s="54"/>
      <c r="P332" s="7" t="s">
        <v>7886</v>
      </c>
      <c r="Q332" s="11" t="str">
        <f>UPPER(LEFT(Table362[[#This Row],[Entity]],3))&amp;RIGHT("00"&amp;Table362[[#This Row],[Rule '# by Entity]],3)&amp;"0_"&amp;MID(SUBSTITUTE(Table362[[#This Row],[Rule Name]],"_","|",3),SEARCH("|",SUBSTITUTE(Table362[[#This Row],[Rule Name]],"_","|",3))+1,LEN(Table362[[#This Row],[Rule Name]]))</f>
        <v>CUS0770_ContactPersonDepartmentRef</v>
      </c>
      <c r="R332" s="13" t="s">
        <v>8214</v>
      </c>
      <c r="S332" s="7" t="s">
        <v>2</v>
      </c>
      <c r="T332" s="7"/>
      <c r="U332" s="7" t="s">
        <v>452</v>
      </c>
      <c r="V332" s="7" t="s">
        <v>3001</v>
      </c>
      <c r="W332" s="7" t="s">
        <v>2994</v>
      </c>
      <c r="X332" s="8" t="s">
        <v>2998</v>
      </c>
      <c r="Y332" s="7" t="s">
        <v>5682</v>
      </c>
      <c r="Z332" s="7" t="s">
        <v>2994</v>
      </c>
      <c r="AA332" s="11" t="str">
        <f>"BEGIN
     RETURN exists('DS_IS_RDS', '"&amp;Table362[[#This Row],[Lookup Table]]&amp;"', '"&amp;Table362[[#This Row],[Lookup Field]]&amp;"', "&amp;Table362[[#This Row],[IS Parameter]]&amp;");
END"</f>
        <v>BEGIN
     RETURN exists('DS_IS_RDS', 'TSAB', 'ABTNR', $P_I_Department);
END</v>
      </c>
      <c r="AB332" s="11" t="str">
        <f>Table362[[#This Row],[IS Parameter]]&amp;" IS NOT NULL
AND "&amp; Table362[[#This Row],[IS Parameter]]&amp;" != ''"</f>
        <v>$P_I_Department IS NOT NULL
AND $P_I_Department != ''</v>
      </c>
      <c r="AC332" s="10" t="s">
        <v>6663</v>
      </c>
      <c r="AD332" s="10"/>
      <c r="AE332" s="13" t="str">
        <f>IF(Table362[[#This Row],[Entity]]="Customer","KUNNR",IF(Table362[[#This Row],[Entity]]="Vendor","LIFNR","MATNR"))&amp;",VKORG,VTWEG,SPART,"&amp;Table362[[#This Row],[Field]]</f>
        <v>KUNNR,VKORG,VTWEG,SPART,ABTNR</v>
      </c>
      <c r="AF332" s="13" t="str">
        <f>"VW_"&amp;Table362[[#This Row],[New Rule Name]]</f>
        <v>VW_CUS0770_ContactPersonDepartmentRef</v>
      </c>
      <c r="AG332" s="11" t="str">
        <f>"create view "&amp;Table362[[#This Row],[View Name]]&amp;" as 
     select 
          "&amp;IF(Table362[[#This Row],[Entity]]="Customer","KUNNR",IF(Table362[[#This Row],[Entity]]="Vendor","LIFNR","MATNR"))&amp;",
          VKORG,
          VTWEG,
          SPART,
          "&amp;Table362[[#This Row],[Field]]&amp;" 
     from "&amp;Table362[[#This Row],[Table]]</f>
        <v>create view VW_CUS0770_ContactPersonDepartmentRef as 
     select 
          KUNNR,
          VKORG,
          VTWEG,
          SPART,
          ABTNR 
     from KNVK</v>
      </c>
      <c r="AH332" s="13"/>
      <c r="AI332" s="20" t="s">
        <v>7570</v>
      </c>
      <c r="AJ332" s="20"/>
      <c r="AK332" s="31">
        <v>77</v>
      </c>
      <c r="AL332" s="31"/>
    </row>
    <row r="333" spans="1:38" s="3" customFormat="1" ht="72" hidden="1" x14ac:dyDescent="0.25">
      <c r="A333" s="9">
        <v>331</v>
      </c>
      <c r="B333" s="7" t="s">
        <v>3973</v>
      </c>
      <c r="C333" s="7" t="s">
        <v>1207</v>
      </c>
      <c r="D333" s="7" t="s">
        <v>6719</v>
      </c>
      <c r="E333" s="7" t="s">
        <v>6720</v>
      </c>
      <c r="F333" s="7" t="s">
        <v>6732</v>
      </c>
      <c r="G333" s="7" t="s">
        <v>6358</v>
      </c>
      <c r="H333" s="7" t="s">
        <v>6360</v>
      </c>
      <c r="I333" s="7"/>
      <c r="J333" s="20" t="str">
        <f>VLOOKUP(V333,Table_to_BRG!A:D,3,FALSE)</f>
        <v>Company Code data</v>
      </c>
      <c r="K333" s="20" t="str">
        <f>VLOOKUP(V333,Table_to_BRG!A:D,2,FALSE)</f>
        <v>Company Code</v>
      </c>
      <c r="L333" s="20"/>
      <c r="M333" s="20"/>
      <c r="N333" s="9"/>
      <c r="O333" s="54"/>
      <c r="P333" s="7" t="s">
        <v>8522</v>
      </c>
      <c r="Q333" s="11" t="str">
        <f>UPPER(LEFT(Table362[[#This Row],[Entity]],3))&amp;RIGHT("00"&amp;Table362[[#This Row],[Rule '# by Entity]],3)&amp;"0_"&amp;MID(SUBSTITUTE(Table362[[#This Row],[Rule Name]],"_","|",3),SEARCH("|",SUBSTITUTE(Table362[[#This Row],[Rule Name]],"_","|",3))+1,LEN(Table362[[#This Row],[Rule Name]]))</f>
        <v>VEN0370_PaymentMethodRef</v>
      </c>
      <c r="R333" s="8" t="s">
        <v>8254</v>
      </c>
      <c r="S333" s="7" t="s">
        <v>2</v>
      </c>
      <c r="T333" s="7"/>
      <c r="U333" s="7" t="s">
        <v>123</v>
      </c>
      <c r="V333" s="7" t="s">
        <v>3543</v>
      </c>
      <c r="W333" s="7" t="s">
        <v>2894</v>
      </c>
      <c r="X333" s="8" t="s">
        <v>2913</v>
      </c>
      <c r="Y333" s="7" t="s">
        <v>5986</v>
      </c>
      <c r="Z333" s="7" t="s">
        <v>5987</v>
      </c>
      <c r="AA333" s="11" t="str">
        <f>"BEGIN
     RETURN exists('DS_IS_RDS', '"&amp;Table362[[#This Row],[Lookup Table]]&amp;"', '"&amp;Table362[[#This Row],[Lookup Field]]&amp;"', "&amp;Table362[[#This Row],[IS Parameter]]&amp;");
END"</f>
        <v>BEGIN
     RETURN exists('DS_IS_RDS', 'T042Z', 'ZLSCH', $P_I_PaymentMethod);
END</v>
      </c>
      <c r="AB333" s="11"/>
      <c r="AC333" s="10" t="s">
        <v>6663</v>
      </c>
      <c r="AD333" s="10"/>
      <c r="AE333" s="13" t="str">
        <f>IF(Table362[[#This Row],[Entity]]="Customer","KUNNR",IF(Table362[[#This Row],[Entity]]="Vendor","LIFNR","MATNR"))&amp;",BUKRS,"&amp;Table362[[#This Row],[Field]]</f>
        <v>LIFNR,BUKRS,ZWELS</v>
      </c>
      <c r="AF333" s="13" t="str">
        <f>"VW_"&amp;Table362[[#This Row],[New Rule Name]]</f>
        <v>VW_VEN0370_PaymentMethodRef</v>
      </c>
      <c r="AG333" s="11" t="str">
        <f>"create view "&amp;Table362[[#This Row],[View Name]]&amp;" as 
     select 
          "&amp;IF(Table362[[#This Row],[Entity]]="Customer","KUNNR",IF(Table362[[#This Row],[Entity]]="Vendor","LIFNR","MATNR"))&amp;",
          BUKRS,
          "&amp;Table362[[#This Row],[Field]]&amp;" 
     from "&amp;Table362[[#This Row],[Table]]</f>
        <v>create view VW_VEN0370_PaymentMethodRef as 
     select 
          LIFNR,
          BUKRS,
          ZWELS 
     from LFB1</v>
      </c>
      <c r="AH333" s="8"/>
      <c r="AI333" s="20" t="s">
        <v>7603</v>
      </c>
      <c r="AJ333" s="20"/>
      <c r="AK333" s="31">
        <v>37</v>
      </c>
      <c r="AL333" s="31"/>
    </row>
    <row r="334" spans="1:38" s="3" customFormat="1" ht="84" hidden="1" x14ac:dyDescent="0.25">
      <c r="A334" s="9">
        <v>332</v>
      </c>
      <c r="B334" s="7" t="s">
        <v>3973</v>
      </c>
      <c r="C334" s="7" t="s">
        <v>1207</v>
      </c>
      <c r="D334" s="7" t="s">
        <v>6719</v>
      </c>
      <c r="E334" s="7" t="s">
        <v>6720</v>
      </c>
      <c r="F334" s="7" t="s">
        <v>6731</v>
      </c>
      <c r="G334" s="7" t="s">
        <v>6358</v>
      </c>
      <c r="H334" s="7" t="s">
        <v>6359</v>
      </c>
      <c r="I334" s="7" t="s">
        <v>6421</v>
      </c>
      <c r="J334" s="20" t="str">
        <f>VLOOKUP(V334,Table_to_BRG!A:D,3,FALSE)</f>
        <v>Dunning data</v>
      </c>
      <c r="K334" s="20" t="str">
        <f>VLOOKUP(V334,Table_to_BRG!A:D,2,FALSE)</f>
        <v>Dunning</v>
      </c>
      <c r="L334" s="20"/>
      <c r="M334" s="20"/>
      <c r="N334" s="9"/>
      <c r="O334" s="54"/>
      <c r="P334" s="7" t="s">
        <v>8523</v>
      </c>
      <c r="Q334" s="11" t="str">
        <f>UPPER(LEFT(Table362[[#This Row],[Entity]],3))&amp;RIGHT("00"&amp;Table362[[#This Row],[Rule '# by Entity]],3)&amp;"0_"&amp;MID(SUBSTITUTE(Table362[[#This Row],[Rule Name]],"_","|",3),SEARCH("|",SUBSTITUTE(Table362[[#This Row],[Rule Name]],"_","|",3))+1,LEN(Table362[[#This Row],[Rule Name]]))</f>
        <v>VEN0520_DunningBlockRef</v>
      </c>
      <c r="R334" s="13" t="s">
        <v>8255</v>
      </c>
      <c r="S334" s="7" t="s">
        <v>2</v>
      </c>
      <c r="T334" s="7"/>
      <c r="U334" s="7" t="s">
        <v>901</v>
      </c>
      <c r="V334" s="7" t="s">
        <v>3574</v>
      </c>
      <c r="W334" s="7" t="s">
        <v>2787</v>
      </c>
      <c r="X334" s="8" t="s">
        <v>1183</v>
      </c>
      <c r="Y334" s="7" t="s">
        <v>5772</v>
      </c>
      <c r="Z334" s="7" t="s">
        <v>2787</v>
      </c>
      <c r="AA334" s="11" t="str">
        <f>"BEGIN
     RETURN exists('DS_IS_RDS', '"&amp;Table362[[#This Row],[Lookup Table]]&amp;"', '"&amp;Table362[[#This Row],[Lookup Field]]&amp;"', "&amp;Table362[[#This Row],[IS Parameter]]&amp;");
END"</f>
        <v>BEGIN
     RETURN exists('DS_IS_RDS', 'T040S', 'MANSP', $P_I_DunningBlock);
END</v>
      </c>
      <c r="AB334" s="11"/>
      <c r="AC334" s="10" t="s">
        <v>6663</v>
      </c>
      <c r="AD334" s="10"/>
      <c r="AE334" s="13" t="str">
        <f>IF(Table362[[#This Row],[Entity]]="Customer","KUNNR",IF(Table362[[#This Row],[Entity]]="Vendor","LIFNR","MATNR"))&amp;",BUKRS,MABERS,"&amp;Table362[[#This Row],[Field]]</f>
        <v>LIFNR,BUKRS,MABERS,MANSP</v>
      </c>
      <c r="AF334" s="13" t="str">
        <f>"VW_"&amp;Table362[[#This Row],[New Rule Name]]</f>
        <v>VW_VEN0520_DunningBlockRef</v>
      </c>
      <c r="AG334" s="11" t="str">
        <f>"create view "&amp;Table362[[#This Row],[View Name]]&amp;" as 
     select 
          "&amp;IF(Table362[[#This Row],[Entity]]="Customer","KUNNR",IF(Table362[[#This Row],[Entity]]="Vendor","LIFNR","MATNR"))&amp;",
          BUKRS,
          MABER,
          "&amp;Table362[[#This Row],[Field]]&amp;" 
     from "&amp;Table362[[#This Row],[Table]]</f>
        <v>create view VW_VEN0520_DunningBlockRef as 
     select 
          LIFNR,
          BUKRS,
          MABER,
          MANSP 
     from LFB5</v>
      </c>
      <c r="AH334" s="8"/>
      <c r="AI334" s="20" t="s">
        <v>6483</v>
      </c>
      <c r="AJ334" s="20"/>
      <c r="AK334" s="31">
        <v>52</v>
      </c>
      <c r="AL334" s="31"/>
    </row>
    <row r="335" spans="1:38" s="3" customFormat="1" ht="60" hidden="1" x14ac:dyDescent="0.25">
      <c r="A335" s="9">
        <v>333</v>
      </c>
      <c r="B335" s="7" t="s">
        <v>3973</v>
      </c>
      <c r="C335" s="7" t="s">
        <v>1207</v>
      </c>
      <c r="D335" s="7" t="s">
        <v>6719</v>
      </c>
      <c r="E335" s="7" t="s">
        <v>6720</v>
      </c>
      <c r="F335" s="7" t="s">
        <v>6722</v>
      </c>
      <c r="G335" s="7" t="s">
        <v>6361</v>
      </c>
      <c r="H335" s="7" t="s">
        <v>6363</v>
      </c>
      <c r="I335" s="7" t="s">
        <v>3971</v>
      </c>
      <c r="J335" s="20" t="str">
        <f>VLOOKUP(V335,Table_to_BRG!A:D,3,FALSE)</f>
        <v>General data</v>
      </c>
      <c r="K335" s="20" t="str">
        <f>VLOOKUP(V335,Table_to_BRG!A:D,2,FALSE)</f>
        <v>General</v>
      </c>
      <c r="L335" s="20"/>
      <c r="M335" s="20"/>
      <c r="N335" s="9"/>
      <c r="O335" s="54"/>
      <c r="P335" s="7" t="s">
        <v>8524</v>
      </c>
      <c r="Q335" s="11" t="str">
        <f>UPPER(LEFT(Table362[[#This Row],[Entity]],3))&amp;RIGHT("00"&amp;Table362[[#This Row],[Rule '# by Entity]],3)&amp;"0_"&amp;MID(SUBSTITUTE(Table362[[#This Row],[Rule Name]],"_","|",3),SEARCH("|",SUBSTITUTE(Table362[[#This Row],[Rule Name]],"_","|",3))+1,LEN(Table362[[#This Row],[Rule Name]]))</f>
        <v>VEN0300_TaxNumberTypeRef</v>
      </c>
      <c r="R335" s="8" t="s">
        <v>8241</v>
      </c>
      <c r="S335" s="7" t="s">
        <v>2</v>
      </c>
      <c r="T335" s="7"/>
      <c r="U335" s="7" t="s">
        <v>1066</v>
      </c>
      <c r="V335" s="7" t="s">
        <v>3542</v>
      </c>
      <c r="W335" s="7" t="s">
        <v>3734</v>
      </c>
      <c r="X335" s="8" t="s">
        <v>3749</v>
      </c>
      <c r="Y335" s="7" t="s">
        <v>6072</v>
      </c>
      <c r="Z335" s="7" t="s">
        <v>6072</v>
      </c>
      <c r="AA335" s="11" t="str">
        <f>"BEGIN
     RETURN exists('DS_IS_RDS', '"&amp;Table362[[#This Row],[Lookup Table]]&amp;"', '"&amp;Table362[[#This Row],[Lookup Field]]&amp;"', "&amp;Table362[[#This Row],[IS Parameter]]&amp;");
END"</f>
        <v>BEGIN
     RETURN exists('DS_IS_RDS', 'J_1ATODC', 'J_1ATODC', $P_I_TaxNumberType);
END</v>
      </c>
      <c r="AB335" s="11"/>
      <c r="AC335" s="10" t="s">
        <v>6663</v>
      </c>
      <c r="AD335" s="10"/>
      <c r="AE335" s="13" t="str">
        <f>IF(Table362[[#This Row],[Entity]]="Customer","KUNNR",IF(Table362[[#This Row],[Entity]]="Vendor","LIFNR","MATNR"))&amp;","&amp;Table362[[#This Row],[Field]]</f>
        <v>LIFNR,STCDT</v>
      </c>
      <c r="AF335" s="13" t="str">
        <f>"VW_"&amp;Table362[[#This Row],[New Rule Name]]</f>
        <v>VW_VEN0300_TaxNumberTypeRef</v>
      </c>
      <c r="AG335" s="11" t="str">
        <f>"create view "&amp;Table362[[#This Row],[View Name]]&amp;" as 
     select 
          "&amp;IF(Table362[[#This Row],[Entity]]="Customer","KUNNR",IF(Table362[[#This Row],[Entity]]="Vendor","LIFNR","MATNR"))&amp;",
          "&amp;Table362[[#This Row],[Field]]&amp;" 
     from "&amp;Table362[[#This Row],[Table]]</f>
        <v>create view VW_VEN0300_TaxNumberTypeRef as 
     select 
          LIFNR,
          STCDT 
     from LFA1</v>
      </c>
      <c r="AH335" s="8"/>
      <c r="AI335" s="20" t="s">
        <v>7655</v>
      </c>
      <c r="AJ335" s="20"/>
      <c r="AK335" s="31">
        <v>30</v>
      </c>
      <c r="AL335" s="31"/>
    </row>
    <row r="336" spans="1:38" s="3" customFormat="1" ht="60" hidden="1" x14ac:dyDescent="0.25">
      <c r="A336" s="9">
        <v>334</v>
      </c>
      <c r="B336" s="7" t="s">
        <v>3973</v>
      </c>
      <c r="C336" s="7" t="s">
        <v>1207</v>
      </c>
      <c r="D336" s="7" t="s">
        <v>5978</v>
      </c>
      <c r="E336" s="7" t="s">
        <v>5978</v>
      </c>
      <c r="F336" s="7" t="s">
        <v>5978</v>
      </c>
      <c r="G336" s="7" t="s">
        <v>6361</v>
      </c>
      <c r="H336" s="7" t="s">
        <v>6363</v>
      </c>
      <c r="I336" s="7"/>
      <c r="J336" s="20" t="str">
        <f>VLOOKUP(V336,Table_to_BRG!A:D,3,FALSE)</f>
        <v>General data</v>
      </c>
      <c r="K336" s="20" t="str">
        <f>VLOOKUP(V336,Table_to_BRG!A:D,2,FALSE)</f>
        <v>General</v>
      </c>
      <c r="L336" s="20"/>
      <c r="M336" s="20"/>
      <c r="N336" s="9"/>
      <c r="O336" s="54"/>
      <c r="P336" s="7" t="s">
        <v>8525</v>
      </c>
      <c r="Q336" s="11" t="str">
        <f>UPPER(LEFT(Table362[[#This Row],[Entity]],3))&amp;RIGHT("00"&amp;Table362[[#This Row],[Rule '# by Entity]],3)&amp;"0_"&amp;MID(SUBSTITUTE(Table362[[#This Row],[Rule Name]],"_","|",3),SEARCH("|",SUBSTITUTE(Table362[[#This Row],[Rule Name]],"_","|",3))+1,LEN(Table362[[#This Row],[Rule Name]]))</f>
        <v>VEN0190_CustomerNumber1Ref</v>
      </c>
      <c r="R336" s="8" t="s">
        <v>8242</v>
      </c>
      <c r="S336" s="7" t="s">
        <v>2</v>
      </c>
      <c r="T336" s="7"/>
      <c r="U336" s="7" t="s">
        <v>1070</v>
      </c>
      <c r="V336" s="7" t="s">
        <v>3542</v>
      </c>
      <c r="W336" s="7" t="s">
        <v>2702</v>
      </c>
      <c r="X336" s="8" t="s">
        <v>6911</v>
      </c>
      <c r="Y336" s="7" t="s">
        <v>2741</v>
      </c>
      <c r="Z336" s="7" t="s">
        <v>2702</v>
      </c>
      <c r="AA336" s="11" t="str">
        <f>"BEGIN
     RETURN exists('DS_IS_RDS', '"&amp;Table362[[#This Row],[Lookup Table]]&amp;"', '"&amp;Table362[[#This Row],[Lookup Field]]&amp;"', "&amp;Table362[[#This Row],[IS Parameter]]&amp;");
END"</f>
        <v>BEGIN
     RETURN exists('DS_IS_RDS', 'KNA1', 'KUNNR', $P_I_CustomerNumber);
END</v>
      </c>
      <c r="AB336" s="11"/>
      <c r="AC336" s="10" t="s">
        <v>6663</v>
      </c>
      <c r="AD336" s="10"/>
      <c r="AE336" s="13" t="str">
        <f>IF(Table362[[#This Row],[Entity]]="Customer","KUNNR",IF(Table362[[#This Row],[Entity]]="Vendor","LIFNR","MATNR"))&amp;","&amp;Table362[[#This Row],[Field]]</f>
        <v>LIFNR,KUNNR</v>
      </c>
      <c r="AF336" s="13" t="str">
        <f>"VW_"&amp;Table362[[#This Row],[New Rule Name]]</f>
        <v>VW_VEN0190_CustomerNumber1Ref</v>
      </c>
      <c r="AG336" s="11" t="str">
        <f>"create view "&amp;Table362[[#This Row],[View Name]]&amp;" as 
     select 
          "&amp;IF(Table362[[#This Row],[Entity]]="Customer","KUNNR",IF(Table362[[#This Row],[Entity]]="Vendor","LIFNR","MATNR"))&amp;",
          "&amp;Table362[[#This Row],[Field]]&amp;" 
     from "&amp;Table362[[#This Row],[Table]]</f>
        <v>create view VW_VEN0190_CustomerNumber1Ref as 
     select 
          LIFNR,
          KUNNR 
     from LFA1</v>
      </c>
      <c r="AH336" s="8" t="s">
        <v>7745</v>
      </c>
      <c r="AI336" s="20"/>
      <c r="AJ336" s="20"/>
      <c r="AK336" s="31">
        <v>19</v>
      </c>
      <c r="AL336" s="31"/>
    </row>
    <row r="337" spans="1:38" s="3" customFormat="1" ht="60" x14ac:dyDescent="0.25">
      <c r="A337" s="9">
        <v>335</v>
      </c>
      <c r="B337" s="7" t="s">
        <v>3973</v>
      </c>
      <c r="C337" s="7" t="s">
        <v>3</v>
      </c>
      <c r="D337" s="7" t="s">
        <v>6711</v>
      </c>
      <c r="E337" s="7" t="s">
        <v>6712</v>
      </c>
      <c r="F337" s="7" t="s">
        <v>6725</v>
      </c>
      <c r="G337" s="7" t="s">
        <v>6703</v>
      </c>
      <c r="H337" s="7" t="s">
        <v>6373</v>
      </c>
      <c r="I337" s="7"/>
      <c r="J337" s="20" t="str">
        <f>VLOOKUP(V337,Table_to_BRG!A:D,3,FALSE)</f>
        <v>General data</v>
      </c>
      <c r="K337" s="20" t="str">
        <f>VLOOKUP(V337,Table_to_BRG!A:D,2,FALSE)</f>
        <v>General</v>
      </c>
      <c r="L337" s="20"/>
      <c r="M337" s="20"/>
      <c r="N337" s="9"/>
      <c r="O337" s="54"/>
      <c r="P337" s="7" t="s">
        <v>8426</v>
      </c>
      <c r="Q337" s="11" t="str">
        <f>UPPER(LEFT(Table362[[#This Row],[Entity]],3))&amp;RIGHT("00"&amp;Table362[[#This Row],[Rule '# by Entity]],3)&amp;"0_"&amp;MID(SUBSTITUTE(Table362[[#This Row],[Rule Name]],"_","|",3),SEARCH("|",SUBSTITUTE(Table362[[#This Row],[Rule Name]],"_","|",3))+1,LEN(Table362[[#This Row],[Rule Name]]))</f>
        <v>MAT0010_MaterialTypePopulated</v>
      </c>
      <c r="R337" s="8" t="s">
        <v>8000</v>
      </c>
      <c r="S337" s="7" t="s">
        <v>21</v>
      </c>
      <c r="T337"/>
      <c r="U337" s="7" t="s">
        <v>893</v>
      </c>
      <c r="V337" s="7" t="s">
        <v>1526</v>
      </c>
      <c r="W337" s="7" t="s">
        <v>1494</v>
      </c>
      <c r="X337" s="8" t="s">
        <v>8633</v>
      </c>
      <c r="Y337" s="7" t="s">
        <v>5978</v>
      </c>
      <c r="Z337" s="7" t="s">
        <v>5978</v>
      </c>
      <c r="AA337" s="10" t="s">
        <v>1074</v>
      </c>
      <c r="AB337" s="10"/>
      <c r="AC337" s="10" t="s">
        <v>6813</v>
      </c>
      <c r="AD337" s="10"/>
      <c r="AE337" s="13" t="str">
        <f>IF(Table362[[#This Row],[Entity]]="Customer","KUNNR",IF(Table362[[#This Row],[Entity]]="Vendor","LIFNR","MATNR"))&amp;","&amp;Table362[[#This Row],[Field]]</f>
        <v>MATNR,MTART</v>
      </c>
      <c r="AF337" s="13" t="str">
        <f>"VW_"&amp;Table362[[#This Row],[New Rule Name]]</f>
        <v>VW_MAT0010_MaterialTypePopulated</v>
      </c>
      <c r="AG337" s="11" t="str">
        <f>"create view "&amp;Table362[[#This Row],[View Name]]&amp;" as 
     select 
          "&amp;IF(Table362[[#This Row],[Entity]]="Customer","KUNNR",IF(Table362[[#This Row],[Entity]]="Vendor","LIFNR","MATNR"))&amp;",
          "&amp;Table362[[#This Row],[Field]]&amp;" 
     from "&amp;Table362[[#This Row],[Table]]</f>
        <v>create view VW_MAT0010_MaterialTypePopulated as 
     select 
          MATNR,
          MTART 
     from MARA</v>
      </c>
      <c r="AH337" s="8"/>
      <c r="AI337" s="20" t="s">
        <v>6679</v>
      </c>
      <c r="AJ337" s="20"/>
      <c r="AK337" s="31">
        <v>1</v>
      </c>
      <c r="AL337" s="31"/>
    </row>
    <row r="338" spans="1:38" s="3" customFormat="1" ht="48" hidden="1" x14ac:dyDescent="0.25">
      <c r="A338" s="9">
        <v>336</v>
      </c>
      <c r="B338" s="7" t="s">
        <v>3973</v>
      </c>
      <c r="C338" s="7" t="s">
        <v>1207</v>
      </c>
      <c r="D338" s="7" t="s">
        <v>6719</v>
      </c>
      <c r="E338" s="7" t="s">
        <v>6720</v>
      </c>
      <c r="F338" s="7" t="s">
        <v>6722</v>
      </c>
      <c r="G338" s="7" t="s">
        <v>6358</v>
      </c>
      <c r="H338" s="7" t="s">
        <v>6359</v>
      </c>
      <c r="I338" s="7" t="s">
        <v>6421</v>
      </c>
      <c r="J338" s="20" t="str">
        <f>VLOOKUP(V338,Table_to_BRG!A:D,3,FALSE)</f>
        <v>General data</v>
      </c>
      <c r="K338" s="20" t="str">
        <f>VLOOKUP(V338,Table_to_BRG!A:D,2,FALSE)</f>
        <v>General</v>
      </c>
      <c r="L338" s="20"/>
      <c r="M338" s="20"/>
      <c r="N338" s="9"/>
      <c r="O338" s="54"/>
      <c r="P338" s="7" t="s">
        <v>8526</v>
      </c>
      <c r="Q338" s="11" t="str">
        <f>UPPER(LEFT(Table362[[#This Row],[Entity]],3))&amp;RIGHT("00"&amp;Table362[[#This Row],[Rule '# by Entity]],3)&amp;"0_"&amp;MID(SUBSTITUTE(Table362[[#This Row],[Rule Name]],"_","|",3),SEARCH("|",SUBSTITUTE(Table362[[#This Row],[Rule Name]],"_","|",3))+1,LEN(Table362[[#This Row],[Rule Name]]))</f>
        <v>VEN0010_DunningRecipientRef</v>
      </c>
      <c r="R338" s="8" t="s">
        <v>8244</v>
      </c>
      <c r="S338" s="20" t="s">
        <v>21</v>
      </c>
      <c r="T338" s="7" t="s">
        <v>2</v>
      </c>
      <c r="U338" s="7" t="s">
        <v>696</v>
      </c>
      <c r="V338" s="7" t="s">
        <v>3542</v>
      </c>
      <c r="W338" s="7" t="s">
        <v>3045</v>
      </c>
      <c r="X338" s="8" t="s">
        <v>6448</v>
      </c>
      <c r="Y338" s="7" t="s">
        <v>3574</v>
      </c>
      <c r="Z338" s="7" t="s">
        <v>3570</v>
      </c>
      <c r="AA338" s="11" t="str">
        <f>"BEGIN
     RETURN exists('DS_IS_RDS', '"&amp;Table362[[#This Row],[Lookup Table]]&amp;"', '"&amp;Table362[[#This Row],[Lookup Field]]&amp;"', "&amp;Table362[[#This Row],[IS Parameter]]&amp;");
END"</f>
        <v>BEGIN
     RETURN exists('DS_IS_RDS', 'LFB5', 'LFRMA', $P_I_DunningRecipient);
END</v>
      </c>
      <c r="AB338" s="11"/>
      <c r="AC338" s="10" t="s">
        <v>6663</v>
      </c>
      <c r="AD338" s="10"/>
      <c r="AE338" s="13" t="s">
        <v>3045</v>
      </c>
      <c r="AF338" s="13" t="str">
        <f>"VW_"&amp;Table362[[#This Row],[New Rule Name]]</f>
        <v>VW_VEN0010_DunningRecipientRef</v>
      </c>
      <c r="AG338" s="11" t="s">
        <v>7747</v>
      </c>
      <c r="AH338" s="8" t="s">
        <v>7746</v>
      </c>
      <c r="AI338" s="20" t="s">
        <v>6456</v>
      </c>
      <c r="AJ338" s="20"/>
      <c r="AK338" s="31">
        <v>1</v>
      </c>
      <c r="AL338" s="31"/>
    </row>
    <row r="339" spans="1:38" s="3" customFormat="1" ht="84" hidden="1" x14ac:dyDescent="0.25">
      <c r="A339" s="9">
        <v>337</v>
      </c>
      <c r="B339" s="7" t="s">
        <v>3973</v>
      </c>
      <c r="C339" s="7" t="s">
        <v>16</v>
      </c>
      <c r="D339" s="7" t="s">
        <v>6716</v>
      </c>
      <c r="E339" s="7" t="s">
        <v>6717</v>
      </c>
      <c r="F339" s="7" t="s">
        <v>6718</v>
      </c>
      <c r="G339" s="7" t="s">
        <v>6365</v>
      </c>
      <c r="H339" s="7" t="s">
        <v>6366</v>
      </c>
      <c r="I339" s="7" t="s">
        <v>6436</v>
      </c>
      <c r="J339" s="20" t="str">
        <f>VLOOKUP(V339,Table_to_BRG!A:D,3,FALSE)</f>
        <v>Licenses</v>
      </c>
      <c r="K339" s="20" t="str">
        <f>VLOOKUP(V339,Table_to_BRG!A:D,2,FALSE)</f>
        <v>Licenses</v>
      </c>
      <c r="L339" s="20"/>
      <c r="M339" s="20"/>
      <c r="N339" s="9"/>
      <c r="O339" s="54"/>
      <c r="P339" s="7" t="s">
        <v>8102</v>
      </c>
      <c r="Q339" s="11" t="str">
        <f>UPPER(LEFT(Table362[[#This Row],[Entity]],3))&amp;RIGHT("00"&amp;Table362[[#This Row],[Rule '# by Entity]],3)&amp;"0_"&amp;MID(SUBSTITUTE(Table362[[#This Row],[Rule Name]],"_","|",3),SEARCH("|",SUBSTITUTE(Table362[[#This Row],[Rule Name]],"_","|",3))+1,LEN(Table362[[#This Row],[Rule Name]]))</f>
        <v>CUS0820_LicenseNumberPopulated</v>
      </c>
      <c r="R339" s="8" t="s">
        <v>8130</v>
      </c>
      <c r="S339" s="7" t="s">
        <v>21</v>
      </c>
      <c r="T339" s="7"/>
      <c r="U339" s="7" t="s">
        <v>394</v>
      </c>
      <c r="V339" s="7" t="s">
        <v>3327</v>
      </c>
      <c r="W339" s="7" t="s">
        <v>3306</v>
      </c>
      <c r="X339" s="8" t="s">
        <v>3322</v>
      </c>
      <c r="Y339" s="7" t="s">
        <v>5978</v>
      </c>
      <c r="Z339" s="7" t="s">
        <v>5978</v>
      </c>
      <c r="AA339" s="10" t="s">
        <v>395</v>
      </c>
      <c r="AB339" s="10"/>
      <c r="AC339" s="10" t="s">
        <v>6813</v>
      </c>
      <c r="AD339" s="10"/>
      <c r="AE339" s="13" t="str">
        <f>IF(Table362[[#This Row],[Entity]]="Customer","KUNNR",IF(Table362[[#This Row],[Entity]]="Vendor","LIFNR","MATNR"))&amp;",ALAND,TATYP"&amp;","&amp;Table362[[#This Row],[Field]]</f>
        <v>KUNNR,ALAND,TATYP,LICNR</v>
      </c>
      <c r="AF339" s="13" t="str">
        <f>"VW_"&amp;Table362[[#This Row],[New Rule Name]]</f>
        <v>VW_CUS0820_LicenseNumberPopulated</v>
      </c>
      <c r="AG339" s="11" t="str">
        <f>"create view "&amp;Table362[[#This Row],[View Name]]&amp;" as 
     select
          "&amp;IF(Table362[[#This Row],[Entity]]="Customer","KUNNR",IF(Table362[[#This Row],[Entity]]="Vendor","LIFNR","MATNR"))&amp;",
          ALAND,
          TATYP,
          "&amp;Table362[[#This Row],[Field]]&amp;" 
     from "&amp;Table362[[#This Row],[Table]]</f>
        <v>create view VW_CUS0820_LicenseNumberPopulated as 
     select
          KUNNR,
          ALAND,
          TATYP,
          LICNR 
     from KNVL</v>
      </c>
      <c r="AH339" s="8"/>
      <c r="AI339" s="20" t="s">
        <v>6530</v>
      </c>
      <c r="AJ339" s="20"/>
      <c r="AK339" s="31">
        <v>82</v>
      </c>
      <c r="AL339" s="31"/>
    </row>
    <row r="340" spans="1:38" s="3" customFormat="1" ht="72" x14ac:dyDescent="0.25">
      <c r="A340" s="9">
        <v>338</v>
      </c>
      <c r="B340" s="7" t="s">
        <v>3973</v>
      </c>
      <c r="C340" s="7" t="s">
        <v>3</v>
      </c>
      <c r="D340" s="7" t="s">
        <v>6711</v>
      </c>
      <c r="E340" s="7" t="s">
        <v>6712</v>
      </c>
      <c r="F340" s="7" t="s">
        <v>6713</v>
      </c>
      <c r="G340" s="7" t="s">
        <v>6389</v>
      </c>
      <c r="H340" s="7"/>
      <c r="I340" s="7"/>
      <c r="J340" s="20" t="str">
        <f>VLOOKUP(V340,Table_to_BRG!A:D,3,FALSE)</f>
        <v>Plant data</v>
      </c>
      <c r="K340" s="20" t="str">
        <f>VLOOKUP(V340,Table_to_BRG!A:D,2,FALSE)</f>
        <v>Plant</v>
      </c>
      <c r="L340" s="20"/>
      <c r="M340" s="20"/>
      <c r="N340" s="9"/>
      <c r="O340" s="54"/>
      <c r="P340" s="7" t="s">
        <v>8427</v>
      </c>
      <c r="Q340" s="11" t="str">
        <f>UPPER(LEFT(Table362[[#This Row],[Entity]],3))&amp;RIGHT("00"&amp;Table362[[#This Row],[Rule '# by Entity]],3)&amp;"0_"&amp;MID(SUBSTITUTE(Table362[[#This Row],[Rule Name]],"_","|",3),SEARCH("|",SUBSTITUTE(Table362[[#This Row],[Rule Name]],"_","|",3))+1,LEN(Table362[[#This Row],[Rule Name]]))</f>
        <v>MAT0960_OverallProfileRef</v>
      </c>
      <c r="R340" s="8" t="s">
        <v>7975</v>
      </c>
      <c r="S340" s="7" t="s">
        <v>2</v>
      </c>
      <c r="T340" s="7"/>
      <c r="U340" s="7" t="s">
        <v>1079</v>
      </c>
      <c r="V340" s="7" t="s">
        <v>1527</v>
      </c>
      <c r="W340" s="7" t="s">
        <v>2664</v>
      </c>
      <c r="X340" s="8" t="s">
        <v>6683</v>
      </c>
      <c r="Y340" s="7" t="s">
        <v>6073</v>
      </c>
      <c r="Z340" s="7" t="s">
        <v>6074</v>
      </c>
      <c r="AA340" s="11" t="str">
        <f>"BEGIN
     RETURN exists('DS_IS_RDS', '"&amp;Table362[[#This Row],[Lookup Table]]&amp;"', '"&amp;Table362[[#This Row],[Lookup Field]]&amp;"', "&amp;Table362[[#This Row],[IS Parameter]]&amp;");
END"</f>
        <v>BEGIN
     RETURN exists('DS_IS_RDS', 'TCO48', 'GPROFILE', $P_I_OverallProfile);
END</v>
      </c>
      <c r="AB340" s="11" t="str">
        <f>Table362[[#This Row],[IS Parameter]]&amp;" IS NOT NULL AND rtrim("&amp;Table362[[#This Row],[IS Parameter]]&amp;", ' ') != ''"</f>
        <v>$P_I_OverallProfile IS NOT NULL AND rtrim($P_I_OverallProfile, ' ') != ''</v>
      </c>
      <c r="AC340" s="10" t="s">
        <v>6663</v>
      </c>
      <c r="AD340" s="10"/>
      <c r="AE340" s="13" t="str">
        <f>IF(Table362[[#This Row],[Entity]]="Customer","KUNNR",IF(Table362[[#This Row],[Entity]]="Vendor","LIFNR","MATNR"))&amp;",WERKS"&amp;","&amp;Table362[[#This Row],[Field]]</f>
        <v>MATNR,WERKS,OCMPF</v>
      </c>
      <c r="AF340" s="13" t="str">
        <f>"VW_"&amp;Table362[[#This Row],[New Rule Name]]</f>
        <v>VW_MAT0960_OverallProfileRef</v>
      </c>
      <c r="AG340" s="11" t="str">
        <f>"create view "&amp;Table362[[#This Row],[View Name]]&amp;" as 
     select 
          "&amp;IF(Table362[[#This Row],[Entity]]="Customer","KUNNR",IF(Table362[[#This Row],[Entity]]="Vendor","LIFNR","MATNR"))&amp;",
          WERKS,
          "&amp;Table362[[#This Row],[Field]]&amp;" 
     from "&amp;Table362[[#This Row],[Table]]</f>
        <v>create view VW_MAT0960_OverallProfileRef as 
     select 
          MATNR,
          WERKS,
          OCMPF 
     from MARC</v>
      </c>
      <c r="AH340" s="8"/>
      <c r="AI340" s="20"/>
      <c r="AJ340" s="20"/>
      <c r="AK340" s="31">
        <v>96</v>
      </c>
      <c r="AL340" s="31"/>
    </row>
    <row r="341" spans="1:38" s="3" customFormat="1" ht="72" hidden="1" x14ac:dyDescent="0.25">
      <c r="A341" s="9">
        <v>339</v>
      </c>
      <c r="B341" s="7" t="s">
        <v>3973</v>
      </c>
      <c r="C341" s="7" t="s">
        <v>16</v>
      </c>
      <c r="D341" s="7" t="s">
        <v>6719</v>
      </c>
      <c r="E341" s="7" t="s">
        <v>6720</v>
      </c>
      <c r="F341" s="7" t="s">
        <v>6721</v>
      </c>
      <c r="G341" s="7" t="s">
        <v>6358</v>
      </c>
      <c r="H341" s="7" t="s">
        <v>6383</v>
      </c>
      <c r="I341" s="7"/>
      <c r="J341" s="20" t="str">
        <f>VLOOKUP(V341,Table_to_BRG!A:D,3,FALSE)</f>
        <v>Company Code data</v>
      </c>
      <c r="K341" s="20" t="str">
        <f>VLOOKUP(V341,Table_to_BRG!A:D,2,FALSE)</f>
        <v>Company Code</v>
      </c>
      <c r="L341" s="20"/>
      <c r="M341" s="20"/>
      <c r="N341" s="9"/>
      <c r="O341" s="54"/>
      <c r="P341" s="7" t="s">
        <v>7887</v>
      </c>
      <c r="Q341" s="11" t="str">
        <f>UPPER(LEFT(Table362[[#This Row],[Entity]],3))&amp;RIGHT("00"&amp;Table362[[#This Row],[Rule '# by Entity]],3)&amp;"0_"&amp;MID(SUBSTITUTE(Table362[[#This Row],[Rule Name]],"_","|",3),SEARCH("|",SUBSTITUTE(Table362[[#This Row],[Rule Name]],"_","|",3))+1,LEN(Table362[[#This Row],[Rule Name]]))</f>
        <v>CUS0410_SortKeyRef</v>
      </c>
      <c r="R341" s="8" t="s">
        <v>8055</v>
      </c>
      <c r="S341" s="7" t="s">
        <v>2</v>
      </c>
      <c r="T341" s="7"/>
      <c r="U341" s="7" t="s">
        <v>504</v>
      </c>
      <c r="V341" s="7" t="s">
        <v>2740</v>
      </c>
      <c r="W341" s="7" t="s">
        <v>2709</v>
      </c>
      <c r="X341" s="8" t="s">
        <v>2726</v>
      </c>
      <c r="Y341" s="7" t="s">
        <v>4182</v>
      </c>
      <c r="Z341" s="7" t="s">
        <v>2709</v>
      </c>
      <c r="AA341" s="11" t="str">
        <f>"BEGIN
     RETURN exists('DS_IS_RDS', '"&amp;Table362[[#This Row],[Lookup Table]]&amp;"', '"&amp;Table362[[#This Row],[Lookup Field]]&amp;"', "&amp;Table362[[#This Row],[IS Parameter]]&amp;");
END"</f>
        <v>BEGIN
     RETURN exists('DS_IS_RDS', 'TZUN', 'ZUAWA', $P_I_SortKey);
END</v>
      </c>
      <c r="AB341" s="11" t="str">
        <f>Table362[[#This Row],[IS Parameter]]&amp;" IS NOT NULL
AND "&amp; Table362[[#This Row],[IS Parameter]]&amp;" != ''"</f>
        <v>$P_I_SortKey IS NOT NULL
AND $P_I_SortKey != ''</v>
      </c>
      <c r="AC341" s="10" t="s">
        <v>6663</v>
      </c>
      <c r="AD341" s="10"/>
      <c r="AE341" s="13" t="str">
        <f>IF(Table362[[#This Row],[Entity]]="Customer","KUNNR",IF(Table362[[#This Row],[Entity]]="Vendor","LIFNR","MATNR"))&amp;",BUKRS"&amp;","&amp;Table362[[#This Row],[Field]]</f>
        <v>KUNNR,BUKRS,ZUAWA</v>
      </c>
      <c r="AF341" s="13" t="str">
        <f>"VW_"&amp;Table362[[#This Row],[New Rule Name]]</f>
        <v>VW_CUS0410_SortKeyRef</v>
      </c>
      <c r="AG341" s="11" t="str">
        <f>"create view "&amp;Table362[[#This Row],[View Name]]&amp;" as 
     select 
          "&amp;IF(Table362[[#This Row],[Entity]]="Customer","KUNNR",IF(Table362[[#This Row],[Entity]]="Vendor","LIFNR","MATNR"))&amp;",
          BUKRS,
          "&amp;Table362[[#This Row],[Field]]&amp;" 
     from "&amp;Table362[[#This Row],[Table]]</f>
        <v>create view VW_CUS0410_SortKeyRef as 
     select 
          KUNNR,
          BUKRS,
          ZUAWA 
     from KNB1</v>
      </c>
      <c r="AH341" s="8"/>
      <c r="AI341" s="20" t="s">
        <v>7574</v>
      </c>
      <c r="AJ341" s="20"/>
      <c r="AK341" s="31">
        <v>41</v>
      </c>
      <c r="AL341" s="31"/>
    </row>
    <row r="342" spans="1:38" s="3" customFormat="1" ht="72" x14ac:dyDescent="0.25">
      <c r="A342" s="9">
        <v>340</v>
      </c>
      <c r="B342" s="7" t="s">
        <v>3973</v>
      </c>
      <c r="C342" s="7" t="s">
        <v>3</v>
      </c>
      <c r="D342" s="7" t="s">
        <v>6711</v>
      </c>
      <c r="E342" s="7" t="s">
        <v>6712</v>
      </c>
      <c r="F342" s="7" t="s">
        <v>6713</v>
      </c>
      <c r="G342" s="7" t="s">
        <v>6703</v>
      </c>
      <c r="H342" s="7" t="s">
        <v>6373</v>
      </c>
      <c r="I342" s="7"/>
      <c r="J342" s="20" t="str">
        <f>VLOOKUP(V342,Table_to_BRG!A:D,3,FALSE)</f>
        <v>Plant data</v>
      </c>
      <c r="K342" s="20" t="str">
        <f>VLOOKUP(V342,Table_to_BRG!A:D,2,FALSE)</f>
        <v>Plant</v>
      </c>
      <c r="L342" s="20"/>
      <c r="M342" s="20"/>
      <c r="N342" s="9"/>
      <c r="O342" s="54"/>
      <c r="P342" s="7" t="s">
        <v>8428</v>
      </c>
      <c r="Q342" s="11" t="str">
        <f>UPPER(LEFT(Table362[[#This Row],[Entity]],3))&amp;RIGHT("00"&amp;Table362[[#This Row],[Rule '# by Entity]],3)&amp;"0_"&amp;MID(SUBSTITUTE(Table362[[#This Row],[Rule Name]],"_","|",3),SEARCH("|",SUBSTITUTE(Table362[[#This Row],[Rule Name]],"_","|",3))+1,LEN(Table362[[#This Row],[Rule Name]]))</f>
        <v>MAT0430_MRPControllerRef</v>
      </c>
      <c r="R342" s="8" t="s">
        <v>7976</v>
      </c>
      <c r="S342" s="7" t="s">
        <v>2</v>
      </c>
      <c r="T342" s="7"/>
      <c r="U342" s="7" t="s">
        <v>1084</v>
      </c>
      <c r="V342" s="7" t="s">
        <v>1527</v>
      </c>
      <c r="W342" s="7" t="s">
        <v>2051</v>
      </c>
      <c r="X342" s="8" t="s">
        <v>2067</v>
      </c>
      <c r="Y342" s="7" t="s">
        <v>4156</v>
      </c>
      <c r="Z342" s="7" t="s">
        <v>2051</v>
      </c>
      <c r="AA342" s="11" t="str">
        <f>"BEGIN
     RETURN exists('DS_IS_RDS', '"&amp;Table362[[#This Row],[Lookup Table]]&amp;"', '"&amp;Table362[[#This Row],[Lookup Field]]&amp;"', "&amp;Table362[[#This Row],[IS Parameter]]&amp;");
END"</f>
        <v>BEGIN
     RETURN exists('DS_IS_RDS', 'T024D', 'DISPO', $P_I_MRPController);
END</v>
      </c>
      <c r="AB342" s="11" t="str">
        <f>Table362[[#This Row],[IS Parameter]]&amp;" IS NOT NULL AND rtrim("&amp;Table362[[#This Row],[IS Parameter]]&amp;", ' ') != ''"</f>
        <v>$P_I_MRPController IS NOT NULL AND rtrim($P_I_MRPController, ' ') != ''</v>
      </c>
      <c r="AC342" s="10" t="s">
        <v>6663</v>
      </c>
      <c r="AD342" s="10"/>
      <c r="AE342" s="13" t="str">
        <f>IF(Table362[[#This Row],[Entity]]="Customer","KUNNR",IF(Table362[[#This Row],[Entity]]="Vendor","LIFNR","MATNR"))&amp;",WERKS"&amp;","&amp;Table362[[#This Row],[Field]]</f>
        <v>MATNR,WERKS,DISPO</v>
      </c>
      <c r="AF342" s="13" t="str">
        <f>"VW_"&amp;Table362[[#This Row],[New Rule Name]]</f>
        <v>VW_MAT0430_MRPControllerRef</v>
      </c>
      <c r="AG342" s="11" t="str">
        <f>"create view "&amp;Table362[[#This Row],[View Name]]&amp;" as 
     select 
          "&amp;IF(Table362[[#This Row],[Entity]]="Customer","KUNNR",IF(Table362[[#This Row],[Entity]]="Vendor","LIFNR","MATNR"))&amp;",
          WERKS,
          "&amp;Table362[[#This Row],[Field]]&amp;" 
     from "&amp;Table362[[#This Row],[Table]]</f>
        <v>create view VW_MAT0430_MRPControllerRef as 
     select 
          MATNR,
          WERKS,
          DISPO 
     from MARC</v>
      </c>
      <c r="AH342" s="8"/>
      <c r="AI342" s="20"/>
      <c r="AJ342" s="20"/>
      <c r="AK342" s="31">
        <v>43</v>
      </c>
      <c r="AL342" s="31"/>
    </row>
    <row r="343" spans="1:38" s="3" customFormat="1" ht="72" hidden="1" x14ac:dyDescent="0.25">
      <c r="A343" s="9">
        <v>341</v>
      </c>
      <c r="B343" s="7" t="s">
        <v>3973</v>
      </c>
      <c r="C343" s="7" t="s">
        <v>16</v>
      </c>
      <c r="D343" s="7" t="s">
        <v>6716</v>
      </c>
      <c r="E343" s="7" t="s">
        <v>6726</v>
      </c>
      <c r="F343" s="7" t="s">
        <v>6727</v>
      </c>
      <c r="G343" s="7" t="s">
        <v>6640</v>
      </c>
      <c r="H343" s="7"/>
      <c r="I343" s="7"/>
      <c r="J343" s="20" t="str">
        <f>VLOOKUP(V343,Table_to_BRG!A:D,3,FALSE)</f>
        <v>Billing</v>
      </c>
      <c r="K343" s="20" t="str">
        <f>VLOOKUP(V343,Table_to_BRG!A:D,2,FALSE)</f>
        <v>Credit Card Master</v>
      </c>
      <c r="L343" s="20"/>
      <c r="M343" s="20"/>
      <c r="N343" s="9"/>
      <c r="O343" s="54"/>
      <c r="P343" s="7" t="s">
        <v>7888</v>
      </c>
      <c r="Q343" s="11" t="str">
        <f>UPPER(LEFT(Table362[[#This Row],[Entity]],3))&amp;RIGHT("00"&amp;Table362[[#This Row],[Rule '# by Entity]],3)&amp;"0_"&amp;MID(SUBSTITUTE(Table362[[#This Row],[Rule Name]],"_","|",3),SEARCH("|",SUBSTITUTE(Table362[[#This Row],[Rule Name]],"_","|",3))+1,LEN(Table362[[#This Row],[Rule Name]]))</f>
        <v>CUS1140_PaymentCardBlockRef</v>
      </c>
      <c r="R343" s="8" t="s">
        <v>8056</v>
      </c>
      <c r="S343" s="7" t="s">
        <v>2</v>
      </c>
      <c r="T343" s="7"/>
      <c r="U343" s="7" t="s">
        <v>6075</v>
      </c>
      <c r="V343" s="7" t="s">
        <v>6343</v>
      </c>
      <c r="W343" s="7" t="s">
        <v>6077</v>
      </c>
      <c r="X343" s="8" t="s">
        <v>6422</v>
      </c>
      <c r="Y343" s="7" t="s">
        <v>6076</v>
      </c>
      <c r="Z343" s="7" t="s">
        <v>6077</v>
      </c>
      <c r="AA343" s="11" t="str">
        <f>"BEGIN
     RETURN exists('DS_IS_RDS', '"&amp;Table362[[#This Row],[Lookup Table]]&amp;"', '"&amp;Table362[[#This Row],[Lookup Field]]&amp;"', "&amp;Table362[[#This Row],[IS Parameter]]&amp;");
END"</f>
        <v>BEGIN
     RETURN exists('DS_IS_RDS', 'TVCLK', 'CCLOCK', $P_I_PaymentCardBlock);
END</v>
      </c>
      <c r="AB343" s="11" t="str">
        <f>Table362[[#This Row],[IS Parameter]]&amp;" IS NOT NULL
AND "&amp; Table362[[#This Row],[IS Parameter]]&amp;" != ''"</f>
        <v>$P_I_PaymentCardBlock IS NOT NULL
AND $P_I_PaymentCardBlock != ''</v>
      </c>
      <c r="AC343" s="10" t="s">
        <v>6663</v>
      </c>
      <c r="AD343" s="10"/>
      <c r="AE343" s="13" t="str">
        <f>"CCINS,CCNUM,"&amp;Table362[[#This Row],[Field]]</f>
        <v>CCINS,CCNUM,CCLOCK</v>
      </c>
      <c r="AF343" s="13" t="str">
        <f>"VW_"&amp;Table362[[#This Row],[New Rule Name]]</f>
        <v>VW_CUS1140_PaymentCardBlockRef</v>
      </c>
      <c r="AG343" s="11" t="str">
        <f>"create view "&amp;Table362[[#This Row],[View Name]]&amp;" as 
     select 
          CCINS,
          CCNUM,
          "&amp;Table362[[#This Row],[Field]]&amp;" 
     from "&amp;Table362[[#This Row],[Table]]</f>
        <v>create view VW_CUS1140_PaymentCardBlockRef as 
     select 
          CCINS,
          CCNUM,
          CCLOCK 
     from VCNUM</v>
      </c>
      <c r="AH343" s="8"/>
      <c r="AI343" s="20" t="s">
        <v>7808</v>
      </c>
      <c r="AJ343" s="20"/>
      <c r="AK343" s="31">
        <v>114</v>
      </c>
      <c r="AL343" s="31"/>
    </row>
    <row r="344" spans="1:38" s="3" customFormat="1" ht="72" x14ac:dyDescent="0.25">
      <c r="A344" s="9">
        <v>342</v>
      </c>
      <c r="B344" s="7" t="s">
        <v>3973</v>
      </c>
      <c r="C344" s="7" t="s">
        <v>3</v>
      </c>
      <c r="D344" s="7" t="s">
        <v>6711</v>
      </c>
      <c r="E344" s="7" t="s">
        <v>6712</v>
      </c>
      <c r="F344" s="7" t="s">
        <v>6725</v>
      </c>
      <c r="G344" s="7" t="s">
        <v>6385</v>
      </c>
      <c r="H344" s="7"/>
      <c r="I344" s="7"/>
      <c r="J344" s="20" t="str">
        <f>VLOOKUP(V344,Table_to_BRG!A:D,3,FALSE)</f>
        <v>General data</v>
      </c>
      <c r="K344" s="20" t="str">
        <f>VLOOKUP(V344,Table_to_BRG!A:D,2,FALSE)</f>
        <v>General</v>
      </c>
      <c r="L344" s="20"/>
      <c r="M344" s="20"/>
      <c r="N344" s="9"/>
      <c r="O344" s="54"/>
      <c r="P344" s="7" t="s">
        <v>8429</v>
      </c>
      <c r="Q344" s="11" t="str">
        <f>UPPER(LEFT(Table362[[#This Row],[Entity]],3))&amp;RIGHT("00"&amp;Table362[[#This Row],[Rule '# by Entity]],3)&amp;"0_"&amp;MID(SUBSTITUTE(Table362[[#This Row],[Rule Name]],"_","|",3),SEARCH("|",SUBSTITUTE(Table362[[#This Row],[Rule Name]],"_","|",3))+1,LEN(Table362[[#This Row],[Rule Name]]))</f>
        <v>MAT0040_IndustrySectorPopulated</v>
      </c>
      <c r="R344" s="8" t="s">
        <v>8001</v>
      </c>
      <c r="S344" s="7" t="s">
        <v>21</v>
      </c>
      <c r="T344"/>
      <c r="U344" s="7" t="s">
        <v>303</v>
      </c>
      <c r="V344" s="7" t="s">
        <v>1526</v>
      </c>
      <c r="W344" s="7" t="s">
        <v>1615</v>
      </c>
      <c r="X344" s="8" t="s">
        <v>1638</v>
      </c>
      <c r="Y344" s="7" t="s">
        <v>5978</v>
      </c>
      <c r="Z344" s="7" t="s">
        <v>5978</v>
      </c>
      <c r="AA344" s="10" t="s">
        <v>1091</v>
      </c>
      <c r="AB344" s="10"/>
      <c r="AC344" s="10" t="s">
        <v>6813</v>
      </c>
      <c r="AD344" s="10"/>
      <c r="AE344" s="13" t="str">
        <f>IF(Table362[[#This Row],[Entity]]="Customer","KUNNR",IF(Table362[[#This Row],[Entity]]="Vendor","LIFNR","MATNR"))&amp;","&amp;Table362[[#This Row],[Field]]</f>
        <v>MATNR,MBRSH</v>
      </c>
      <c r="AF344" s="13" t="str">
        <f>"VW_"&amp;Table362[[#This Row],[New Rule Name]]</f>
        <v>VW_MAT0040_IndustrySectorPopulated</v>
      </c>
      <c r="AG344" s="11" t="str">
        <f>"create view "&amp;Table362[[#This Row],[View Name]]&amp;" as 
     select 
          "&amp;IF(Table362[[#This Row],[Entity]]="Customer","KUNNR",IF(Table362[[#This Row],[Entity]]="Vendor","LIFNR","MATNR"))&amp;",
          "&amp;Table362[[#This Row],[Field]]&amp;" 
     from "&amp;Table362[[#This Row],[Table]]</f>
        <v>create view VW_MAT0040_IndustrySectorPopulated as 
     select 
          MATNR,
          MBRSH 
     from MARA</v>
      </c>
      <c r="AH344" s="8"/>
      <c r="AI344" s="20"/>
      <c r="AJ344" s="20"/>
      <c r="AK344" s="31">
        <v>4</v>
      </c>
      <c r="AL344" s="31"/>
    </row>
    <row r="345" spans="1:38" s="3" customFormat="1" ht="72" x14ac:dyDescent="0.25">
      <c r="A345" s="9">
        <v>343</v>
      </c>
      <c r="B345" s="7" t="s">
        <v>3973</v>
      </c>
      <c r="C345" s="7" t="s">
        <v>3</v>
      </c>
      <c r="D345" s="7" t="s">
        <v>6711</v>
      </c>
      <c r="E345" s="7" t="s">
        <v>6712</v>
      </c>
      <c r="F345" s="7" t="s">
        <v>6713</v>
      </c>
      <c r="G345" s="7" t="s">
        <v>6703</v>
      </c>
      <c r="H345" s="7" t="s">
        <v>6375</v>
      </c>
      <c r="I345" s="7"/>
      <c r="J345" s="20" t="str">
        <f>VLOOKUP(V345,Table_to_BRG!A:D,3,FALSE)</f>
        <v>Plant data</v>
      </c>
      <c r="K345" s="20" t="str">
        <f>VLOOKUP(V345,Table_to_BRG!A:D,2,FALSE)</f>
        <v>Plant</v>
      </c>
      <c r="L345" s="20"/>
      <c r="M345" s="20"/>
      <c r="N345" s="9"/>
      <c r="O345" s="54"/>
      <c r="P345" s="7" t="s">
        <v>8430</v>
      </c>
      <c r="Q345" s="11" t="str">
        <f>UPPER(LEFT(Table362[[#This Row],[Entity]],3))&amp;RIGHT("00"&amp;Table362[[#This Row],[Rule '# by Entity]],3)&amp;"0_"&amp;MID(SUBSTITUTE(Table362[[#This Row],[Rule Name]],"_","|",3),SEARCH("|",SUBSTITUTE(Table362[[#This Row],[Rule Name]],"_","|",3))+1,LEN(Table362[[#This Row],[Rule Name]]))</f>
        <v>MAT0680_ConsumptionModeIsValid</v>
      </c>
      <c r="R345" s="8" t="s">
        <v>8186</v>
      </c>
      <c r="S345" s="7" t="s">
        <v>4135</v>
      </c>
      <c r="T345" s="7" t="s">
        <v>2</v>
      </c>
      <c r="U345" s="7" t="s">
        <v>1094</v>
      </c>
      <c r="V345" s="7" t="s">
        <v>1527</v>
      </c>
      <c r="W345" s="7" t="s">
        <v>2175</v>
      </c>
      <c r="X345" s="8" t="s">
        <v>1292</v>
      </c>
      <c r="Y345" s="7" t="s">
        <v>5978</v>
      </c>
      <c r="Z345" s="7" t="s">
        <v>5978</v>
      </c>
      <c r="AA345" s="10" t="s">
        <v>8596</v>
      </c>
      <c r="AB345" s="11" t="str">
        <f>Table362[[#This Row],[IS Parameter]]&amp;" IS NULL"</f>
        <v>$P_I_ConsuptionMode IS NULL</v>
      </c>
      <c r="AC345" s="13" t="s">
        <v>7792</v>
      </c>
      <c r="AD345"/>
      <c r="AE345" s="13" t="str">
        <f>IF(Table362[[#This Row],[Entity]]="Customer","KUNNR",IF(Table362[[#This Row],[Entity]]="Vendor","LIFNR","MATNR"))&amp;",WERKS"&amp;","&amp;Table362[[#This Row],[Field]]</f>
        <v>MATNR,WERKS,VRMOD</v>
      </c>
      <c r="AF345" s="13" t="str">
        <f>"VW_"&amp;Table362[[#This Row],[New Rule Name]]</f>
        <v>VW_MAT0680_ConsumptionModeIsValid</v>
      </c>
      <c r="AG345" s="11" t="str">
        <f>"create view "&amp;Table362[[#This Row],[View Name]]&amp;" as 
     select 
          "&amp;IF(Table362[[#This Row],[Entity]]="Customer","KUNNR",IF(Table362[[#This Row],[Entity]]="Vendor","LIFNR","MATNR"))&amp;",
          WERKS,
          "&amp;Table362[[#This Row],[Field]]&amp;" 
     from "&amp;Table362[[#This Row],[Table]]</f>
        <v>create view VW_MAT0680_ConsumptionModeIsValid as 
     select 
          MATNR,
          WERKS,
          VRMOD 
     from MARC</v>
      </c>
      <c r="AH345" s="8"/>
      <c r="AI345" s="20"/>
      <c r="AJ345" s="20"/>
      <c r="AK345" s="31">
        <v>68</v>
      </c>
      <c r="AL345" s="31"/>
    </row>
    <row r="346" spans="1:38" s="3" customFormat="1" ht="96" hidden="1" x14ac:dyDescent="0.25">
      <c r="A346" s="9">
        <v>344</v>
      </c>
      <c r="B346" s="7" t="s">
        <v>3973</v>
      </c>
      <c r="C346" s="7" t="s">
        <v>16</v>
      </c>
      <c r="D346" s="7" t="s">
        <v>6711</v>
      </c>
      <c r="E346" s="7" t="s">
        <v>6714</v>
      </c>
      <c r="F346" s="7" t="s">
        <v>6724</v>
      </c>
      <c r="G346" s="7" t="s">
        <v>6365</v>
      </c>
      <c r="H346" s="7" t="s">
        <v>2759</v>
      </c>
      <c r="I346" s="7"/>
      <c r="J346" s="20" t="str">
        <f>VLOOKUP(V346,Table_to_BRG!A:D,3,FALSE)</f>
        <v>Customer sales data</v>
      </c>
      <c r="K346" s="20" t="str">
        <f>VLOOKUP(V346,Table_to_BRG!A:D,2,FALSE)</f>
        <v>Sales</v>
      </c>
      <c r="L346" s="20"/>
      <c r="M346" s="20"/>
      <c r="N346" s="9"/>
      <c r="O346" s="54"/>
      <c r="P346" s="7" t="s">
        <v>7889</v>
      </c>
      <c r="Q346" s="11" t="str">
        <f>UPPER(LEFT(Table362[[#This Row],[Entity]],3))&amp;RIGHT("00"&amp;Table362[[#This Row],[Rule '# by Entity]],3)&amp;"0_"&amp;MID(SUBSTITUTE(Table362[[#This Row],[Rule Name]],"_","|",3),SEARCH("|",SUBSTITUTE(Table362[[#This Row],[Rule Name]],"_","|",3))+1,LEN(Table362[[#This Row],[Rule Name]]))</f>
        <v>CUS1070_ExchangeRateTypeRef</v>
      </c>
      <c r="R346" s="13" t="s">
        <v>8057</v>
      </c>
      <c r="S346" s="7" t="s">
        <v>2</v>
      </c>
      <c r="T346" s="7"/>
      <c r="U346" s="7" t="s">
        <v>187</v>
      </c>
      <c r="V346" s="7" t="s">
        <v>3334</v>
      </c>
      <c r="W346" s="7" t="s">
        <v>3411</v>
      </c>
      <c r="X346" s="8" t="s">
        <v>3422</v>
      </c>
      <c r="Y346" s="7" t="s">
        <v>5685</v>
      </c>
      <c r="Z346" s="7" t="s">
        <v>3411</v>
      </c>
      <c r="AA346" s="11" t="str">
        <f>"BEGIN
     RETURN exists('DS_IS_RDS', '"&amp;Table362[[#This Row],[Lookup Table]]&amp;"', '"&amp;Table362[[#This Row],[Lookup Field]]&amp;"', "&amp;Table362[[#This Row],[IS Parameter]]&amp;");
END"</f>
        <v>BEGIN
     RETURN exists('DS_IS_RDS', 'TCURV', 'KURST', $P_I_ExchRateType);
END</v>
      </c>
      <c r="AB346" s="11" t="str">
        <f>Table362[[#This Row],[IS Parameter]]&amp;" IS NOT NULL
AND "&amp; Table362[[#This Row],[IS Parameter]]&amp;" != ''"</f>
        <v>$P_I_ExchRateType IS NOT NULL
AND $P_I_ExchRateType != ''</v>
      </c>
      <c r="AC346" s="10" t="s">
        <v>6663</v>
      </c>
      <c r="AD346" s="10"/>
      <c r="AE346" s="13" t="str">
        <f>IF(Table362[[#This Row],[Entity]]="Customer","KUNNR",IF(Table362[[#This Row],[Entity]]="Vendor","LIFNR","MATNR"))&amp;",VKORG,VTWEG,SPART,"&amp;Table362[[#This Row],[Field]]</f>
        <v>KUNNR,VKORG,VTWEG,SPART,KURST</v>
      </c>
      <c r="AF346" s="13" t="str">
        <f>"VW_"&amp;Table362[[#This Row],[New Rule Name]]</f>
        <v>VW_CUS1070_ExchangeRateTypeRef</v>
      </c>
      <c r="AG346" s="11" t="str">
        <f>"create view "&amp;Table362[[#This Row],[View Name]]&amp;" as 
     select 
          "&amp;IF(Table362[[#This Row],[Entity]]="Customer","KUNNR",IF(Table362[[#This Row],[Entity]]="Vendor","LIFNR","MATNR"))&amp;",
          VKORG,
          VTWEG,
          SPART,
          "&amp;Table362[[#This Row],[Field]]&amp;" 
     from "&amp;Table362[[#This Row],[Table]]</f>
        <v>create view VW_CUS1070_ExchangeRateTypeRef as 
     select 
          KUNNR,
          VKORG,
          VTWEG,
          SPART,
          KURST 
     from KNVV</v>
      </c>
      <c r="AH346" s="13"/>
      <c r="AI346" s="20" t="s">
        <v>6696</v>
      </c>
      <c r="AJ346" s="20"/>
      <c r="AK346" s="31">
        <v>107</v>
      </c>
      <c r="AL346" s="31"/>
    </row>
    <row r="347" spans="1:38" s="3" customFormat="1" ht="84" x14ac:dyDescent="0.25">
      <c r="A347" s="9">
        <v>345</v>
      </c>
      <c r="B347" s="7" t="s">
        <v>3973</v>
      </c>
      <c r="C347" s="7" t="s">
        <v>3</v>
      </c>
      <c r="D347" s="7" t="s">
        <v>6711</v>
      </c>
      <c r="E347" s="7" t="s">
        <v>6712</v>
      </c>
      <c r="F347" s="7" t="s">
        <v>6745</v>
      </c>
      <c r="G347" s="7" t="s">
        <v>6369</v>
      </c>
      <c r="H347" s="7"/>
      <c r="I347" s="7"/>
      <c r="J347" s="20" t="str">
        <f>VLOOKUP(V347,Table_to_BRG!A:D,3,FALSE)</f>
        <v>Valuation data</v>
      </c>
      <c r="K347" s="20" t="str">
        <f>VLOOKUP(V347,Table_to_BRG!A:D,2,FALSE)</f>
        <v>Valuation</v>
      </c>
      <c r="L347" s="20"/>
      <c r="M347" s="20"/>
      <c r="N347" s="9"/>
      <c r="O347" s="54"/>
      <c r="P347" s="7" t="s">
        <v>8431</v>
      </c>
      <c r="Q347" s="11" t="str">
        <f>UPPER(LEFT(Table362[[#This Row],[Entity]],3))&amp;RIGHT("00"&amp;Table362[[#This Row],[Rule '# by Entity]],3)&amp;"0_"&amp;MID(SUBSTITUTE(Table362[[#This Row],[Rule Name]],"_","|",3),SEARCH("|",SUBSTITUTE(Table362[[#This Row],[Rule Name]],"_","|",3))+1,LEN(Table362[[#This Row],[Rule Name]]))</f>
        <v>MAT1020_PriceControlIsValid</v>
      </c>
      <c r="R347" s="8" t="s">
        <v>8187</v>
      </c>
      <c r="S347" s="7" t="s">
        <v>4135</v>
      </c>
      <c r="T347" s="7" t="s">
        <v>2</v>
      </c>
      <c r="U347" s="7" t="s">
        <v>590</v>
      </c>
      <c r="V347" s="7" t="s">
        <v>1528</v>
      </c>
      <c r="W347" s="7" t="s">
        <v>1504</v>
      </c>
      <c r="X347" s="8" t="s">
        <v>1517</v>
      </c>
      <c r="Y347" s="7" t="s">
        <v>5978</v>
      </c>
      <c r="Z347" s="7" t="s">
        <v>5978</v>
      </c>
      <c r="AA347" s="10" t="s">
        <v>8598</v>
      </c>
      <c r="AB347" s="11" t="str">
        <f>Table362[[#This Row],[IS Parameter]]&amp;" IS NULL"</f>
        <v>$P_I_PriceControl IS NULL</v>
      </c>
      <c r="AC347" s="13" t="s">
        <v>7792</v>
      </c>
      <c r="AD347"/>
      <c r="AE347" s="13" t="str">
        <f>IF(Table362[[#This Row],[Entity]]="Customer","KUNNR",IF(Table362[[#This Row],[Entity]]="Vendor","LIFNR","MATNR"))&amp;",BWKEY,BWTAR,"&amp;Table362[[#This Row],[Field]]</f>
        <v>MATNR,BWKEY,BWTAR,VPRSV</v>
      </c>
      <c r="AF347" s="13" t="str">
        <f>"VW_"&amp;Table362[[#This Row],[New Rule Name]]</f>
        <v>VW_MAT1020_PriceControlIsValid</v>
      </c>
      <c r="AG347" s="11" t="str">
        <f>"create view "&amp;Table362[[#This Row],[View Name]]&amp;" as 
     select 
          "&amp;IF(Table362[[#This Row],[Entity]]="Customer","KUNNR",IF(Table362[[#This Row],[Entity]]="Vendor","LIFNR","MATNR"))&amp;",
          BWKEY,
          BWTAR,
          "&amp;Table362[[#This Row],[Field]]&amp;" 
     from "&amp;Table362[[#This Row],[Table]]</f>
        <v>create view VW_MAT1020_PriceControlIsValid as 
     select 
          MATNR,
          BWKEY,
          BWTAR,
          VPRSV 
     from MBEW</v>
      </c>
      <c r="AH347" s="8"/>
      <c r="AI347" s="20"/>
      <c r="AJ347" s="20"/>
      <c r="AK347" s="31">
        <v>102</v>
      </c>
      <c r="AL347" s="31"/>
    </row>
    <row r="348" spans="1:38" s="3" customFormat="1" ht="96" hidden="1" x14ac:dyDescent="0.25">
      <c r="A348" s="9">
        <v>346</v>
      </c>
      <c r="B348" s="7" t="s">
        <v>3973</v>
      </c>
      <c r="C348" s="7" t="s">
        <v>16</v>
      </c>
      <c r="D348" s="7" t="s">
        <v>6711</v>
      </c>
      <c r="E348" s="7" t="s">
        <v>6714</v>
      </c>
      <c r="F348" s="7" t="s">
        <v>6724</v>
      </c>
      <c r="G348" s="7" t="s">
        <v>6365</v>
      </c>
      <c r="H348" s="7" t="s">
        <v>6366</v>
      </c>
      <c r="I348" s="7"/>
      <c r="J348" s="20" t="str">
        <f>VLOOKUP(V348,Table_to_BRG!A:D,3,FALSE)</f>
        <v>Customer sales data</v>
      </c>
      <c r="K348" s="20" t="str">
        <f>VLOOKUP(V348,Table_to_BRG!A:D,2,FALSE)</f>
        <v>Sales</v>
      </c>
      <c r="L348" s="20"/>
      <c r="M348" s="20"/>
      <c r="N348" s="9"/>
      <c r="O348" s="54"/>
      <c r="P348" s="7" t="s">
        <v>7890</v>
      </c>
      <c r="Q348" s="11" t="str">
        <f>UPPER(LEFT(Table362[[#This Row],[Entity]],3))&amp;RIGHT("00"&amp;Table362[[#This Row],[Rule '# by Entity]],3)&amp;"0_"&amp;MID(SUBSTITUTE(Table362[[#This Row],[Rule Name]],"_","|",3),SEARCH("|",SUBSTITUTE(Table362[[#This Row],[Rule Name]],"_","|",3))+1,LEN(Table362[[#This Row],[Rule Name]]))</f>
        <v>CUS1000_IncotermsPart1Ref</v>
      </c>
      <c r="R348" s="13" t="s">
        <v>8058</v>
      </c>
      <c r="S348" s="7" t="s">
        <v>2</v>
      </c>
      <c r="T348" s="7"/>
      <c r="U348" s="7" t="s">
        <v>1037</v>
      </c>
      <c r="V348" s="7" t="s">
        <v>3334</v>
      </c>
      <c r="W348" s="7" t="s">
        <v>3299</v>
      </c>
      <c r="X348" s="8" t="s">
        <v>3315</v>
      </c>
      <c r="Y348" s="7" t="s">
        <v>4214</v>
      </c>
      <c r="Z348" s="7" t="s">
        <v>3299</v>
      </c>
      <c r="AA348" s="11" t="str">
        <f>"BEGIN
     RETURN exists('DS_IS_RDS', '"&amp;Table362[[#This Row],[Lookup Table]]&amp;"', '"&amp;Table362[[#This Row],[Lookup Field]]&amp;"', "&amp;Table362[[#This Row],[IS Parameter]]&amp;");
END"</f>
        <v>BEGIN
     RETURN exists('DS_IS_RDS', 'TINC', 'INCO1', $P_I_Incoterms);
END</v>
      </c>
      <c r="AB348" s="11" t="str">
        <f>Table362[[#This Row],[IS Parameter]]&amp;" IS NOT NULL
AND "&amp; Table362[[#This Row],[IS Parameter]]&amp;" != ''"</f>
        <v>$P_I_Incoterms IS NOT NULL
AND $P_I_Incoterms != ''</v>
      </c>
      <c r="AC348" s="10" t="s">
        <v>6663</v>
      </c>
      <c r="AD348" s="10"/>
      <c r="AE348" s="13" t="str">
        <f>IF(Table362[[#This Row],[Entity]]="Customer","KUNNR",IF(Table362[[#This Row],[Entity]]="Vendor","LIFNR","MATNR"))&amp;",VKORG,VTWEG,SPART,"&amp;Table362[[#This Row],[Field]]</f>
        <v>KUNNR,VKORG,VTWEG,SPART,INCO1</v>
      </c>
      <c r="AF348" s="13" t="str">
        <f>"VW_"&amp;Table362[[#This Row],[New Rule Name]]</f>
        <v>VW_CUS1000_IncotermsPart1Ref</v>
      </c>
      <c r="AG348" s="11" t="str">
        <f>"create view "&amp;Table362[[#This Row],[View Name]]&amp;" as 
     select 
          "&amp;IF(Table362[[#This Row],[Entity]]="Customer","KUNNR",IF(Table362[[#This Row],[Entity]]="Vendor","LIFNR","MATNR"))&amp;",
          VKORG,
          VTWEG,
          SPART,
          "&amp;Table362[[#This Row],[Field]]&amp;" 
     from "&amp;Table362[[#This Row],[Table]]</f>
        <v>create view VW_CUS1000_IncotermsPart1Ref as 
     select 
          KUNNR,
          VKORG,
          VTWEG,
          SPART,
          INCO1 
     from KNVV</v>
      </c>
      <c r="AH348" s="13"/>
      <c r="AI348" s="20" t="s">
        <v>7616</v>
      </c>
      <c r="AJ348" s="20"/>
      <c r="AK348" s="31">
        <v>100</v>
      </c>
      <c r="AL348" s="31"/>
    </row>
    <row r="349" spans="1:38" s="3" customFormat="1" ht="72" hidden="1" x14ac:dyDescent="0.25">
      <c r="A349" s="9">
        <v>347</v>
      </c>
      <c r="B349" s="7" t="s">
        <v>3973</v>
      </c>
      <c r="C349" s="7" t="s">
        <v>16</v>
      </c>
      <c r="D349" s="7" t="s">
        <v>6719</v>
      </c>
      <c r="E349" s="7" t="s">
        <v>6720</v>
      </c>
      <c r="F349" s="7" t="s">
        <v>6721</v>
      </c>
      <c r="G349" s="7" t="s">
        <v>6358</v>
      </c>
      <c r="H349" s="7" t="s">
        <v>6360</v>
      </c>
      <c r="I349" s="7"/>
      <c r="J349" s="20" t="str">
        <f>VLOOKUP(V349,Table_to_BRG!A:D,3,FALSE)</f>
        <v>Company Code data</v>
      </c>
      <c r="K349" s="20" t="str">
        <f>VLOOKUP(V349,Table_to_BRG!A:D,2,FALSE)</f>
        <v>Company Code</v>
      </c>
      <c r="L349" s="20"/>
      <c r="M349" s="20"/>
      <c r="N349" s="9"/>
      <c r="O349" s="54"/>
      <c r="P349" s="7" t="s">
        <v>7891</v>
      </c>
      <c r="Q349" s="11" t="str">
        <f>UPPER(LEFT(Table362[[#This Row],[Entity]],3))&amp;RIGHT("00"&amp;Table362[[#This Row],[Rule '# by Entity]],3)&amp;"0_"&amp;MID(SUBSTITUTE(Table362[[#This Row],[Rule Name]],"_","|",3),SEARCH("|",SUBSTITUTE(Table362[[#This Row],[Rule Name]],"_","|",3))+1,LEN(Table362[[#This Row],[Rule Name]]))</f>
        <v>CUS0580_LockBoxRef</v>
      </c>
      <c r="R349" s="8" t="s">
        <v>8059</v>
      </c>
      <c r="S349" s="7" t="s">
        <v>2</v>
      </c>
      <c r="T349" s="7"/>
      <c r="U349" s="7" t="s">
        <v>1103</v>
      </c>
      <c r="V349" s="7" t="s">
        <v>2740</v>
      </c>
      <c r="W349" s="7" t="s">
        <v>2903</v>
      </c>
      <c r="X349" s="8" t="s">
        <v>2921</v>
      </c>
      <c r="Y349" s="7" t="s">
        <v>6078</v>
      </c>
      <c r="Z349" s="7" t="s">
        <v>2903</v>
      </c>
      <c r="AA349" s="11" t="str">
        <f>"BEGIN
     RETURN exists('DS_IS_RDS', '"&amp;Table362[[#This Row],[Lookup Table]]&amp;"', '"&amp;Table362[[#This Row],[Lookup Field]]&amp;"', "&amp;Table362[[#This Row],[IS Parameter]]&amp;");
END"</f>
        <v>BEGIN
     RETURN exists('DS_IS_RDS', 'T049L', 'LOCKB', $P_I_Lockbox);
END</v>
      </c>
      <c r="AB349" s="11" t="str">
        <f>Table362[[#This Row],[IS Parameter]]&amp;" IS NOT NULL
AND "&amp; Table362[[#This Row],[IS Parameter]]&amp;" != ''"</f>
        <v>$P_I_Lockbox IS NOT NULL
AND $P_I_Lockbox != ''</v>
      </c>
      <c r="AC349" s="10" t="s">
        <v>6663</v>
      </c>
      <c r="AD349" s="10"/>
      <c r="AE349" s="13" t="str">
        <f>IF(Table362[[#This Row],[Entity]]="Customer","KUNNR",IF(Table362[[#This Row],[Entity]]="Vendor","LIFNR","MATNR"))&amp;",BUKRS"&amp;","&amp;Table362[[#This Row],[Field]]</f>
        <v>KUNNR,BUKRS,LOCKB</v>
      </c>
      <c r="AF349" s="13" t="str">
        <f>"VW_"&amp;Table362[[#This Row],[New Rule Name]]</f>
        <v>VW_CUS0580_LockBoxRef</v>
      </c>
      <c r="AG349" s="11" t="str">
        <f>"create view "&amp;Table362[[#This Row],[View Name]]&amp;" as 
     select 
          "&amp;IF(Table362[[#This Row],[Entity]]="Customer","KUNNR",IF(Table362[[#This Row],[Entity]]="Vendor","LIFNR","MATNR"))&amp;",
          BUKRS,
          "&amp;Table362[[#This Row],[Field]]&amp;" 
     from "&amp;Table362[[#This Row],[Table]]</f>
        <v>create view VW_CUS0580_LockBoxRef as 
     select 
          KUNNR,
          BUKRS,
          LOCKB 
     from KNB1</v>
      </c>
      <c r="AH349" s="8"/>
      <c r="AI349" s="20"/>
      <c r="AJ349" s="20"/>
      <c r="AK349" s="31">
        <v>58</v>
      </c>
      <c r="AL349" s="31"/>
    </row>
    <row r="350" spans="1:38" s="3" customFormat="1" ht="60" hidden="1" x14ac:dyDescent="0.25">
      <c r="A350" s="9">
        <v>348</v>
      </c>
      <c r="B350" s="7" t="s">
        <v>3973</v>
      </c>
      <c r="C350" s="7" t="s">
        <v>16</v>
      </c>
      <c r="D350" s="7" t="s">
        <v>6711</v>
      </c>
      <c r="E350" s="7" t="s">
        <v>6714</v>
      </c>
      <c r="F350" s="7" t="s">
        <v>6715</v>
      </c>
      <c r="G350" s="7" t="s">
        <v>6361</v>
      </c>
      <c r="H350" s="7" t="s">
        <v>6363</v>
      </c>
      <c r="I350" s="7"/>
      <c r="J350" s="20" t="str">
        <f>VLOOKUP(V350,Table_to_BRG!A:D,3,FALSE)</f>
        <v>General data</v>
      </c>
      <c r="K350" s="20" t="str">
        <f>VLOOKUP(V350,Table_to_BRG!A:D,2,FALSE)</f>
        <v>General</v>
      </c>
      <c r="L350" s="20"/>
      <c r="M350" s="20"/>
      <c r="N350" s="9"/>
      <c r="O350" s="54"/>
      <c r="P350" s="7" t="s">
        <v>7892</v>
      </c>
      <c r="Q350" s="11" t="str">
        <f>UPPER(LEFT(Table362[[#This Row],[Entity]],3))&amp;RIGHT("00"&amp;Table362[[#This Row],[Rule '# by Entity]],3)&amp;"0_"&amp;MID(SUBSTITUTE(Table362[[#This Row],[Rule Name]],"_","|",3),SEARCH("|",SUBSTITUTE(Table362[[#This Row],[Rule Name]],"_","|",3))+1,LEN(Table362[[#This Row],[Rule Name]]))</f>
        <v>CUS0190_VendorAccountRef</v>
      </c>
      <c r="R350" s="8" t="s">
        <v>8060</v>
      </c>
      <c r="S350" s="7" t="s">
        <v>21</v>
      </c>
      <c r="T350" s="7" t="s">
        <v>2</v>
      </c>
      <c r="U350" s="7" t="s">
        <v>1107</v>
      </c>
      <c r="V350" s="8" t="s">
        <v>2741</v>
      </c>
      <c r="W350" s="7" t="s">
        <v>3045</v>
      </c>
      <c r="X350" s="8" t="s">
        <v>3064</v>
      </c>
      <c r="Y350" s="7" t="s">
        <v>3542</v>
      </c>
      <c r="Z350" s="7" t="s">
        <v>3045</v>
      </c>
      <c r="AA350" s="11" t="str">
        <f>"BEGIN
     RETURN exists('DS_IS_RDS', '"&amp;Table362[[#This Row],[Lookup Table]]&amp;"', '"&amp;Table362[[#This Row],[Lookup Field]]&amp;"', "&amp;Table362[[#This Row],[IS Parameter]]&amp;");
END"</f>
        <v>BEGIN
     RETURN exists('DS_IS_RDS', 'LFA1', 'LIFNR', $P_I_Vendor);
END</v>
      </c>
      <c r="AB350" s="11" t="str">
        <f>Table362[[#This Row],[IS Parameter]]&amp;" IS NOT NULL
AND "&amp; Table362[[#This Row],[IS Parameter]]&amp;" != ''"</f>
        <v>$P_I_Vendor IS NOT NULL
AND $P_I_Vendor != ''</v>
      </c>
      <c r="AC350" s="10" t="s">
        <v>6663</v>
      </c>
      <c r="AD350" s="10"/>
      <c r="AE350" s="13" t="str">
        <f>IF(Table362[[#This Row],[Entity]]="Customer","KUNNR",IF(Table362[[#This Row],[Entity]]="Vendor","LIFNR","MATNR"))&amp;","&amp;Table362[[#This Row],[Field]]</f>
        <v>KUNNR,LIFNR</v>
      </c>
      <c r="AF350" s="13" t="str">
        <f>"VW_"&amp;Table362[[#This Row],[New Rule Name]]</f>
        <v>VW_CUS0190_VendorAccountRef</v>
      </c>
      <c r="AG350" s="11" t="str">
        <f>"create view "&amp;Table362[[#This Row],[View Name]]&amp;" as 
     select 
          "&amp;IF(Table362[[#This Row],[Entity]]="Customer","KUNNR",IF(Table362[[#This Row],[Entity]]="Vendor","LIFNR","MATNR"))&amp;",
          "&amp;Table362[[#This Row],[Field]]&amp;" 
     from "&amp;Table362[[#This Row],[Table]]</f>
        <v>create view VW_CUS0190_VendorAccountRef as 
     select 
          KUNNR,
          LIFNR 
     from KNA1</v>
      </c>
      <c r="AH350" s="8"/>
      <c r="AI350" s="20"/>
      <c r="AJ350" s="20"/>
      <c r="AK350" s="31">
        <v>19</v>
      </c>
      <c r="AL350" s="31"/>
    </row>
    <row r="351" spans="1:38" s="3" customFormat="1" ht="48" hidden="1" x14ac:dyDescent="0.25">
      <c r="A351" s="9">
        <v>349</v>
      </c>
      <c r="B351" s="7" t="s">
        <v>3973</v>
      </c>
      <c r="C351" s="7" t="s">
        <v>1207</v>
      </c>
      <c r="D351" s="7" t="s">
        <v>5978</v>
      </c>
      <c r="E351" s="7" t="s">
        <v>5978</v>
      </c>
      <c r="F351" s="7" t="s">
        <v>5978</v>
      </c>
      <c r="G351" s="7" t="s">
        <v>6361</v>
      </c>
      <c r="H351" s="7" t="s">
        <v>6362</v>
      </c>
      <c r="I351" s="7"/>
      <c r="J351" s="20" t="e">
        <f>VLOOKUP(V351,Table_to_BRG!A:D,3,FALSE)</f>
        <v>#N/A</v>
      </c>
      <c r="K351" s="20" t="e">
        <f>VLOOKUP(V351,Table_to_BRG!A:D,2,FALSE)</f>
        <v>#N/A</v>
      </c>
      <c r="L351" s="20"/>
      <c r="M351" s="20"/>
      <c r="N351" s="9" t="s">
        <v>6465</v>
      </c>
      <c r="O351" s="54" t="s">
        <v>6912</v>
      </c>
      <c r="P351" s="15" t="s">
        <v>8527</v>
      </c>
      <c r="Q351" s="11"/>
      <c r="R351" s="8" t="s">
        <v>6655</v>
      </c>
      <c r="S351" s="7" t="s">
        <v>2</v>
      </c>
      <c r="T351" s="7"/>
      <c r="U351" s="7" t="s">
        <v>1111</v>
      </c>
      <c r="V351" s="23"/>
      <c r="W351" s="23"/>
      <c r="X351" s="24"/>
      <c r="Y351" s="7" t="s">
        <v>5823</v>
      </c>
      <c r="Z351" s="7" t="s">
        <v>3674</v>
      </c>
      <c r="AA351" s="11" t="str">
        <f>"BEGIN
     RETURN exists('DS_IS_RDS', '"&amp;Table362[[#This Row],[Lookup Table]]&amp;"', '"&amp;Table362[[#This Row],[Lookup Field]]&amp;"', "&amp;Table362[[#This Row],[IS Parameter]]&amp;");
END"</f>
        <v>BEGIN
     RETURN exists('DS_IS_RDS', 'TVAV', 'AKVER', $P_I_BuyingHabits);
END</v>
      </c>
      <c r="AB351" s="11"/>
      <c r="AC351" s="10" t="s">
        <v>6663</v>
      </c>
      <c r="AD351" s="10"/>
      <c r="AE351" s="13"/>
      <c r="AF351" s="13"/>
      <c r="AG351" s="11"/>
      <c r="AH351" s="8" t="s">
        <v>6660</v>
      </c>
      <c r="AI351" s="20"/>
      <c r="AJ351" s="20"/>
      <c r="AK351" s="31"/>
      <c r="AL351" s="31"/>
    </row>
    <row r="352" spans="1:38" s="3" customFormat="1" ht="72" x14ac:dyDescent="0.25">
      <c r="A352" s="9">
        <v>350</v>
      </c>
      <c r="B352" s="7" t="s">
        <v>3973</v>
      </c>
      <c r="C352" s="7" t="s">
        <v>3</v>
      </c>
      <c r="D352" s="7" t="s">
        <v>6711</v>
      </c>
      <c r="E352" s="7" t="s">
        <v>6712</v>
      </c>
      <c r="F352" s="7" t="s">
        <v>6713</v>
      </c>
      <c r="G352" s="7" t="s">
        <v>6703</v>
      </c>
      <c r="H352" s="7" t="s">
        <v>6375</v>
      </c>
      <c r="I352" s="7"/>
      <c r="J352" s="20" t="str">
        <f>VLOOKUP(V352,Table_to_BRG!A:D,3,FALSE)</f>
        <v>Plant data</v>
      </c>
      <c r="K352" s="20" t="str">
        <f>VLOOKUP(V352,Table_to_BRG!A:D,2,FALSE)</f>
        <v>Plant</v>
      </c>
      <c r="L352" s="20"/>
      <c r="M352" s="20"/>
      <c r="N352" s="9"/>
      <c r="O352" s="54"/>
      <c r="P352" s="7" t="s">
        <v>8432</v>
      </c>
      <c r="Q352" s="11" t="str">
        <f>UPPER(LEFT(Table362[[#This Row],[Entity]],3))&amp;RIGHT("00"&amp;Table362[[#This Row],[Rule '# by Entity]],3)&amp;"0_"&amp;MID(SUBSTITUTE(Table362[[#This Row],[Rule Name]],"_","|",3),SEARCH("|",SUBSTITUTE(Table362[[#This Row],[Rule Name]],"_","|",3))+1,LEN(Table362[[#This Row],[Rule Name]]))</f>
        <v>MAT0800_StrategyGroupRef</v>
      </c>
      <c r="R352" s="8" t="s">
        <v>7977</v>
      </c>
      <c r="S352" s="7" t="s">
        <v>2</v>
      </c>
      <c r="T352" s="7"/>
      <c r="U352" s="7" t="s">
        <v>1115</v>
      </c>
      <c r="V352" s="7" t="s">
        <v>1527</v>
      </c>
      <c r="W352" s="7" t="s">
        <v>2174</v>
      </c>
      <c r="X352" s="8" t="s">
        <v>2183</v>
      </c>
      <c r="Y352" s="7" t="s">
        <v>6684</v>
      </c>
      <c r="Z352" s="7" t="s">
        <v>2174</v>
      </c>
      <c r="AA352" s="11" t="str">
        <f>"BEGIN
     RETURN exists('DS_IS_RDS', '"&amp;Table362[[#This Row],[Lookup Table]]&amp;"', '"&amp;Table362[[#This Row],[Lookup Field]]&amp;"', "&amp;Table362[[#This Row],[IS Parameter]]&amp;");
END"</f>
        <v>BEGIN
     RETURN exists('DS_IS_RDS', 'T461P', 'STRGR', $P_I_StrategyGroup);
END</v>
      </c>
      <c r="AB352" s="11" t="str">
        <f>Table362[[#This Row],[IS Parameter]]&amp;" IS NOT NULL AND rtrim("&amp;Table362[[#This Row],[IS Parameter]]&amp;", ' ') != ''"</f>
        <v>$P_I_StrategyGroup IS NOT NULL AND rtrim($P_I_StrategyGroup, ' ') != ''</v>
      </c>
      <c r="AC352" s="10" t="s">
        <v>6663</v>
      </c>
      <c r="AD352" s="10"/>
      <c r="AE352" s="13" t="str">
        <f>IF(Table362[[#This Row],[Entity]]="Customer","KUNNR",IF(Table362[[#This Row],[Entity]]="Vendor","LIFNR","MATNR"))&amp;",WERKS"&amp;","&amp;Table362[[#This Row],[Field]]</f>
        <v>MATNR,WERKS,STRGR</v>
      </c>
      <c r="AF352" s="13" t="str">
        <f>"VW_"&amp;Table362[[#This Row],[New Rule Name]]</f>
        <v>VW_MAT0800_StrategyGroupRef</v>
      </c>
      <c r="AG352" s="11" t="str">
        <f>"create view "&amp;Table362[[#This Row],[View Name]]&amp;" as 
     select 
          "&amp;IF(Table362[[#This Row],[Entity]]="Customer","KUNNR",IF(Table362[[#This Row],[Entity]]="Vendor","LIFNR","MATNR"))&amp;",
          WERKS,
          "&amp;Table362[[#This Row],[Field]]&amp;" 
     from "&amp;Table362[[#This Row],[Table]]</f>
        <v>create view VW_MAT0800_StrategyGroupRef as 
     select 
          MATNR,
          WERKS,
          STRGR 
     from MARC</v>
      </c>
      <c r="AH352" s="8"/>
      <c r="AI352" s="20"/>
      <c r="AJ352" s="20"/>
      <c r="AK352" s="31">
        <v>80</v>
      </c>
      <c r="AL352" s="31"/>
    </row>
    <row r="353" spans="1:38" s="3" customFormat="1" ht="60" hidden="1" x14ac:dyDescent="0.25">
      <c r="A353" s="9">
        <v>351</v>
      </c>
      <c r="B353" s="7" t="s">
        <v>3973</v>
      </c>
      <c r="C353" s="7" t="s">
        <v>16</v>
      </c>
      <c r="D353" s="7" t="s">
        <v>6711</v>
      </c>
      <c r="E353" s="7" t="s">
        <v>6714</v>
      </c>
      <c r="F353" s="7" t="s">
        <v>6715</v>
      </c>
      <c r="G353" s="7" t="s">
        <v>6361</v>
      </c>
      <c r="H353" s="7" t="s">
        <v>3967</v>
      </c>
      <c r="I353" s="7"/>
      <c r="J353" s="20" t="str">
        <f>VLOOKUP(V353,Table_to_BRG!A:D,3,FALSE)</f>
        <v>General data</v>
      </c>
      <c r="K353" s="20" t="str">
        <f>VLOOKUP(V353,Table_to_BRG!A:D,2,FALSE)</f>
        <v>General</v>
      </c>
      <c r="L353" s="20"/>
      <c r="M353" s="20"/>
      <c r="N353" s="9"/>
      <c r="O353" s="54"/>
      <c r="P353" s="7" t="s">
        <v>7893</v>
      </c>
      <c r="Q353" s="11" t="str">
        <f>UPPER(LEFT(Table362[[#This Row],[Entity]],3))&amp;RIGHT("00"&amp;Table362[[#This Row],[Rule '# by Entity]],3)&amp;"0_"&amp;MID(SUBSTITUTE(Table362[[#This Row],[Rule Name]],"_","|",3),SEARCH("|",SUBSTITUTE(Table362[[#This Row],[Rule Name]],"_","|",3))+1,LEN(Table362[[#This Row],[Rule Name]]))</f>
        <v>CUS0220_LanguageRef</v>
      </c>
      <c r="R353" s="13" t="s">
        <v>8061</v>
      </c>
      <c r="S353" s="7" t="s">
        <v>21</v>
      </c>
      <c r="T353" s="7" t="s">
        <v>2</v>
      </c>
      <c r="U353" s="7" t="s">
        <v>523</v>
      </c>
      <c r="V353" s="7" t="s">
        <v>2741</v>
      </c>
      <c r="W353" s="7" t="s">
        <v>1534</v>
      </c>
      <c r="X353" s="8" t="s">
        <v>2974</v>
      </c>
      <c r="Y353" s="7" t="s">
        <v>4188</v>
      </c>
      <c r="Z353" s="7" t="s">
        <v>1534</v>
      </c>
      <c r="AA353" s="11" t="str">
        <f>"BEGIN
     RETURN exists('DS_IS_RDS', '"&amp;Table362[[#This Row],[Lookup Table]]&amp;"', '"&amp;Table362[[#This Row],[Lookup Field]]&amp;"', "&amp;Table362[[#This Row],[IS Parameter]]&amp;");
END"</f>
        <v>BEGIN
     RETURN exists('DS_IS_RDS', 'T002', 'SPRAS', $P_I_Language);
END</v>
      </c>
      <c r="AB353" s="11" t="str">
        <f>Table362[[#This Row],[IS Parameter]]&amp;" IS NOT NULL
AND "&amp; Table362[[#This Row],[IS Parameter]]&amp;" != ''"</f>
        <v>$P_I_Language IS NOT NULL
AND $P_I_Language != ''</v>
      </c>
      <c r="AC353" s="10" t="s">
        <v>6663</v>
      </c>
      <c r="AD353" s="10"/>
      <c r="AE353" s="13" t="str">
        <f>IF(Table362[[#This Row],[Entity]]="Customer","KUNNR",IF(Table362[[#This Row],[Entity]]="Vendor","LIFNR","MATNR"))&amp;","&amp;Table362[[#This Row],[Field]]</f>
        <v>KUNNR,SPRAS</v>
      </c>
      <c r="AF353" s="13" t="str">
        <f>"VW_"&amp;Table362[[#This Row],[New Rule Name]]</f>
        <v>VW_CUS0220_LanguageRef</v>
      </c>
      <c r="AG353" s="11" t="str">
        <f>"create view "&amp;Table362[[#This Row],[View Name]]&amp;" as 
     select 
          "&amp;IF(Table362[[#This Row],[Entity]]="Customer","KUNNR",IF(Table362[[#This Row],[Entity]]="Vendor","LIFNR","MATNR"))&amp;",
          "&amp;Table362[[#This Row],[Field]]&amp;" 
     from "&amp;Table362[[#This Row],[Table]]</f>
        <v>create view VW_CUS0220_LanguageRef as 
     select 
          KUNNR,
          SPRAS 
     from KNA1</v>
      </c>
      <c r="AH353" s="8"/>
      <c r="AI353" s="20" t="s">
        <v>7578</v>
      </c>
      <c r="AJ353" s="20"/>
      <c r="AK353" s="31">
        <v>22</v>
      </c>
      <c r="AL353" s="31"/>
    </row>
    <row r="354" spans="1:38" s="3" customFormat="1" ht="72" x14ac:dyDescent="0.25">
      <c r="A354" s="9">
        <v>352</v>
      </c>
      <c r="B354" s="7" t="s">
        <v>3973</v>
      </c>
      <c r="C354" s="7" t="s">
        <v>3</v>
      </c>
      <c r="D354" s="7" t="s">
        <v>6711</v>
      </c>
      <c r="E354" s="7" t="s">
        <v>6712</v>
      </c>
      <c r="F354" s="7" t="s">
        <v>6713</v>
      </c>
      <c r="G354" s="7" t="s">
        <v>6703</v>
      </c>
      <c r="H354" s="7" t="s">
        <v>6374</v>
      </c>
      <c r="I354" s="7"/>
      <c r="J354" s="20" t="str">
        <f>VLOOKUP(V354,Table_to_BRG!A:D,3,FALSE)</f>
        <v>Plant data</v>
      </c>
      <c r="K354" s="20" t="str">
        <f>VLOOKUP(V354,Table_to_BRG!A:D,2,FALSE)</f>
        <v>Plant</v>
      </c>
      <c r="L354" s="20"/>
      <c r="M354" s="20"/>
      <c r="N354" s="9"/>
      <c r="O354" s="54"/>
      <c r="P354" s="7" t="s">
        <v>8433</v>
      </c>
      <c r="Q354" s="11" t="str">
        <f>UPPER(LEFT(Table362[[#This Row],[Entity]],3))&amp;RIGHT("00"&amp;Table362[[#This Row],[Rule '# by Entity]],3)&amp;"0_"&amp;MID(SUBSTITUTE(Table362[[#This Row],[Rule Name]],"_","|",3),SEARCH("|",SUBSTITUTE(Table362[[#This Row],[Rule Name]],"_","|",3))+1,LEN(Table362[[#This Row],[Rule Name]]))</f>
        <v>MAT0460_ProcurementTypeIsValid</v>
      </c>
      <c r="R354" s="8" t="s">
        <v>8188</v>
      </c>
      <c r="S354" s="7" t="s">
        <v>4135</v>
      </c>
      <c r="T354" s="7" t="s">
        <v>2</v>
      </c>
      <c r="U354" s="7" t="s">
        <v>1120</v>
      </c>
      <c r="V354" s="7" t="s">
        <v>1527</v>
      </c>
      <c r="W354" s="7" t="s">
        <v>2113</v>
      </c>
      <c r="X354" s="8" t="s">
        <v>2134</v>
      </c>
      <c r="Y354" s="7" t="s">
        <v>5978</v>
      </c>
      <c r="Z354" s="7" t="s">
        <v>5978</v>
      </c>
      <c r="AA354" s="10" t="s">
        <v>8597</v>
      </c>
      <c r="AB354" s="11" t="str">
        <f>Table362[[#This Row],[IS Parameter]]&amp;" IS NOT NULL AND rtrim("&amp;Table362[[#This Row],[IS Parameter]]&amp;", ' ') != ''"</f>
        <v>$P_I_ProcurementType IS NOT NULL AND rtrim($P_I_ProcurementType, ' ') != ''</v>
      </c>
      <c r="AC354" s="13" t="s">
        <v>7792</v>
      </c>
      <c r="AD354"/>
      <c r="AE354" s="13" t="str">
        <f>IF(Table362[[#This Row],[Entity]]="Customer","KUNNR",IF(Table362[[#This Row],[Entity]]="Vendor","LIFNR","MATNR"))&amp;",WERKS"&amp;","&amp;Table362[[#This Row],[Field]]</f>
        <v>MATNR,WERKS,BESKZ</v>
      </c>
      <c r="AF354" s="13" t="str">
        <f>"VW_"&amp;Table362[[#This Row],[New Rule Name]]</f>
        <v>VW_MAT0460_ProcurementTypeIsValid</v>
      </c>
      <c r="AG354" s="11" t="str">
        <f>"create view "&amp;Table362[[#This Row],[View Name]]&amp;" as 
     select 
          "&amp;IF(Table362[[#This Row],[Entity]]="Customer","KUNNR",IF(Table362[[#This Row],[Entity]]="Vendor","LIFNR","MATNR"))&amp;",
          WERKS,
          "&amp;Table362[[#This Row],[Field]]&amp;" 
     from "&amp;Table362[[#This Row],[Table]]</f>
        <v>create view VW_MAT0460_ProcurementTypeIsValid as 
     select 
          MATNR,
          WERKS,
          BESKZ 
     from MARC</v>
      </c>
      <c r="AH354" s="8"/>
      <c r="AI354" s="20"/>
      <c r="AJ354" s="20"/>
      <c r="AK354" s="31">
        <v>46</v>
      </c>
      <c r="AL354" s="31"/>
    </row>
    <row r="355" spans="1:38" s="3" customFormat="1" ht="72" x14ac:dyDescent="0.25">
      <c r="A355" s="9">
        <v>353</v>
      </c>
      <c r="B355" s="7" t="s">
        <v>3973</v>
      </c>
      <c r="C355" s="7" t="s">
        <v>3</v>
      </c>
      <c r="D355" s="7" t="s">
        <v>6711</v>
      </c>
      <c r="E355" s="7" t="s">
        <v>6712</v>
      </c>
      <c r="F355" s="7" t="s">
        <v>6713</v>
      </c>
      <c r="G355" s="7" t="s">
        <v>6369</v>
      </c>
      <c r="H355" s="7"/>
      <c r="I355" s="7"/>
      <c r="J355" s="20" t="str">
        <f>VLOOKUP(V355,Table_to_BRG!A:D,3,FALSE)</f>
        <v>Plant data</v>
      </c>
      <c r="K355" s="20" t="str">
        <f>VLOOKUP(V355,Table_to_BRG!A:D,2,FALSE)</f>
        <v>Plant</v>
      </c>
      <c r="L355" s="20"/>
      <c r="M355" s="20"/>
      <c r="N355" s="9"/>
      <c r="O355" s="54"/>
      <c r="P355" s="7" t="s">
        <v>8434</v>
      </c>
      <c r="Q355" s="11" t="str">
        <f>UPPER(LEFT(Table362[[#This Row],[Entity]],3))&amp;RIGHT("00"&amp;Table362[[#This Row],[Rule '# by Entity]],3)&amp;"0_"&amp;MID(SUBSTITUTE(Table362[[#This Row],[Rule Name]],"_","|",3),SEARCH("|",SUBSTITUTE(Table362[[#This Row],[Rule Name]],"_","|",3))+1,LEN(Table362[[#This Row],[Rule Name]]))</f>
        <v>MAT0350_ValuationCategoryRef</v>
      </c>
      <c r="R355" s="8" t="s">
        <v>7978</v>
      </c>
      <c r="S355" s="7" t="s">
        <v>2</v>
      </c>
      <c r="T355" s="7"/>
      <c r="U355" s="7" t="s">
        <v>1124</v>
      </c>
      <c r="V355" s="7" t="s">
        <v>1527</v>
      </c>
      <c r="W355" s="7" t="s">
        <v>1497</v>
      </c>
      <c r="X355" s="8" t="s">
        <v>8638</v>
      </c>
      <c r="Y355" s="7" t="s">
        <v>6685</v>
      </c>
      <c r="Z355" s="7" t="s">
        <v>1497</v>
      </c>
      <c r="AA355" s="11" t="str">
        <f>"BEGIN
     RETURN exists('DS_IS_RDS', '"&amp;Table362[[#This Row],[Lookup Table]]&amp;"', '"&amp;Table362[[#This Row],[Lookup Field]]&amp;"', "&amp;Table362[[#This Row],[IS Parameter]]&amp;");
END"</f>
        <v>BEGIN
     RETURN exists('DS_IS_RDS', 'T149C', 'BWTTY', $P_I_ValuationCategory);
END</v>
      </c>
      <c r="AB355" s="11" t="str">
        <f>Table362[[#This Row],[IS Parameter]]&amp;" IS NOT NULL AND rtrim("&amp;Table362[[#This Row],[IS Parameter]]&amp;", ' ') != ''"</f>
        <v>$P_I_ValuationCategory IS NOT NULL AND rtrim($P_I_ValuationCategory, ' ') != ''</v>
      </c>
      <c r="AC355" s="10" t="s">
        <v>6663</v>
      </c>
      <c r="AD355" s="10"/>
      <c r="AE355" s="13" t="str">
        <f>IF(Table362[[#This Row],[Entity]]="Customer","KUNNR",IF(Table362[[#This Row],[Entity]]="Vendor","LIFNR","MATNR"))&amp;",WERKS"&amp;","&amp;Table362[[#This Row],[Field]]</f>
        <v>MATNR,WERKS,BWTTY</v>
      </c>
      <c r="AF355" s="13" t="str">
        <f>"VW_"&amp;Table362[[#This Row],[New Rule Name]]</f>
        <v>VW_MAT0350_ValuationCategoryRef</v>
      </c>
      <c r="AG355" s="11" t="str">
        <f>"create view "&amp;Table362[[#This Row],[View Name]]&amp;" as 
     select 
          "&amp;IF(Table362[[#This Row],[Entity]]="Customer","KUNNR",IF(Table362[[#This Row],[Entity]]="Vendor","LIFNR","MATNR"))&amp;",
          WERKS,
          "&amp;Table362[[#This Row],[Field]]&amp;" 
     from "&amp;Table362[[#This Row],[Table]]</f>
        <v>create view VW_MAT0350_ValuationCategoryRef as 
     select 
          MATNR,
          WERKS,
          BWTTY 
     from MARC</v>
      </c>
      <c r="AH355" s="8"/>
      <c r="AI355" s="20"/>
      <c r="AJ355" s="20"/>
      <c r="AK355" s="31">
        <v>35</v>
      </c>
      <c r="AL355" s="31"/>
    </row>
    <row r="356" spans="1:38" s="3" customFormat="1" ht="72" x14ac:dyDescent="0.25">
      <c r="A356" s="9">
        <v>354</v>
      </c>
      <c r="B356" s="7" t="s">
        <v>3973</v>
      </c>
      <c r="C356" s="7" t="s">
        <v>3</v>
      </c>
      <c r="D356" s="7" t="s">
        <v>6711</v>
      </c>
      <c r="E356" s="7" t="s">
        <v>6712</v>
      </c>
      <c r="F356" s="7" t="s">
        <v>6713</v>
      </c>
      <c r="G356" s="7" t="s">
        <v>6703</v>
      </c>
      <c r="H356" s="7" t="s">
        <v>6375</v>
      </c>
      <c r="I356" s="7"/>
      <c r="J356" s="20" t="str">
        <f>VLOOKUP(V356,Table_to_BRG!A:D,3,FALSE)</f>
        <v>Plant data</v>
      </c>
      <c r="K356" s="20" t="str">
        <f>VLOOKUP(V356,Table_to_BRG!A:D,2,FALSE)</f>
        <v>Plant</v>
      </c>
      <c r="L356" s="20"/>
      <c r="M356" s="20"/>
      <c r="N356" s="9"/>
      <c r="O356" s="54"/>
      <c r="P356" s="7" t="s">
        <v>8435</v>
      </c>
      <c r="Q356" s="11" t="str">
        <f>UPPER(LEFT(Table362[[#This Row],[Entity]],3))&amp;RIGHT("00"&amp;Table362[[#This Row],[Rule '# by Entity]],3)&amp;"0_"&amp;MID(SUBSTITUTE(Table362[[#This Row],[Rule Name]],"_","|",3),SEARCH("|",SUBSTITUTE(Table362[[#This Row],[Rule Name]],"_","|",3))+1,LEN(Table362[[#This Row],[Rule Name]]))</f>
        <v>MAT0440_PeriodIndicatorIsValid</v>
      </c>
      <c r="R356" s="8" t="s">
        <v>8189</v>
      </c>
      <c r="S356" s="7" t="s">
        <v>4135</v>
      </c>
      <c r="T356" s="7" t="s">
        <v>2</v>
      </c>
      <c r="U356" s="7" t="s">
        <v>1128</v>
      </c>
      <c r="V356" s="7" t="s">
        <v>1527</v>
      </c>
      <c r="W356" s="7" t="s">
        <v>1867</v>
      </c>
      <c r="X356" s="8" t="s">
        <v>1295</v>
      </c>
      <c r="Y356" s="7" t="s">
        <v>5978</v>
      </c>
      <c r="Z356" s="7" t="s">
        <v>5978</v>
      </c>
      <c r="AA356" s="10" t="s">
        <v>8599</v>
      </c>
      <c r="AB356" s="11" t="str">
        <f>Table362[[#This Row],[IS Parameter]]&amp;" IS NOT NULL AND rtrim("&amp;Table362[[#This Row],[IS Parameter]]&amp;", ' ') != ''"</f>
        <v>$P_I_PeriodInd IS NOT NULL AND rtrim($P_I_PeriodInd, ' ') != ''</v>
      </c>
      <c r="AC356" s="13" t="s">
        <v>7792</v>
      </c>
      <c r="AD356"/>
      <c r="AE356" s="13" t="str">
        <f>IF(Table362[[#This Row],[Entity]]="Customer","KUNNR",IF(Table362[[#This Row],[Entity]]="Vendor","LIFNR","MATNR"))&amp;",WERKS"&amp;","&amp;Table362[[#This Row],[Field]]</f>
        <v>MATNR,WERKS,PERKZ</v>
      </c>
      <c r="AF356" s="13" t="str">
        <f>"VW_"&amp;Table362[[#This Row],[New Rule Name]]</f>
        <v>VW_MAT0440_PeriodIndicatorIsValid</v>
      </c>
      <c r="AG356" s="11" t="str">
        <f>"create view "&amp;Table362[[#This Row],[View Name]]&amp;" as 
     select 
          "&amp;IF(Table362[[#This Row],[Entity]]="Customer","KUNNR",IF(Table362[[#This Row],[Entity]]="Vendor","LIFNR","MATNR"))&amp;",
          WERKS,
          "&amp;Table362[[#This Row],[Field]]&amp;" 
     from "&amp;Table362[[#This Row],[Table]]</f>
        <v>create view VW_MAT0440_PeriodIndicatorIsValid as 
     select 
          MATNR,
          WERKS,
          PERKZ 
     from MARC</v>
      </c>
      <c r="AH356" s="8"/>
      <c r="AI356" s="20"/>
      <c r="AJ356" s="20"/>
      <c r="AK356" s="31">
        <v>44</v>
      </c>
      <c r="AL356" s="31"/>
    </row>
    <row r="357" spans="1:38" s="3" customFormat="1" ht="60" hidden="1" x14ac:dyDescent="0.25">
      <c r="A357" s="9">
        <v>355</v>
      </c>
      <c r="B357" s="7" t="s">
        <v>3973</v>
      </c>
      <c r="C357" s="7" t="s">
        <v>1207</v>
      </c>
      <c r="D357" s="7" t="s">
        <v>6719</v>
      </c>
      <c r="E357" s="7" t="s">
        <v>6720</v>
      </c>
      <c r="F357" s="7" t="s">
        <v>6722</v>
      </c>
      <c r="G357" s="7" t="s">
        <v>6361</v>
      </c>
      <c r="H357" s="7" t="s">
        <v>3967</v>
      </c>
      <c r="I357" s="7"/>
      <c r="J357" s="20" t="str">
        <f>VLOOKUP(V357,Table_to_BRG!A:D,3,FALSE)</f>
        <v>General data</v>
      </c>
      <c r="K357" s="20" t="str">
        <f>VLOOKUP(V357,Table_to_BRG!A:D,2,FALSE)</f>
        <v>General</v>
      </c>
      <c r="L357" s="20"/>
      <c r="M357" s="20"/>
      <c r="N357" s="9"/>
      <c r="O357" s="54"/>
      <c r="P357" s="7" t="s">
        <v>8528</v>
      </c>
      <c r="Q357" s="11" t="str">
        <f>UPPER(LEFT(Table362[[#This Row],[Entity]],3))&amp;RIGHT("00"&amp;Table362[[#This Row],[Rule '# by Entity]],3)&amp;"0_"&amp;MID(SUBSTITUTE(Table362[[#This Row],[Rule Name]],"_","|",3),SEARCH("|",SUBSTITUTE(Table362[[#This Row],[Rule Name]],"_","|",3))+1,LEN(Table362[[#This Row],[Rule Name]]))</f>
        <v>VEN0180_AccountGroupRef</v>
      </c>
      <c r="R357" s="8" t="s">
        <v>8264</v>
      </c>
      <c r="S357" s="7" t="s">
        <v>2</v>
      </c>
      <c r="T357" s="7"/>
      <c r="U357" s="7" t="s">
        <v>558</v>
      </c>
      <c r="V357" s="7" t="s">
        <v>3542</v>
      </c>
      <c r="W357" s="7" t="s">
        <v>3516</v>
      </c>
      <c r="X357" s="8" t="s">
        <v>3529</v>
      </c>
      <c r="Y357" s="7" t="s">
        <v>4489</v>
      </c>
      <c r="Z357" s="7" t="s">
        <v>3516</v>
      </c>
      <c r="AA357" s="11" t="str">
        <f>"BEGIN
     RETURN exists('DS_IS_RDS', '"&amp;Table362[[#This Row],[Lookup Table]]&amp;"', '"&amp;Table362[[#This Row],[Lookup Field]]&amp;"', "&amp;Table362[[#This Row],[IS Parameter]]&amp;");
END"</f>
        <v>BEGIN
     RETURN exists('DS_IS_RDS', 'T077K', 'KTOKK', $P_I_AccountGroup);
END</v>
      </c>
      <c r="AB357" s="11"/>
      <c r="AC357" s="10" t="s">
        <v>6663</v>
      </c>
      <c r="AD357" s="10"/>
      <c r="AE357" s="13" t="str">
        <f>IF(Table362[[#This Row],[Entity]]="Customer","KUNNR",IF(Table362[[#This Row],[Entity]]="Vendor","LIFNR","MATNR"))&amp;","&amp;Table362[[#This Row],[Field]]</f>
        <v>LIFNR,KTOKK</v>
      </c>
      <c r="AF357" s="13" t="str">
        <f>"VW_"&amp;Table362[[#This Row],[New Rule Name]]</f>
        <v>VW_VEN0180_AccountGroupRef</v>
      </c>
      <c r="AG357" s="11" t="str">
        <f>"create view "&amp;Table362[[#This Row],[View Name]]&amp;" as 
     select 
          "&amp;IF(Table362[[#This Row],[Entity]]="Customer","KUNNR",IF(Table362[[#This Row],[Entity]]="Vendor","LIFNR","MATNR"))&amp;",
          "&amp;Table362[[#This Row],[Field]]&amp;" 
     from "&amp;Table362[[#This Row],[Table]]</f>
        <v>create view VW_VEN0180_AccountGroupRef as 
     select 
          LIFNR,
          KTOKK 
     from LFA1</v>
      </c>
      <c r="AH357" s="8"/>
      <c r="AI357" s="20"/>
      <c r="AJ357" s="20"/>
      <c r="AK357" s="31">
        <v>18</v>
      </c>
      <c r="AL357" s="31"/>
    </row>
    <row r="358" spans="1:38" s="3" customFormat="1" ht="60" hidden="1" x14ac:dyDescent="0.25">
      <c r="A358" s="9">
        <v>356</v>
      </c>
      <c r="B358" s="7" t="s">
        <v>3973</v>
      </c>
      <c r="C358" s="7" t="s">
        <v>16</v>
      </c>
      <c r="D358" s="7" t="s">
        <v>6711</v>
      </c>
      <c r="E358" s="7" t="s">
        <v>6714</v>
      </c>
      <c r="F358" s="7" t="s">
        <v>6715</v>
      </c>
      <c r="G358" s="7" t="s">
        <v>6361</v>
      </c>
      <c r="H358" s="7" t="s">
        <v>6364</v>
      </c>
      <c r="I358" s="7"/>
      <c r="J358" s="20" t="str">
        <f>VLOOKUP(V358,Table_to_BRG!A:D,3,FALSE)</f>
        <v>General data</v>
      </c>
      <c r="K358" s="20" t="str">
        <f>VLOOKUP(V358,Table_to_BRG!A:D,2,FALSE)</f>
        <v>General</v>
      </c>
      <c r="L358" s="20"/>
      <c r="M358" s="20"/>
      <c r="N358" s="9"/>
      <c r="O358" s="54"/>
      <c r="P358" s="7" t="s">
        <v>8066</v>
      </c>
      <c r="Q358" s="11" t="str">
        <f>UPPER(LEFT(Table362[[#This Row],[Entity]],3))&amp;RIGHT("00"&amp;Table362[[#This Row],[Rule '# by Entity]],3)&amp;"0_"&amp;MID(SUBSTITUTE(Table362[[#This Row],[Rule Name]],"_","|",3),SEARCH("|",SUBSTITUTE(Table362[[#This Row],[Rule Name]],"_","|",3))+1,LEN(Table362[[#This Row],[Rule Name]]))</f>
        <v>CUS0340_CivilianUseIsValid</v>
      </c>
      <c r="R358" s="8" t="s">
        <v>8190</v>
      </c>
      <c r="S358" s="7" t="s">
        <v>4135</v>
      </c>
      <c r="T358" s="7" t="s">
        <v>2</v>
      </c>
      <c r="U358" s="7" t="s">
        <v>1135</v>
      </c>
      <c r="V358" s="7" t="s">
        <v>2741</v>
      </c>
      <c r="W358" s="7" t="s">
        <v>3110</v>
      </c>
      <c r="X358" s="8" t="s">
        <v>3123</v>
      </c>
      <c r="Y358" s="7" t="s">
        <v>5978</v>
      </c>
      <c r="Z358" s="7" t="s">
        <v>5978</v>
      </c>
      <c r="AA358" s="10" t="s">
        <v>8612</v>
      </c>
      <c r="AB358" s="11" t="str">
        <f>Table362[[#This Row],[IS Parameter]]&amp;" IS NOT NULL
AND "&amp; Table362[[#This Row],[IS Parameter]]&amp;" != ''"</f>
        <v>$P_I_CivilianUse IS NOT NULL
AND $P_I_CivilianUse != ''</v>
      </c>
      <c r="AC358" s="13" t="s">
        <v>7792</v>
      </c>
      <c r="AD358"/>
      <c r="AE358" s="13" t="str">
        <f>IF(Table362[[#This Row],[Entity]]="Customer","KUNNR",IF(Table362[[#This Row],[Entity]]="Vendor","LIFNR","MATNR"))&amp;","&amp;Table362[[#This Row],[Field]]</f>
        <v>KUNNR,CIVVE</v>
      </c>
      <c r="AF358" s="13" t="str">
        <f>"VW_"&amp;Table362[[#This Row],[New Rule Name]]</f>
        <v>VW_CUS0340_CivilianUseIsValid</v>
      </c>
      <c r="AG358" s="11" t="str">
        <f>"create view "&amp;Table362[[#This Row],[View Name]]&amp;" as 
     select 
          "&amp;Table362[[#This Row],[Table]]&amp;",
          "&amp;Table362[[#This Row],[Field]]&amp;" 
     from "&amp;Table362[[#This Row],[Table]]</f>
        <v>create view VW_CUS0340_CivilianUseIsValid as 
     select 
          KNA1,
          CIVVE 
     from KNA1</v>
      </c>
      <c r="AH358" s="8"/>
      <c r="AI358" s="20"/>
      <c r="AJ358" s="20"/>
      <c r="AK358" s="31">
        <v>34</v>
      </c>
      <c r="AL358" s="31"/>
    </row>
    <row r="359" spans="1:38" s="3" customFormat="1" ht="72" hidden="1" x14ac:dyDescent="0.25">
      <c r="A359" s="9">
        <v>357</v>
      </c>
      <c r="B359" s="7" t="s">
        <v>3973</v>
      </c>
      <c r="C359" s="7" t="s">
        <v>1207</v>
      </c>
      <c r="D359" s="7" t="s">
        <v>6711</v>
      </c>
      <c r="E359" s="7" t="s">
        <v>6733</v>
      </c>
      <c r="F359" s="7" t="s">
        <v>6739</v>
      </c>
      <c r="G359" s="7" t="s">
        <v>6387</v>
      </c>
      <c r="H359" s="7"/>
      <c r="I359" s="7"/>
      <c r="J359" s="20" t="str">
        <f>VLOOKUP(V359,Table_to_BRG!A:D,3,FALSE)</f>
        <v>Purchasing data</v>
      </c>
      <c r="K359" s="20" t="str">
        <f>VLOOKUP(V359,Table_to_BRG!A:D,2,FALSE)</f>
        <v>Purchasing org.</v>
      </c>
      <c r="L359" s="20"/>
      <c r="M359" s="20"/>
      <c r="N359" s="9"/>
      <c r="O359" s="54"/>
      <c r="P359" s="7" t="s">
        <v>8529</v>
      </c>
      <c r="Q359" s="11" t="str">
        <f>UPPER(LEFT(Table362[[#This Row],[Entity]],3))&amp;RIGHT("00"&amp;Table362[[#This Row],[Rule '# by Entity]],3)&amp;"0_"&amp;MID(SUBSTITUTE(Table362[[#This Row],[Rule Name]],"_","|",3),SEARCH("|",SUBSTITUTE(Table362[[#This Row],[Rule Name]],"_","|",3))+1,LEN(Table362[[#This Row],[Rule Name]]))</f>
        <v>VEN0690_ShippingConditionsRef</v>
      </c>
      <c r="R359" s="13" t="s">
        <v>8276</v>
      </c>
      <c r="S359" s="7" t="s">
        <v>2</v>
      </c>
      <c r="T359" s="7"/>
      <c r="U359" s="7" t="s">
        <v>512</v>
      </c>
      <c r="V359" s="7" t="s">
        <v>3818</v>
      </c>
      <c r="W359" s="7" t="s">
        <v>3457</v>
      </c>
      <c r="X359" s="8" t="s">
        <v>3466</v>
      </c>
      <c r="Y359" s="7" t="s">
        <v>5766</v>
      </c>
      <c r="Z359" s="7" t="s">
        <v>3457</v>
      </c>
      <c r="AA359" s="11" t="str">
        <f>"BEGIN
     RETURN exists('DS_IS_RDS', '"&amp;Table362[[#This Row],[Lookup Table]]&amp;"', '"&amp;Table362[[#This Row],[Lookup Field]]&amp;"', "&amp;Table362[[#This Row],[IS Parameter]]&amp;");
END"</f>
        <v>BEGIN
     RETURN exists('DS_IS_RDS', 'TVSB', 'VSBED', $P_I_ShippingCondition);
END</v>
      </c>
      <c r="AB359" s="11"/>
      <c r="AC359" s="10" t="s">
        <v>6663</v>
      </c>
      <c r="AD359" s="10"/>
      <c r="AE359" s="13" t="str">
        <f>IF(Table362[[#This Row],[Entity]]="Customer","KUNNR",IF(Table362[[#This Row],[Entity]]="Vendor","LIFNR","MATNR"))&amp;",EKORG,"&amp;Table362[[#This Row],[Field]]</f>
        <v>LIFNR,EKORG,VSBED</v>
      </c>
      <c r="AF359" s="13" t="str">
        <f>"VW_"&amp;Table362[[#This Row],[New Rule Name]]</f>
        <v>VW_VEN0690_ShippingConditionsRef</v>
      </c>
      <c r="AG359" s="11" t="str">
        <f>"create view "&amp;Table362[[#This Row],[View Name]]&amp;" as 
     select 
          "&amp;IF(Table362[[#This Row],[Entity]]="Customer","KUNNR",IF(Table362[[#This Row],[Entity]]="Vendor","LIFNR","MATNR"))&amp;",
          EKORG,
          "&amp;Table362[[#This Row],[Field]]&amp;" 
     from "&amp;Table362[[#This Row],[Table]]</f>
        <v>create view VW_VEN0690_ShippingConditionsRef as 
     select 
          LIFNR,
          EKORG,
          VSBED 
     from LFM1</v>
      </c>
      <c r="AH359" s="8"/>
      <c r="AI359" s="20" t="s">
        <v>7576</v>
      </c>
      <c r="AJ359" s="20"/>
      <c r="AK359" s="31">
        <v>69</v>
      </c>
      <c r="AL359" s="31"/>
    </row>
    <row r="360" spans="1:38" s="3" customFormat="1" ht="72" x14ac:dyDescent="0.25">
      <c r="A360" s="9">
        <v>358</v>
      </c>
      <c r="B360" s="7" t="s">
        <v>3973</v>
      </c>
      <c r="C360" s="7" t="s">
        <v>3</v>
      </c>
      <c r="D360" s="7" t="s">
        <v>6711</v>
      </c>
      <c r="E360" s="7" t="s">
        <v>6712</v>
      </c>
      <c r="F360" s="7" t="s">
        <v>6713</v>
      </c>
      <c r="G360" s="7" t="s">
        <v>6370</v>
      </c>
      <c r="H360" s="7"/>
      <c r="I360" s="7"/>
      <c r="J360" s="20" t="str">
        <f>VLOOKUP(V360,Table_to_BRG!A:D,3,FALSE)</f>
        <v>Plant data</v>
      </c>
      <c r="K360" s="20" t="str">
        <f>VLOOKUP(V360,Table_to_BRG!A:D,2,FALSE)</f>
        <v>Plant</v>
      </c>
      <c r="L360" s="20"/>
      <c r="M360" s="20"/>
      <c r="N360" s="9"/>
      <c r="O360" s="54"/>
      <c r="P360" s="7" t="s">
        <v>8436</v>
      </c>
      <c r="Q360" s="11" t="str">
        <f>UPPER(LEFT(Table362[[#This Row],[Entity]],3))&amp;RIGHT("00"&amp;Table362[[#This Row],[Rule '# by Entity]],3)&amp;"0_"&amp;MID(SUBSTITUTE(Table362[[#This Row],[Rule Name]],"_","|",3),SEARCH("|",SUBSTITUTE(Table362[[#This Row],[Rule Name]],"_","|",3))+1,LEN(Table362[[#This Row],[Rule Name]]))</f>
        <v>MAT0660_ExportOrImportGroupRef</v>
      </c>
      <c r="R360" s="8" t="s">
        <v>7979</v>
      </c>
      <c r="S360" s="7" t="s">
        <v>2</v>
      </c>
      <c r="T360" s="7"/>
      <c r="U360" s="7" t="s">
        <v>1140</v>
      </c>
      <c r="V360" s="7" t="s">
        <v>1527</v>
      </c>
      <c r="W360" s="7" t="s">
        <v>1897</v>
      </c>
      <c r="X360" s="8" t="s">
        <v>1910</v>
      </c>
      <c r="Y360" s="7" t="s">
        <v>6079</v>
      </c>
      <c r="Z360" s="7" t="s">
        <v>1897</v>
      </c>
      <c r="AA360" s="11" t="str">
        <f>"BEGIN
     RETURN exists('DS_IS_RDS', '"&amp;Table362[[#This Row],[Lookup Table]]&amp;"', '"&amp;Table362[[#This Row],[Lookup Field]]&amp;"', "&amp;Table362[[#This Row],[IS Parameter]]&amp;");
END"</f>
        <v>BEGIN
     RETURN exists('DS_IS_RDS', 'TVFM', 'MTVER', $P_I_ExportImportGroup);
END</v>
      </c>
      <c r="AB360" s="11" t="str">
        <f>Table362[[#This Row],[IS Parameter]]&amp;" IS NOT NULL AND rtrim("&amp;Table362[[#This Row],[IS Parameter]]&amp;", ' ') != ''"</f>
        <v>$P_I_ExportImportGroup IS NOT NULL AND rtrim($P_I_ExportImportGroup, ' ') != ''</v>
      </c>
      <c r="AC360" s="10" t="s">
        <v>6663</v>
      </c>
      <c r="AD360" s="10"/>
      <c r="AE360" s="13" t="str">
        <f>IF(Table362[[#This Row],[Entity]]="Customer","KUNNR",IF(Table362[[#This Row],[Entity]]="Vendor","LIFNR","MATNR"))&amp;",WERKS"&amp;","&amp;Table362[[#This Row],[Field]]</f>
        <v>MATNR,WERKS,MTVER</v>
      </c>
      <c r="AF360" s="13" t="str">
        <f>"VW_"&amp;Table362[[#This Row],[New Rule Name]]</f>
        <v>VW_MAT0660_ExportOrImportGroupRef</v>
      </c>
      <c r="AG360" s="11" t="str">
        <f>"create view "&amp;Table362[[#This Row],[View Name]]&amp;" as 
     select 
          "&amp;IF(Table362[[#This Row],[Entity]]="Customer","KUNNR",IF(Table362[[#This Row],[Entity]]="Vendor","LIFNR","MATNR"))&amp;",
          WERKS,
          "&amp;Table362[[#This Row],[Field]]&amp;" 
     from "&amp;Table362[[#This Row],[Table]]</f>
        <v>create view VW_MAT0660_ExportOrImportGroupRef as 
     select 
          MATNR,
          WERKS,
          MTVER 
     from MARC</v>
      </c>
      <c r="AH360" s="8"/>
      <c r="AI360" s="20"/>
      <c r="AJ360" s="20"/>
      <c r="AK360" s="31">
        <v>66</v>
      </c>
      <c r="AL360" s="31"/>
    </row>
    <row r="361" spans="1:38" s="3" customFormat="1" ht="96" hidden="1" x14ac:dyDescent="0.25">
      <c r="A361" s="9">
        <v>359</v>
      </c>
      <c r="B361" s="7" t="s">
        <v>3973</v>
      </c>
      <c r="C361" s="7" t="s">
        <v>16</v>
      </c>
      <c r="D361" s="7" t="s">
        <v>6711</v>
      </c>
      <c r="E361" s="7" t="s">
        <v>6714</v>
      </c>
      <c r="F361" s="7" t="s">
        <v>6724</v>
      </c>
      <c r="G361" s="7" t="s">
        <v>6365</v>
      </c>
      <c r="H361" s="7" t="s">
        <v>2759</v>
      </c>
      <c r="I361" s="7"/>
      <c r="J361" s="20" t="str">
        <f>VLOOKUP(V361,Table_to_BRG!A:D,3,FALSE)</f>
        <v>Customer sales data</v>
      </c>
      <c r="K361" s="20" t="str">
        <f>VLOOKUP(V361,Table_to_BRG!A:D,2,FALSE)</f>
        <v>Sales</v>
      </c>
      <c r="L361" s="20"/>
      <c r="M361" s="20"/>
      <c r="N361" s="9"/>
      <c r="O361" s="54"/>
      <c r="P361" s="7" t="s">
        <v>7894</v>
      </c>
      <c r="Q361" s="11" t="str">
        <f>UPPER(LEFT(Table362[[#This Row],[Entity]],3))&amp;RIGHT("00"&amp;Table362[[#This Row],[Rule '# by Entity]],3)&amp;"0_"&amp;MID(SUBSTITUTE(Table362[[#This Row],[Rule Name]],"_","|",3),SEARCH("|",SUBSTITUTE(Table362[[#This Row],[Rule Name]],"_","|",3))+1,LEN(Table362[[#This Row],[Rule Name]]))</f>
        <v>CUS0980_PriceGroupRef</v>
      </c>
      <c r="R361" s="13" t="s">
        <v>8062</v>
      </c>
      <c r="S361" s="7" t="s">
        <v>2</v>
      </c>
      <c r="T361" s="7"/>
      <c r="U361" s="7" t="s">
        <v>1144</v>
      </c>
      <c r="V361" s="7" t="s">
        <v>3334</v>
      </c>
      <c r="W361" s="7" t="s">
        <v>3414</v>
      </c>
      <c r="X361" s="8" t="s">
        <v>6474</v>
      </c>
      <c r="Y361" s="7" t="s">
        <v>6080</v>
      </c>
      <c r="Z361" s="7" t="s">
        <v>3414</v>
      </c>
      <c r="AA361" s="11" t="str">
        <f>"BEGIN
     RETURN exists('DS_IS_RDS', '"&amp;Table362[[#This Row],[Lookup Table]]&amp;"', '"&amp;Table362[[#This Row],[Lookup Field]]&amp;"', "&amp;Table362[[#This Row],[IS Parameter]]&amp;");
END"</f>
        <v>BEGIN
     RETURN exists('DS_IS_RDS', 'T188', 'KONDA', $P_I_PriceGroup);
END</v>
      </c>
      <c r="AB361" s="11" t="str">
        <f>Table362[[#This Row],[IS Parameter]]&amp;" IS NOT NULL
AND "&amp; Table362[[#This Row],[IS Parameter]]&amp;" != ''"</f>
        <v>$P_I_PriceGroup IS NOT NULL
AND $P_I_PriceGroup != ''</v>
      </c>
      <c r="AC361" s="10" t="s">
        <v>6663</v>
      </c>
      <c r="AD361" s="10"/>
      <c r="AE361" s="13" t="str">
        <f>IF(Table362[[#This Row],[Entity]]="Customer","KUNNR",IF(Table362[[#This Row],[Entity]]="Vendor","LIFNR","MATNR"))&amp;",VKORG,VTWEG,SPART,"&amp;Table362[[#This Row],[Field]]</f>
        <v>KUNNR,VKORG,VTWEG,SPART,KONDA</v>
      </c>
      <c r="AF361" s="13" t="str">
        <f>"VW_"&amp;Table362[[#This Row],[New Rule Name]]</f>
        <v>VW_CUS0980_PriceGroupRef</v>
      </c>
      <c r="AG361" s="11" t="str">
        <f>"create view "&amp;Table362[[#This Row],[View Name]]&amp;" as 
     select 
          "&amp;IF(Table362[[#This Row],[Entity]]="Customer","KUNNR",IF(Table362[[#This Row],[Entity]]="Vendor","LIFNR","MATNR"))&amp;",
          VKORG,
          VTWEG,
          SPART,
          "&amp;Table362[[#This Row],[Field]]&amp;" 
     from "&amp;Table362[[#This Row],[Table]]</f>
        <v>create view VW_CUS0980_PriceGroupRef as 
     select 
          KUNNR,
          VKORG,
          VTWEG,
          SPART,
          KONDA 
     from KNVV</v>
      </c>
      <c r="AH361" s="13"/>
      <c r="AI361" s="20"/>
      <c r="AJ361" s="20"/>
      <c r="AK361" s="31">
        <v>98</v>
      </c>
      <c r="AL361" s="31"/>
    </row>
    <row r="362" spans="1:38" s="3" customFormat="1" ht="108" hidden="1" x14ac:dyDescent="0.25">
      <c r="A362" s="9">
        <v>360</v>
      </c>
      <c r="B362" s="7" t="s">
        <v>3973</v>
      </c>
      <c r="C362" s="7" t="s">
        <v>16</v>
      </c>
      <c r="D362" s="7" t="s">
        <v>6711</v>
      </c>
      <c r="E362" s="7" t="s">
        <v>6714</v>
      </c>
      <c r="F362" s="7" t="s">
        <v>6724</v>
      </c>
      <c r="G362" s="7" t="s">
        <v>6361</v>
      </c>
      <c r="H362" s="7" t="s">
        <v>6362</v>
      </c>
      <c r="I362" s="7"/>
      <c r="J362" s="20" t="str">
        <f>VLOOKUP(V362,Table_to_BRG!A:D,3,FALSE)</f>
        <v>Contact data</v>
      </c>
      <c r="K362" s="20" t="str">
        <f>VLOOKUP(V362,Table_to_BRG!A:D,2,FALSE)</f>
        <v>Contact partner</v>
      </c>
      <c r="L362" s="20"/>
      <c r="M362" s="20"/>
      <c r="N362" s="9"/>
      <c r="O362" s="54"/>
      <c r="P362" s="7" t="s">
        <v>7895</v>
      </c>
      <c r="Q362" s="11" t="str">
        <f>UPPER(LEFT(Table362[[#This Row],[Entity]],3))&amp;RIGHT("00"&amp;Table362[[#This Row],[Rule '# by Entity]],3)&amp;"0_"&amp;MID(SUBSTITUTE(Table362[[#This Row],[Rule Name]],"_","|",3),SEARCH("|",SUBSTITUTE(Table362[[#This Row],[Rule Name]],"_","|",3))+1,LEN(Table362[[#This Row],[Rule Name]]))</f>
        <v>CUS0790_ContactPersonFunctionRef</v>
      </c>
      <c r="R362" s="13" t="s">
        <v>8215</v>
      </c>
      <c r="S362" s="7" t="s">
        <v>2</v>
      </c>
      <c r="T362" s="7"/>
      <c r="U362" s="7" t="s">
        <v>1029</v>
      </c>
      <c r="V362" s="7" t="s">
        <v>3001</v>
      </c>
      <c r="W362" s="7" t="s">
        <v>2996</v>
      </c>
      <c r="X362" s="8" t="s">
        <v>6475</v>
      </c>
      <c r="Y362" s="7" t="s">
        <v>5755</v>
      </c>
      <c r="Z362" s="7" t="s">
        <v>2996</v>
      </c>
      <c r="AA362" s="11" t="str">
        <f>"BEGIN
     RETURN exists('DS_IS_RDS', '"&amp;Table362[[#This Row],[Lookup Table]]&amp;"', '"&amp;Table362[[#This Row],[Lookup Field]]&amp;"', "&amp;Table362[[#This Row],[IS Parameter]]&amp;");
END"</f>
        <v>BEGIN
     RETURN exists('DS_IS_RDS', 'TPFK', 'PAFKT', $P_I_Function);
END</v>
      </c>
      <c r="AB362" s="11" t="str">
        <f>Table362[[#This Row],[IS Parameter]]&amp;" IS NOT NULL
AND "&amp; Table362[[#This Row],[IS Parameter]]&amp;" != ''"</f>
        <v>$P_I_Function IS NOT NULL
AND $P_I_Function != ''</v>
      </c>
      <c r="AC362" s="10" t="s">
        <v>6663</v>
      </c>
      <c r="AD362" s="10"/>
      <c r="AE362" s="13" t="str">
        <f>IF(Table362[[#This Row],[Entity]]="Customer","KUNNR",IF(Table362[[#This Row],[Entity]]="Vendor","LIFNR","MATNR"))&amp;",VKORG,VTWEG,SPART,"&amp;Table362[[#This Row],[Field]]</f>
        <v>KUNNR,VKORG,VTWEG,SPART,PAFKT</v>
      </c>
      <c r="AF362" s="13" t="str">
        <f>"VW_"&amp;Table362[[#This Row],[New Rule Name]]</f>
        <v>VW_CUS0790_ContactPersonFunctionRef</v>
      </c>
      <c r="AG362" s="11" t="str">
        <f>"create view "&amp;Table362[[#This Row],[View Name]]&amp;" as 
     select 
          "&amp;IF(Table362[[#This Row],[Entity]]="Customer","KUNNR",IF(Table362[[#This Row],[Entity]]="Vendor","LIFNR","MATNR"))&amp;",
          VKORG,
          VTWEG,
          SPART,
          "&amp;Table362[[#This Row],[Field]]&amp;" 
     from "&amp;Table362[[#This Row],[Table]]</f>
        <v>create view VW_CUS0790_ContactPersonFunctionRef as 
     select 
          KUNNR,
          VKORG,
          VTWEG,
          SPART,
          PAFKT 
     from KNVK</v>
      </c>
      <c r="AH362" s="13"/>
      <c r="AI362" s="20" t="s">
        <v>7614</v>
      </c>
      <c r="AJ362" s="20"/>
      <c r="AK362" s="31">
        <v>79</v>
      </c>
      <c r="AL362" s="31"/>
    </row>
    <row r="363" spans="1:38" s="3" customFormat="1" ht="72" x14ac:dyDescent="0.25">
      <c r="A363" s="9">
        <v>361</v>
      </c>
      <c r="B363" s="7" t="s">
        <v>3973</v>
      </c>
      <c r="C363" s="7" t="s">
        <v>3</v>
      </c>
      <c r="D363" s="7" t="s">
        <v>6711</v>
      </c>
      <c r="E363" s="7" t="s">
        <v>6712</v>
      </c>
      <c r="F363" s="7" t="s">
        <v>6725</v>
      </c>
      <c r="G363" s="7" t="s">
        <v>6371</v>
      </c>
      <c r="H363" s="7" t="s">
        <v>6372</v>
      </c>
      <c r="I363" s="7"/>
      <c r="J363" s="20" t="str">
        <f>VLOOKUP(V363,Table_to_BRG!A:D,3,FALSE)</f>
        <v>General data</v>
      </c>
      <c r="K363" s="20" t="str">
        <f>VLOOKUP(V363,Table_to_BRG!A:D,2,FALSE)</f>
        <v>General</v>
      </c>
      <c r="L363" s="20"/>
      <c r="M363" s="20"/>
      <c r="N363" s="9"/>
      <c r="O363" s="54"/>
      <c r="P363" s="7" t="s">
        <v>8437</v>
      </c>
      <c r="Q363" s="11" t="str">
        <f>UPPER(LEFT(Table362[[#This Row],[Entity]],3))&amp;RIGHT("00"&amp;Table362[[#This Row],[Rule '# by Entity]],3)&amp;"0_"&amp;MID(SUBSTITUTE(Table362[[#This Row],[Rule Name]],"_","|",3),SEARCH("|",SUBSTITUTE(Table362[[#This Row],[Rule Name]],"_","|",3))+1,LEN(Table362[[#This Row],[Rule Name]]))</f>
        <v>MAT0300_RoundingRuleSLEDIsValid</v>
      </c>
      <c r="R363" s="8" t="s">
        <v>8558</v>
      </c>
      <c r="S363" s="7" t="s">
        <v>4135</v>
      </c>
      <c r="T363" s="7" t="s">
        <v>2</v>
      </c>
      <c r="U363" s="7" t="s">
        <v>1149</v>
      </c>
      <c r="V363" s="7" t="s">
        <v>1526</v>
      </c>
      <c r="W363" s="7" t="s">
        <v>1987</v>
      </c>
      <c r="X363" s="8" t="s">
        <v>6689</v>
      </c>
      <c r="Y363" s="7" t="s">
        <v>5978</v>
      </c>
      <c r="Z363" s="7" t="s">
        <v>5978</v>
      </c>
      <c r="AA363" s="10" t="s">
        <v>8600</v>
      </c>
      <c r="AB363" s="11" t="str">
        <f>Table362[[#This Row],[IS Parameter]]&amp;" IS NOT NULL AND rtrim("&amp;Table362[[#This Row],[IS Parameter]]&amp;", ' ') != ''"</f>
        <v>$P_I_RoundingRuleSLED IS NOT NULL AND rtrim($P_I_RoundingRuleSLED, ' ') != ''</v>
      </c>
      <c r="AC363" s="13" t="s">
        <v>7792</v>
      </c>
      <c r="AD363"/>
      <c r="AE363" s="13" t="str">
        <f>IF(Table362[[#This Row],[Entity]]="Customer","KUNNR",IF(Table362[[#This Row],[Entity]]="Vendor","LIFNR","MATNR"))&amp;","&amp;Table362[[#This Row],[Field]]</f>
        <v>MATNR,RDMHD</v>
      </c>
      <c r="AF363" s="13" t="str">
        <f>"VW_"&amp;Table362[[#This Row],[New Rule Name]]</f>
        <v>VW_MAT0300_RoundingRuleSLEDIsValid</v>
      </c>
      <c r="AG363" s="11" t="str">
        <f>"create view "&amp;Table362[[#This Row],[View Name]]&amp;" as 
     select 
          "&amp;IF(Table362[[#This Row],[Entity]]="Customer","KUNNR",IF(Table362[[#This Row],[Entity]]="Vendor","LIFNR","MATNR"))&amp;",
          "&amp;Table362[[#This Row],[Field]]&amp;" 
     from "&amp;Table362[[#This Row],[Table]]</f>
        <v>create view VW_MAT0300_RoundingRuleSLEDIsValid as 
     select 
          MATNR,
          RDMHD 
     from MARA</v>
      </c>
      <c r="AH363" s="8"/>
      <c r="AI363" s="20"/>
      <c r="AJ363" s="20"/>
      <c r="AK363" s="31">
        <v>30</v>
      </c>
      <c r="AL363" s="31"/>
    </row>
    <row r="364" spans="1:38" s="3" customFormat="1" ht="120" hidden="1" x14ac:dyDescent="0.25">
      <c r="A364" s="9">
        <v>362</v>
      </c>
      <c r="B364" s="7" t="s">
        <v>3973</v>
      </c>
      <c r="C364" s="7" t="s">
        <v>16</v>
      </c>
      <c r="D364" s="7" t="s">
        <v>6719</v>
      </c>
      <c r="E364" s="7" t="s">
        <v>6740</v>
      </c>
      <c r="F364" s="7" t="s">
        <v>6749</v>
      </c>
      <c r="G364" s="7" t="s">
        <v>6365</v>
      </c>
      <c r="H364" s="7" t="s">
        <v>6367</v>
      </c>
      <c r="I364" s="7"/>
      <c r="J364" s="20" t="str">
        <f>VLOOKUP(V364,Table_to_BRG!A:D,3,FALSE)</f>
        <v>Partner data</v>
      </c>
      <c r="K364" s="20" t="str">
        <f>VLOOKUP(V364,Table_to_BRG!A:D,2,FALSE)</f>
        <v>Partner Functions</v>
      </c>
      <c r="L364" s="20"/>
      <c r="M364" s="20"/>
      <c r="N364" s="9"/>
      <c r="O364" s="54"/>
      <c r="P364" s="7" t="s">
        <v>8103</v>
      </c>
      <c r="Q364" s="11" t="str">
        <f>UPPER(LEFT(Table362[[#This Row],[Entity]],3))&amp;RIGHT("00"&amp;Table362[[#This Row],[Rule '# by Entity]],3)&amp;"0_"&amp;MID(SUBSTITUTE(Table362[[#This Row],[Rule Name]],"_","|",3),SEARCH("|",SUBSTITUTE(Table362[[#This Row],[Rule Name]],"_","|",3))+1,LEN(Table362[[#This Row],[Rule Name]]))</f>
        <v>CUS0850_PartnerFunctionPopulated</v>
      </c>
      <c r="R364" s="8" t="s">
        <v>8131</v>
      </c>
      <c r="S364" s="7" t="s">
        <v>21</v>
      </c>
      <c r="T364" s="7"/>
      <c r="U364" s="7" t="s">
        <v>179</v>
      </c>
      <c r="V364" s="7" t="s">
        <v>3359</v>
      </c>
      <c r="W364" s="7" t="s">
        <v>3353</v>
      </c>
      <c r="X364" s="8" t="s">
        <v>1231</v>
      </c>
      <c r="Y364" s="7" t="s">
        <v>5978</v>
      </c>
      <c r="Z364" s="7" t="s">
        <v>5978</v>
      </c>
      <c r="AA364" s="10" t="s">
        <v>180</v>
      </c>
      <c r="AB364" s="10"/>
      <c r="AC364" s="10" t="s">
        <v>6813</v>
      </c>
      <c r="AD364" s="10"/>
      <c r="AE364" s="13" t="str">
        <f>IF(Table362[[#This Row],[Entity]]="Customer","KUNNR",IF(Table362[[#This Row],[Entity]]="Vendor","LIFNR","MATNR"))&amp;",VKORG,VTWEG,SPART"&amp;","&amp;Table362[[#This Row],[Field]]</f>
        <v>KUNNR,VKORG,VTWEG,SPART,PARVW</v>
      </c>
      <c r="AF364" s="13" t="str">
        <f>"VW_"&amp;Table362[[#This Row],[New Rule Name]]</f>
        <v>VW_CUS0850_PartnerFunctionPopulated</v>
      </c>
      <c r="AG364" s="11" t="str">
        <f>"create view "&amp;Table362[[#This Row],[View Name]]&amp;" as 
     select distinct
          "&amp;IF(Table362[[#This Row],[Entity]]="Customer","KUNNR",IF(Table362[[#This Row],[Entity]]="Vendor","LIFNR","MATNR"))&amp;",
          VKORG,
          VTWEG,
          SPART,
          "&amp;Table362[[#This Row],[Field]]&amp;" 
     from "&amp;Table362[[#This Row],[Table]]&amp;"
     group by KUNNR,VKORG,VTWEG,PARVW"</f>
        <v>create view VW_CUS0850_PartnerFunctionPopulated as 
     select distinct
          KUNNR,
          VKORG,
          VTWEG,
          SPART,
          PARVW 
     from KNVP
     group by KUNNR,VKORG,VTWEG,PARVW</v>
      </c>
      <c r="AH364" s="8"/>
      <c r="AI364" s="20" t="s">
        <v>6536</v>
      </c>
      <c r="AJ364" s="20"/>
      <c r="AK364" s="31">
        <v>85</v>
      </c>
      <c r="AL364" s="31"/>
    </row>
    <row r="365" spans="1:38" s="38" customFormat="1" ht="132" hidden="1" x14ac:dyDescent="0.25">
      <c r="A365" s="14">
        <v>363</v>
      </c>
      <c r="B365" s="15" t="s">
        <v>3973</v>
      </c>
      <c r="C365" s="15" t="s">
        <v>1207</v>
      </c>
      <c r="D365" s="15" t="s">
        <v>5978</v>
      </c>
      <c r="E365" s="15" t="s">
        <v>5978</v>
      </c>
      <c r="F365" s="15" t="s">
        <v>5978</v>
      </c>
      <c r="G365" s="15" t="s">
        <v>6361</v>
      </c>
      <c r="H365" s="15" t="s">
        <v>3969</v>
      </c>
      <c r="I365" s="15" t="s">
        <v>3969</v>
      </c>
      <c r="J365" s="27" t="e">
        <f>VLOOKUP(V365,Table_to_BRG!A:D,3,FALSE)</f>
        <v>#N/A</v>
      </c>
      <c r="K365" s="27" t="e">
        <f>VLOOKUP(V365,Table_to_BRG!A:D,2,FALSE)</f>
        <v>#N/A</v>
      </c>
      <c r="L365" s="27"/>
      <c r="M365" s="27"/>
      <c r="N365" s="14" t="s">
        <v>6465</v>
      </c>
      <c r="O365" s="54" t="str">
        <f>"Superceded by rule "&amp;A1005</f>
        <v>Superceded by rule 385</v>
      </c>
      <c r="P365" s="16" t="s">
        <v>1152</v>
      </c>
      <c r="Q365" s="17"/>
      <c r="R365" s="16" t="s">
        <v>258</v>
      </c>
      <c r="S365" s="15" t="s">
        <v>139</v>
      </c>
      <c r="T365" s="15"/>
      <c r="U365" s="15" t="s">
        <v>6084</v>
      </c>
      <c r="V365" s="15"/>
      <c r="W365" s="15"/>
      <c r="X365" s="16"/>
      <c r="Y365" s="15" t="s">
        <v>5978</v>
      </c>
      <c r="Z365" s="15" t="s">
        <v>5978</v>
      </c>
      <c r="AA365" s="26" t="s">
        <v>141</v>
      </c>
      <c r="AB365" s="26"/>
      <c r="AC365" s="26"/>
      <c r="AD365" s="26"/>
      <c r="AE365" s="18"/>
      <c r="AF365" s="18"/>
      <c r="AG365" s="17"/>
      <c r="AH365" s="16" t="s">
        <v>5885</v>
      </c>
      <c r="AI365" s="27" t="s">
        <v>6546</v>
      </c>
      <c r="AJ365" s="27"/>
      <c r="AK365" s="52"/>
      <c r="AL365" s="52"/>
    </row>
    <row r="366" spans="1:38" s="3" customFormat="1" ht="72" x14ac:dyDescent="0.25">
      <c r="A366" s="9">
        <v>364</v>
      </c>
      <c r="B366" s="7" t="s">
        <v>3973</v>
      </c>
      <c r="C366" s="7" t="s">
        <v>3</v>
      </c>
      <c r="D366" s="7" t="s">
        <v>6711</v>
      </c>
      <c r="E366" s="7" t="s">
        <v>6712</v>
      </c>
      <c r="F366" s="7" t="s">
        <v>6713</v>
      </c>
      <c r="G366" s="7" t="s">
        <v>6378</v>
      </c>
      <c r="H366" s="7"/>
      <c r="I366" s="7"/>
      <c r="J366" s="20" t="str">
        <f>VLOOKUP(V366,Table_to_BRG!A:D,3,FALSE)</f>
        <v>Plant data</v>
      </c>
      <c r="K366" s="20" t="str">
        <f>VLOOKUP(V366,Table_to_BRG!A:D,2,FALSE)</f>
        <v>Plant</v>
      </c>
      <c r="L366" s="20"/>
      <c r="M366" s="20"/>
      <c r="N366" s="9"/>
      <c r="O366" s="54"/>
      <c r="P366" s="7" t="s">
        <v>8438</v>
      </c>
      <c r="Q366" s="11" t="str">
        <f>UPPER(LEFT(Table362[[#This Row],[Entity]],3))&amp;RIGHT("00"&amp;Table362[[#This Row],[Rule '# by Entity]],3)&amp;"0_"&amp;MID(SUBSTITUTE(Table362[[#This Row],[Rule Name]],"_","|",3),SEARCH("|",SUBSTITUTE(Table362[[#This Row],[Rule Name]],"_","|",3))+1,LEN(Table362[[#This Row],[Rule Name]]))</f>
        <v>MAT0560_QMControlKeyRef</v>
      </c>
      <c r="R366" s="8" t="s">
        <v>7980</v>
      </c>
      <c r="S366" s="7" t="s">
        <v>2</v>
      </c>
      <c r="T366" s="7"/>
      <c r="U366" s="7" t="s">
        <v>1155</v>
      </c>
      <c r="V366" s="7" t="s">
        <v>1527</v>
      </c>
      <c r="W366" s="7" t="s">
        <v>2369</v>
      </c>
      <c r="X366" s="8" t="s">
        <v>8639</v>
      </c>
      <c r="Y366" s="7" t="s">
        <v>6081</v>
      </c>
      <c r="Z366" s="7" t="s">
        <v>6082</v>
      </c>
      <c r="AA366" s="11" t="str">
        <f>"BEGIN
     RETURN exists('DS_IS_RDS', '"&amp;Table362[[#This Row],[Lookup Table]]&amp;"', '"&amp;Table362[[#This Row],[Lookup Field]]&amp;"', "&amp;Table362[[#This Row],[IS Parameter]]&amp;");
END"</f>
        <v>BEGIN
     RETURN exists('DS_IS_RDS', 'TQ08', 'QM_PUR', $P_I_QMControlKey);
END</v>
      </c>
      <c r="AB366" s="11" t="str">
        <f>Table362[[#This Row],[IS Parameter]]&amp;" IS NOT NULL AND rtrim("&amp;Table362[[#This Row],[IS Parameter]]&amp;", ' ') != ''"</f>
        <v>$P_I_QMControlKey IS NOT NULL AND rtrim($P_I_QMControlKey, ' ') != ''</v>
      </c>
      <c r="AC366" s="10" t="s">
        <v>6663</v>
      </c>
      <c r="AD366" s="10"/>
      <c r="AE366" s="13" t="str">
        <f>IF(Table362[[#This Row],[Entity]]="Customer","KUNNR",IF(Table362[[#This Row],[Entity]]="Vendor","LIFNR","MATNR"))&amp;",WERKS"&amp;","&amp;Table362[[#This Row],[Field]]</f>
        <v>MATNR,WERKS,SSQSS</v>
      </c>
      <c r="AF366" s="13" t="str">
        <f>"VW_"&amp;Table362[[#This Row],[New Rule Name]]</f>
        <v>VW_MAT0560_QMControlKeyRef</v>
      </c>
      <c r="AG366" s="11" t="str">
        <f>"create view "&amp;Table362[[#This Row],[View Name]]&amp;" as 
     select 
          "&amp;IF(Table362[[#This Row],[Entity]]="Customer","KUNNR",IF(Table362[[#This Row],[Entity]]="Vendor","LIFNR","MATNR"))&amp;",
          WERKS,
          "&amp;Table362[[#This Row],[Field]]&amp;" 
     from "&amp;Table362[[#This Row],[Table]]</f>
        <v>create view VW_MAT0560_QMControlKeyRef as 
     select 
          MATNR,
          WERKS,
          SSQSS 
     from MARC</v>
      </c>
      <c r="AH366" s="8"/>
      <c r="AI366" s="20"/>
      <c r="AJ366" s="20"/>
      <c r="AK366" s="31">
        <v>56</v>
      </c>
      <c r="AL366" s="31"/>
    </row>
    <row r="367" spans="1:38" s="3" customFormat="1" ht="84" x14ac:dyDescent="0.25">
      <c r="A367" s="9">
        <v>365</v>
      </c>
      <c r="B367" s="7" t="s">
        <v>3973</v>
      </c>
      <c r="C367" s="7" t="s">
        <v>3</v>
      </c>
      <c r="D367" s="7" t="s">
        <v>6711</v>
      </c>
      <c r="E367" s="7" t="s">
        <v>6712</v>
      </c>
      <c r="F367" s="7" t="s">
        <v>6713</v>
      </c>
      <c r="G367" s="7" t="s">
        <v>6687</v>
      </c>
      <c r="H367" s="7" t="s">
        <v>6686</v>
      </c>
      <c r="I367" s="7" t="s">
        <v>6373</v>
      </c>
      <c r="J367" s="20" t="str">
        <f>VLOOKUP(V367,Table_to_BRG!A:D,3,FALSE)</f>
        <v>Plant data</v>
      </c>
      <c r="K367" s="20" t="str">
        <f>VLOOKUP(V367,Table_to_BRG!A:D,2,FALSE)</f>
        <v>Plant</v>
      </c>
      <c r="L367" s="20"/>
      <c r="M367" s="20"/>
      <c r="N367" s="9"/>
      <c r="O367" s="54"/>
      <c r="P367" s="7" t="s">
        <v>8439</v>
      </c>
      <c r="Q367" s="11" t="str">
        <f>UPPER(LEFT(Table362[[#This Row],[Entity]],3))&amp;RIGHT("00"&amp;Table362[[#This Row],[Rule '# by Entity]],3)&amp;"0_"&amp;MID(SUBSTITUTE(Table362[[#This Row],[Rule Name]],"_","|",3),SEARCH("|",SUBSTITUTE(Table362[[#This Row],[Rule Name]],"_","|",3))+1,LEN(Table362[[#This Row],[Rule Name]]))</f>
        <v>MAT0480_StorageCostsIndicatorRef</v>
      </c>
      <c r="R367" s="8" t="s">
        <v>8559</v>
      </c>
      <c r="S367" s="7" t="s">
        <v>2</v>
      </c>
      <c r="T367" s="7"/>
      <c r="U367" s="7" t="s">
        <v>1159</v>
      </c>
      <c r="V367" s="7" t="s">
        <v>1527</v>
      </c>
      <c r="W367" s="7" t="s">
        <v>2058</v>
      </c>
      <c r="X367" s="8" t="s">
        <v>2069</v>
      </c>
      <c r="Y367" s="7" t="s">
        <v>6083</v>
      </c>
      <c r="Z367" s="7" t="s">
        <v>2058</v>
      </c>
      <c r="AA367" s="11" t="str">
        <f>"BEGIN
     RETURN exists('DS_IS_RDS', '"&amp;Table362[[#This Row],[Lookup Table]]&amp;"', '"&amp;Table362[[#This Row],[Lookup Field]]&amp;"', "&amp;Table362[[#This Row],[IS Parameter]]&amp;");
END"</f>
        <v>BEGIN
     RETURN exists('DS_IS_RDS', 'T439L', 'LAGPR', $P_I_StorageCostsIndicator);
END</v>
      </c>
      <c r="AB367" s="11" t="str">
        <f>Table362[[#This Row],[IS Parameter]]&amp;" IS NOT NULL AND rtrim("&amp;Table362[[#This Row],[IS Parameter]]&amp;", ' ') != ''"</f>
        <v>$P_I_StorageCostsIndicator IS NOT NULL AND rtrim($P_I_StorageCostsIndicator, ' ') != ''</v>
      </c>
      <c r="AC367" s="10" t="s">
        <v>6663</v>
      </c>
      <c r="AD367" s="10"/>
      <c r="AE367" s="13" t="str">
        <f>IF(Table362[[#This Row],[Entity]]="Customer","KUNNR",IF(Table362[[#This Row],[Entity]]="Vendor","LIFNR","MATNR"))&amp;",WERKS"&amp;","&amp;Table362[[#This Row],[Field]]</f>
        <v>MATNR,WERKS,LAGPR</v>
      </c>
      <c r="AF367" s="13" t="str">
        <f>"VW_"&amp;Table362[[#This Row],[New Rule Name]]</f>
        <v>VW_MAT0480_StorageCostsIndicatorRef</v>
      </c>
      <c r="AG367" s="11" t="str">
        <f>"create view "&amp;Table362[[#This Row],[View Name]]&amp;" as 
     select 
          "&amp;IF(Table362[[#This Row],[Entity]]="Customer","KUNNR",IF(Table362[[#This Row],[Entity]]="Vendor","LIFNR","MATNR"))&amp;",
          WERKS,
          "&amp;Table362[[#This Row],[Field]]&amp;" 
     from "&amp;Table362[[#This Row],[Table]]</f>
        <v>create view VW_MAT0480_StorageCostsIndicatorRef as 
     select 
          MATNR,
          WERKS,
          LAGPR 
     from MARC</v>
      </c>
      <c r="AH367" s="8"/>
      <c r="AI367" s="20" t="s">
        <v>7807</v>
      </c>
      <c r="AJ367" s="20"/>
      <c r="AK367" s="31">
        <v>48</v>
      </c>
      <c r="AL367" s="31"/>
    </row>
    <row r="368" spans="1:38" s="3" customFormat="1" ht="48" hidden="1" x14ac:dyDescent="0.25">
      <c r="A368" s="9">
        <v>366</v>
      </c>
      <c r="B368" s="7" t="s">
        <v>3973</v>
      </c>
      <c r="C368" s="7" t="s">
        <v>1207</v>
      </c>
      <c r="D368" s="7" t="s">
        <v>5978</v>
      </c>
      <c r="E368" s="7" t="s">
        <v>5978</v>
      </c>
      <c r="F368" s="7" t="s">
        <v>5978</v>
      </c>
      <c r="G368" s="7" t="s">
        <v>6361</v>
      </c>
      <c r="H368" s="7" t="s">
        <v>6362</v>
      </c>
      <c r="I368" s="7"/>
      <c r="J368" s="20" t="e">
        <f>VLOOKUP(V368,Table_to_BRG!A:D,3,FALSE)</f>
        <v>#N/A</v>
      </c>
      <c r="K368" s="20" t="e">
        <f>VLOOKUP(V368,Table_to_BRG!A:D,2,FALSE)</f>
        <v>#N/A</v>
      </c>
      <c r="L368" s="20"/>
      <c r="M368" s="20"/>
      <c r="N368" s="9" t="s">
        <v>6465</v>
      </c>
      <c r="O368" s="54" t="s">
        <v>6913</v>
      </c>
      <c r="P368" s="16" t="s">
        <v>8530</v>
      </c>
      <c r="Q368" s="11"/>
      <c r="R368" s="8" t="s">
        <v>6656</v>
      </c>
      <c r="S368" s="7" t="s">
        <v>2</v>
      </c>
      <c r="T368" s="7"/>
      <c r="U368" s="7" t="s">
        <v>1163</v>
      </c>
      <c r="V368" s="23"/>
      <c r="W368" s="23"/>
      <c r="X368" s="24"/>
      <c r="Y368" s="7" t="s">
        <v>5704</v>
      </c>
      <c r="Z368" s="7" t="s">
        <v>3672</v>
      </c>
      <c r="AA368" s="11" t="str">
        <f>"BEGIN
     RETURN exists('DS_IS_RDS', '"&amp;Table362[[#This Row],[Lookup Table]]&amp;"', '"&amp;Table362[[#This Row],[Lookup Field]]&amp;"', "&amp;Table362[[#This Row],[IS Parameter]]&amp;");
END"</f>
        <v>BEGIN
     RETURN exists('DS_IS_RDS', 'TVPV', 'PARVO', $P_I_Authority);
END</v>
      </c>
      <c r="AB368" s="11"/>
      <c r="AC368" s="10" t="s">
        <v>6663</v>
      </c>
      <c r="AD368" s="10"/>
      <c r="AE368" s="13"/>
      <c r="AF368" s="13"/>
      <c r="AG368" s="11"/>
      <c r="AH368" s="8"/>
      <c r="AI368" s="20"/>
      <c r="AJ368" s="20"/>
      <c r="AK368" s="31"/>
      <c r="AL368" s="31"/>
    </row>
    <row r="369" spans="1:38" s="3" customFormat="1" ht="108" hidden="1" x14ac:dyDescent="0.25">
      <c r="A369" s="9">
        <v>367</v>
      </c>
      <c r="B369" s="7" t="s">
        <v>3973</v>
      </c>
      <c r="C369" s="7" t="s">
        <v>16</v>
      </c>
      <c r="D369" s="7" t="s">
        <v>6719</v>
      </c>
      <c r="E369" s="7" t="s">
        <v>6740</v>
      </c>
      <c r="F369" s="7" t="s">
        <v>6749</v>
      </c>
      <c r="G369" s="7" t="s">
        <v>6365</v>
      </c>
      <c r="H369" s="7" t="s">
        <v>6367</v>
      </c>
      <c r="I369" s="7"/>
      <c r="J369" s="20" t="str">
        <f>VLOOKUP(V369,Table_to_BRG!A:D,3,FALSE)</f>
        <v>Partner data</v>
      </c>
      <c r="K369" s="20" t="str">
        <f>VLOOKUP(V369,Table_to_BRG!A:D,2,FALSE)</f>
        <v>Partner Functions</v>
      </c>
      <c r="L369" s="20"/>
      <c r="M369" s="20"/>
      <c r="N369" s="9"/>
      <c r="O369" s="54"/>
      <c r="P369" s="7" t="s">
        <v>7896</v>
      </c>
      <c r="Q369" s="11" t="str">
        <f>UPPER(LEFT(Table362[[#This Row],[Entity]],3))&amp;RIGHT("00"&amp;Table362[[#This Row],[Rule '# by Entity]],3)&amp;"0_"&amp;MID(SUBSTITUTE(Table362[[#This Row],[Rule Name]],"_","|",3),SEARCH("|",SUBSTITUTE(Table362[[#This Row],[Rule Name]],"_","|",3))+1,LEN(Table362[[#This Row],[Rule Name]]))</f>
        <v>CUS0860_PartnerFunctionRef</v>
      </c>
      <c r="R369" s="13" t="s">
        <v>8063</v>
      </c>
      <c r="S369" s="7" t="s">
        <v>2</v>
      </c>
      <c r="T369" s="7"/>
      <c r="U369" s="7" t="s">
        <v>179</v>
      </c>
      <c r="V369" s="8" t="s">
        <v>3359</v>
      </c>
      <c r="W369" s="8" t="s">
        <v>3353</v>
      </c>
      <c r="X369" s="8" t="s">
        <v>1231</v>
      </c>
      <c r="Y369" s="7" t="s">
        <v>4286</v>
      </c>
      <c r="Z369" s="7" t="s">
        <v>3353</v>
      </c>
      <c r="AA369" s="11" t="str">
        <f>"BEGIN
     RETURN exists('DS_IS_RDS', '"&amp;Table362[[#This Row],[Lookup Table]]&amp;"', '"&amp;Table362[[#This Row],[Lookup Field]]&amp;"', "&amp;Table362[[#This Row],[IS Parameter]]&amp;");
END"</f>
        <v>BEGIN
     RETURN exists('DS_IS_RDS', 'TPAR', 'PARVW', $P_I_PartnerFunction);
END</v>
      </c>
      <c r="AB369" s="11" t="str">
        <f>Table362[[#This Row],[IS Parameter]]&amp;" IS NOT NULL
AND "&amp; Table362[[#This Row],[IS Parameter]]&amp;" != ''"</f>
        <v>$P_I_PartnerFunction IS NOT NULL
AND $P_I_PartnerFunction != ''</v>
      </c>
      <c r="AC369" s="10" t="s">
        <v>6663</v>
      </c>
      <c r="AD369" s="10"/>
      <c r="AE369" s="13" t="str">
        <f>IF(Table362[[#This Row],[Entity]]="Customer","KUNNR",IF(Table362[[#This Row],[Entity]]="Vendor","LIFNR","MATNR"))&amp;",VKORG,VTWEG,SPART"&amp;","&amp;Table362[[#This Row],[Field]]</f>
        <v>KUNNR,VKORG,VTWEG,SPART,PARVW</v>
      </c>
      <c r="AF369" s="13" t="str">
        <f>"VW_"&amp;Table362[[#This Row],[New Rule Name]]</f>
        <v>VW_CUS0860_PartnerFunctionRef</v>
      </c>
      <c r="AG369" s="11" t="str">
        <f>"create view "&amp;Table362[[#This Row],[View Name]]&amp;" as 
     select distinct
          "&amp;IF(Table362[[#This Row],[Entity]]="Customer","KUNNR",IF(Table362[[#This Row],[Entity]]="Vendor","LIFNR","MATNR"))&amp;",
          VKORG,
          VTWEG,
          SPART,
          "&amp;Table362[[#This Row],[Field]]&amp;" 
     from "&amp;Table362[[#This Row],[Table]]&amp;"
     group by KUNNR,VKORG,VTWEG,PARVW"</f>
        <v>create view VW_CUS0860_PartnerFunctionRef as 
     select distinct
          KUNNR,
          VKORG,
          VTWEG,
          SPART,
          PARVW 
     from KNVP
     group by KUNNR,VKORG,VTWEG,PARVW</v>
      </c>
      <c r="AH369" s="8"/>
      <c r="AI369" s="20" t="s">
        <v>7597</v>
      </c>
      <c r="AJ369" s="20"/>
      <c r="AK369" s="31">
        <v>86</v>
      </c>
      <c r="AL369" s="31"/>
    </row>
    <row r="370" spans="1:38" s="3" customFormat="1" ht="72" x14ac:dyDescent="0.25">
      <c r="A370" s="9">
        <v>368</v>
      </c>
      <c r="B370" s="7" t="s">
        <v>3973</v>
      </c>
      <c r="C370" s="7" t="s">
        <v>3</v>
      </c>
      <c r="D370" s="7" t="s">
        <v>6711</v>
      </c>
      <c r="E370" s="7" t="s">
        <v>6712</v>
      </c>
      <c r="F370" s="7" t="s">
        <v>6713</v>
      </c>
      <c r="G370" s="7" t="s">
        <v>6644</v>
      </c>
      <c r="H370" s="7"/>
      <c r="I370" s="7"/>
      <c r="J370" s="20" t="str">
        <f>VLOOKUP(V370,Table_to_BRG!A:D,3,FALSE)</f>
        <v>Plant data</v>
      </c>
      <c r="K370" s="20" t="str">
        <f>VLOOKUP(V370,Table_to_BRG!A:D,2,FALSE)</f>
        <v>Plant</v>
      </c>
      <c r="L370" s="20"/>
      <c r="M370" s="20"/>
      <c r="N370" s="9"/>
      <c r="O370" s="54"/>
      <c r="P370" s="7" t="s">
        <v>8440</v>
      </c>
      <c r="Q370" s="11" t="str">
        <f>UPPER(LEFT(Table362[[#This Row],[Entity]],3))&amp;RIGHT("00"&amp;Table362[[#This Row],[Rule '# by Entity]],3)&amp;"0_"&amp;MID(SUBSTITUTE(Table362[[#This Row],[Rule Name]],"_","|",3),SEARCH("|",SUBSTITUTE(Table362[[#This Row],[Rule Name]],"_","|",3))+1,LEN(Table362[[#This Row],[Rule Name]]))</f>
        <v>MAT0550_BackflushIsValid</v>
      </c>
      <c r="R370" s="8" t="s">
        <v>8191</v>
      </c>
      <c r="S370" s="7" t="s">
        <v>4135</v>
      </c>
      <c r="T370" s="7" t="s">
        <v>2</v>
      </c>
      <c r="U370" s="7" t="s">
        <v>6098</v>
      </c>
      <c r="V370" s="7" t="s">
        <v>1527</v>
      </c>
      <c r="W370" s="7" t="s">
        <v>2118</v>
      </c>
      <c r="X370" s="8" t="s">
        <v>2140</v>
      </c>
      <c r="Y370" s="7" t="s">
        <v>5978</v>
      </c>
      <c r="Z370" s="7" t="s">
        <v>5978</v>
      </c>
      <c r="AA370" s="10" t="s">
        <v>8601</v>
      </c>
      <c r="AB370" s="11" t="str">
        <f>Table362[[#This Row],[IS Parameter]]&amp;" IS NULL"</f>
        <v>$P_I_BackFlushDomain IS NULL</v>
      </c>
      <c r="AC370" s="13" t="s">
        <v>7792</v>
      </c>
      <c r="AD370"/>
      <c r="AE370" s="13" t="str">
        <f>IF(Table362[[#This Row],[Entity]]="Customer","KUNNR",IF(Table362[[#This Row],[Entity]]="Vendor","LIFNR","MATNR"))&amp;",WERKS"&amp;","&amp;Table362[[#This Row],[Field]]</f>
        <v>MATNR,WERKS,RGEKZ</v>
      </c>
      <c r="AF370" s="13" t="str">
        <f>"VW_"&amp;Table362[[#This Row],[New Rule Name]]</f>
        <v>VW_MAT0550_BackflushIsValid</v>
      </c>
      <c r="AG370" s="11" t="str">
        <f>"create view "&amp;Table362[[#This Row],[View Name]]&amp;" as 
     select 
          "&amp;IF(Table362[[#This Row],[Entity]]="Customer","KUNNR",IF(Table362[[#This Row],[Entity]]="Vendor","LIFNR","MATNR"))&amp;",
          WERKS,
          "&amp;Table362[[#This Row],[Field]]&amp;" 
     from "&amp;Table362[[#This Row],[Table]]</f>
        <v>create view VW_MAT0550_BackflushIsValid as 
     select 
          MATNR,
          WERKS,
          RGEKZ 
     from MARC</v>
      </c>
      <c r="AH370" s="8"/>
      <c r="AI370" s="20"/>
      <c r="AJ370" s="20"/>
      <c r="AK370" s="31">
        <v>55</v>
      </c>
      <c r="AL370" s="31"/>
    </row>
    <row r="371" spans="1:38" s="3" customFormat="1" ht="60" hidden="1" x14ac:dyDescent="0.25">
      <c r="A371" s="9">
        <v>369</v>
      </c>
      <c r="B371" s="7" t="s">
        <v>3973</v>
      </c>
      <c r="C371" s="7" t="s">
        <v>16</v>
      </c>
      <c r="D371" s="7" t="s">
        <v>6711</v>
      </c>
      <c r="E371" s="7" t="s">
        <v>6714</v>
      </c>
      <c r="F371" s="7" t="s">
        <v>6715</v>
      </c>
      <c r="G371" s="7" t="s">
        <v>6361</v>
      </c>
      <c r="H371" s="7" t="s">
        <v>6360</v>
      </c>
      <c r="I371" s="7"/>
      <c r="J371" s="20" t="str">
        <f>VLOOKUP(V371,Table_to_BRG!A:D,3,FALSE)</f>
        <v>General data</v>
      </c>
      <c r="K371" s="20" t="str">
        <f>VLOOKUP(V371,Table_to_BRG!A:D,2,FALSE)</f>
        <v>General</v>
      </c>
      <c r="L371" s="20"/>
      <c r="M371" s="20"/>
      <c r="N371" s="9"/>
      <c r="O371" s="54"/>
      <c r="P371" s="7" t="s">
        <v>7897</v>
      </c>
      <c r="Q371" s="11" t="str">
        <f>UPPER(LEFT(Table362[[#This Row],[Entity]],3))&amp;RIGHT("00"&amp;Table362[[#This Row],[Rule '# by Entity]],3)&amp;"0_"&amp;MID(SUBSTITUTE(Table362[[#This Row],[Rule Name]],"_","|",3),SEARCH("|",SUBSTITUTE(Table362[[#This Row],[Rule Name]],"_","|",3))+1,LEN(Table362[[#This Row],[Rule Name]]))</f>
        <v>CUS0150_AlternatePayerRef</v>
      </c>
      <c r="R371" s="13" t="s">
        <v>8064</v>
      </c>
      <c r="S371" s="7" t="s">
        <v>21</v>
      </c>
      <c r="T371" s="7" t="s">
        <v>2</v>
      </c>
      <c r="U371" s="7" t="s">
        <v>1171</v>
      </c>
      <c r="V371" s="8" t="s">
        <v>2741</v>
      </c>
      <c r="W371" s="8" t="s">
        <v>3182</v>
      </c>
      <c r="X371" s="8" t="s">
        <v>2915</v>
      </c>
      <c r="Y371" s="7" t="s">
        <v>2741</v>
      </c>
      <c r="Z371" s="7" t="s">
        <v>2702</v>
      </c>
      <c r="AA371" s="11" t="str">
        <f>"BEGIN
     RETURN exists('DS_IS_RDS', '"&amp;Table362[[#This Row],[Lookup Table]]&amp;"', '"&amp;Table362[[#This Row],[Lookup Field]]&amp;"', "&amp;Table362[[#This Row],[IS Parameter]]&amp;");
END"</f>
        <v>BEGIN
     RETURN exists('DS_IS_RDS', 'KNA1', 'KUNNR', $P_I_AlternativePayer);
END</v>
      </c>
      <c r="AB371" s="11" t="str">
        <f>Table362[[#This Row],[IS Parameter]]&amp;" IS NOT NULL
AND "&amp; Table362[[#This Row],[IS Parameter]]&amp;" != ''"</f>
        <v>$P_I_AlternativePayer IS NOT NULL
AND $P_I_AlternativePayer != ''</v>
      </c>
      <c r="AC371" s="10" t="s">
        <v>6663</v>
      </c>
      <c r="AD371" s="10"/>
      <c r="AE371" s="13" t="str">
        <f>IF(Table362[[#This Row],[Entity]]="Customer","KUNNR",IF(Table362[[#This Row],[Entity]]="Vendor","LIFNR","MATNR"))&amp;","&amp;Table362[[#This Row],[Field]]</f>
        <v>KUNNR,KNRZA</v>
      </c>
      <c r="AF371" s="13" t="str">
        <f>"VW_"&amp;Table362[[#This Row],[New Rule Name]]</f>
        <v>VW_CUS0150_AlternatePayerRef</v>
      </c>
      <c r="AG371" s="11" t="str">
        <f>"create view "&amp;Table362[[#This Row],[View Name]]&amp;" as 
     select 
          "&amp;IF(Table362[[#This Row],[Entity]]="Customer","KUNNR",IF(Table362[[#This Row],[Entity]]="Vendor","LIFNR","MATNR"))&amp;",
          "&amp;Table362[[#This Row],[Field]]&amp;" 
     from "&amp;Table362[[#This Row],[Table]]</f>
        <v>create view VW_CUS0150_AlternatePayerRef as 
     select 
          KUNNR,
          KNRZA 
     from KNA1</v>
      </c>
      <c r="AH371" s="8" t="s">
        <v>7739</v>
      </c>
      <c r="AI371" s="20"/>
      <c r="AJ371" s="20"/>
      <c r="AK371" s="31">
        <v>15</v>
      </c>
      <c r="AL371" s="31"/>
    </row>
    <row r="372" spans="1:38" s="3" customFormat="1" ht="60" hidden="1" x14ac:dyDescent="0.25">
      <c r="A372" s="9">
        <v>370</v>
      </c>
      <c r="B372" s="7" t="s">
        <v>3973</v>
      </c>
      <c r="C372" s="7" t="s">
        <v>1207</v>
      </c>
      <c r="D372" s="7" t="s">
        <v>6719</v>
      </c>
      <c r="E372" s="7" t="s">
        <v>6720</v>
      </c>
      <c r="F372" s="7" t="s">
        <v>6722</v>
      </c>
      <c r="G372" s="7" t="s">
        <v>6361</v>
      </c>
      <c r="H372" s="7" t="s">
        <v>3967</v>
      </c>
      <c r="I372" s="7" t="s">
        <v>3967</v>
      </c>
      <c r="J372" s="20" t="str">
        <f>VLOOKUP(V372,Table_to_BRG!A:D,3,FALSE)</f>
        <v>General data</v>
      </c>
      <c r="K372" s="20" t="str">
        <f>VLOOKUP(V372,Table_to_BRG!A:D,2,FALSE)</f>
        <v>General</v>
      </c>
      <c r="L372" s="20"/>
      <c r="M372" s="20"/>
      <c r="N372" s="9" t="s">
        <v>6465</v>
      </c>
      <c r="O372" s="54" t="str">
        <f>"Duplicate of rule "&amp;A375</f>
        <v>Duplicate of rule 373</v>
      </c>
      <c r="P372" s="7" t="s">
        <v>8531</v>
      </c>
      <c r="Q372" s="11" t="str">
        <f>UPPER(LEFT(Table362[[#This Row],[Entity]],3))&amp;RIGHT("00"&amp;Table362[[#This Row],[Rule '# by Entity]],3)&amp;"0_"&amp;MID(SUBSTITUTE(Table362[[#This Row],[Rule Name]],"_","|",3),SEARCH("|",SUBSTITUTE(Table362[[#This Row],[Rule Name]],"_","|",3))+1,LEN(Table362[[#This Row],[Rule Name]]))</f>
        <v>VEN000_CountryCodePopulated</v>
      </c>
      <c r="R372" s="8" t="s">
        <v>246</v>
      </c>
      <c r="S372" s="7" t="s">
        <v>21</v>
      </c>
      <c r="T372" s="7"/>
      <c r="U372" s="7" t="s">
        <v>247</v>
      </c>
      <c r="V372" s="7" t="s">
        <v>3542</v>
      </c>
      <c r="W372" s="7" t="s">
        <v>2958</v>
      </c>
      <c r="X372" s="8" t="s">
        <v>6348</v>
      </c>
      <c r="Y372" s="7" t="s">
        <v>5978</v>
      </c>
      <c r="Z372" s="7" t="s">
        <v>5978</v>
      </c>
      <c r="AA372" s="10" t="s">
        <v>248</v>
      </c>
      <c r="AB372" s="10"/>
      <c r="AC372" s="10" t="s">
        <v>6813</v>
      </c>
      <c r="AD372" s="10"/>
      <c r="AE372" s="13" t="str">
        <f>IF(Table362[[#This Row],[Entity]]="Customer","KUNNR",IF(Table362[[#This Row],[Entity]]="Vendor","LIFNR","MATNR"))&amp;","&amp;Table362[[#This Row],[Field]]</f>
        <v>LIFNR,LAND1</v>
      </c>
      <c r="AF372" s="13" t="str">
        <f>"VW_"&amp;Table362[[#This Row],[New Rule Name]]</f>
        <v>VW_VEN000_CountryCodePopulated</v>
      </c>
      <c r="AG372" s="11" t="str">
        <f>"create view "&amp;Table362[[#This Row],[View Name]]&amp;" as 
     select 
          "&amp;IF(Table362[[#This Row],[Entity]]="Customer","KUNNR",IF(Table362[[#This Row],[Entity]]="Vendor","LIFNR","MATNR"))&amp;",
          "&amp;Table362[[#This Row],[Field]]&amp;" 
     from "&amp;Table362[[#This Row],[Table]]</f>
        <v>create view VW_VEN000_CountryCodePopulated as 
     select 
          LIFNR,
          LAND1 
     from LFA1</v>
      </c>
      <c r="AH372" s="8"/>
      <c r="AI372" s="20" t="s">
        <v>7634</v>
      </c>
      <c r="AJ372" s="20"/>
      <c r="AK372" s="31"/>
      <c r="AL372" s="31"/>
    </row>
    <row r="373" spans="1:38" s="3" customFormat="1" ht="48" hidden="1" x14ac:dyDescent="0.25">
      <c r="A373" s="9">
        <v>371</v>
      </c>
      <c r="B373" s="7" t="s">
        <v>3973</v>
      </c>
      <c r="C373" s="7" t="s">
        <v>1207</v>
      </c>
      <c r="D373" s="7" t="s">
        <v>5978</v>
      </c>
      <c r="E373" s="7" t="s">
        <v>5978</v>
      </c>
      <c r="F373" s="7" t="s">
        <v>5978</v>
      </c>
      <c r="G373" s="7" t="s">
        <v>6361</v>
      </c>
      <c r="H373" s="7" t="s">
        <v>6362</v>
      </c>
      <c r="I373" s="7"/>
      <c r="J373" s="20" t="e">
        <f>VLOOKUP(V373,Table_to_BRG!A:D,3,FALSE)</f>
        <v>#N/A</v>
      </c>
      <c r="K373" s="20" t="e">
        <f>VLOOKUP(V373,Table_to_BRG!A:D,2,FALSE)</f>
        <v>#N/A</v>
      </c>
      <c r="L373" s="20"/>
      <c r="M373" s="20"/>
      <c r="N373" s="9" t="s">
        <v>6465</v>
      </c>
      <c r="O373" s="54" t="s">
        <v>6914</v>
      </c>
      <c r="P373" s="7" t="s">
        <v>8532</v>
      </c>
      <c r="Q373" s="11"/>
      <c r="R373" s="8" t="s">
        <v>6657</v>
      </c>
      <c r="S373" s="7" t="s">
        <v>2</v>
      </c>
      <c r="T373" s="7"/>
      <c r="U373" s="7" t="s">
        <v>1176</v>
      </c>
      <c r="V373" s="23"/>
      <c r="W373" s="23"/>
      <c r="X373" s="24"/>
      <c r="Y373" s="7" t="s">
        <v>5722</v>
      </c>
      <c r="Z373" s="7" t="s">
        <v>3673</v>
      </c>
      <c r="AA373" s="11" t="str">
        <f>"BEGIN
     RETURN exists('DS_IS_RDS', '"&amp;Table362[[#This Row],[Lookup Table]]&amp;"', '"&amp;Table362[[#This Row],[Lookup Field]]&amp;"', "&amp;Table362[[#This Row],[IS Parameter]]&amp;");
END"</f>
        <v>BEGIN
     RETURN exists('DS_IS_RDS', 'TVBR', 'BRYTH', $P_I_CallFrequency);
END</v>
      </c>
      <c r="AB373" s="11"/>
      <c r="AC373" s="10" t="s">
        <v>6663</v>
      </c>
      <c r="AD373" s="10"/>
      <c r="AE373" s="13"/>
      <c r="AF373" s="13"/>
      <c r="AG373" s="11"/>
      <c r="AH373" s="8"/>
      <c r="AI373" s="20"/>
      <c r="AJ373" s="20"/>
      <c r="AK373" s="31"/>
      <c r="AL373" s="31"/>
    </row>
    <row r="374" spans="1:38" s="3" customFormat="1" ht="72" hidden="1" x14ac:dyDescent="0.25">
      <c r="A374" s="9">
        <v>372</v>
      </c>
      <c r="B374" s="7" t="s">
        <v>3973</v>
      </c>
      <c r="C374" s="7" t="s">
        <v>16</v>
      </c>
      <c r="D374" s="7" t="s">
        <v>6719</v>
      </c>
      <c r="E374" s="7" t="s">
        <v>6720</v>
      </c>
      <c r="F374" s="7" t="s">
        <v>6721</v>
      </c>
      <c r="G374" s="7" t="s">
        <v>6358</v>
      </c>
      <c r="H374" s="7" t="s">
        <v>6360</v>
      </c>
      <c r="I374" s="7"/>
      <c r="J374" s="20" t="str">
        <f>VLOOKUP(V374,Table_to_BRG!A:D,3,FALSE)</f>
        <v>Company Code data</v>
      </c>
      <c r="K374" s="20" t="str">
        <f>VLOOKUP(V374,Table_to_BRG!A:D,2,FALSE)</f>
        <v>Company Code</v>
      </c>
      <c r="L374" s="20"/>
      <c r="M374" s="20"/>
      <c r="N374" s="9"/>
      <c r="O374" s="54"/>
      <c r="P374" s="7" t="s">
        <v>8134</v>
      </c>
      <c r="Q374" s="11" t="str">
        <f>UPPER(LEFT(Table362[[#This Row],[Entity]],3))&amp;RIGHT("00"&amp;Table362[[#This Row],[Rule '# by Entity]],3)&amp;"0_"&amp;MID(SUBSTITUTE(Table362[[#This Row],[Rule Name]],"_","|",3),SEARCH("|",SUBSTITUTE(Table362[[#This Row],[Rule Name]],"_","|",3))+1,LEN(Table362[[#This Row],[Rule Name]]))</f>
        <v>CUS0560_PaymentGroupingKeyRef</v>
      </c>
      <c r="R374" s="13" t="s">
        <v>8065</v>
      </c>
      <c r="S374" s="7" t="s">
        <v>2</v>
      </c>
      <c r="T374" s="7"/>
      <c r="U374" s="7" t="s">
        <v>195</v>
      </c>
      <c r="V374" s="7" t="s">
        <v>2740</v>
      </c>
      <c r="W374" s="7" t="s">
        <v>2899</v>
      </c>
      <c r="X374" s="8" t="s">
        <v>2918</v>
      </c>
      <c r="Y374" s="7" t="s">
        <v>5994</v>
      </c>
      <c r="Z374" s="7" t="s">
        <v>2899</v>
      </c>
      <c r="AA374" s="11" t="str">
        <f>"BEGIN
     RETURN exists('DS_IS_RDS', '"&amp;Table362[[#This Row],[Lookup Table]]&amp;"', '"&amp;Table362[[#This Row],[Lookup Field]]&amp;"', "&amp;Table362[[#This Row],[IS Parameter]]&amp;");
END"</f>
        <v>BEGIN
     RETURN exists('DS_IS_RDS', 'TZGR', 'ZGRUP', $P_I_GroupingKey);
END</v>
      </c>
      <c r="AB374" s="11" t="str">
        <f>Table362[[#This Row],[IS Parameter]]&amp;" IS NOT NULL
AND "&amp; Table362[[#This Row],[IS Parameter]]&amp;" != ''"</f>
        <v>$P_I_GroupingKey IS NOT NULL
AND $P_I_GroupingKey != ''</v>
      </c>
      <c r="AC374" s="10" t="s">
        <v>6663</v>
      </c>
      <c r="AD374" s="10"/>
      <c r="AE374" s="13" t="str">
        <f>IF(Table362[[#This Row],[Entity]]="Customer","KUNNR",IF(Table362[[#This Row],[Entity]]="Vendor","LIFNR","MATNR"))&amp;",BUKRS"&amp;","&amp;Table362[[#This Row],[Field]]</f>
        <v>KUNNR,BUKRS,ZGRUP</v>
      </c>
      <c r="AF374" s="13" t="str">
        <f>"VW_"&amp;Table362[[#This Row],[New Rule Name]]</f>
        <v>VW_CUS0560_PaymentGroupingKeyRef</v>
      </c>
      <c r="AG374" s="11" t="str">
        <f>"create view "&amp;Table362[[#This Row],[View Name]]&amp;" as 
     select 
          "&amp;IF(Table362[[#This Row],[Entity]]="Customer","KUNNR",IF(Table362[[#This Row],[Entity]]="Vendor","LIFNR","MATNR"))&amp;",
          BUKRS,
          "&amp;Table362[[#This Row],[Field]]&amp;" 
     from "&amp;Table362[[#This Row],[Table]]</f>
        <v>create view VW_CUS0560_PaymentGroupingKeyRef as 
     select 
          KUNNR,
          BUKRS,
          ZGRUP 
     from KNB1</v>
      </c>
      <c r="AH374" s="8"/>
      <c r="AI374" s="20" t="s">
        <v>7624</v>
      </c>
      <c r="AJ374" s="20"/>
      <c r="AK374" s="31">
        <v>56</v>
      </c>
      <c r="AL374" s="31"/>
    </row>
    <row r="375" spans="1:38" s="3" customFormat="1" ht="60" hidden="1" x14ac:dyDescent="0.25">
      <c r="A375" s="9">
        <v>373</v>
      </c>
      <c r="B375" s="7" t="s">
        <v>3973</v>
      </c>
      <c r="C375" s="7" t="s">
        <v>1207</v>
      </c>
      <c r="D375" s="7" t="s">
        <v>6719</v>
      </c>
      <c r="E375" s="7" t="s">
        <v>6720</v>
      </c>
      <c r="F375" s="7" t="s">
        <v>6722</v>
      </c>
      <c r="G375" s="7" t="s">
        <v>6361</v>
      </c>
      <c r="H375" s="7" t="s">
        <v>3967</v>
      </c>
      <c r="I375" s="7" t="s">
        <v>3967</v>
      </c>
      <c r="J375" s="20" t="str">
        <f>VLOOKUP(V375,Table_to_BRG!A:D,3,FALSE)</f>
        <v>General data</v>
      </c>
      <c r="K375" s="20" t="str">
        <f>VLOOKUP(V375,Table_to_BRG!A:D,2,FALSE)</f>
        <v>General</v>
      </c>
      <c r="L375" s="20"/>
      <c r="M375" s="20"/>
      <c r="N375" s="9"/>
      <c r="O375" s="54"/>
      <c r="P375" s="7" t="s">
        <v>8533</v>
      </c>
      <c r="Q375" s="11" t="str">
        <f>UPPER(LEFT(Table362[[#This Row],[Entity]],3))&amp;RIGHT("00"&amp;Table362[[#This Row],[Rule '# by Entity]],3)&amp;"0_"&amp;MID(SUBSTITUTE(Table362[[#This Row],[Rule Name]],"_","|",3),SEARCH("|",SUBSTITUTE(Table362[[#This Row],[Rule Name]],"_","|",3))+1,LEN(Table362[[#This Row],[Rule Name]]))</f>
        <v>VEN0020_CountryKeyPopulated</v>
      </c>
      <c r="R375" s="8" t="s">
        <v>8298</v>
      </c>
      <c r="S375" s="7" t="s">
        <v>21</v>
      </c>
      <c r="T375" s="7"/>
      <c r="U375" s="7" t="s">
        <v>140</v>
      </c>
      <c r="V375" s="7" t="s">
        <v>3542</v>
      </c>
      <c r="W375" s="7" t="s">
        <v>2958</v>
      </c>
      <c r="X375" s="8" t="s">
        <v>2969</v>
      </c>
      <c r="Y375" s="7" t="s">
        <v>5978</v>
      </c>
      <c r="Z375" s="7" t="s">
        <v>5978</v>
      </c>
      <c r="AA375" s="10" t="s">
        <v>281</v>
      </c>
      <c r="AB375" s="10"/>
      <c r="AC375" s="10" t="s">
        <v>6813</v>
      </c>
      <c r="AD375" s="10"/>
      <c r="AE375" s="13" t="str">
        <f>IF(Table362[[#This Row],[Entity]]="Customer","KUNNR",IF(Table362[[#This Row],[Entity]]="Vendor","LIFNR","MATNR"))&amp;","&amp;Table362[[#This Row],[Field]]</f>
        <v>LIFNR,LAND1</v>
      </c>
      <c r="AF375" s="13" t="str">
        <f>"VW_"&amp;Table362[[#This Row],[New Rule Name]]</f>
        <v>VW_VEN0020_CountryKeyPopulated</v>
      </c>
      <c r="AG375" s="11" t="str">
        <f>"create view "&amp;Table362[[#This Row],[View Name]]&amp;" as 
     select 
          "&amp;IF(Table362[[#This Row],[Entity]]="Customer","KUNNR",IF(Table362[[#This Row],[Entity]]="Vendor","LIFNR","MATNR"))&amp;",
          "&amp;Table362[[#This Row],[Field]]&amp;" 
     from "&amp;Table362[[#This Row],[Table]]</f>
        <v>create view VW_VEN0020_CountryKeyPopulated as 
     select 
          LIFNR,
          LAND1 
     from LFA1</v>
      </c>
      <c r="AH375" s="8"/>
      <c r="AI375" s="20" t="s">
        <v>7635</v>
      </c>
      <c r="AJ375" s="20"/>
      <c r="AK375" s="31">
        <v>2</v>
      </c>
      <c r="AL375" s="31"/>
    </row>
    <row r="376" spans="1:38" ht="84" hidden="1" x14ac:dyDescent="0.25">
      <c r="A376" s="9">
        <v>374</v>
      </c>
      <c r="B376" s="7" t="s">
        <v>3973</v>
      </c>
      <c r="C376" s="7" t="s">
        <v>1207</v>
      </c>
      <c r="D376" s="7" t="s">
        <v>6719</v>
      </c>
      <c r="E376" s="7" t="s">
        <v>6720</v>
      </c>
      <c r="F376" s="7" t="s">
        <v>6731</v>
      </c>
      <c r="G376" s="7" t="s">
        <v>6358</v>
      </c>
      <c r="H376" s="7" t="s">
        <v>6359</v>
      </c>
      <c r="I376" s="7" t="s">
        <v>6421</v>
      </c>
      <c r="J376" s="20" t="str">
        <f>VLOOKUP(V376,Table_to_BRG!A:D,3,FALSE)</f>
        <v>Dunning data</v>
      </c>
      <c r="K376" s="20" t="str">
        <f>VLOOKUP(V376,Table_to_BRG!A:D,2,FALSE)</f>
        <v>Dunning</v>
      </c>
      <c r="L376" s="20"/>
      <c r="M376" s="20"/>
      <c r="N376" s="9"/>
      <c r="O376" s="54"/>
      <c r="P376" s="7" t="s">
        <v>8534</v>
      </c>
      <c r="Q376" s="11" t="str">
        <f>UPPER(LEFT(Table362[[#This Row],[Entity]],3))&amp;RIGHT("00"&amp;Table362[[#This Row],[Rule '# by Entity]],3)&amp;"0_"&amp;MID(SUBSTITUTE(Table362[[#This Row],[Rule Name]],"_","|",3),SEARCH("|",SUBSTITUTE(Table362[[#This Row],[Rule Name]],"_","|",3))+1,LEN(Table362[[#This Row],[Rule Name]]))</f>
        <v>VEN0510_DunningProcedureRef</v>
      </c>
      <c r="R376" s="13" t="s">
        <v>8257</v>
      </c>
      <c r="S376" s="7" t="s">
        <v>2</v>
      </c>
      <c r="T376" s="7"/>
      <c r="U376" s="7" t="s">
        <v>1059</v>
      </c>
      <c r="V376" s="7" t="s">
        <v>3574</v>
      </c>
      <c r="W376" s="7" t="s">
        <v>2786</v>
      </c>
      <c r="X376" s="8" t="s">
        <v>2807</v>
      </c>
      <c r="Y376" s="7" t="s">
        <v>5725</v>
      </c>
      <c r="Z376" s="7" t="s">
        <v>2786</v>
      </c>
      <c r="AA376" s="11" t="str">
        <f>"BEGIN
     RETURN exists('DS_IS_RDS', '"&amp;Table362[[#This Row],[Lookup Table]]&amp;"', '"&amp;Table362[[#This Row],[Lookup Field]]&amp;"', "&amp;Table362[[#This Row],[IS Parameter]]&amp;");
END"</f>
        <v>BEGIN
     RETURN exists('DS_IS_RDS', 'T047A', 'MAHNA', $P_I_DunningProcedure);
END</v>
      </c>
      <c r="AB376" s="11"/>
      <c r="AC376" s="10" t="s">
        <v>6663</v>
      </c>
      <c r="AD376" s="10"/>
      <c r="AE376" s="13" t="str">
        <f>IF(Table362[[#This Row],[Entity]]="Customer","KUNNR",IF(Table362[[#This Row],[Entity]]="Vendor","LIFNR","MATNR"))&amp;",BUKRS,MABERS,"&amp;Table362[[#This Row],[Field]]</f>
        <v>LIFNR,BUKRS,MABERS,MAHNA</v>
      </c>
      <c r="AF376" s="13" t="str">
        <f>"VW_"&amp;Table362[[#This Row],[New Rule Name]]</f>
        <v>VW_VEN0510_DunningProcedureRef</v>
      </c>
      <c r="AG376" s="11" t="str">
        <f>"create view "&amp;Table362[[#This Row],[View Name]]&amp;" as 
     select 
          "&amp;IF(Table362[[#This Row],[Entity]]="Customer","KUNNR",IF(Table362[[#This Row],[Entity]]="Vendor","LIFNR","MATNR"))&amp;",
          BUKRS,
          MABER,
          "&amp;Table362[[#This Row],[Field]]&amp;" 
     from "&amp;Table362[[#This Row],[Table]]</f>
        <v>create view VW_VEN0510_DunningProcedureRef as 
     select 
          LIFNR,
          BUKRS,
          MABER,
          MAHNA 
     from LFB5</v>
      </c>
      <c r="AH376" s="8"/>
      <c r="AI376" s="20" t="s">
        <v>6447</v>
      </c>
      <c r="AJ376" s="20"/>
      <c r="AK376" s="31">
        <v>51</v>
      </c>
      <c r="AL376" s="31"/>
    </row>
    <row r="377" spans="1:38" s="19" customFormat="1" ht="48" hidden="1" x14ac:dyDescent="0.25">
      <c r="A377" s="14" t="s">
        <v>7030</v>
      </c>
      <c r="B377" s="15" t="s">
        <v>5877</v>
      </c>
      <c r="C377" s="15" t="s">
        <v>3</v>
      </c>
      <c r="D377" s="15" t="s">
        <v>5978</v>
      </c>
      <c r="E377" s="15" t="s">
        <v>5978</v>
      </c>
      <c r="F377" s="15" t="s">
        <v>5978</v>
      </c>
      <c r="G377" s="15"/>
      <c r="H377" s="15"/>
      <c r="I377" s="15"/>
      <c r="J377" s="27" t="e">
        <f>VLOOKUP(V377,Table_to_BRG!A:D,3,FALSE)</f>
        <v>#N/A</v>
      </c>
      <c r="K377" s="27" t="e">
        <f>VLOOKUP(V377,Table_to_BRG!A:D,2,FALSE)</f>
        <v>#N/A</v>
      </c>
      <c r="L377" s="27"/>
      <c r="M377" s="27"/>
      <c r="N377" s="14" t="s">
        <v>6465</v>
      </c>
      <c r="O377" s="54" t="str">
        <f>"Duplicate of rule "&amp;A125</f>
        <v>Duplicate of rule 118</v>
      </c>
      <c r="P377" s="16" t="s">
        <v>6846</v>
      </c>
      <c r="Q377" s="11" t="str">
        <f>RIGHT("00"&amp;Table362[[#This Row],[Rule '#]],3)&amp;"_"&amp;IF(Table362[[#This Row],[Entity]]="Material","MATL",LEFT(UPPER(Table362[[#This Row],[Entity]]),4))&amp;"_"&amp;MID(SUBSTITUTE(Table362[[#This Row],[Rule Name]],"_","|",3),SEARCH("|",SUBSTITUTE(Table362[[#This Row],[Rule Name]],"_","|",3))+1,LEN(Table362[[#This Row],[Rule Name]]))</f>
        <v>000_MATL_IR_ORDER UNIT WITHIN LIST</v>
      </c>
      <c r="R377" s="16" t="s">
        <v>3987</v>
      </c>
      <c r="S377" s="15" t="s">
        <v>21</v>
      </c>
      <c r="T377" s="15"/>
      <c r="U377" s="15" t="s">
        <v>6632</v>
      </c>
      <c r="V377" s="15"/>
      <c r="W377" s="15"/>
      <c r="X377" s="16"/>
      <c r="Y377" s="15" t="s">
        <v>4142</v>
      </c>
      <c r="Z377" s="15" t="s">
        <v>4143</v>
      </c>
      <c r="AA377" s="11" t="str">
        <f>"BEGIN
     RETURN exists('DS_IS_RDS', '"&amp;Table362[[#This Row],[Lookup Table]]&amp;"', '"&amp;Table362[[#This Row],[Lookup Field]]&amp;"', upper("&amp;Table362[[#This Row],[IS Parameter]]&amp;");
END"</f>
        <v>BEGIN
     RETURN exists('DS_IS_RDS', 'T006A', 'MSEHI', upper($P_I_OrderUnit);
END</v>
      </c>
      <c r="AB377" s="11"/>
      <c r="AC377" s="17"/>
      <c r="AD377" s="17"/>
      <c r="AE377" s="18"/>
      <c r="AF377" s="18"/>
      <c r="AG377" s="17"/>
      <c r="AH377" s="16"/>
      <c r="AI377" s="27"/>
      <c r="AJ377" s="27"/>
      <c r="AK377" s="52"/>
      <c r="AL377" s="52"/>
    </row>
    <row r="378" spans="1:38" s="19" customFormat="1" ht="48" hidden="1" x14ac:dyDescent="0.25">
      <c r="A378" s="14" t="s">
        <v>7031</v>
      </c>
      <c r="B378" s="15" t="s">
        <v>5877</v>
      </c>
      <c r="C378" s="15" t="s">
        <v>3</v>
      </c>
      <c r="D378" s="15" t="s">
        <v>5978</v>
      </c>
      <c r="E378" s="15" t="s">
        <v>5978</v>
      </c>
      <c r="F378" s="15" t="s">
        <v>5978</v>
      </c>
      <c r="G378" s="15"/>
      <c r="H378" s="15"/>
      <c r="I378" s="15"/>
      <c r="J378" s="27" t="e">
        <f>VLOOKUP(V378,Table_to_BRG!A:D,3,FALSE)</f>
        <v>#N/A</v>
      </c>
      <c r="K378" s="27" t="e">
        <f>VLOOKUP(V378,Table_to_BRG!A:D,2,FALSE)</f>
        <v>#N/A</v>
      </c>
      <c r="L378" s="27"/>
      <c r="M378" s="27"/>
      <c r="N378" s="14" t="s">
        <v>6465</v>
      </c>
      <c r="O378" s="56" t="str">
        <f>"Duplicate of rule "&amp;A132</f>
        <v>Duplicate of rule 123</v>
      </c>
      <c r="P378" s="15" t="s">
        <v>4046</v>
      </c>
      <c r="Q378" s="11" t="str">
        <f>RIGHT("00"&amp;Table362[[#This Row],[Rule '#]],3)&amp;"_"&amp;IF(Table362[[#This Row],[Entity]]="Material","MATL",LEFT(UPPER(Table362[[#This Row],[Entity]]),4))&amp;"_"&amp;MID(SUBSTITUTE(Table362[[#This Row],[Rule Name]],"_","|",3),SEARCH("|",SUBSTITUTE(Table362[[#This Row],[Rule Name]],"_","|",3))+1,LEN(Table362[[#This Row],[Rule Name]]))</f>
        <v>001_MATL_QA_PLANT WITHIN LIST</v>
      </c>
      <c r="R378" s="16" t="s">
        <v>3988</v>
      </c>
      <c r="S378" s="15" t="s">
        <v>21</v>
      </c>
      <c r="T378" s="15" t="s">
        <v>4135</v>
      </c>
      <c r="U378" s="15" t="s">
        <v>485</v>
      </c>
      <c r="V378" s="15"/>
      <c r="W378" s="15" t="s">
        <v>1495</v>
      </c>
      <c r="X378" s="16"/>
      <c r="Y378" s="15" t="s">
        <v>4145</v>
      </c>
      <c r="Z378" s="15" t="s">
        <v>1495</v>
      </c>
      <c r="AA378" s="11" t="str">
        <f>"BEGIN
     RETURN exists('DS_IS_RDS', '"&amp;Table362[[#This Row],[Lookup Table]]&amp;"', '"&amp;Table362[[#This Row],[Lookup Field]]&amp;"', upper("&amp;Table362[[#This Row],[IS Parameter]]&amp;");
END"</f>
        <v>BEGIN
     RETURN exists('DS_IS_RDS', 'T001W', 'WERKS', upper($P_I_Plant);
END</v>
      </c>
      <c r="AB378" s="11"/>
      <c r="AC378" s="17"/>
      <c r="AD378" s="17"/>
      <c r="AE378" s="18"/>
      <c r="AF378" s="18"/>
      <c r="AG378" s="17"/>
      <c r="AH378" s="16"/>
      <c r="AI378" s="27"/>
      <c r="AJ378" s="27"/>
      <c r="AK378" s="52"/>
      <c r="AL378" s="52"/>
    </row>
    <row r="379" spans="1:38" ht="90" hidden="1" x14ac:dyDescent="0.25">
      <c r="A379" s="14" t="s">
        <v>7032</v>
      </c>
      <c r="B379" s="7" t="s">
        <v>5877</v>
      </c>
      <c r="C379" s="7" t="s">
        <v>3</v>
      </c>
      <c r="D379" s="7" t="s">
        <v>6711</v>
      </c>
      <c r="E379" s="7" t="s">
        <v>6712</v>
      </c>
      <c r="F379" s="7" t="s">
        <v>6713</v>
      </c>
      <c r="G379" s="7"/>
      <c r="H379" s="7"/>
      <c r="I379" s="7"/>
      <c r="J379" s="20" t="str">
        <f>VLOOKUP(V379,Table_to_BRG!A:D,3,FALSE)</f>
        <v>Plant data</v>
      </c>
      <c r="K379" s="20" t="str">
        <f>VLOOKUP(V379,Table_to_BRG!A:D,2,FALSE)</f>
        <v>Plant</v>
      </c>
      <c r="L379" s="20"/>
      <c r="M379" s="20"/>
      <c r="N379" s="9" t="s">
        <v>6465</v>
      </c>
      <c r="O379" s="54" t="s">
        <v>7812</v>
      </c>
      <c r="P379" s="7" t="s">
        <v>7781</v>
      </c>
      <c r="Q379" s="43" t="str">
        <f>RIGHT("00"&amp;Table362[[#This Row],[Rule '#]],3)&amp;"_"&amp;IF(Table362[[#This Row],[Entity]]="Material","MATL",LEFT(UPPER(Table362[[#This Row],[Entity]]),4))&amp;"_"&amp;MID(SUBSTITUTE(Table362[[#This Row],[Rule Name]],"_","|",3),SEARCH("|",SUBSTITUTE(Table362[[#This Row],[Rule Name]],"_","|",3))+1,LEN(Table362[[#This Row],[Rule Name]]))</f>
        <v>002_MATL_MAXIMUM_STOCK_LEVEL</v>
      </c>
      <c r="R379" s="8" t="s">
        <v>6819</v>
      </c>
      <c r="S379" s="42" t="s">
        <v>4135</v>
      </c>
      <c r="T379" s="8" t="s">
        <v>139</v>
      </c>
      <c r="U379" s="8" t="s">
        <v>6818</v>
      </c>
      <c r="V379" s="8" t="s">
        <v>1527</v>
      </c>
      <c r="W379" s="8" t="s">
        <v>6817</v>
      </c>
      <c r="X379" s="8"/>
      <c r="Y379" s="8"/>
      <c r="Z379" s="8"/>
      <c r="AA379" s="43" t="s">
        <v>6820</v>
      </c>
      <c r="AB379" s="43"/>
      <c r="AC379" s="11"/>
      <c r="AD379" s="11"/>
      <c r="AE379" s="8" t="s">
        <v>7779</v>
      </c>
      <c r="AG379" s="11" t="s">
        <v>7780</v>
      </c>
      <c r="AH379" s="8"/>
      <c r="AI379" s="20"/>
      <c r="AJ379" s="20"/>
      <c r="AK379" s="31"/>
      <c r="AL379" s="31"/>
    </row>
    <row r="380" spans="1:38" ht="60" hidden="1" x14ac:dyDescent="0.25">
      <c r="A380" s="14" t="s">
        <v>7033</v>
      </c>
      <c r="B380" s="7" t="s">
        <v>5877</v>
      </c>
      <c r="C380" s="7" t="s">
        <v>1207</v>
      </c>
      <c r="D380" s="7" t="s">
        <v>6711</v>
      </c>
      <c r="E380" s="7" t="s">
        <v>6733</v>
      </c>
      <c r="F380" s="7" t="s">
        <v>6895</v>
      </c>
      <c r="G380" s="7"/>
      <c r="H380" s="7"/>
      <c r="I380" s="7"/>
      <c r="J380" s="20" t="str">
        <f>VLOOKUP(V380,Table_to_BRG!A:D,3,FALSE)</f>
        <v>Purchasing data</v>
      </c>
      <c r="K380" s="20" t="str">
        <f>VLOOKUP(V380,Table_to_BRG!A:D,2,FALSE)</f>
        <v>Purchasing org.</v>
      </c>
      <c r="L380" s="20"/>
      <c r="M380" s="20"/>
      <c r="N380" s="9" t="s">
        <v>6465</v>
      </c>
      <c r="O380" s="54" t="s">
        <v>7812</v>
      </c>
      <c r="P380" s="7" t="s">
        <v>4047</v>
      </c>
      <c r="Q380" s="11" t="str">
        <f>RIGHT("00"&amp;Table362[[#This Row],[Rule '#]],3)&amp;"_"&amp;IF(Table362[[#This Row],[Entity]]="Material","MATL",LEFT(UPPER(Table362[[#This Row],[Entity]]),4))&amp;"_"&amp;MID(SUBSTITUTE(Table362[[#This Row],[Rule Name]],"_","|",3),SEARCH("|",SUBSTITUTE(Table362[[#This Row],[Rule Name]],"_","|",3))+1,LEN(Table362[[#This Row],[Rule Name]]))</f>
        <v>003_VEND_PURCHASE ORGANIZATION</v>
      </c>
      <c r="R380" s="8" t="s">
        <v>6885</v>
      </c>
      <c r="S380" s="7" t="s">
        <v>21</v>
      </c>
      <c r="T380" s="7"/>
      <c r="U380" s="7" t="s">
        <v>6896</v>
      </c>
      <c r="V380" s="7" t="s">
        <v>3818</v>
      </c>
      <c r="W380" s="7" t="s">
        <v>3814</v>
      </c>
      <c r="X380" s="8" t="s">
        <v>3808</v>
      </c>
      <c r="Y380" s="7" t="s">
        <v>3819</v>
      </c>
      <c r="Z380" s="7" t="s">
        <v>3814</v>
      </c>
      <c r="AA380" s="11" t="str">
        <f>"BEGIN
     RETURN exists('DS_IS_RDS', '"&amp;Table362[[#This Row],[Lookup Table]]&amp;"', '"&amp;Table362[[#This Row],[Lookup Field]]&amp;"', "&amp;Table362[[#This Row],[IS Parameter]]&amp;");
END"</f>
        <v>BEGIN
     RETURN exists('DS_IS_RDS', 'T024E', 'EKORG', $P_I_PurchasingOrg);
END</v>
      </c>
      <c r="AB380" s="11"/>
      <c r="AC380" s="11" t="s">
        <v>6663</v>
      </c>
      <c r="AD380" s="11"/>
      <c r="AE380" s="13" t="str">
        <f>IF(Table362[[#This Row],[Entity]]="Customer","KUNNR",IF(Table362[[#This Row],[Entity]]="Vendor","LIFNR","MATNR"))&amp;","&amp;Table362[[#This Row],[Field]]</f>
        <v>LIFNR,EKORG</v>
      </c>
      <c r="AG380" s="11" t="str">
        <f>"create view "&amp;Table362[[#This Row],[View Name]]&amp;" as 
     select 
          "&amp;IF(Table362[[#This Row],[Entity]]="Customer","KUNNR",IF(Table362[[#This Row],[Entity]]="Vendor","LIFNR","MATNR"))&amp;",
          "&amp;Table362[[#This Row],[Field]]&amp;" 
     from "&amp;Table362[[#This Row],[Table]]</f>
        <v>create view  as 
     select 
          LIFNR,
          EKORG 
     from LFM1</v>
      </c>
      <c r="AH380" s="8"/>
      <c r="AI380" s="20" t="s">
        <v>7811</v>
      </c>
      <c r="AJ380" s="20"/>
      <c r="AK380" s="31"/>
      <c r="AL380" s="31"/>
    </row>
    <row r="381" spans="1:38" s="19" customFormat="1" ht="45" hidden="1" x14ac:dyDescent="0.25">
      <c r="A381" s="14" t="s">
        <v>7034</v>
      </c>
      <c r="B381" s="15" t="s">
        <v>5877</v>
      </c>
      <c r="C381" s="15" t="s">
        <v>3</v>
      </c>
      <c r="D381" s="15" t="s">
        <v>5978</v>
      </c>
      <c r="E381" s="15" t="s">
        <v>5978</v>
      </c>
      <c r="F381" s="15" t="s">
        <v>5978</v>
      </c>
      <c r="G381" s="15"/>
      <c r="H381" s="15"/>
      <c r="I381" s="15"/>
      <c r="J381" s="27" t="e">
        <f>VLOOKUP(V381,Table_to_BRG!A:D,3,FALSE)</f>
        <v>#N/A</v>
      </c>
      <c r="K381" s="27" t="e">
        <f>VLOOKUP(V381,Table_to_BRG!A:D,2,FALSE)</f>
        <v>#N/A</v>
      </c>
      <c r="L381" s="27"/>
      <c r="M381" s="27"/>
      <c r="N381" s="14" t="s">
        <v>6465</v>
      </c>
      <c r="O381" s="56" t="str">
        <f>"Duplicate of rule "&amp;A233&amp;" (see note)"</f>
        <v>Duplicate of rule 229 (see note)</v>
      </c>
      <c r="P381" s="15" t="s">
        <v>4048</v>
      </c>
      <c r="Q381" s="11" t="str">
        <f>RIGHT("00"&amp;Table362[[#This Row],[Rule '#]],3)&amp;"_"&amp;IF(Table362[[#This Row],[Entity]]="Material","MATL",LEFT(UPPER(Table362[[#This Row],[Entity]]),4))&amp;"_"&amp;MID(SUBSTITUTE(Table362[[#This Row],[Rule Name]],"_","|",3),SEARCH("|",SUBSTITUTE(Table362[[#This Row],[Rule Name]],"_","|",3))+1,LEN(Table362[[#This Row],[Rule Name]]))</f>
        <v>004_MATL_ORDER CURRENCY</v>
      </c>
      <c r="R381" s="16" t="s">
        <v>6894</v>
      </c>
      <c r="S381" s="15" t="s">
        <v>21</v>
      </c>
      <c r="T381" s="15" t="s">
        <v>4135</v>
      </c>
      <c r="U381" s="15"/>
      <c r="V381" s="15"/>
      <c r="W381" s="15" t="s">
        <v>4147</v>
      </c>
      <c r="X381" s="16"/>
      <c r="Y381" s="15" t="s">
        <v>4148</v>
      </c>
      <c r="Z381" s="15" t="s">
        <v>2850</v>
      </c>
      <c r="AA381" s="11" t="str">
        <f>"BEGIN
     RETURN exists('DS_IS_RDS', '"&amp;Table362[[#This Row],[Lookup Table]]&amp;"', '"&amp;Table362[[#This Row],[Lookup Field]]&amp;"', "&amp;Table362[[#This Row],[IS Parameter]]&amp;");
END"</f>
        <v>BEGIN
     RETURN exists('DS_IS_RDS', 'TCURC', 'WAERS', );
END</v>
      </c>
      <c r="AB381" s="11"/>
      <c r="AC381" s="17" t="s">
        <v>6663</v>
      </c>
      <c r="AD381" s="17"/>
      <c r="AE381" s="18"/>
      <c r="AF381" s="18"/>
      <c r="AG381" s="17"/>
      <c r="AH381" s="16" t="s">
        <v>6890</v>
      </c>
      <c r="AI381" s="27" t="s">
        <v>7700</v>
      </c>
      <c r="AJ381" s="27"/>
      <c r="AK381" s="52"/>
      <c r="AL381" s="52"/>
    </row>
    <row r="382" spans="1:38" ht="72" hidden="1" x14ac:dyDescent="0.25">
      <c r="A382" s="14" t="s">
        <v>7035</v>
      </c>
      <c r="B382" s="7" t="s">
        <v>5877</v>
      </c>
      <c r="C382" s="7" t="s">
        <v>3</v>
      </c>
      <c r="D382" s="7" t="s">
        <v>6711</v>
      </c>
      <c r="E382" s="7" t="s">
        <v>6712</v>
      </c>
      <c r="F382" s="7" t="s">
        <v>6745</v>
      </c>
      <c r="G382" s="7"/>
      <c r="H382" s="7"/>
      <c r="I382" s="7"/>
      <c r="J382" s="20" t="str">
        <f>VLOOKUP(V382,Table_to_BRG!A:D,3,FALSE)</f>
        <v>Valuation data</v>
      </c>
      <c r="K382" s="20" t="str">
        <f>VLOOKUP(V382,Table_to_BRG!A:D,2,FALSE)</f>
        <v>Valuation</v>
      </c>
      <c r="L382" s="20"/>
      <c r="M382" s="20"/>
      <c r="N382" s="9" t="s">
        <v>6465</v>
      </c>
      <c r="O382" s="54" t="s">
        <v>7812</v>
      </c>
      <c r="P382" s="7" t="s">
        <v>7753</v>
      </c>
      <c r="Q382" s="11" t="str">
        <f>RIGHT("00"&amp;Table362[[#This Row],[Rule '#]],3)&amp;"_"&amp;IF(Table362[[#This Row],[Entity]]="Material","MATL",LEFT(UPPER(Table362[[#This Row],[Entity]]),4))&amp;"_"&amp;MID(SUBSTITUTE(Table362[[#This Row],[Rule Name]],"_","|",3),SEARCH("|",SUBSTITUTE(Table362[[#This Row],[Rule Name]],"_","|",3))+1,LEN(Table362[[#This Row],[Rule Name]]))</f>
        <v>005_MATL_VALUATION_TYPE_IS_WITHIN_LIST</v>
      </c>
      <c r="R382" s="8" t="s">
        <v>5960</v>
      </c>
      <c r="S382" s="7" t="s">
        <v>21</v>
      </c>
      <c r="T382" s="7" t="s">
        <v>4135</v>
      </c>
      <c r="U382" s="7" t="s">
        <v>6892</v>
      </c>
      <c r="V382" s="7" t="s">
        <v>1528</v>
      </c>
      <c r="W382" s="7" t="s">
        <v>4150</v>
      </c>
      <c r="X382" s="8" t="s">
        <v>6893</v>
      </c>
      <c r="Y382" s="7" t="s">
        <v>4149</v>
      </c>
      <c r="Z382" s="7" t="s">
        <v>4150</v>
      </c>
      <c r="AA382" s="11" t="str">
        <f>"BEGIN
     RETURN exists('DS_IS_RDS', '"&amp;Table362[[#This Row],[Lookup Table]]&amp;"', '"&amp;Table362[[#This Row],[Lookup Field]]&amp;"', upper("&amp;Table362[[#This Row],[IS Parameter]]&amp;");
END"</f>
        <v>BEGIN
     RETURN exists('DS_IS_RDS', 'T149D', 'BWTAR', upper($P_I_ValuationType);
END</v>
      </c>
      <c r="AB382" s="11"/>
      <c r="AC382" s="11"/>
      <c r="AD382" s="11"/>
      <c r="AE382" s="13" t="str">
        <f>IF(Table362[[#This Row],[Entity]]="Customer","KUNNR",IF(Table362[[#This Row],[Entity]]="Vendor","LIFNR","MATNR"))&amp;",BWKEY,"&amp;Table362[[#This Row],[Field]]</f>
        <v>MATNR,BWKEY,BWTAR</v>
      </c>
      <c r="AG382" s="11" t="str">
        <f>"create view "&amp;Table362[[#This Row],[View Name]]&amp;" as 
     select 
          "&amp;IF(Table362[[#This Row],[Entity]]="Customer","KUNNR",IF(Table362[[#This Row],[Entity]]="Vendor","LIFNR","MATNR"))&amp;",
          BWKEY,
          "&amp;Table362[[#This Row],[Field]]&amp;" 
     from "&amp;Table362[[#This Row],[Table]]</f>
        <v>create view  as 
     select 
          MATNR,
          BWKEY,
          BWTAR 
     from MBEW</v>
      </c>
      <c r="AH382" s="8"/>
      <c r="AI382" s="20"/>
      <c r="AJ382" s="20"/>
      <c r="AK382" s="31"/>
      <c r="AL382" s="31"/>
    </row>
    <row r="383" spans="1:38" ht="45" hidden="1" x14ac:dyDescent="0.25">
      <c r="A383" s="14" t="s">
        <v>7036</v>
      </c>
      <c r="B383" s="7" t="s">
        <v>5877</v>
      </c>
      <c r="C383" s="7" t="s">
        <v>3</v>
      </c>
      <c r="D383" s="7" t="s">
        <v>5978</v>
      </c>
      <c r="E383" s="7" t="s">
        <v>5978</v>
      </c>
      <c r="F383" s="7" t="s">
        <v>5978</v>
      </c>
      <c r="G383" s="7"/>
      <c r="H383" s="7"/>
      <c r="I383" s="7"/>
      <c r="J383" s="20" t="e">
        <f>VLOOKUP(V383,Table_to_BRG!A:D,3,FALSE)</f>
        <v>#N/A</v>
      </c>
      <c r="K383" s="20" t="e">
        <f>VLOOKUP(V383,Table_to_BRG!A:D,2,FALSE)</f>
        <v>#N/A</v>
      </c>
      <c r="L383" s="20"/>
      <c r="M383" s="20"/>
      <c r="N383" s="9" t="s">
        <v>6465</v>
      </c>
      <c r="O383" s="54" t="s">
        <v>7812</v>
      </c>
      <c r="P383" s="7" t="s">
        <v>4049</v>
      </c>
      <c r="Q383" s="11" t="str">
        <f>RIGHT("00"&amp;Table362[[#This Row],[Rule '#]],3)&amp;"_"&amp;IF(Table362[[#This Row],[Entity]]="Material","MATL",LEFT(UPPER(Table362[[#This Row],[Entity]]),4))&amp;"_"&amp;MID(SUBSTITUTE(Table362[[#This Row],[Rule Name]],"_","|",3),SEARCH("|",SUBSTITUTE(Table362[[#This Row],[Rule Name]],"_","|",3))+1,LEN(Table362[[#This Row],[Rule Name]]))</f>
        <v>006_MATL_BANK COUNTRY IS WITHIN LIST</v>
      </c>
      <c r="R383" s="8" t="s">
        <v>5961</v>
      </c>
      <c r="S383" s="7" t="s">
        <v>21</v>
      </c>
      <c r="T383" s="7" t="s">
        <v>4135</v>
      </c>
      <c r="U383" s="7"/>
      <c r="V383" s="7"/>
      <c r="W383" s="7" t="s">
        <v>4151</v>
      </c>
      <c r="X383" s="8"/>
      <c r="Y383" s="7" t="s">
        <v>4152</v>
      </c>
      <c r="Z383" s="7" t="s">
        <v>2958</v>
      </c>
      <c r="AA383" s="11" t="str">
        <f>"BEGIN
     RETURN exists('DS_IS_RDS', '"&amp;Table362[[#This Row],[Lookup Table]]&amp;"', '"&amp;Table362[[#This Row],[Lookup Field]]&amp;"', upper("&amp;Table362[[#This Row],[IS Parameter]]&amp;");
END"</f>
        <v>BEGIN
     RETURN exists('DS_IS_RDS', 'T005', 'LAND1', upper();
END</v>
      </c>
      <c r="AB383" s="11"/>
      <c r="AC383" s="11"/>
      <c r="AD383" s="11"/>
      <c r="AH383" s="8"/>
      <c r="AI383" s="20"/>
      <c r="AJ383" s="20"/>
      <c r="AK383" s="31"/>
      <c r="AL383" s="31"/>
    </row>
    <row r="384" spans="1:38" ht="60" hidden="1" x14ac:dyDescent="0.25">
      <c r="A384" s="14" t="s">
        <v>7037</v>
      </c>
      <c r="B384" s="7" t="s">
        <v>5877</v>
      </c>
      <c r="C384" s="7" t="s">
        <v>3</v>
      </c>
      <c r="D384" s="7" t="s">
        <v>5978</v>
      </c>
      <c r="E384" s="7" t="s">
        <v>5978</v>
      </c>
      <c r="F384" s="7" t="s">
        <v>5978</v>
      </c>
      <c r="G384" s="7"/>
      <c r="H384" s="7"/>
      <c r="I384" s="7" t="s">
        <v>3971</v>
      </c>
      <c r="J384" s="20" t="e">
        <f>VLOOKUP(V384,Table_to_BRG!A:D,3,FALSE)</f>
        <v>#N/A</v>
      </c>
      <c r="K384" s="20" t="e">
        <f>VLOOKUP(V384,Table_to_BRG!A:D,2,FALSE)</f>
        <v>#N/A</v>
      </c>
      <c r="L384" s="20"/>
      <c r="M384" s="20"/>
      <c r="N384" s="9" t="s">
        <v>6465</v>
      </c>
      <c r="O384" s="54" t="s">
        <v>7812</v>
      </c>
      <c r="P384" s="7" t="s">
        <v>4050</v>
      </c>
      <c r="Q384" s="11" t="str">
        <f>RIGHT("00"&amp;Table362[[#This Row],[Rule '#]],3)&amp;"_"&amp;IF(Table362[[#This Row],[Entity]]="Material","MATL",LEFT(UPPER(Table362[[#This Row],[Entity]]),4))&amp;"_"&amp;MID(SUBSTITUTE(Table362[[#This Row],[Rule Name]],"_","|",3),SEARCH("|",SUBSTITUTE(Table362[[#This Row],[Rule Name]],"_","|",3))+1,LEN(Table362[[#This Row],[Rule Name]]))</f>
        <v>007_MATL_WITHHOLDING TAX CODE WITHIN LIST</v>
      </c>
      <c r="R384" s="8" t="s">
        <v>5962</v>
      </c>
      <c r="S384" s="7" t="s">
        <v>21</v>
      </c>
      <c r="T384" s="7" t="s">
        <v>4135</v>
      </c>
      <c r="U384" s="7"/>
      <c r="V384" s="7"/>
      <c r="W384" s="7" t="s">
        <v>4151</v>
      </c>
      <c r="X384" s="8"/>
      <c r="Y384" s="7" t="s">
        <v>4153</v>
      </c>
      <c r="Z384" s="7" t="s">
        <v>4154</v>
      </c>
      <c r="AA384" s="11" t="str">
        <f>"BEGIN
     RETURN exists('DS_IS_RDS', '"&amp;Table362[[#This Row],[Lookup Table]]&amp;"', '"&amp;Table362[[#This Row],[Lookup Field]]&amp;"', upper("&amp;Table362[[#This Row],[IS Parameter]]&amp;");
END"</f>
        <v>BEGIN
     RETURN exists('DS_IS_RDS', 'T059Z', 'WT_WITHCD', upper();
END</v>
      </c>
      <c r="AB384" s="11"/>
      <c r="AC384" s="11"/>
      <c r="AD384" s="11"/>
      <c r="AH384" s="8"/>
      <c r="AI384" s="20" t="s">
        <v>7654</v>
      </c>
      <c r="AJ384" s="20"/>
      <c r="AK384" s="31"/>
      <c r="AL384" s="31"/>
    </row>
    <row r="385" spans="1:38" s="19" customFormat="1" ht="75" hidden="1" x14ac:dyDescent="0.25">
      <c r="A385" s="14" t="s">
        <v>7038</v>
      </c>
      <c r="B385" s="15" t="s">
        <v>5877</v>
      </c>
      <c r="C385" s="15" t="s">
        <v>3</v>
      </c>
      <c r="D385" s="15" t="s">
        <v>6711</v>
      </c>
      <c r="E385" s="15" t="s">
        <v>6712</v>
      </c>
      <c r="F385" s="15" t="s">
        <v>6713</v>
      </c>
      <c r="G385" s="15"/>
      <c r="H385" s="15"/>
      <c r="I385" s="15"/>
      <c r="J385" s="27" t="str">
        <f>VLOOKUP(V385,Table_to_BRG!A:D,3,FALSE)</f>
        <v>Plant data</v>
      </c>
      <c r="K385" s="27" t="str">
        <f>VLOOKUP(V385,Table_to_BRG!A:D,2,FALSE)</f>
        <v>Plant</v>
      </c>
      <c r="L385" s="27"/>
      <c r="M385" s="27"/>
      <c r="N385" s="14" t="s">
        <v>6465</v>
      </c>
      <c r="O385" s="54" t="s">
        <v>7812</v>
      </c>
      <c r="P385" s="15" t="s">
        <v>4051</v>
      </c>
      <c r="Q385" s="11" t="str">
        <f>RIGHT("00"&amp;Table362[[#This Row],[Rule '#]],3)&amp;"_"&amp;IF(Table362[[#This Row],[Entity]]="Material","MATL",LEFT(UPPER(Table362[[#This Row],[Entity]]),4))&amp;"_"&amp;MID(SUBSTITUTE(Table362[[#This Row],[Rule Name]],"_","|",3),SEARCH("|",SUBSTITUTE(Table362[[#This Row],[Rule Name]],"_","|",3))+1,LEN(Table362[[#This Row],[Rule Name]]))</f>
        <v>008_MATL_MRPCONTROLLER</v>
      </c>
      <c r="R385" s="16" t="s">
        <v>6897</v>
      </c>
      <c r="S385" s="15" t="s">
        <v>21</v>
      </c>
      <c r="T385" s="15" t="s">
        <v>139</v>
      </c>
      <c r="U385" s="15"/>
      <c r="V385" s="15" t="s">
        <v>1527</v>
      </c>
      <c r="W385" s="15" t="s">
        <v>4155</v>
      </c>
      <c r="X385" s="16"/>
      <c r="Y385" s="15" t="s">
        <v>4156</v>
      </c>
      <c r="Z385" s="15" t="s">
        <v>2051</v>
      </c>
      <c r="AA385" s="11" t="str">
        <f>"BEGIN
     RETURN exists('DS_IS_RDS', '"&amp;Table362[[#This Row],[Lookup Table]]&amp;"', '"&amp;Table362[[#This Row],[Lookup Field]]&amp;"', "&amp;Table362[[#This Row],[IS Parameter]]&amp;");
END"</f>
        <v>BEGIN
     RETURN exists('DS_IS_RDS', 'T024D', 'DISPO', );
END</v>
      </c>
      <c r="AB385" s="11"/>
      <c r="AC385" s="17" t="s">
        <v>6663</v>
      </c>
      <c r="AD385" s="17"/>
      <c r="AE385" s="18"/>
      <c r="AF385" s="18"/>
      <c r="AG385" s="17"/>
      <c r="AH385" s="16"/>
      <c r="AI385" s="27"/>
      <c r="AJ385" s="27"/>
      <c r="AK385" s="52"/>
      <c r="AL385" s="52"/>
    </row>
    <row r="386" spans="1:38" ht="60" hidden="1" x14ac:dyDescent="0.25">
      <c r="A386" s="14" t="s">
        <v>7039</v>
      </c>
      <c r="B386" s="7" t="s">
        <v>5877</v>
      </c>
      <c r="C386" s="7" t="s">
        <v>3</v>
      </c>
      <c r="D386" s="7" t="s">
        <v>5978</v>
      </c>
      <c r="E386" s="7" t="s">
        <v>5978</v>
      </c>
      <c r="F386" s="7" t="s">
        <v>5978</v>
      </c>
      <c r="G386" s="7"/>
      <c r="H386" s="7"/>
      <c r="I386" s="7"/>
      <c r="J386" s="20" t="e">
        <f>VLOOKUP(V386,Table_to_BRG!A:D,3,FALSE)</f>
        <v>#N/A</v>
      </c>
      <c r="K386" s="20" t="e">
        <f>VLOOKUP(V386,Table_to_BRG!A:D,2,FALSE)</f>
        <v>#N/A</v>
      </c>
      <c r="L386" s="20"/>
      <c r="M386" s="20"/>
      <c r="N386" s="9" t="s">
        <v>6465</v>
      </c>
      <c r="O386" s="54" t="s">
        <v>7812</v>
      </c>
      <c r="P386" s="7" t="s">
        <v>4052</v>
      </c>
      <c r="Q386" s="11" t="str">
        <f>RIGHT("00"&amp;Table362[[#This Row],[Rule '#]],3)&amp;"_"&amp;IF(Table362[[#This Row],[Entity]]="Material","MATL",LEFT(UPPER(Table362[[#This Row],[Entity]]),4))&amp;"_"&amp;MID(SUBSTITUTE(Table362[[#This Row],[Rule Name]],"_","|",3),SEARCH("|",SUBSTITUTE(Table362[[#This Row],[Rule Name]],"_","|",3))+1,LEN(Table362[[#This Row],[Rule Name]]))</f>
        <v>009_MATL_TRADING PARTNER IS WITHIN LIST</v>
      </c>
      <c r="R386" s="8" t="s">
        <v>5963</v>
      </c>
      <c r="S386" s="7" t="s">
        <v>21</v>
      </c>
      <c r="T386" s="7" t="s">
        <v>4135</v>
      </c>
      <c r="U386" s="7"/>
      <c r="V386" s="7"/>
      <c r="W386" s="7" t="s">
        <v>4151</v>
      </c>
      <c r="X386" s="8"/>
      <c r="Y386" s="7" t="s">
        <v>4157</v>
      </c>
      <c r="Z386" s="7" t="s">
        <v>4158</v>
      </c>
      <c r="AA386" s="11" t="str">
        <f>"BEGIN
     RETURN exists('DS_IS_RDS', '"&amp;Table362[[#This Row],[Lookup Table]]&amp;"', '"&amp;Table362[[#This Row],[Lookup Field]]&amp;"', "&amp;Table362[[#This Row],[IS Parameter]]&amp;");
END"</f>
        <v>BEGIN
     RETURN exists('DS_IS_RDS', 'T880', 'RCOMP', );
END</v>
      </c>
      <c r="AB386" s="11"/>
      <c r="AC386" s="11"/>
      <c r="AD386" s="11"/>
      <c r="AH386" s="8" t="s">
        <v>5969</v>
      </c>
      <c r="AI386" s="20"/>
      <c r="AJ386" s="20"/>
      <c r="AK386" s="31"/>
      <c r="AL386" s="31"/>
    </row>
    <row r="387" spans="1:38" ht="36" hidden="1" x14ac:dyDescent="0.25">
      <c r="A387" s="14" t="s">
        <v>7040</v>
      </c>
      <c r="B387" s="7" t="s">
        <v>5877</v>
      </c>
      <c r="C387" s="7" t="s">
        <v>3</v>
      </c>
      <c r="D387" s="7" t="s">
        <v>5978</v>
      </c>
      <c r="E387" s="7" t="s">
        <v>5978</v>
      </c>
      <c r="F387" s="7" t="s">
        <v>5978</v>
      </c>
      <c r="G387" s="7"/>
      <c r="H387" s="7"/>
      <c r="I387" s="7"/>
      <c r="J387" s="20" t="e">
        <f>VLOOKUP(V387,Table_to_BRG!A:D,3,FALSE)</f>
        <v>#N/A</v>
      </c>
      <c r="K387" s="20" t="e">
        <f>VLOOKUP(V387,Table_to_BRG!A:D,2,FALSE)</f>
        <v>#N/A</v>
      </c>
      <c r="L387" s="20"/>
      <c r="M387" s="20"/>
      <c r="N387" s="9" t="s">
        <v>6465</v>
      </c>
      <c r="O387" s="54" t="s">
        <v>7812</v>
      </c>
      <c r="P387" s="7" t="s">
        <v>4053</v>
      </c>
      <c r="Q387" s="11" t="str">
        <f>RIGHT("00"&amp;Table362[[#This Row],[Rule '#]],3)&amp;"_"&amp;IF(Table362[[#This Row],[Entity]]="Material","MATL",LEFT(UPPER(Table362[[#This Row],[Entity]]),4))&amp;"_"&amp;MID(SUBSTITUTE(Table362[[#This Row],[Rule Name]],"_","|",3),SEARCH("|",SUBSTITUTE(Table362[[#This Row],[Rule Name]],"_","|",3))+1,LEN(Table362[[#This Row],[Rule Name]]))</f>
        <v>010_MATL_ABC INDICATOR IS WITHIN LIST</v>
      </c>
      <c r="R387" s="8" t="s">
        <v>3989</v>
      </c>
      <c r="S387" s="7" t="s">
        <v>4135</v>
      </c>
      <c r="T387" s="7"/>
      <c r="U387" s="7"/>
      <c r="V387" s="7"/>
      <c r="W387" s="7" t="s">
        <v>4151</v>
      </c>
      <c r="X387" s="8"/>
      <c r="Y387" s="7"/>
      <c r="Z387" s="7"/>
      <c r="AA387" s="11" t="s">
        <v>4159</v>
      </c>
      <c r="AB387" s="11"/>
      <c r="AC387" s="11"/>
      <c r="AD387" s="11"/>
      <c r="AH387" s="8" t="s">
        <v>5969</v>
      </c>
      <c r="AI387" s="20"/>
      <c r="AJ387" s="20"/>
      <c r="AK387" s="31"/>
      <c r="AL387" s="31"/>
    </row>
    <row r="388" spans="1:38" ht="90" hidden="1" x14ac:dyDescent="0.25">
      <c r="A388" s="14" t="s">
        <v>7041</v>
      </c>
      <c r="B388" s="7" t="s">
        <v>5877</v>
      </c>
      <c r="C388" s="7" t="s">
        <v>3</v>
      </c>
      <c r="D388" s="7" t="s">
        <v>6711</v>
      </c>
      <c r="E388" s="7" t="s">
        <v>6712</v>
      </c>
      <c r="F388" s="7" t="s">
        <v>6725</v>
      </c>
      <c r="G388" s="7"/>
      <c r="H388" s="7"/>
      <c r="I388" s="7"/>
      <c r="J388" s="20" t="str">
        <f>VLOOKUP(V388,Table_to_BRG!A:D,3,FALSE)</f>
        <v>General data</v>
      </c>
      <c r="K388" s="20" t="str">
        <f>VLOOKUP(V388,Table_to_BRG!A:D,2,FALSE)</f>
        <v>General</v>
      </c>
      <c r="L388" s="20"/>
      <c r="M388" s="20"/>
      <c r="N388" s="9" t="s">
        <v>6465</v>
      </c>
      <c r="O388" s="54" t="s">
        <v>7812</v>
      </c>
      <c r="P388" s="7" t="s">
        <v>4054</v>
      </c>
      <c r="Q388" s="11" t="str">
        <f>RIGHT("00"&amp;Table362[[#This Row],[Rule '#]],3)&amp;"_"&amp;IF(Table362[[#This Row],[Entity]]="Material","MATL",LEFT(UPPER(Table362[[#This Row],[Entity]]),4))&amp;"_"&amp;MID(SUBSTITUTE(Table362[[#This Row],[Rule Name]],"_","|",3),SEARCH("|",SUBSTITUTE(Table362[[#This Row],[Rule Name]],"_","|",3))+1,LEN(Table362[[#This Row],[Rule Name]]))</f>
        <v>011_MATL_PERIOD.IND FORSLED</v>
      </c>
      <c r="R388" s="8" t="s">
        <v>5964</v>
      </c>
      <c r="S388" s="7" t="s">
        <v>4135</v>
      </c>
      <c r="T388" s="7"/>
      <c r="U388" s="7"/>
      <c r="V388" s="7" t="s">
        <v>1526</v>
      </c>
      <c r="W388" s="7" t="s">
        <v>4160</v>
      </c>
      <c r="X388" s="8"/>
      <c r="Y388" s="7"/>
      <c r="Z388" s="7"/>
      <c r="AA388" s="11" t="s">
        <v>4161</v>
      </c>
      <c r="AB388" s="11"/>
      <c r="AC388" s="11"/>
      <c r="AD388" s="11"/>
      <c r="AH388" s="8"/>
      <c r="AI388" s="20"/>
      <c r="AJ388" s="20"/>
      <c r="AK388" s="31"/>
      <c r="AL388" s="31"/>
    </row>
    <row r="389" spans="1:38" ht="75" hidden="1" x14ac:dyDescent="0.25">
      <c r="A389" s="14" t="s">
        <v>7042</v>
      </c>
      <c r="B389" s="7" t="s">
        <v>5877</v>
      </c>
      <c r="C389" s="7" t="s">
        <v>3</v>
      </c>
      <c r="D389" s="7" t="s">
        <v>6711</v>
      </c>
      <c r="E389" s="7" t="s">
        <v>6712</v>
      </c>
      <c r="F389" s="7" t="s">
        <v>6713</v>
      </c>
      <c r="G389" s="7"/>
      <c r="H389" s="7"/>
      <c r="I389" s="7"/>
      <c r="J389" s="20" t="str">
        <f>VLOOKUP(V389,Table_to_BRG!A:D,3,FALSE)</f>
        <v>Plant data</v>
      </c>
      <c r="K389" s="20" t="str">
        <f>VLOOKUP(V389,Table_to_BRG!A:D,2,FALSE)</f>
        <v>Plant</v>
      </c>
      <c r="L389" s="20"/>
      <c r="M389" s="20"/>
      <c r="N389" s="9" t="s">
        <v>6465</v>
      </c>
      <c r="O389" s="54" t="s">
        <v>7812</v>
      </c>
      <c r="P389" s="7" t="s">
        <v>4055</v>
      </c>
      <c r="Q389" s="11" t="str">
        <f>RIGHT("00"&amp;Table362[[#This Row],[Rule '#]],3)&amp;"_"&amp;IF(Table362[[#This Row],[Entity]]="Material","MATL",LEFT(UPPER(Table362[[#This Row],[Entity]]),4))&amp;"_"&amp;MID(SUBSTITUTE(Table362[[#This Row],[Rule Name]],"_","|",3),SEARCH("|",SUBSTITUTE(Table362[[#This Row],[Rule Name]],"_","|",3))+1,LEN(Table362[[#This Row],[Rule Name]]))</f>
        <v>012_MATL_LOADING GROUP</v>
      </c>
      <c r="R389" s="8" t="s">
        <v>5965</v>
      </c>
      <c r="S389" s="7" t="s">
        <v>21</v>
      </c>
      <c r="T389" s="7" t="s">
        <v>139</v>
      </c>
      <c r="U389" s="7"/>
      <c r="V389" s="7" t="s">
        <v>1527</v>
      </c>
      <c r="W389" s="7" t="s">
        <v>5968</v>
      </c>
      <c r="X389" s="8"/>
      <c r="Y389" s="7" t="s">
        <v>4162</v>
      </c>
      <c r="Z389" s="7" t="s">
        <v>2394</v>
      </c>
      <c r="AA389" s="11" t="str">
        <f>"BEGIN
     RETURN exists('DS_IS_RDS', '"&amp;Table362[[#This Row],[Lookup Table]]&amp;"', '"&amp;Table362[[#This Row],[Lookup Field]]&amp;"', "&amp;Table362[[#This Row],[IS Parameter]]&amp;");
END"</f>
        <v>BEGIN
     RETURN exists('DS_IS_RDS', 'TLGR', 'LADGR', );
END</v>
      </c>
      <c r="AB389" s="11"/>
      <c r="AC389" s="11" t="s">
        <v>6663</v>
      </c>
      <c r="AD389" s="11"/>
      <c r="AH389" s="8"/>
      <c r="AI389" s="20" t="s">
        <v>7713</v>
      </c>
      <c r="AJ389" s="20"/>
      <c r="AK389" s="31"/>
      <c r="AL389" s="31"/>
    </row>
    <row r="390" spans="1:38" ht="60" hidden="1" x14ac:dyDescent="0.25">
      <c r="A390" s="14" t="s">
        <v>7043</v>
      </c>
      <c r="B390" s="7" t="s">
        <v>5877</v>
      </c>
      <c r="C390" s="7" t="s">
        <v>3</v>
      </c>
      <c r="D390" s="7" t="s">
        <v>6711</v>
      </c>
      <c r="E390" s="7" t="s">
        <v>6712</v>
      </c>
      <c r="F390" s="7" t="s">
        <v>6713</v>
      </c>
      <c r="G390" s="7"/>
      <c r="H390" s="7"/>
      <c r="I390" s="7"/>
      <c r="J390" s="20" t="str">
        <f>VLOOKUP(V390,Table_to_BRG!A:D,3,FALSE)</f>
        <v>Plant data</v>
      </c>
      <c r="K390" s="20" t="str">
        <f>VLOOKUP(V390,Table_to_BRG!A:D,2,FALSE)</f>
        <v>Plant</v>
      </c>
      <c r="L390" s="20"/>
      <c r="M390" s="20"/>
      <c r="N390" s="9" t="s">
        <v>6465</v>
      </c>
      <c r="O390" s="54" t="s">
        <v>7812</v>
      </c>
      <c r="P390" s="7" t="s">
        <v>4056</v>
      </c>
      <c r="Q390" s="11" t="str">
        <f>RIGHT("00"&amp;Table362[[#This Row],[Rule '#]],3)&amp;"_"&amp;IF(Table362[[#This Row],[Entity]]="Material","MATL",LEFT(UPPER(Table362[[#This Row],[Entity]]),4))&amp;"_"&amp;MID(SUBSTITUTE(Table362[[#This Row],[Rule Name]],"_","|",3),SEARCH("|",SUBSTITUTE(Table362[[#This Row],[Rule Name]],"_","|",3))+1,LEN(Table362[[#This Row],[Rule Name]]))</f>
        <v>013_MATL_SCHEDLE MARGINKEY</v>
      </c>
      <c r="R390" s="8" t="s">
        <v>5966</v>
      </c>
      <c r="S390" s="7" t="s">
        <v>21</v>
      </c>
      <c r="T390" s="7" t="s">
        <v>4135</v>
      </c>
      <c r="U390" s="7"/>
      <c r="V390" s="7" t="s">
        <v>1527</v>
      </c>
      <c r="W390" s="7" t="s">
        <v>5967</v>
      </c>
      <c r="X390" s="8"/>
      <c r="Y390" s="7" t="s">
        <v>4163</v>
      </c>
      <c r="Z390" s="7" t="s">
        <v>2126</v>
      </c>
      <c r="AA390" s="11" t="str">
        <f>"BEGIN
     RETURN exists('DS_IS_RDS', '"&amp;Table362[[#This Row],[Lookup Table]]&amp;"', '"&amp;Table362[[#This Row],[Lookup Field]]&amp;"', "&amp;Table362[[#This Row],[IS Parameter]]&amp;");
END"</f>
        <v>BEGIN
     RETURN exists('DS_IS_RDS', 'T436A', 'FHORI', );
END</v>
      </c>
      <c r="AB390" s="11"/>
      <c r="AC390" s="11" t="s">
        <v>6663</v>
      </c>
      <c r="AD390" s="11"/>
      <c r="AH390" s="8"/>
      <c r="AI390" s="20"/>
      <c r="AJ390" s="20"/>
      <c r="AK390" s="31"/>
      <c r="AL390" s="31"/>
    </row>
    <row r="391" spans="1:38" ht="36" hidden="1" x14ac:dyDescent="0.25">
      <c r="A391" s="14" t="s">
        <v>7044</v>
      </c>
      <c r="B391" s="7" t="s">
        <v>5877</v>
      </c>
      <c r="C391" s="7" t="s">
        <v>3</v>
      </c>
      <c r="D391" s="7" t="s">
        <v>5978</v>
      </c>
      <c r="E391" s="7" t="s">
        <v>5978</v>
      </c>
      <c r="F391" s="7" t="s">
        <v>5978</v>
      </c>
      <c r="G391" s="7"/>
      <c r="H391" s="7"/>
      <c r="I391" s="7"/>
      <c r="J391" s="20" t="e">
        <f>VLOOKUP(V391,Table_to_BRG!A:D,3,FALSE)</f>
        <v>#N/A</v>
      </c>
      <c r="K391" s="20" t="e">
        <f>VLOOKUP(V391,Table_to_BRG!A:D,2,FALSE)</f>
        <v>#N/A</v>
      </c>
      <c r="L391" s="20"/>
      <c r="M391" s="20"/>
      <c r="N391" s="9" t="s">
        <v>6465</v>
      </c>
      <c r="O391" s="54" t="s">
        <v>7812</v>
      </c>
      <c r="P391" s="7" t="s">
        <v>4057</v>
      </c>
      <c r="Q391" s="11" t="str">
        <f>RIGHT("00"&amp;Table362[[#This Row],[Rule '#]],3)&amp;"_"&amp;IF(Table362[[#This Row],[Entity]]="Material","MATL",LEFT(UPPER(Table362[[#This Row],[Entity]]),4))&amp;"_"&amp;MID(SUBSTITUTE(Table362[[#This Row],[Rule Name]],"_","|",3),SEARCH("|",SUBSTITUTE(Table362[[#This Row],[Rule Name]],"_","|",3))+1,LEN(Table362[[#This Row],[Rule Name]]))</f>
        <v>014_MATL_MATERIAL GROUP IS WITHIN LIST</v>
      </c>
      <c r="R391" s="8" t="s">
        <v>3990</v>
      </c>
      <c r="S391" s="7" t="s">
        <v>21</v>
      </c>
      <c r="T391" s="7" t="s">
        <v>4135</v>
      </c>
      <c r="U391" s="7"/>
      <c r="V391" s="7"/>
      <c r="W391" s="7" t="s">
        <v>4164</v>
      </c>
      <c r="X391" s="8"/>
      <c r="Y391" s="7" t="s">
        <v>4165</v>
      </c>
      <c r="Z391" s="7" t="s">
        <v>1620</v>
      </c>
      <c r="AA391" s="11" t="str">
        <f>"BEGIN
     RETURN exists('DS_IS_RDS', '"&amp;Table362[[#This Row],[Lookup Table]]&amp;"', '"&amp;Table362[[#This Row],[Lookup Field]]&amp;"', upper("&amp;Table362[[#This Row],[IS Parameter]]&amp;");
END"</f>
        <v>BEGIN
     RETURN exists('DS_IS_RDS', 'T023', 'MATKL', upper();
END</v>
      </c>
      <c r="AB391" s="11"/>
      <c r="AC391" s="11"/>
      <c r="AD391" s="11"/>
      <c r="AH391" s="8"/>
      <c r="AI391" s="20"/>
      <c r="AJ391" s="20"/>
      <c r="AK391" s="31"/>
      <c r="AL391" s="31"/>
    </row>
    <row r="392" spans="1:38" ht="60" hidden="1" x14ac:dyDescent="0.25">
      <c r="A392" s="14" t="s">
        <v>7045</v>
      </c>
      <c r="B392" s="7" t="s">
        <v>5877</v>
      </c>
      <c r="C392" s="7" t="s">
        <v>3</v>
      </c>
      <c r="D392" s="7" t="s">
        <v>5978</v>
      </c>
      <c r="E392" s="7" t="s">
        <v>5978</v>
      </c>
      <c r="F392" s="7" t="s">
        <v>5978</v>
      </c>
      <c r="G392" s="7"/>
      <c r="H392" s="7"/>
      <c r="I392" s="7"/>
      <c r="J392" s="20" t="e">
        <f>VLOOKUP(V392,Table_to_BRG!A:D,3,FALSE)</f>
        <v>#N/A</v>
      </c>
      <c r="K392" s="20" t="e">
        <f>VLOOKUP(V392,Table_to_BRG!A:D,2,FALSE)</f>
        <v>#N/A</v>
      </c>
      <c r="L392" s="20"/>
      <c r="M392" s="20"/>
      <c r="N392" s="9" t="s">
        <v>6465</v>
      </c>
      <c r="O392" s="54" t="s">
        <v>7812</v>
      </c>
      <c r="P392" s="7" t="s">
        <v>4058</v>
      </c>
      <c r="Q392" s="11" t="str">
        <f>RIGHT("00"&amp;Table362[[#This Row],[Rule '#]],3)&amp;"_"&amp;IF(Table362[[#This Row],[Entity]]="Material","MATL",LEFT(UPPER(Table362[[#This Row],[Entity]]),4))&amp;"_"&amp;MID(SUBSTITUTE(Table362[[#This Row],[Rule Name]],"_","|",3),SEARCH("|",SUBSTITUTE(Table362[[#This Row],[Rule Name]],"_","|",3))+1,LEN(Table362[[#This Row],[Rule Name]]))</f>
        <v>015_MATL_GROUP FOR CALC SCHEMA IS WITHIN LIST</v>
      </c>
      <c r="R392" s="8" t="s">
        <v>5975</v>
      </c>
      <c r="S392" s="7" t="s">
        <v>21</v>
      </c>
      <c r="T392" s="7" t="s">
        <v>4135</v>
      </c>
      <c r="U392" s="7"/>
      <c r="V392" s="7"/>
      <c r="W392" s="7" t="s">
        <v>4151</v>
      </c>
      <c r="X392" s="8"/>
      <c r="Y392" s="7" t="s">
        <v>4166</v>
      </c>
      <c r="Z392" s="7" t="s">
        <v>3891</v>
      </c>
      <c r="AA392" s="11" t="str">
        <f>"BEGIN
     RETURN exists('DS_IS_RDS', '"&amp;Table362[[#This Row],[Lookup Table]]&amp;"', '"&amp;Table362[[#This Row],[Lookup Field]]&amp;"', upper("&amp;Table362[[#This Row],[IS Parameter]]&amp;");
END"</f>
        <v>BEGIN
     RETURN exists('DS_IS_RDS', 'TMKK', 'KALSK', upper();
END</v>
      </c>
      <c r="AB392" s="11"/>
      <c r="AC392" s="11"/>
      <c r="AD392" s="11"/>
      <c r="AH392" s="8" t="s">
        <v>5969</v>
      </c>
      <c r="AI392" s="20"/>
      <c r="AJ392" s="20"/>
      <c r="AK392" s="31"/>
      <c r="AL392" s="31"/>
    </row>
    <row r="393" spans="1:38" ht="48" hidden="1" x14ac:dyDescent="0.25">
      <c r="A393" s="14" t="s">
        <v>7046</v>
      </c>
      <c r="B393" s="7" t="s">
        <v>5877</v>
      </c>
      <c r="C393" s="7" t="s">
        <v>3</v>
      </c>
      <c r="D393" s="7" t="s">
        <v>5978</v>
      </c>
      <c r="E393" s="7" t="s">
        <v>5978</v>
      </c>
      <c r="F393" s="7" t="s">
        <v>5978</v>
      </c>
      <c r="G393" s="7"/>
      <c r="H393" s="7"/>
      <c r="I393" s="7"/>
      <c r="J393" s="20" t="e">
        <f>VLOOKUP(V393,Table_to_BRG!A:D,3,FALSE)</f>
        <v>#N/A</v>
      </c>
      <c r="K393" s="20" t="e">
        <f>VLOOKUP(V393,Table_to_BRG!A:D,2,FALSE)</f>
        <v>#N/A</v>
      </c>
      <c r="L393" s="20"/>
      <c r="M393" s="20"/>
      <c r="N393" s="9" t="s">
        <v>6465</v>
      </c>
      <c r="O393" s="54" t="s">
        <v>7812</v>
      </c>
      <c r="P393" s="7" t="s">
        <v>4059</v>
      </c>
      <c r="Q393" s="11" t="str">
        <f>RIGHT("00"&amp;Table362[[#This Row],[Rule '#]],3)&amp;"_"&amp;IF(Table362[[#This Row],[Entity]]="Material","MATL",LEFT(UPPER(Table362[[#This Row],[Entity]]),4))&amp;"_"&amp;MID(SUBSTITUTE(Table362[[#This Row],[Rule Name]],"_","|",3),SEARCH("|",SUBSTITUTE(Table362[[#This Row],[Rule Name]],"_","|",3))+1,LEN(Table362[[#This Row],[Rule Name]]))</f>
        <v>016_MATL_IR_MATERIAL WITHIN LIST</v>
      </c>
      <c r="R393" s="8" t="s">
        <v>6102</v>
      </c>
      <c r="S393" s="7" t="s">
        <v>21</v>
      </c>
      <c r="T393" s="7"/>
      <c r="U393" s="7"/>
      <c r="V393" s="7"/>
      <c r="W393" s="7" t="s">
        <v>4167</v>
      </c>
      <c r="X393" s="8"/>
      <c r="Y393" s="7" t="s">
        <v>1526</v>
      </c>
      <c r="Z393" s="7" t="s">
        <v>1492</v>
      </c>
      <c r="AA393" s="11" t="str">
        <f>"BEGIN
     RETURN exists('DS_IS_RDS', '"&amp;Table362[[#This Row],[Lookup Table]]&amp;"', '"&amp;Table362[[#This Row],[Lookup Field]]&amp;"', lpad("&amp;Table362[[#This Row],[IS Parameter]]&amp;", 18, '0');
END"</f>
        <v>BEGIN
     RETURN exists('DS_IS_RDS', 'MARA', 'MATNR', lpad(, 18, '0');
END</v>
      </c>
      <c r="AB393" s="11"/>
      <c r="AC393" s="11"/>
      <c r="AD393" s="11"/>
      <c r="AH393" s="8"/>
      <c r="AI393" s="20"/>
      <c r="AJ393" s="20"/>
      <c r="AK393" s="31"/>
      <c r="AL393" s="31"/>
    </row>
    <row r="394" spans="1:38" ht="60" hidden="1" x14ac:dyDescent="0.25">
      <c r="A394" s="14" t="s">
        <v>7047</v>
      </c>
      <c r="B394" s="7" t="s">
        <v>5877</v>
      </c>
      <c r="C394" s="7" t="s">
        <v>3</v>
      </c>
      <c r="D394" s="7" t="s">
        <v>5978</v>
      </c>
      <c r="E394" s="7" t="s">
        <v>5978</v>
      </c>
      <c r="F394" s="7" t="s">
        <v>5978</v>
      </c>
      <c r="G394" s="7"/>
      <c r="H394" s="7"/>
      <c r="I394" s="7"/>
      <c r="J394" s="20" t="e">
        <f>VLOOKUP(V394,Table_to_BRG!A:D,3,FALSE)</f>
        <v>#N/A</v>
      </c>
      <c r="K394" s="20" t="e">
        <f>VLOOKUP(V394,Table_to_BRG!A:D,2,FALSE)</f>
        <v>#N/A</v>
      </c>
      <c r="L394" s="20"/>
      <c r="M394" s="20"/>
      <c r="N394" s="9" t="s">
        <v>6465</v>
      </c>
      <c r="O394" s="54" t="s">
        <v>7812</v>
      </c>
      <c r="P394" s="7" t="s">
        <v>4060</v>
      </c>
      <c r="Q394" s="11" t="str">
        <f>RIGHT("00"&amp;Table362[[#This Row],[Rule '#]],3)&amp;"_"&amp;IF(Table362[[#This Row],[Entity]]="Material","MATL",LEFT(UPPER(Table362[[#This Row],[Entity]]),4))&amp;"_"&amp;MID(SUBSTITUTE(Table362[[#This Row],[Rule Name]],"_","|",3),SEARCH("|",SUBSTITUTE(Table362[[#This Row],[Rule Name]],"_","|",3))+1,LEN(Table362[[#This Row],[Rule Name]]))</f>
        <v>017_MATL_TITLE</v>
      </c>
      <c r="R394" s="8" t="s">
        <v>6103</v>
      </c>
      <c r="S394" s="7" t="s">
        <v>4135</v>
      </c>
      <c r="T394" s="7" t="s">
        <v>139</v>
      </c>
      <c r="U394" s="7"/>
      <c r="V394" s="7"/>
      <c r="W394" s="7" t="s">
        <v>4168</v>
      </c>
      <c r="X394" s="8"/>
      <c r="Y394" s="7"/>
      <c r="Z394" s="7"/>
      <c r="AA394" s="11" t="s">
        <v>4169</v>
      </c>
      <c r="AB394" s="11"/>
      <c r="AC394" s="11"/>
      <c r="AD394" s="11"/>
      <c r="AH394" s="8"/>
      <c r="AI394" s="20"/>
      <c r="AJ394" s="20"/>
      <c r="AK394" s="31"/>
      <c r="AL394" s="31"/>
    </row>
    <row r="395" spans="1:38" ht="36" hidden="1" x14ac:dyDescent="0.25">
      <c r="A395" s="14" t="s">
        <v>7048</v>
      </c>
      <c r="B395" s="7" t="s">
        <v>5877</v>
      </c>
      <c r="C395" s="7" t="s">
        <v>3</v>
      </c>
      <c r="D395" s="7" t="s">
        <v>5978</v>
      </c>
      <c r="E395" s="7" t="s">
        <v>5978</v>
      </c>
      <c r="F395" s="7" t="s">
        <v>5978</v>
      </c>
      <c r="G395" s="7"/>
      <c r="H395" s="7"/>
      <c r="I395" s="7"/>
      <c r="J395" s="20" t="e">
        <f>VLOOKUP(V395,Table_to_BRG!A:D,3,FALSE)</f>
        <v>#N/A</v>
      </c>
      <c r="K395" s="20" t="e">
        <f>VLOOKUP(V395,Table_to_BRG!A:D,2,FALSE)</f>
        <v>#N/A</v>
      </c>
      <c r="L395" s="20"/>
      <c r="M395" s="20"/>
      <c r="N395" s="9" t="s">
        <v>6465</v>
      </c>
      <c r="O395" s="54" t="s">
        <v>7812</v>
      </c>
      <c r="P395" s="7" t="s">
        <v>4061</v>
      </c>
      <c r="Q395" s="11" t="str">
        <f>RIGHT("00"&amp;Table362[[#This Row],[Rule '#]],3)&amp;"_"&amp;IF(Table362[[#This Row],[Entity]]="Material","MATL",LEFT(UPPER(Table362[[#This Row],[Entity]]),4))&amp;"_"&amp;MID(SUBSTITUTE(Table362[[#This Row],[Rule Name]],"_","|",3),SEARCH("|",SUBSTITUTE(Table362[[#This Row],[Rule Name]],"_","|",3))+1,LEN(Table362[[#This Row],[Rule Name]]))</f>
        <v>018_MATL_MINIMUM ORDER VALUE IS INTEGER</v>
      </c>
      <c r="R395" s="8" t="s">
        <v>3992</v>
      </c>
      <c r="S395" s="7"/>
      <c r="T395" s="7" t="s">
        <v>4135</v>
      </c>
      <c r="U395" s="7"/>
      <c r="V395" s="7"/>
      <c r="W395" s="7" t="s">
        <v>4151</v>
      </c>
      <c r="X395" s="8"/>
      <c r="Y395" s="7"/>
      <c r="Z395" s="7"/>
      <c r="AA395" s="11" t="s">
        <v>4170</v>
      </c>
      <c r="AB395" s="11"/>
      <c r="AC395" s="11"/>
      <c r="AD395" s="11"/>
      <c r="AH395" s="8" t="s">
        <v>5969</v>
      </c>
      <c r="AI395" s="20"/>
      <c r="AJ395" s="20"/>
      <c r="AK395" s="31"/>
      <c r="AL395" s="31"/>
    </row>
    <row r="396" spans="1:38" ht="60" hidden="1" x14ac:dyDescent="0.25">
      <c r="A396" s="14" t="s">
        <v>7049</v>
      </c>
      <c r="B396" s="7" t="s">
        <v>5877</v>
      </c>
      <c r="C396" s="7" t="s">
        <v>3</v>
      </c>
      <c r="D396" s="7" t="s">
        <v>6711</v>
      </c>
      <c r="E396" s="7" t="s">
        <v>6712</v>
      </c>
      <c r="F396" s="7" t="s">
        <v>6745</v>
      </c>
      <c r="G396" s="7"/>
      <c r="H396" s="7"/>
      <c r="I396" s="7"/>
      <c r="J396" s="20" t="str">
        <f>VLOOKUP(V396,Table_to_BRG!A:D,3,FALSE)</f>
        <v>Valuation data</v>
      </c>
      <c r="K396" s="20" t="str">
        <f>VLOOKUP(V396,Table_to_BRG!A:D,2,FALSE)</f>
        <v>Valuation</v>
      </c>
      <c r="L396" s="20"/>
      <c r="M396" s="20"/>
      <c r="N396" s="9" t="s">
        <v>6465</v>
      </c>
      <c r="O396" s="54" t="s">
        <v>7812</v>
      </c>
      <c r="P396" s="7" t="s">
        <v>4062</v>
      </c>
      <c r="Q396" s="11" t="str">
        <f>RIGHT("00"&amp;Table362[[#This Row],[Rule '#]],3)&amp;"_"&amp;IF(Table362[[#This Row],[Entity]]="Material","MATL",LEFT(UPPER(Table362[[#This Row],[Entity]]),4))&amp;"_"&amp;MID(SUBSTITUTE(Table362[[#This Row],[Rule Name]],"_","|",3),SEARCH("|",SUBSTITUTE(Table362[[#This Row],[Rule Name]],"_","|",3))+1,LEN(Table362[[#This Row],[Rule Name]]))</f>
        <v>019_MATL_VALUATION CAT</v>
      </c>
      <c r="R396" s="8" t="s">
        <v>3993</v>
      </c>
      <c r="S396" s="7"/>
      <c r="T396" s="7" t="s">
        <v>139</v>
      </c>
      <c r="U396" s="7"/>
      <c r="V396" s="7" t="s">
        <v>1528</v>
      </c>
      <c r="W396" s="7" t="s">
        <v>4171</v>
      </c>
      <c r="X396" s="8"/>
      <c r="Y396" s="7" t="s">
        <v>4172</v>
      </c>
      <c r="Z396" s="7" t="s">
        <v>4173</v>
      </c>
      <c r="AA396" s="11" t="s">
        <v>4174</v>
      </c>
      <c r="AB396" s="11"/>
      <c r="AC396" s="11"/>
      <c r="AD396" s="11"/>
      <c r="AH396" s="8"/>
      <c r="AI396" s="20"/>
      <c r="AJ396" s="20"/>
      <c r="AK396" s="31"/>
      <c r="AL396" s="31"/>
    </row>
    <row r="397" spans="1:38" ht="90" hidden="1" x14ac:dyDescent="0.25">
      <c r="A397" s="14" t="s">
        <v>7050</v>
      </c>
      <c r="B397" s="7" t="s">
        <v>5877</v>
      </c>
      <c r="C397" s="7" t="s">
        <v>3</v>
      </c>
      <c r="D397" s="7" t="s">
        <v>5978</v>
      </c>
      <c r="E397" s="7" t="s">
        <v>5978</v>
      </c>
      <c r="F397" s="7" t="s">
        <v>5978</v>
      </c>
      <c r="G397" s="7"/>
      <c r="H397" s="7"/>
      <c r="I397" s="7"/>
      <c r="J397" s="20" t="e">
        <f>VLOOKUP(V397,Table_to_BRG!A:D,3,FALSE)</f>
        <v>#N/A</v>
      </c>
      <c r="K397" s="20" t="e">
        <f>VLOOKUP(V397,Table_to_BRG!A:D,2,FALSE)</f>
        <v>#N/A</v>
      </c>
      <c r="L397" s="20"/>
      <c r="M397" s="20"/>
      <c r="N397" s="9" t="s">
        <v>6465</v>
      </c>
      <c r="O397" s="54" t="s">
        <v>7812</v>
      </c>
      <c r="P397" s="7" t="s">
        <v>4063</v>
      </c>
      <c r="Q397" s="11" t="e">
        <f>RIGHT("00"&amp;Table362[[#This Row],[Rule '#]],3)&amp;"_"&amp;IF(Table362[[#This Row],[Entity]]="Material","MATL",LEFT(UPPER(Table362[[#This Row],[Entity]]),4))&amp;"_"&amp;MID(SUBSTITUTE(Table362[[#This Row],[Rule Name]],"_","|",3),SEARCH("|",SUBSTITUTE(Table362[[#This Row],[Rule Name]],"_","|",3))+1,LEN(Table362[[#This Row],[Rule Name]]))</f>
        <v>#VALUE!</v>
      </c>
      <c r="R397" s="8" t="s">
        <v>3994</v>
      </c>
      <c r="S397" s="7"/>
      <c r="T397" s="7" t="s">
        <v>21</v>
      </c>
      <c r="U397" s="7"/>
      <c r="V397" s="7"/>
      <c r="W397" s="7" t="s">
        <v>4151</v>
      </c>
      <c r="X397" s="8"/>
      <c r="Y397" s="7"/>
      <c r="Z397" s="7"/>
      <c r="AA397" s="11" t="s">
        <v>4175</v>
      </c>
      <c r="AB397" s="11"/>
      <c r="AC397" s="11"/>
      <c r="AD397" s="11"/>
      <c r="AH397" s="8" t="s">
        <v>5969</v>
      </c>
      <c r="AI397" s="20"/>
      <c r="AJ397" s="20"/>
      <c r="AK397" s="31"/>
      <c r="AL397" s="31"/>
    </row>
    <row r="398" spans="1:38" ht="36" hidden="1" x14ac:dyDescent="0.25">
      <c r="A398" s="14" t="s">
        <v>7051</v>
      </c>
      <c r="B398" s="7" t="s">
        <v>5877</v>
      </c>
      <c r="C398" s="7" t="s">
        <v>3</v>
      </c>
      <c r="D398" s="7" t="s">
        <v>5978</v>
      </c>
      <c r="E398" s="7" t="s">
        <v>5978</v>
      </c>
      <c r="F398" s="7" t="s">
        <v>5978</v>
      </c>
      <c r="G398" s="7"/>
      <c r="H398" s="7"/>
      <c r="I398" s="7"/>
      <c r="J398" s="20" t="e">
        <f>VLOOKUP(V398,Table_to_BRG!A:D,3,FALSE)</f>
        <v>#N/A</v>
      </c>
      <c r="K398" s="20" t="e">
        <f>VLOOKUP(V398,Table_to_BRG!A:D,2,FALSE)</f>
        <v>#N/A</v>
      </c>
      <c r="L398" s="20"/>
      <c r="M398" s="20"/>
      <c r="N398" s="9" t="s">
        <v>6465</v>
      </c>
      <c r="O398" s="54" t="s">
        <v>7812</v>
      </c>
      <c r="P398" s="7" t="s">
        <v>4064</v>
      </c>
      <c r="Q398" s="11" t="str">
        <f>RIGHT("00"&amp;Table362[[#This Row],[Rule '#]],3)&amp;"_"&amp;IF(Table362[[#This Row],[Entity]]="Material","MATL",LEFT(UPPER(Table362[[#This Row],[Entity]]),4))&amp;"_"&amp;MID(SUBSTITUTE(Table362[[#This Row],[Rule Name]],"_","|",3),SEARCH("|",SUBSTITUTE(Table362[[#This Row],[Rule Name]],"_","|",3))+1,LEN(Table362[[#This Row],[Rule Name]]))</f>
        <v>021_MATL_INDUSTRY SCTOR IS WITHIN LIST</v>
      </c>
      <c r="R398" s="8" t="s">
        <v>3995</v>
      </c>
      <c r="S398" s="7"/>
      <c r="T398" s="7" t="s">
        <v>4135</v>
      </c>
      <c r="U398" s="7"/>
      <c r="V398" s="7"/>
      <c r="W398" s="7" t="s">
        <v>4176</v>
      </c>
      <c r="X398" s="8"/>
      <c r="Y398" s="7" t="s">
        <v>4177</v>
      </c>
      <c r="Z398" s="7" t="s">
        <v>1615</v>
      </c>
      <c r="AA398" s="11" t="str">
        <f>"BEGIN
     RETURN exists('DS_IS_RDS', '"&amp;Table362[[#This Row],[Lookup Table]]&amp;"', '"&amp;Table362[[#This Row],[Lookup Field]]&amp;"', upper("&amp;Table362[[#This Row],[IS Parameter]]&amp;");
END"</f>
        <v>BEGIN
     RETURN exists('DS_IS_RDS', 'T137', 'MBRSH', upper();
END</v>
      </c>
      <c r="AB398" s="11"/>
      <c r="AC398" s="11"/>
      <c r="AD398" s="11"/>
      <c r="AH398" s="8"/>
      <c r="AI398" s="20"/>
      <c r="AJ398" s="20"/>
      <c r="AK398" s="31"/>
      <c r="AL398" s="31"/>
    </row>
    <row r="399" spans="1:38" ht="48" hidden="1" x14ac:dyDescent="0.25">
      <c r="A399" s="14" t="s">
        <v>7052</v>
      </c>
      <c r="B399" s="7" t="s">
        <v>5877</v>
      </c>
      <c r="C399" s="7" t="s">
        <v>3</v>
      </c>
      <c r="D399" s="7" t="s">
        <v>5978</v>
      </c>
      <c r="E399" s="7" t="s">
        <v>5978</v>
      </c>
      <c r="F399" s="7" t="s">
        <v>5978</v>
      </c>
      <c r="G399" s="7"/>
      <c r="H399" s="7"/>
      <c r="I399" s="7"/>
      <c r="J399" s="20" t="e">
        <f>VLOOKUP(V399,Table_to_BRG!A:D,3,FALSE)</f>
        <v>#N/A</v>
      </c>
      <c r="K399" s="20" t="e">
        <f>VLOOKUP(V399,Table_to_BRG!A:D,2,FALSE)</f>
        <v>#N/A</v>
      </c>
      <c r="L399" s="20"/>
      <c r="M399" s="20"/>
      <c r="N399" s="9" t="s">
        <v>6465</v>
      </c>
      <c r="O399" s="54" t="s">
        <v>7812</v>
      </c>
      <c r="P399" s="7" t="s">
        <v>4065</v>
      </c>
      <c r="Q399" s="11" t="e">
        <f>RIGHT("00"&amp;Table362[[#This Row],[Rule '#]],3)&amp;"_"&amp;IF(Table362[[#This Row],[Entity]]="Material","MATL",LEFT(UPPER(Table362[[#This Row],[Entity]]),4))&amp;"_"&amp;MID(SUBSTITUTE(Table362[[#This Row],[Rule Name]],"_","|",3),SEARCH("|",SUBSTITUTE(Table362[[#This Row],[Rule Name]],"_","|",3))+1,LEN(Table362[[#This Row],[Rule Name]]))</f>
        <v>#VALUE!</v>
      </c>
      <c r="R399" s="8"/>
      <c r="S399" s="7"/>
      <c r="T399" s="7" t="s">
        <v>4135</v>
      </c>
      <c r="U399" s="7"/>
      <c r="V399" s="7"/>
      <c r="W399" s="7" t="s">
        <v>4151</v>
      </c>
      <c r="X399" s="8"/>
      <c r="Y399" s="7"/>
      <c r="Z399" s="7"/>
      <c r="AA399" s="11" t="s">
        <v>4178</v>
      </c>
      <c r="AB399" s="11"/>
      <c r="AC399" s="11"/>
      <c r="AD399" s="11"/>
      <c r="AH399" s="8" t="s">
        <v>5969</v>
      </c>
      <c r="AI399" s="20"/>
      <c r="AJ399" s="20"/>
      <c r="AK399" s="31"/>
      <c r="AL399" s="31"/>
    </row>
    <row r="400" spans="1:38" ht="36" hidden="1" x14ac:dyDescent="0.25">
      <c r="A400" s="14" t="s">
        <v>7053</v>
      </c>
      <c r="B400" s="7" t="s">
        <v>5877</v>
      </c>
      <c r="C400" s="7" t="s">
        <v>3</v>
      </c>
      <c r="D400" s="7" t="s">
        <v>5978</v>
      </c>
      <c r="E400" s="7" t="s">
        <v>5978</v>
      </c>
      <c r="F400" s="7" t="s">
        <v>5978</v>
      </c>
      <c r="G400" s="7"/>
      <c r="H400" s="7"/>
      <c r="I400" s="7"/>
      <c r="J400" s="20" t="e">
        <f>VLOOKUP(V400,Table_to_BRG!A:D,3,FALSE)</f>
        <v>#N/A</v>
      </c>
      <c r="K400" s="20" t="e">
        <f>VLOOKUP(V400,Table_to_BRG!A:D,2,FALSE)</f>
        <v>#N/A</v>
      </c>
      <c r="L400" s="20"/>
      <c r="M400" s="20"/>
      <c r="N400" s="9" t="s">
        <v>6465</v>
      </c>
      <c r="O400" s="54" t="s">
        <v>7812</v>
      </c>
      <c r="P400" s="7" t="s">
        <v>4066</v>
      </c>
      <c r="Q400" s="11" t="str">
        <f>RIGHT("00"&amp;Table362[[#This Row],[Rule '#]],3)&amp;"_"&amp;IF(Table362[[#This Row],[Entity]]="Material","MATL",LEFT(UPPER(Table362[[#This Row],[Entity]]),4))&amp;"_"&amp;MID(SUBSTITUTE(Table362[[#This Row],[Rule Name]],"_","|",3),SEARCH("|",SUBSTITUTE(Table362[[#This Row],[Rule Name]],"_","|",3))+1,LEN(Table362[[#This Row],[Rule Name]]))</f>
        <v>023_MATL_ITEM CATEGORY GROUP IS WITHIN LIST</v>
      </c>
      <c r="R400" s="8" t="s">
        <v>3996</v>
      </c>
      <c r="S400" s="7"/>
      <c r="T400" s="7" t="s">
        <v>4135</v>
      </c>
      <c r="U400" s="7"/>
      <c r="V400" s="7"/>
      <c r="W400" s="7" t="s">
        <v>4179</v>
      </c>
      <c r="X400" s="8"/>
      <c r="Y400" s="7" t="s">
        <v>4180</v>
      </c>
      <c r="Z400" s="7" t="s">
        <v>2503</v>
      </c>
      <c r="AA400" s="11" t="str">
        <f>"BEGIN
     RETURN exists('DS_IS_RDS', '"&amp;Table362[[#This Row],[Lookup Table]]&amp;"', '"&amp;Table362[[#This Row],[Lookup Field]]&amp;"', upper("&amp;Table362[[#This Row],[IS Parameter]]&amp;");
END"</f>
        <v>BEGIN
     RETURN exists('DS_IS_RDS', 'TPTM', 'MTPOS', upper();
END</v>
      </c>
      <c r="AB400" s="11"/>
      <c r="AC400" s="11"/>
      <c r="AD400" s="11"/>
      <c r="AH400" s="8"/>
      <c r="AI400" s="20"/>
      <c r="AJ400" s="20"/>
      <c r="AK400" s="31"/>
      <c r="AL400" s="31"/>
    </row>
    <row r="401" spans="1:38" ht="36" hidden="1" x14ac:dyDescent="0.25">
      <c r="A401" s="14" t="s">
        <v>7054</v>
      </c>
      <c r="B401" s="7" t="s">
        <v>5877</v>
      </c>
      <c r="C401" s="7" t="s">
        <v>3</v>
      </c>
      <c r="D401" s="7" t="s">
        <v>5978</v>
      </c>
      <c r="E401" s="7" t="s">
        <v>5978</v>
      </c>
      <c r="F401" s="7" t="s">
        <v>5978</v>
      </c>
      <c r="G401" s="7"/>
      <c r="H401" s="7"/>
      <c r="I401" s="7"/>
      <c r="J401" s="20" t="e">
        <f>VLOOKUP(V401,Table_to_BRG!A:D,3,FALSE)</f>
        <v>#N/A</v>
      </c>
      <c r="K401" s="20" t="e">
        <f>VLOOKUP(V401,Table_to_BRG!A:D,2,FALSE)</f>
        <v>#N/A</v>
      </c>
      <c r="L401" s="20"/>
      <c r="M401" s="20"/>
      <c r="N401" s="9" t="s">
        <v>6465</v>
      </c>
      <c r="O401" s="54" t="s">
        <v>7812</v>
      </c>
      <c r="P401" s="7" t="s">
        <v>4067</v>
      </c>
      <c r="Q401" s="11" t="str">
        <f>RIGHT("00"&amp;Table362[[#This Row],[Rule '#]],3)&amp;"_"&amp;IF(Table362[[#This Row],[Entity]]="Material","MATL",LEFT(UPPER(Table362[[#This Row],[Entity]]),4))&amp;"_"&amp;MID(SUBSTITUTE(Table362[[#This Row],[Rule Name]],"_","|",3),SEARCH("|",SUBSTITUTE(Table362[[#This Row],[Rule Name]],"_","|",3))+1,LEN(Table362[[#This Row],[Rule Name]]))</f>
        <v>024_MATL_SORT KEY</v>
      </c>
      <c r="R401" s="8" t="s">
        <v>3997</v>
      </c>
      <c r="S401" s="7"/>
      <c r="T401" s="7" t="s">
        <v>21</v>
      </c>
      <c r="U401" s="7"/>
      <c r="V401" s="7"/>
      <c r="W401" s="7" t="s">
        <v>4181</v>
      </c>
      <c r="X401" s="8"/>
      <c r="Y401" s="7" t="s">
        <v>4182</v>
      </c>
      <c r="Z401" s="7" t="s">
        <v>2709</v>
      </c>
      <c r="AA401" s="11" t="str">
        <f>"BEGIN
     RETURN exists('DS_IS_RDS', '"&amp;Table362[[#This Row],[Lookup Table]]&amp;"', '"&amp;Table362[[#This Row],[Lookup Field]]&amp;"', "&amp;Table362[[#This Row],[IS Parameter]]&amp;");
END"</f>
        <v>BEGIN
     RETURN exists('DS_IS_RDS', 'TZUN', 'ZUAWA', );
END</v>
      </c>
      <c r="AB401" s="11"/>
      <c r="AC401" s="11" t="s">
        <v>6663</v>
      </c>
      <c r="AD401" s="11"/>
      <c r="AH401" s="8"/>
      <c r="AI401" s="20"/>
      <c r="AJ401" s="20"/>
      <c r="AK401" s="31"/>
      <c r="AL401" s="31"/>
    </row>
    <row r="402" spans="1:38" ht="168" hidden="1" x14ac:dyDescent="0.25">
      <c r="A402" s="14" t="s">
        <v>7055</v>
      </c>
      <c r="B402" s="7" t="s">
        <v>5877</v>
      </c>
      <c r="C402" s="7" t="s">
        <v>3</v>
      </c>
      <c r="D402" s="7" t="s">
        <v>5978</v>
      </c>
      <c r="E402" s="7" t="s">
        <v>5978</v>
      </c>
      <c r="F402" s="7" t="s">
        <v>5978</v>
      </c>
      <c r="G402" s="7"/>
      <c r="H402" s="7"/>
      <c r="I402" s="7"/>
      <c r="J402" s="20" t="e">
        <f>VLOOKUP(V402,Table_to_BRG!A:D,3,FALSE)</f>
        <v>#N/A</v>
      </c>
      <c r="K402" s="20" t="e">
        <f>VLOOKUP(V402,Table_to_BRG!A:D,2,FALSE)</f>
        <v>#N/A</v>
      </c>
      <c r="L402" s="20"/>
      <c r="M402" s="20"/>
      <c r="N402" s="9" t="s">
        <v>6465</v>
      </c>
      <c r="O402" s="54" t="s">
        <v>7812</v>
      </c>
      <c r="P402" s="7" t="s">
        <v>4068</v>
      </c>
      <c r="Q402" s="11" t="str">
        <f>RIGHT("00"&amp;Table362[[#This Row],[Rule '#]],3)&amp;"_"&amp;IF(Table362[[#This Row],[Entity]]="Material","MATL",LEFT(UPPER(Table362[[#This Row],[Entity]]),4))&amp;"_"&amp;MID(SUBSTITUTE(Table362[[#This Row],[Rule Name]],"_","|",3),SEARCH("|",SUBSTITUTE(Table362[[#This Row],[Rule Name]],"_","|",3))+1,LEN(Table362[[#This Row],[Rule Name]]))</f>
        <v>025_MATL_VENDOR NUMBER TO BE GENERATED</v>
      </c>
      <c r="R402" s="8" t="s">
        <v>5886</v>
      </c>
      <c r="S402" s="7"/>
      <c r="T402" s="7" t="s">
        <v>4135</v>
      </c>
      <c r="U402" s="7"/>
      <c r="V402" s="7"/>
      <c r="W402" s="7" t="s">
        <v>4183</v>
      </c>
      <c r="X402" s="8"/>
      <c r="Y402" s="7" t="s">
        <v>4184</v>
      </c>
      <c r="Z402" s="7" t="s">
        <v>3516</v>
      </c>
      <c r="AA402" s="11" t="s">
        <v>4185</v>
      </c>
      <c r="AB402" s="11"/>
      <c r="AC402" s="11"/>
      <c r="AD402" s="11"/>
      <c r="AH402" s="8" t="s">
        <v>5887</v>
      </c>
      <c r="AI402" s="20"/>
      <c r="AJ402" s="20"/>
      <c r="AK402" s="31"/>
      <c r="AL402" s="31"/>
    </row>
    <row r="403" spans="1:38" ht="48" hidden="1" x14ac:dyDescent="0.25">
      <c r="A403" s="14" t="s">
        <v>7056</v>
      </c>
      <c r="B403" s="7" t="s">
        <v>5877</v>
      </c>
      <c r="C403" s="7" t="s">
        <v>3</v>
      </c>
      <c r="D403" s="7" t="s">
        <v>5978</v>
      </c>
      <c r="E403" s="7" t="s">
        <v>5978</v>
      </c>
      <c r="F403" s="7" t="s">
        <v>5978</v>
      </c>
      <c r="G403" s="7"/>
      <c r="H403" s="7"/>
      <c r="I403" s="7"/>
      <c r="J403" s="20" t="e">
        <f>VLOOKUP(V403,Table_to_BRG!A:D,3,FALSE)</f>
        <v>#N/A</v>
      </c>
      <c r="K403" s="20" t="e">
        <f>VLOOKUP(V403,Table_to_BRG!A:D,2,FALSE)</f>
        <v>#N/A</v>
      </c>
      <c r="L403" s="20"/>
      <c r="M403" s="20"/>
      <c r="N403" s="9" t="s">
        <v>6465</v>
      </c>
      <c r="O403" s="54" t="s">
        <v>7812</v>
      </c>
      <c r="P403" s="7" t="s">
        <v>4069</v>
      </c>
      <c r="Q403" s="11" t="str">
        <f>RIGHT("00"&amp;Table362[[#This Row],[Rule '#]],3)&amp;"_"&amp;IF(Table362[[#This Row],[Entity]]="Material","MATL",LEFT(UPPER(Table362[[#This Row],[Entity]]),4))&amp;"_"&amp;MID(SUBSTITUTE(Table362[[#This Row],[Rule Name]],"_","|",3),SEARCH("|",SUBSTITUTE(Table362[[#This Row],[Rule Name]],"_","|",3))+1,LEN(Table362[[#This Row],[Rule Name]]))</f>
        <v>026_MATL_IR_VENDOR WITHIN LIST</v>
      </c>
      <c r="R403" s="8" t="s">
        <v>3998</v>
      </c>
      <c r="S403" s="7"/>
      <c r="T403" s="7" t="s">
        <v>21</v>
      </c>
      <c r="U403" s="7"/>
      <c r="V403" s="7"/>
      <c r="W403" s="7" t="s">
        <v>4186</v>
      </c>
      <c r="X403" s="8"/>
      <c r="Y403" s="7" t="s">
        <v>3542</v>
      </c>
      <c r="Z403" s="7" t="s">
        <v>3045</v>
      </c>
      <c r="AA403" s="11" t="str">
        <f>"BEGIN
     RETURN exists('DS_IS_RDS', '"&amp;Table362[[#This Row],[Lookup Table]]&amp;"', '"&amp;Table362[[#This Row],[Lookup Field]]&amp;"', lpad("&amp;Table362[[#This Row],[IS Parameter]]&amp;", 10, '0');
END"</f>
        <v>BEGIN
     RETURN exists('DS_IS_RDS', 'LFA1', 'LIFNR', lpad(, 10, '0');
END</v>
      </c>
      <c r="AB403" s="11"/>
      <c r="AC403" s="11"/>
      <c r="AD403" s="11"/>
      <c r="AH403" s="8"/>
      <c r="AI403" s="20"/>
      <c r="AJ403" s="20"/>
      <c r="AK403" s="31"/>
      <c r="AL403" s="31"/>
    </row>
    <row r="404" spans="1:38" ht="48" hidden="1" x14ac:dyDescent="0.25">
      <c r="A404" s="14" t="s">
        <v>7057</v>
      </c>
      <c r="B404" s="7" t="s">
        <v>5877</v>
      </c>
      <c r="C404" s="7" t="s">
        <v>3</v>
      </c>
      <c r="D404" s="7" t="s">
        <v>5978</v>
      </c>
      <c r="E404" s="7" t="s">
        <v>5978</v>
      </c>
      <c r="F404" s="7" t="s">
        <v>5978</v>
      </c>
      <c r="G404" s="7"/>
      <c r="H404" s="7"/>
      <c r="I404" s="7"/>
      <c r="J404" s="20" t="e">
        <f>VLOOKUP(V404,Table_to_BRG!A:D,3,FALSE)</f>
        <v>#N/A</v>
      </c>
      <c r="K404" s="20" t="e">
        <f>VLOOKUP(V404,Table_to_BRG!A:D,2,FALSE)</f>
        <v>#N/A</v>
      </c>
      <c r="L404" s="20"/>
      <c r="M404" s="20"/>
      <c r="N404" s="9" t="s">
        <v>6465</v>
      </c>
      <c r="O404" s="54" t="s">
        <v>7812</v>
      </c>
      <c r="P404" s="7" t="s">
        <v>4070</v>
      </c>
      <c r="Q404" s="11" t="str">
        <f>RIGHT("00"&amp;Table362[[#This Row],[Rule '#]],3)&amp;"_"&amp;IF(Table362[[#This Row],[Entity]]="Material","MATL",LEFT(UPPER(Table362[[#This Row],[Entity]]),4))&amp;"_"&amp;MID(SUBSTITUTE(Table362[[#This Row],[Rule Name]],"_","|",3),SEARCH("|",SUBSTITUTE(Table362[[#This Row],[Rule Name]],"_","|",3))+1,LEN(Table362[[#This Row],[Rule Name]]))</f>
        <v>027_MATL_LAUNGUAGE</v>
      </c>
      <c r="R404" s="8" t="s">
        <v>3999</v>
      </c>
      <c r="S404" s="7"/>
      <c r="T404" s="7" t="s">
        <v>4135</v>
      </c>
      <c r="U404" s="7"/>
      <c r="V404" s="7"/>
      <c r="W404" s="7" t="s">
        <v>4187</v>
      </c>
      <c r="X404" s="8"/>
      <c r="Y404" s="7" t="s">
        <v>4188</v>
      </c>
      <c r="Z404" s="7" t="s">
        <v>1534</v>
      </c>
      <c r="AA404" s="11" t="s">
        <v>4189</v>
      </c>
      <c r="AB404" s="11"/>
      <c r="AC404" s="11"/>
      <c r="AD404" s="11"/>
      <c r="AH404" s="8"/>
      <c r="AI404" s="20"/>
      <c r="AJ404" s="20"/>
      <c r="AK404" s="31"/>
      <c r="AL404" s="31"/>
    </row>
    <row r="405" spans="1:38" ht="36" hidden="1" x14ac:dyDescent="0.25">
      <c r="A405" s="14" t="s">
        <v>7058</v>
      </c>
      <c r="B405" s="7" t="s">
        <v>5877</v>
      </c>
      <c r="C405" s="7" t="s">
        <v>3</v>
      </c>
      <c r="D405" s="7" t="s">
        <v>5978</v>
      </c>
      <c r="E405" s="7" t="s">
        <v>5978</v>
      </c>
      <c r="F405" s="7" t="s">
        <v>5978</v>
      </c>
      <c r="G405" s="7"/>
      <c r="H405" s="7"/>
      <c r="I405" s="7"/>
      <c r="J405" s="20" t="e">
        <f>VLOOKUP(V405,Table_to_BRG!A:D,3,FALSE)</f>
        <v>#N/A</v>
      </c>
      <c r="K405" s="20" t="e">
        <f>VLOOKUP(V405,Table_to_BRG!A:D,2,FALSE)</f>
        <v>#N/A</v>
      </c>
      <c r="L405" s="20"/>
      <c r="M405" s="20"/>
      <c r="N405" s="9" t="s">
        <v>6465</v>
      </c>
      <c r="O405" s="54" t="s">
        <v>7812</v>
      </c>
      <c r="P405" s="7" t="s">
        <v>4071</v>
      </c>
      <c r="Q405" s="11" t="str">
        <f>RIGHT("00"&amp;Table362[[#This Row],[Rule '#]],3)&amp;"_"&amp;IF(Table362[[#This Row],[Entity]]="Material","MATL",LEFT(UPPER(Table362[[#This Row],[Entity]]),4))&amp;"_"&amp;MID(SUBSTITUTE(Table362[[#This Row],[Rule Name]],"_","|",3),SEARCH("|",SUBSTITUTE(Table362[[#This Row],[Rule Name]],"_","|",3))+1,LEN(Table362[[#This Row],[Rule Name]]))</f>
        <v>028_MATL_RELEASE GROUP IS WITHIN LIST</v>
      </c>
      <c r="R405" s="8" t="s">
        <v>4000</v>
      </c>
      <c r="S405" s="7"/>
      <c r="T405" s="7" t="s">
        <v>4135</v>
      </c>
      <c r="U405" s="7"/>
      <c r="V405" s="7"/>
      <c r="W405" s="7" t="s">
        <v>4151</v>
      </c>
      <c r="X405" s="8"/>
      <c r="Y405" s="7" t="s">
        <v>4190</v>
      </c>
      <c r="Z405" s="7" t="s">
        <v>3518</v>
      </c>
      <c r="AA405" s="11" t="str">
        <f>"BEGIN
     RETURN exists('DS_IS_RDS', '"&amp;Table362[[#This Row],[Lookup Table]]&amp;"', '"&amp;Table362[[#This Row],[Lookup Field]]&amp;"', upper("&amp;Table362[[#This Row],[IS Parameter]]&amp;");
END"</f>
        <v>BEGIN
     RETURN exists('DS_IS_RDS', 'VBWF08', 'FRGRP', upper();
END</v>
      </c>
      <c r="AB405" s="11"/>
      <c r="AC405" s="11"/>
      <c r="AD405" s="11"/>
      <c r="AH405" s="8" t="s">
        <v>5969</v>
      </c>
      <c r="AI405" s="20"/>
      <c r="AJ405" s="20"/>
      <c r="AK405" s="31"/>
      <c r="AL405" s="31"/>
    </row>
    <row r="406" spans="1:38" ht="36" hidden="1" x14ac:dyDescent="0.25">
      <c r="A406" s="14" t="s">
        <v>7059</v>
      </c>
      <c r="B406" s="7" t="s">
        <v>5877</v>
      </c>
      <c r="C406" s="7" t="s">
        <v>3</v>
      </c>
      <c r="D406" s="7" t="s">
        <v>5978</v>
      </c>
      <c r="E406" s="7" t="s">
        <v>5978</v>
      </c>
      <c r="F406" s="7" t="s">
        <v>5978</v>
      </c>
      <c r="G406" s="7"/>
      <c r="H406" s="7"/>
      <c r="I406" s="7"/>
      <c r="J406" s="20" t="e">
        <f>VLOOKUP(V406,Table_to_BRG!A:D,3,FALSE)</f>
        <v>#N/A</v>
      </c>
      <c r="K406" s="20" t="e">
        <f>VLOOKUP(V406,Table_to_BRG!A:D,2,FALSE)</f>
        <v>#N/A</v>
      </c>
      <c r="L406" s="20"/>
      <c r="M406" s="20"/>
      <c r="N406" s="9" t="s">
        <v>6465</v>
      </c>
      <c r="O406" s="54" t="s">
        <v>7812</v>
      </c>
      <c r="P406" s="7" t="s">
        <v>4072</v>
      </c>
      <c r="Q406" s="11" t="str">
        <f>RIGHT("00"&amp;Table362[[#This Row],[Rule '#]],3)&amp;"_"&amp;IF(Table362[[#This Row],[Entity]]="Material","MATL",LEFT(UPPER(Table362[[#This Row],[Entity]]),4))&amp;"_"&amp;MID(SUBSTITUTE(Table362[[#This Row],[Rule Name]],"_","|",3),SEARCH("|",SUBSTITUTE(Table362[[#This Row],[Rule Name]],"_","|",3))+1,LEN(Table362[[#This Row],[Rule Name]]))</f>
        <v>029_MATL_BILL OF EXCHANGE LIMIT IS INTEGER</v>
      </c>
      <c r="R406" s="8" t="s">
        <v>3992</v>
      </c>
      <c r="S406" s="7"/>
      <c r="T406" s="7" t="s">
        <v>4135</v>
      </c>
      <c r="U406" s="7"/>
      <c r="V406" s="7"/>
      <c r="W406" s="7" t="s">
        <v>4151</v>
      </c>
      <c r="X406" s="8"/>
      <c r="Y406" s="7"/>
      <c r="Z406" s="7"/>
      <c r="AA406" s="11" t="s">
        <v>4170</v>
      </c>
      <c r="AB406" s="11"/>
      <c r="AC406" s="11"/>
      <c r="AD406" s="11"/>
      <c r="AH406" s="8" t="s">
        <v>5969</v>
      </c>
      <c r="AI406" s="20" t="s">
        <v>7723</v>
      </c>
      <c r="AJ406" s="20"/>
      <c r="AK406" s="31"/>
      <c r="AL406" s="31"/>
    </row>
    <row r="407" spans="1:38" ht="36" hidden="1" x14ac:dyDescent="0.25">
      <c r="A407" s="14" t="s">
        <v>7060</v>
      </c>
      <c r="B407" s="7" t="s">
        <v>5877</v>
      </c>
      <c r="C407" s="7" t="s">
        <v>3</v>
      </c>
      <c r="D407" s="7" t="s">
        <v>5978</v>
      </c>
      <c r="E407" s="7" t="s">
        <v>5978</v>
      </c>
      <c r="F407" s="7" t="s">
        <v>5978</v>
      </c>
      <c r="G407" s="7"/>
      <c r="H407" s="7"/>
      <c r="I407" s="7"/>
      <c r="J407" s="20" t="e">
        <f>VLOOKUP(V407,Table_to_BRG!A:D,3,FALSE)</f>
        <v>#N/A</v>
      </c>
      <c r="K407" s="20" t="e">
        <f>VLOOKUP(V407,Table_to_BRG!A:D,2,FALSE)</f>
        <v>#N/A</v>
      </c>
      <c r="L407" s="20"/>
      <c r="M407" s="20"/>
      <c r="N407" s="9" t="s">
        <v>6465</v>
      </c>
      <c r="O407" s="54" t="s">
        <v>7812</v>
      </c>
      <c r="P407" s="7" t="s">
        <v>4073</v>
      </c>
      <c r="Q407" s="11" t="str">
        <f>RIGHT("00"&amp;Table362[[#This Row],[Rule '#]],3)&amp;"_"&amp;IF(Table362[[#This Row],[Entity]]="Material","MATL",LEFT(UPPER(Table362[[#This Row],[Entity]]),4))&amp;"_"&amp;MID(SUBSTITUTE(Table362[[#This Row],[Rule Name]],"_","|",3),SEARCH("|",SUBSTITUTE(Table362[[#This Row],[Rule Name]],"_","|",3))+1,LEN(Table362[[#This Row],[Rule Name]]))</f>
        <v>030_MATL_UNIT IS WITHIN LIST</v>
      </c>
      <c r="R407" s="8" t="s">
        <v>4001</v>
      </c>
      <c r="S407" s="7"/>
      <c r="T407" s="7" t="s">
        <v>4135</v>
      </c>
      <c r="U407" s="7"/>
      <c r="V407" s="7"/>
      <c r="W407" s="7" t="s">
        <v>4191</v>
      </c>
      <c r="X407" s="8"/>
      <c r="Y407" s="7" t="s">
        <v>4192</v>
      </c>
      <c r="Z407" s="7" t="s">
        <v>4143</v>
      </c>
      <c r="AA407" s="11" t="str">
        <f>"BEGIN
     RETURN exists('DS_IS_RDS', '"&amp;Table362[[#This Row],[Lookup Table]]&amp;"', '"&amp;Table362[[#This Row],[Lookup Field]]&amp;"', upper("&amp;Table362[[#This Row],[IS Parameter]]&amp;");
END"</f>
        <v>BEGIN
     RETURN exists('DS_IS_RDS', 'T006', 'MSEHI', upper();
END</v>
      </c>
      <c r="AB407" s="11"/>
      <c r="AC407" s="11"/>
      <c r="AD407" s="11"/>
      <c r="AH407" s="8"/>
      <c r="AI407" s="20"/>
      <c r="AJ407" s="20"/>
      <c r="AK407" s="31"/>
      <c r="AL407" s="31"/>
    </row>
    <row r="408" spans="1:38" ht="72" hidden="1" x14ac:dyDescent="0.25">
      <c r="A408" s="14" t="s">
        <v>7061</v>
      </c>
      <c r="B408" s="7" t="s">
        <v>5877</v>
      </c>
      <c r="C408" s="7" t="s">
        <v>3</v>
      </c>
      <c r="D408" s="7" t="s">
        <v>6711</v>
      </c>
      <c r="E408" s="7" t="s">
        <v>6712</v>
      </c>
      <c r="F408" s="7" t="s">
        <v>6713</v>
      </c>
      <c r="G408" s="7"/>
      <c r="H408" s="7"/>
      <c r="I408" s="7"/>
      <c r="J408" s="20" t="str">
        <f>VLOOKUP(V408,Table_to_BRG!A:D,3,FALSE)</f>
        <v>Plant data</v>
      </c>
      <c r="K408" s="20" t="str">
        <f>VLOOKUP(V408,Table_to_BRG!A:D,2,FALSE)</f>
        <v>Plant</v>
      </c>
      <c r="L408" s="20"/>
      <c r="M408" s="20"/>
      <c r="N408" s="9" t="s">
        <v>6465</v>
      </c>
      <c r="O408" s="54" t="s">
        <v>7812</v>
      </c>
      <c r="P408" s="7" t="s">
        <v>4074</v>
      </c>
      <c r="Q408" s="11" t="str">
        <f>RIGHT("00"&amp;Table362[[#This Row],[Rule '#]],3)&amp;"_"&amp;IF(Table362[[#This Row],[Entity]]="Material","MATL",LEFT(UPPER(Table362[[#This Row],[Entity]]),4))&amp;"_"&amp;MID(SUBSTITUTE(Table362[[#This Row],[Rule Name]],"_","|",3),SEARCH("|",SUBSTITUTE(Table362[[#This Row],[Rule Name]],"_","|",3))+1,LEN(Table362[[#This Row],[Rule Name]]))</f>
        <v>031_MATL_REORDERPOINT</v>
      </c>
      <c r="R408" s="8" t="s">
        <v>4002</v>
      </c>
      <c r="S408" s="42" t="s">
        <v>4135</v>
      </c>
      <c r="T408" s="7" t="s">
        <v>4135</v>
      </c>
      <c r="U408" s="8" t="s">
        <v>6821</v>
      </c>
      <c r="V408" s="7" t="s">
        <v>1527</v>
      </c>
      <c r="W408" s="7" t="s">
        <v>2048</v>
      </c>
      <c r="X408" s="8"/>
      <c r="Y408" s="7"/>
      <c r="Z408" s="7"/>
      <c r="AA408" s="11" t="s">
        <v>6822</v>
      </c>
      <c r="AB408" s="11"/>
      <c r="AC408" s="11"/>
      <c r="AD408" s="11"/>
      <c r="AE408" s="13" t="str">
        <f>IF(Table362[[#This Row],[Entity]]="Customer","KUNNR",IF(Table362[[#This Row],[Entity]]="Vendor","LIFNR","MATNR"))&amp;",WERKS"&amp;","&amp;Table362[[#This Row],[Field]]</f>
        <v>MATNR,WERKS,MINBE</v>
      </c>
      <c r="AG408" s="11" t="str">
        <f>"create view "&amp;Table362[[#This Row],[View Name]]&amp;" as 
     select 
          "&amp;IF(Table362[[#This Row],[Entity]]="Customer","KUNNR",IF(Table362[[#This Row],[Entity]]="Vendor","LIFNR","MATNR"))&amp;",
          WERKS,
          "&amp;Table362[[#This Row],[Field]]&amp;" 
     from "&amp;Table362[[#This Row],[Table]]</f>
        <v>create view  as 
     select 
          MATNR,
          WERKS,
          MINBE 
     from MARC</v>
      </c>
      <c r="AH408" s="8"/>
      <c r="AI408" s="20"/>
      <c r="AJ408" s="20"/>
      <c r="AK408" s="31"/>
      <c r="AL408" s="31"/>
    </row>
    <row r="409" spans="1:38" ht="36" hidden="1" x14ac:dyDescent="0.25">
      <c r="A409" s="14" t="s">
        <v>7062</v>
      </c>
      <c r="B409" s="7" t="s">
        <v>5877</v>
      </c>
      <c r="C409" s="7" t="s">
        <v>3</v>
      </c>
      <c r="D409" s="7" t="s">
        <v>5978</v>
      </c>
      <c r="E409" s="7" t="s">
        <v>5978</v>
      </c>
      <c r="F409" s="7" t="s">
        <v>5978</v>
      </c>
      <c r="G409" s="7"/>
      <c r="H409" s="7"/>
      <c r="I409" s="7"/>
      <c r="J409" s="20" t="e">
        <f>VLOOKUP(V409,Table_to_BRG!A:D,3,FALSE)</f>
        <v>#N/A</v>
      </c>
      <c r="K409" s="20" t="e">
        <f>VLOOKUP(V409,Table_to_BRG!A:D,2,FALSE)</f>
        <v>#N/A</v>
      </c>
      <c r="L409" s="20"/>
      <c r="M409" s="20"/>
      <c r="N409" s="9" t="s">
        <v>6465</v>
      </c>
      <c r="O409" s="54" t="s">
        <v>7812</v>
      </c>
      <c r="P409" s="7" t="s">
        <v>4075</v>
      </c>
      <c r="Q409" s="11" t="str">
        <f>RIGHT("00"&amp;Table362[[#This Row],[Rule '#]],3)&amp;"_"&amp;IF(Table362[[#This Row],[Entity]]="Material","MATL",LEFT(UPPER(Table362[[#This Row],[Entity]]),4))&amp;"_"&amp;MID(SUBSTITUTE(Table362[[#This Row],[Rule Name]],"_","|",3),SEARCH("|",SUBSTITUTE(Table362[[#This Row],[Rule Name]],"_","|",3))+1,LEN(Table362[[#This Row],[Rule Name]]))</f>
        <v>032_MATL_SERV CATEGORY IS WITHIN LIST</v>
      </c>
      <c r="R409" s="8" t="s">
        <v>4003</v>
      </c>
      <c r="S409" s="7"/>
      <c r="T409" s="7" t="s">
        <v>4135</v>
      </c>
      <c r="U409" s="7"/>
      <c r="V409" s="7"/>
      <c r="W409" s="7" t="s">
        <v>4193</v>
      </c>
      <c r="X409" s="8"/>
      <c r="Y409" s="7" t="s">
        <v>4194</v>
      </c>
      <c r="Z409" s="7" t="s">
        <v>4195</v>
      </c>
      <c r="AA409" s="11" t="str">
        <f>"BEGIN
     RETURN exists('DS_IS_RDS', '"&amp;Table362[[#This Row],[Lookup Table]]&amp;"', '"&amp;Table362[[#This Row],[Lookup Field]]&amp;"', "&amp;Table362[[#This Row],[IS Parameter]]&amp;");
END"</f>
        <v>BEGIN
     RETURN exists('DS_IS_RDS', 'T362', 'ASTYP', );
END</v>
      </c>
      <c r="AB409" s="11"/>
      <c r="AC409" s="11"/>
      <c r="AD409" s="11"/>
      <c r="AH409" s="8"/>
      <c r="AI409" s="20"/>
      <c r="AJ409" s="20"/>
      <c r="AK409" s="31"/>
      <c r="AL409" s="31"/>
    </row>
    <row r="410" spans="1:38" s="19" customFormat="1" ht="48" hidden="1" x14ac:dyDescent="0.25">
      <c r="A410" s="14" t="s">
        <v>7063</v>
      </c>
      <c r="B410" s="15" t="s">
        <v>5877</v>
      </c>
      <c r="C410" s="15" t="s">
        <v>3</v>
      </c>
      <c r="D410" s="15" t="s">
        <v>5978</v>
      </c>
      <c r="E410" s="15" t="s">
        <v>5978</v>
      </c>
      <c r="F410" s="15" t="s">
        <v>5978</v>
      </c>
      <c r="G410" s="15"/>
      <c r="H410" s="15"/>
      <c r="I410" s="15"/>
      <c r="J410" s="27" t="e">
        <f>VLOOKUP(V410,Table_to_BRG!A:D,3,FALSE)</f>
        <v>#N/A</v>
      </c>
      <c r="K410" s="27" t="e">
        <f>VLOOKUP(V410,Table_to_BRG!A:D,2,FALSE)</f>
        <v>#N/A</v>
      </c>
      <c r="L410" s="27"/>
      <c r="M410" s="27"/>
      <c r="N410" s="14" t="s">
        <v>6465</v>
      </c>
      <c r="O410" s="56" t="str">
        <f>"Duplicate of rule "&amp;A132</f>
        <v>Duplicate of rule 123</v>
      </c>
      <c r="P410" s="15" t="s">
        <v>4076</v>
      </c>
      <c r="Q410" s="17" t="str">
        <f>RIGHT("00"&amp;Table362[[#This Row],[Rule '#]],3)&amp;"_"&amp;IF(Table362[[#This Row],[Entity]]="Material","MATL",LEFT(UPPER(Table362[[#This Row],[Entity]]),4))&amp;"_"&amp;MID(SUBSTITUTE(Table362[[#This Row],[Rule Name]],"_","|",3),SEARCH("|",SUBSTITUTE(Table362[[#This Row],[Rule Name]],"_","|",3))+1,LEN(Table362[[#This Row],[Rule Name]]))</f>
        <v>033_MATL_IR_PLANT WITHIN LIST</v>
      </c>
      <c r="R410" s="16" t="s">
        <v>3988</v>
      </c>
      <c r="S410" s="15"/>
      <c r="T410" s="15" t="s">
        <v>4135</v>
      </c>
      <c r="U410" s="15"/>
      <c r="V410" s="15"/>
      <c r="W410" s="15" t="s">
        <v>4144</v>
      </c>
      <c r="X410" s="16"/>
      <c r="Y410" s="15" t="s">
        <v>4145</v>
      </c>
      <c r="Z410" s="15" t="s">
        <v>1495</v>
      </c>
      <c r="AA410" s="17" t="s">
        <v>4196</v>
      </c>
      <c r="AB410" s="17"/>
      <c r="AC410" s="17"/>
      <c r="AD410" s="17"/>
      <c r="AE410" s="18"/>
      <c r="AF410" s="18"/>
      <c r="AG410" s="17"/>
      <c r="AH410" s="16"/>
      <c r="AI410" s="27"/>
      <c r="AJ410" s="27"/>
      <c r="AK410" s="52"/>
      <c r="AL410" s="52"/>
    </row>
    <row r="411" spans="1:38" ht="48" hidden="1" x14ac:dyDescent="0.25">
      <c r="A411" s="14" t="s">
        <v>7064</v>
      </c>
      <c r="B411" s="7" t="s">
        <v>5877</v>
      </c>
      <c r="C411" s="7" t="s">
        <v>3</v>
      </c>
      <c r="D411" s="7" t="s">
        <v>5978</v>
      </c>
      <c r="E411" s="7" t="s">
        <v>5978</v>
      </c>
      <c r="F411" s="7" t="s">
        <v>5978</v>
      </c>
      <c r="G411" s="7"/>
      <c r="H411" s="7"/>
      <c r="I411" s="7"/>
      <c r="J411" s="20" t="e">
        <f>VLOOKUP(V411,Table_to_BRG!A:D,3,FALSE)</f>
        <v>#N/A</v>
      </c>
      <c r="K411" s="20" t="e">
        <f>VLOOKUP(V411,Table_to_BRG!A:D,2,FALSE)</f>
        <v>#N/A</v>
      </c>
      <c r="L411" s="20"/>
      <c r="M411" s="20"/>
      <c r="N411" s="9" t="s">
        <v>6465</v>
      </c>
      <c r="O411" s="54" t="s">
        <v>7812</v>
      </c>
      <c r="P411" s="7" t="s">
        <v>4077</v>
      </c>
      <c r="Q411" s="11" t="str">
        <f>RIGHT("00"&amp;Table362[[#This Row],[Rule '#]],3)&amp;"_"&amp;IF(Table362[[#This Row],[Entity]]="Material","MATL",LEFT(UPPER(Table362[[#This Row],[Entity]]),4))&amp;"_"&amp;MID(SUBSTITUTE(Table362[[#This Row],[Rule Name]],"_","|",3),SEARCH("|",SUBSTITUTE(Table362[[#This Row],[Rule Name]],"_","|",3))+1,LEN(Table362[[#This Row],[Rule Name]]))</f>
        <v>034_MATL_QA_PROC TYPE WITHIN LIST</v>
      </c>
      <c r="R411" s="8" t="s">
        <v>4004</v>
      </c>
      <c r="S411" s="7"/>
      <c r="T411" s="7" t="s">
        <v>4135</v>
      </c>
      <c r="U411" s="7"/>
      <c r="V411" s="7"/>
      <c r="W411" s="7" t="s">
        <v>4197</v>
      </c>
      <c r="X411" s="8"/>
      <c r="Y411" s="7"/>
      <c r="Z411" s="7"/>
      <c r="AA411" s="11" t="s">
        <v>4198</v>
      </c>
      <c r="AB411" s="11"/>
      <c r="AC411" s="11"/>
      <c r="AD411" s="11"/>
      <c r="AH411" s="8"/>
      <c r="AI411" s="20"/>
      <c r="AJ411" s="20"/>
      <c r="AK411" s="31"/>
      <c r="AL411" s="31"/>
    </row>
    <row r="412" spans="1:38" ht="36" hidden="1" x14ac:dyDescent="0.25">
      <c r="A412" s="14" t="s">
        <v>7065</v>
      </c>
      <c r="B412" s="7" t="s">
        <v>5877</v>
      </c>
      <c r="C412" s="7" t="s">
        <v>3</v>
      </c>
      <c r="D412" s="7" t="s">
        <v>5978</v>
      </c>
      <c r="E412" s="7" t="s">
        <v>5978</v>
      </c>
      <c r="F412" s="7" t="s">
        <v>5978</v>
      </c>
      <c r="G412" s="7"/>
      <c r="H412" s="7"/>
      <c r="I412" s="7"/>
      <c r="J412" s="20" t="e">
        <f>VLOOKUP(V412,Table_to_BRG!A:D,3,FALSE)</f>
        <v>#N/A</v>
      </c>
      <c r="K412" s="20" t="e">
        <f>VLOOKUP(V412,Table_to_BRG!A:D,2,FALSE)</f>
        <v>#N/A</v>
      </c>
      <c r="L412" s="20"/>
      <c r="M412" s="20"/>
      <c r="N412" s="9" t="s">
        <v>6465</v>
      </c>
      <c r="O412" s="54" t="s">
        <v>7812</v>
      </c>
      <c r="P412" s="7" t="s">
        <v>4078</v>
      </c>
      <c r="Q412" s="11" t="str">
        <f>RIGHT("00"&amp;Table362[[#This Row],[Rule '#]],3)&amp;"_"&amp;IF(Table362[[#This Row],[Entity]]="Material","MATL",LEFT(UPPER(Table362[[#This Row],[Entity]]),4))&amp;"_"&amp;MID(SUBSTITUTE(Table362[[#This Row],[Rule Name]],"_","|",3),SEARCH("|",SUBSTITUTE(Table362[[#This Row],[Rule Name]],"_","|",3))+1,LEN(Table362[[#This Row],[Rule Name]]))</f>
        <v>035_MATL_PERUNITPRICE</v>
      </c>
      <c r="R412" s="8" t="s">
        <v>4005</v>
      </c>
      <c r="S412" s="7"/>
      <c r="T412" s="7" t="s">
        <v>4135</v>
      </c>
      <c r="U412" s="7"/>
      <c r="V412" s="7"/>
      <c r="W412" s="7" t="s">
        <v>4199</v>
      </c>
      <c r="X412" s="8"/>
      <c r="Y412" s="7"/>
      <c r="Z412" s="7"/>
      <c r="AA412" s="11" t="s">
        <v>4200</v>
      </c>
      <c r="AB412" s="11"/>
      <c r="AC412" s="11"/>
      <c r="AD412" s="11"/>
      <c r="AH412" s="8"/>
      <c r="AI412" s="20"/>
      <c r="AJ412" s="20"/>
      <c r="AK412" s="31"/>
      <c r="AL412" s="31"/>
    </row>
    <row r="413" spans="1:38" ht="48" hidden="1" x14ac:dyDescent="0.25">
      <c r="A413" s="14" t="s">
        <v>7066</v>
      </c>
      <c r="B413" s="7" t="s">
        <v>5877</v>
      </c>
      <c r="C413" s="7" t="s">
        <v>3</v>
      </c>
      <c r="D413" s="7" t="s">
        <v>5978</v>
      </c>
      <c r="E413" s="7" t="s">
        <v>5978</v>
      </c>
      <c r="F413" s="7" t="s">
        <v>5978</v>
      </c>
      <c r="G413" s="7"/>
      <c r="H413" s="7"/>
      <c r="I413" s="7"/>
      <c r="J413" s="20" t="e">
        <f>VLOOKUP(V413,Table_to_BRG!A:D,3,FALSE)</f>
        <v>#N/A</v>
      </c>
      <c r="K413" s="20" t="e">
        <f>VLOOKUP(V413,Table_to_BRG!A:D,2,FALSE)</f>
        <v>#N/A</v>
      </c>
      <c r="L413" s="20"/>
      <c r="M413" s="20"/>
      <c r="N413" s="9" t="s">
        <v>6465</v>
      </c>
      <c r="O413" s="54" t="s">
        <v>7812</v>
      </c>
      <c r="P413" s="7" t="s">
        <v>4079</v>
      </c>
      <c r="Q413" s="11" t="str">
        <f>RIGHT("00"&amp;Table362[[#This Row],[Rule '#]],3)&amp;"_"&amp;IF(Table362[[#This Row],[Entity]]="Material","MATL",LEFT(UPPER(Table362[[#This Row],[Entity]]),4))&amp;"_"&amp;MID(SUBSTITUTE(Table362[[#This Row],[Rule Name]],"_","|",3),SEARCH("|",SUBSTITUTE(Table362[[#This Row],[Rule Name]],"_","|",3))+1,LEN(Table362[[#This Row],[Rule Name]]))</f>
        <v>036_MATL_QA_VENDOR WITHIN LIST</v>
      </c>
      <c r="R413" s="8" t="s">
        <v>3998</v>
      </c>
      <c r="S413" s="7"/>
      <c r="T413" s="7" t="s">
        <v>21</v>
      </c>
      <c r="U413" s="7"/>
      <c r="V413" s="7"/>
      <c r="W413" s="7" t="s">
        <v>4186</v>
      </c>
      <c r="X413" s="8"/>
      <c r="Y413" s="7" t="s">
        <v>3542</v>
      </c>
      <c r="Z413" s="7" t="s">
        <v>3045</v>
      </c>
      <c r="AA413" s="11" t="str">
        <f>"BEGIN
     RETURN exists('DS_IS_RDS', '"&amp;Table362[[#This Row],[Lookup Table]]&amp;"', '"&amp;Table362[[#This Row],[Lookup Field]]&amp;"', lpad("&amp;Table362[[#This Row],[IS Parameter]]&amp;", 10, '0');
END"</f>
        <v>BEGIN
     RETURN exists('DS_IS_RDS', 'LFA1', 'LIFNR', lpad(, 10, '0');
END</v>
      </c>
      <c r="AB413" s="11"/>
      <c r="AC413" s="11"/>
      <c r="AD413" s="11"/>
      <c r="AH413" s="8"/>
      <c r="AI413" s="20"/>
      <c r="AJ413" s="20"/>
      <c r="AK413" s="31"/>
      <c r="AL413" s="31"/>
    </row>
    <row r="414" spans="1:38" ht="36" hidden="1" x14ac:dyDescent="0.25">
      <c r="A414" s="14" t="s">
        <v>7067</v>
      </c>
      <c r="B414" s="7" t="s">
        <v>5877</v>
      </c>
      <c r="C414" s="7" t="s">
        <v>3</v>
      </c>
      <c r="D414" s="7" t="s">
        <v>5978</v>
      </c>
      <c r="E414" s="7" t="s">
        <v>5978</v>
      </c>
      <c r="F414" s="7" t="s">
        <v>5978</v>
      </c>
      <c r="G414" s="7"/>
      <c r="H414" s="7"/>
      <c r="I414" s="7"/>
      <c r="J414" s="20" t="e">
        <f>VLOOKUP(V414,Table_to_BRG!A:D,3,FALSE)</f>
        <v>#N/A</v>
      </c>
      <c r="K414" s="20" t="e">
        <f>VLOOKUP(V414,Table_to_BRG!A:D,2,FALSE)</f>
        <v>#N/A</v>
      </c>
      <c r="L414" s="20"/>
      <c r="M414" s="20"/>
      <c r="N414" s="9" t="s">
        <v>6465</v>
      </c>
      <c r="O414" s="54" t="s">
        <v>7812</v>
      </c>
      <c r="P414" s="7" t="s">
        <v>4080</v>
      </c>
      <c r="Q414" s="11" t="str">
        <f>RIGHT("00"&amp;Table362[[#This Row],[Rule '#]],3)&amp;"_"&amp;IF(Table362[[#This Row],[Entity]]="Material","MATL",LEFT(UPPER(Table362[[#This Row],[Entity]]),4))&amp;"_"&amp;MID(SUBSTITUTE(Table362[[#This Row],[Rule Name]],"_","|",3),SEARCH("|",SUBSTITUTE(Table362[[#This Row],[Rule Name]],"_","|",3))+1,LEN(Table362[[#This Row],[Rule Name]]))</f>
        <v>037_MATL_ NUMBER</v>
      </c>
      <c r="R414" s="8" t="s">
        <v>4006</v>
      </c>
      <c r="S414" s="7"/>
      <c r="T414" s="7" t="s">
        <v>4135</v>
      </c>
      <c r="U414" s="7"/>
      <c r="V414" s="7"/>
      <c r="W414" s="7" t="s">
        <v>4151</v>
      </c>
      <c r="X414" s="8"/>
      <c r="Y414" s="7"/>
      <c r="Z414" s="7"/>
      <c r="AA414" s="11" t="s">
        <v>4201</v>
      </c>
      <c r="AB414" s="11"/>
      <c r="AC414" s="11"/>
      <c r="AD414" s="11"/>
      <c r="AH414" s="8" t="s">
        <v>5969</v>
      </c>
      <c r="AI414" s="20" t="s">
        <v>6539</v>
      </c>
      <c r="AJ414" s="20"/>
      <c r="AK414" s="31"/>
      <c r="AL414" s="31"/>
    </row>
    <row r="415" spans="1:38" ht="48" hidden="1" x14ac:dyDescent="0.25">
      <c r="A415" s="14" t="s">
        <v>7068</v>
      </c>
      <c r="B415" s="7" t="s">
        <v>5877</v>
      </c>
      <c r="C415" s="7" t="s">
        <v>3</v>
      </c>
      <c r="D415" s="7" t="s">
        <v>5978</v>
      </c>
      <c r="E415" s="7" t="s">
        <v>5978</v>
      </c>
      <c r="F415" s="7" t="s">
        <v>5978</v>
      </c>
      <c r="G415" s="7"/>
      <c r="H415" s="7"/>
      <c r="I415" s="7"/>
      <c r="J415" s="20" t="e">
        <f>VLOOKUP(V415,Table_to_BRG!A:D,3,FALSE)</f>
        <v>#N/A</v>
      </c>
      <c r="K415" s="20" t="e">
        <f>VLOOKUP(V415,Table_to_BRG!A:D,2,FALSE)</f>
        <v>#N/A</v>
      </c>
      <c r="L415" s="20"/>
      <c r="M415" s="20"/>
      <c r="N415" s="9" t="s">
        <v>6465</v>
      </c>
      <c r="O415" s="54" t="s">
        <v>7812</v>
      </c>
      <c r="P415" s="7" t="s">
        <v>4081</v>
      </c>
      <c r="Q415" s="11" t="str">
        <f>RIGHT("00"&amp;Table362[[#This Row],[Rule '#]],3)&amp;"_"&amp;IF(Table362[[#This Row],[Entity]]="Material","MATL",LEFT(UPPER(Table362[[#This Row],[Entity]]),4))&amp;"_"&amp;MID(SUBSTITUTE(Table362[[#This Row],[Rule Name]],"_","|",3),SEARCH("|",SUBSTITUTE(Table362[[#This Row],[Rule Name]],"_","|",3))+1,LEN(Table362[[#This Row],[Rule Name]]))</f>
        <v>038_MATL_QA_MATERIAL WITHIN LIST</v>
      </c>
      <c r="R415" s="8" t="s">
        <v>3991</v>
      </c>
      <c r="S415" s="7"/>
      <c r="T415" s="7" t="s">
        <v>21</v>
      </c>
      <c r="U415" s="7"/>
      <c r="V415" s="7"/>
      <c r="W415" s="7" t="s">
        <v>4167</v>
      </c>
      <c r="X415" s="8"/>
      <c r="Y415" s="7" t="s">
        <v>1526</v>
      </c>
      <c r="Z415" s="7" t="s">
        <v>4202</v>
      </c>
      <c r="AA415" s="11" t="str">
        <f>"BEGIN
     RETURN exists('DS_IS_RDS', '"&amp;Table362[[#This Row],[Lookup Table]]&amp;"', '"&amp;Table362[[#This Row],[Lookup Field]]&amp;"', lpad("&amp;Table362[[#This Row],[IS Parameter]]&amp;", 10, '0');
END"</f>
        <v>BEGIN
     RETURN exists('DS_IS_RDS', 'MARA', 'MATRN', lpad(, 10, '0');
END</v>
      </c>
      <c r="AB415" s="11"/>
      <c r="AC415" s="11"/>
      <c r="AD415" s="11"/>
      <c r="AH415" s="8"/>
      <c r="AI415" s="20"/>
      <c r="AJ415" s="20"/>
      <c r="AK415" s="31"/>
      <c r="AL415" s="31"/>
    </row>
    <row r="416" spans="1:38" ht="36" hidden="1" x14ac:dyDescent="0.25">
      <c r="A416" s="14" t="s">
        <v>7069</v>
      </c>
      <c r="B416" s="7" t="s">
        <v>5877</v>
      </c>
      <c r="C416" s="7" t="s">
        <v>3</v>
      </c>
      <c r="D416" s="7" t="s">
        <v>5978</v>
      </c>
      <c r="E416" s="7" t="s">
        <v>5978</v>
      </c>
      <c r="F416" s="7" t="s">
        <v>5978</v>
      </c>
      <c r="G416" s="7"/>
      <c r="H416" s="7"/>
      <c r="I416" s="7"/>
      <c r="J416" s="20" t="e">
        <f>VLOOKUP(V416,Table_to_BRG!A:D,3,FALSE)</f>
        <v>#N/A</v>
      </c>
      <c r="K416" s="20" t="e">
        <f>VLOOKUP(V416,Table_to_BRG!A:D,2,FALSE)</f>
        <v>#N/A</v>
      </c>
      <c r="L416" s="20"/>
      <c r="M416" s="20"/>
      <c r="N416" s="9" t="s">
        <v>6465</v>
      </c>
      <c r="O416" s="54" t="s">
        <v>7812</v>
      </c>
      <c r="P416" s="7" t="s">
        <v>4082</v>
      </c>
      <c r="Q416" s="11" t="str">
        <f>RIGHT("00"&amp;Table362[[#This Row],[Rule '#]],3)&amp;"_"&amp;IF(Table362[[#This Row],[Entity]]="Material","MATL",LEFT(UPPER(Table362[[#This Row],[Entity]]),4))&amp;"_"&amp;MID(SUBSTITUTE(Table362[[#This Row],[Rule Name]],"_","|",3),SEARCH("|",SUBSTITUTE(Table362[[#This Row],[Rule Name]],"_","|",3))+1,LEN(Table362[[#This Row],[Rule Name]]))</f>
        <v>039_MATL_BLOCK KEY FOR PAYMENT IS WITHIN LIST</v>
      </c>
      <c r="R416" s="8" t="s">
        <v>4007</v>
      </c>
      <c r="S416" s="7"/>
      <c r="T416" s="7" t="s">
        <v>4135</v>
      </c>
      <c r="U416" s="7"/>
      <c r="V416" s="7"/>
      <c r="W416" s="7" t="s">
        <v>4151</v>
      </c>
      <c r="X416" s="8"/>
      <c r="Y416" s="7" t="s">
        <v>4203</v>
      </c>
      <c r="Z416" s="7" t="s">
        <v>2895</v>
      </c>
      <c r="AA416" s="11" t="str">
        <f>"BEGIN
     RETURN exists('DS_IS_RDS', '"&amp;Table362[[#This Row],[Lookup Table]]&amp;"', '"&amp;Table362[[#This Row],[Lookup Field]]&amp;"', upper("&amp;Table362[[#This Row],[IS Parameter]]&amp;");
END"</f>
        <v>BEGIN
     RETURN exists('DS_IS_RDS', 'T008', 'ZAHLS', upper();
END</v>
      </c>
      <c r="AB416" s="11"/>
      <c r="AC416" s="11"/>
      <c r="AD416" s="11"/>
      <c r="AH416" s="8" t="s">
        <v>5969</v>
      </c>
      <c r="AI416" s="20"/>
      <c r="AJ416" s="20"/>
      <c r="AK416" s="31"/>
      <c r="AL416" s="31"/>
    </row>
    <row r="417" spans="1:38" ht="60" hidden="1" x14ac:dyDescent="0.25">
      <c r="A417" s="14" t="s">
        <v>7070</v>
      </c>
      <c r="B417" s="7" t="s">
        <v>5877</v>
      </c>
      <c r="C417" s="7" t="s">
        <v>3</v>
      </c>
      <c r="D417" s="7" t="s">
        <v>5978</v>
      </c>
      <c r="E417" s="7" t="s">
        <v>5978</v>
      </c>
      <c r="F417" s="7" t="s">
        <v>5978</v>
      </c>
      <c r="G417" s="7"/>
      <c r="H417" s="7"/>
      <c r="I417" s="7"/>
      <c r="J417" s="20" t="e">
        <f>VLOOKUP(V417,Table_to_BRG!A:D,3,FALSE)</f>
        <v>#N/A</v>
      </c>
      <c r="K417" s="20" t="e">
        <f>VLOOKUP(V417,Table_to_BRG!A:D,2,FALSE)</f>
        <v>#N/A</v>
      </c>
      <c r="L417" s="20"/>
      <c r="M417" s="20"/>
      <c r="N417" s="9" t="s">
        <v>6465</v>
      </c>
      <c r="O417" s="54" t="s">
        <v>7812</v>
      </c>
      <c r="P417" s="7" t="s">
        <v>4083</v>
      </c>
      <c r="Q417" s="11" t="str">
        <f>RIGHT("00"&amp;Table362[[#This Row],[Rule '#]],3)&amp;"_"&amp;IF(Table362[[#This Row],[Entity]]="Material","MATL",LEFT(UPPER(Table362[[#This Row],[Entity]]),4))&amp;"_"&amp;MID(SUBSTITUTE(Table362[[#This Row],[Rule Name]],"_","|",3),SEARCH("|",SUBSTITUTE(Table362[[#This Row],[Rule Name]],"_","|",3))+1,LEN(Table362[[#This Row],[Rule Name]]))</f>
        <v>040_MATL_IR_PRICE_QUANTITY_DAYS IS NUMBER</v>
      </c>
      <c r="R417" s="8" t="s">
        <v>4008</v>
      </c>
      <c r="S417" s="7"/>
      <c r="T417" s="7" t="s">
        <v>4135</v>
      </c>
      <c r="U417" s="7"/>
      <c r="V417" s="7"/>
      <c r="W417" s="7" t="s">
        <v>4204</v>
      </c>
      <c r="X417" s="8"/>
      <c r="Y417" s="7"/>
      <c r="Z417" s="7"/>
      <c r="AA417" s="11" t="s">
        <v>4205</v>
      </c>
      <c r="AB417" s="11"/>
      <c r="AC417" s="11"/>
      <c r="AD417" s="11"/>
      <c r="AH417" s="8"/>
      <c r="AI417" s="20"/>
      <c r="AJ417" s="20"/>
      <c r="AK417" s="31"/>
      <c r="AL417" s="31"/>
    </row>
    <row r="418" spans="1:38" ht="36" hidden="1" x14ac:dyDescent="0.25">
      <c r="A418" s="14" t="s">
        <v>7071</v>
      </c>
      <c r="B418" s="7" t="s">
        <v>5877</v>
      </c>
      <c r="C418" s="7" t="s">
        <v>3</v>
      </c>
      <c r="D418" s="7" t="s">
        <v>5978</v>
      </c>
      <c r="E418" s="7" t="s">
        <v>5978</v>
      </c>
      <c r="F418" s="7" t="s">
        <v>5978</v>
      </c>
      <c r="G418" s="7"/>
      <c r="H418" s="7"/>
      <c r="I418" s="7"/>
      <c r="J418" s="20" t="e">
        <f>VLOOKUP(V418,Table_to_BRG!A:D,3,FALSE)</f>
        <v>#N/A</v>
      </c>
      <c r="K418" s="20" t="e">
        <f>VLOOKUP(V418,Table_to_BRG!A:D,2,FALSE)</f>
        <v>#N/A</v>
      </c>
      <c r="L418" s="20"/>
      <c r="M418" s="20"/>
      <c r="N418" s="9" t="s">
        <v>6465</v>
      </c>
      <c r="O418" s="54" t="s">
        <v>7812</v>
      </c>
      <c r="P418" s="7" t="s">
        <v>4084</v>
      </c>
      <c r="Q418" s="11" t="str">
        <f>RIGHT("00"&amp;Table362[[#This Row],[Rule '#]],3)&amp;"_"&amp;IF(Table362[[#This Row],[Entity]]="Material","MATL",LEFT(UPPER(Table362[[#This Row],[Entity]]),4))&amp;"_"&amp;MID(SUBSTITUTE(Table362[[#This Row],[Rule Name]],"_","|",3),SEARCH("|",SUBSTITUTE(Table362[[#This Row],[Rule Name]],"_","|",3))+1,LEN(Table362[[#This Row],[Rule Name]]))</f>
        <v>041_MATL_BASE UNIT OF MEASURE IS WITHIN LIST</v>
      </c>
      <c r="R418" s="8" t="s">
        <v>4009</v>
      </c>
      <c r="S418" s="7"/>
      <c r="T418" s="7" t="s">
        <v>4135</v>
      </c>
      <c r="U418" s="7"/>
      <c r="V418" s="7"/>
      <c r="W418" s="7" t="s">
        <v>4206</v>
      </c>
      <c r="X418" s="8"/>
      <c r="Y418" s="7" t="s">
        <v>4192</v>
      </c>
      <c r="Z418" s="7" t="s">
        <v>4143</v>
      </c>
      <c r="AA418" s="11" t="str">
        <f>"BEGIN
     RETURN exists('DS_IS_RDS', '"&amp;Table362[[#This Row],[Lookup Table]]&amp;"', '"&amp;Table362[[#This Row],[Lookup Field]]&amp;"', "&amp;Table362[[#This Row],[IS Parameter]]&amp;");
END"</f>
        <v>BEGIN
     RETURN exists('DS_IS_RDS', 'T006', 'MSEHI', );
END</v>
      </c>
      <c r="AB418" s="11"/>
      <c r="AC418" s="11"/>
      <c r="AD418" s="11"/>
      <c r="AH418" s="8"/>
      <c r="AI418" s="20" t="s">
        <v>7729</v>
      </c>
      <c r="AJ418" s="20"/>
      <c r="AK418" s="31"/>
      <c r="AL418" s="31"/>
    </row>
    <row r="419" spans="1:38" ht="60" hidden="1" x14ac:dyDescent="0.25">
      <c r="A419" s="14" t="s">
        <v>7072</v>
      </c>
      <c r="B419" s="7" t="s">
        <v>5877</v>
      </c>
      <c r="C419" s="7" t="s">
        <v>3</v>
      </c>
      <c r="D419" s="7" t="s">
        <v>5978</v>
      </c>
      <c r="E419" s="7" t="s">
        <v>5978</v>
      </c>
      <c r="F419" s="7" t="s">
        <v>5978</v>
      </c>
      <c r="G419" s="7"/>
      <c r="H419" s="7"/>
      <c r="I419" s="7"/>
      <c r="J419" s="20" t="e">
        <f>VLOOKUP(V419,Table_to_BRG!A:D,3,FALSE)</f>
        <v>#N/A</v>
      </c>
      <c r="K419" s="20" t="e">
        <f>VLOOKUP(V419,Table_to_BRG!A:D,2,FALSE)</f>
        <v>#N/A</v>
      </c>
      <c r="L419" s="20"/>
      <c r="M419" s="20"/>
      <c r="N419" s="9" t="s">
        <v>6465</v>
      </c>
      <c r="O419" s="54" t="s">
        <v>7812</v>
      </c>
      <c r="P419" s="7" t="s">
        <v>4085</v>
      </c>
      <c r="Q419" s="11" t="str">
        <f>RIGHT("00"&amp;Table362[[#This Row],[Rule '#]],3)&amp;"_"&amp;IF(Table362[[#This Row],[Entity]]="Material","MATL",LEFT(UPPER(Table362[[#This Row],[Entity]]),4))&amp;"_"&amp;MID(SUBSTITUTE(Table362[[#This Row],[Rule Name]],"_","|",3),SEARCH("|",SUBSTITUTE(Table362[[#This Row],[Rule Name]],"_","|",3))+1,LEN(Table362[[#This Row],[Rule Name]]))</f>
        <v>042_MATL_QA_QTY QUOTA  IS NUMBER</v>
      </c>
      <c r="R419" s="8" t="s">
        <v>4010</v>
      </c>
      <c r="S419" s="7"/>
      <c r="T419" s="7" t="s">
        <v>4135</v>
      </c>
      <c r="U419" s="7"/>
      <c r="V419" s="7"/>
      <c r="W419" s="7" t="s">
        <v>4204</v>
      </c>
      <c r="X419" s="8"/>
      <c r="Y419" s="7"/>
      <c r="Z419" s="7"/>
      <c r="AA419" s="11" t="s">
        <v>4207</v>
      </c>
      <c r="AB419" s="11"/>
      <c r="AC419" s="11"/>
      <c r="AD419" s="11"/>
      <c r="AH419" s="8"/>
      <c r="AI419" s="20"/>
      <c r="AJ419" s="20"/>
      <c r="AK419" s="31"/>
      <c r="AL419" s="31"/>
    </row>
    <row r="420" spans="1:38" ht="45" hidden="1" x14ac:dyDescent="0.25">
      <c r="A420" s="14" t="s">
        <v>7073</v>
      </c>
      <c r="B420" s="7" t="s">
        <v>5877</v>
      </c>
      <c r="C420" s="7" t="s">
        <v>3</v>
      </c>
      <c r="D420" s="7" t="s">
        <v>6711</v>
      </c>
      <c r="E420" s="7" t="s">
        <v>6712</v>
      </c>
      <c r="F420" s="7" t="s">
        <v>6713</v>
      </c>
      <c r="G420" s="7"/>
      <c r="H420" s="7"/>
      <c r="I420" s="7"/>
      <c r="J420" s="20" t="str">
        <f>VLOOKUP(V420,Table_to_BRG!A:D,3,FALSE)</f>
        <v>Plant data</v>
      </c>
      <c r="K420" s="20" t="str">
        <f>VLOOKUP(V420,Table_to_BRG!A:D,2,FALSE)</f>
        <v>Plant</v>
      </c>
      <c r="L420" s="20"/>
      <c r="M420" s="20"/>
      <c r="N420" s="9" t="s">
        <v>6465</v>
      </c>
      <c r="O420" s="54" t="s">
        <v>7812</v>
      </c>
      <c r="P420" s="7" t="s">
        <v>4086</v>
      </c>
      <c r="Q420" s="11" t="str">
        <f>RIGHT("00"&amp;Table362[[#This Row],[Rule '#]],3)&amp;"_"&amp;IF(Table362[[#This Row],[Entity]]="Material","MATL",LEFT(UPPER(Table362[[#This Row],[Entity]]),4))&amp;"_"&amp;MID(SUBSTITUTE(Table362[[#This Row],[Rule Name]],"_","|",3),SEARCH("|",SUBSTITUTE(Table362[[#This Row],[Rule Name]],"_","|",3))+1,LEN(Table362[[#This Row],[Rule Name]]))</f>
        <v>043_MATL_PROCUREMENT TYPE</v>
      </c>
      <c r="R420" s="8" t="s">
        <v>4011</v>
      </c>
      <c r="S420" s="7"/>
      <c r="T420" s="7" t="s">
        <v>4135</v>
      </c>
      <c r="U420" s="7"/>
      <c r="V420" s="7" t="s">
        <v>1527</v>
      </c>
      <c r="W420" s="7" t="s">
        <v>4208</v>
      </c>
      <c r="X420" s="8"/>
      <c r="Y420" s="7"/>
      <c r="Z420" s="7"/>
      <c r="AA420" s="11" t="s">
        <v>4209</v>
      </c>
      <c r="AB420" s="11"/>
      <c r="AC420" s="11" t="s">
        <v>6809</v>
      </c>
      <c r="AD420" s="11"/>
      <c r="AH420" s="8"/>
      <c r="AI420" s="20"/>
      <c r="AJ420" s="20"/>
      <c r="AK420" s="31"/>
      <c r="AL420" s="31"/>
    </row>
    <row r="421" spans="1:38" ht="72" hidden="1" x14ac:dyDescent="0.25">
      <c r="A421" s="14" t="s">
        <v>7074</v>
      </c>
      <c r="B421" s="7" t="s">
        <v>5877</v>
      </c>
      <c r="C421" s="7" t="s">
        <v>3</v>
      </c>
      <c r="D421" s="7" t="s">
        <v>5978</v>
      </c>
      <c r="E421" s="7" t="s">
        <v>5978</v>
      </c>
      <c r="F421" s="7" t="s">
        <v>5978</v>
      </c>
      <c r="G421" s="7"/>
      <c r="H421" s="7"/>
      <c r="I421" s="7"/>
      <c r="J421" s="20" t="e">
        <f>VLOOKUP(V421,Table_to_BRG!A:D,3,FALSE)</f>
        <v>#N/A</v>
      </c>
      <c r="K421" s="20" t="e">
        <f>VLOOKUP(V421,Table_to_BRG!A:D,2,FALSE)</f>
        <v>#N/A</v>
      </c>
      <c r="L421" s="20"/>
      <c r="M421" s="20"/>
      <c r="N421" s="9" t="s">
        <v>6465</v>
      </c>
      <c r="O421" s="54" t="s">
        <v>7812</v>
      </c>
      <c r="P421" s="7" t="s">
        <v>4087</v>
      </c>
      <c r="Q421" s="11" t="str">
        <f>RIGHT("00"&amp;Table362[[#This Row],[Rule '#]],3)&amp;"_"&amp;IF(Table362[[#This Row],[Entity]]="Material","MATL",LEFT(UPPER(Table362[[#This Row],[Entity]]),4))&amp;"_"&amp;MID(SUBSTITUTE(Table362[[#This Row],[Rule Name]],"_","|",3),SEARCH("|",SUBSTITUTE(Table362[[#This Row],[Rule Name]],"_","|",3))+1,LEN(Table362[[#This Row],[Rule Name]]))</f>
        <v>044_MATL_PLANT IS WITHIN LIST</v>
      </c>
      <c r="R421" s="8" t="s">
        <v>4012</v>
      </c>
      <c r="S421" s="7"/>
      <c r="T421" s="7" t="s">
        <v>4135</v>
      </c>
      <c r="U421" s="7"/>
      <c r="V421" s="7"/>
      <c r="W421" s="7" t="s">
        <v>4210</v>
      </c>
      <c r="X421" s="8"/>
      <c r="Y421" s="7"/>
      <c r="Z421" s="7"/>
      <c r="AA421" s="11" t="s">
        <v>4211</v>
      </c>
      <c r="AB421" s="11"/>
      <c r="AC421" s="11"/>
      <c r="AD421" s="11"/>
      <c r="AH421" s="8"/>
      <c r="AI421" s="20"/>
      <c r="AJ421" s="20"/>
      <c r="AK421" s="31"/>
      <c r="AL421" s="31"/>
    </row>
    <row r="422" spans="1:38" ht="36" hidden="1" x14ac:dyDescent="0.25">
      <c r="A422" s="14" t="s">
        <v>7075</v>
      </c>
      <c r="B422" s="7" t="s">
        <v>5877</v>
      </c>
      <c r="C422" s="7" t="s">
        <v>3</v>
      </c>
      <c r="D422" s="7" t="s">
        <v>5978</v>
      </c>
      <c r="E422" s="7" t="s">
        <v>5978</v>
      </c>
      <c r="F422" s="7" t="s">
        <v>5978</v>
      </c>
      <c r="G422" s="7"/>
      <c r="H422" s="7"/>
      <c r="I422" s="7"/>
      <c r="J422" s="20" t="e">
        <f>VLOOKUP(V422,Table_to_BRG!A:D,3,FALSE)</f>
        <v>#N/A</v>
      </c>
      <c r="K422" s="20" t="e">
        <f>VLOOKUP(V422,Table_to_BRG!A:D,2,FALSE)</f>
        <v>#N/A</v>
      </c>
      <c r="L422" s="20"/>
      <c r="M422" s="20"/>
      <c r="N422" s="9" t="s">
        <v>6465</v>
      </c>
      <c r="O422" s="54" t="s">
        <v>7812</v>
      </c>
      <c r="P422" s="7" t="s">
        <v>4088</v>
      </c>
      <c r="Q422" s="11" t="str">
        <f>RIGHT("00"&amp;Table362[[#This Row],[Rule '#]],3)&amp;"_"&amp;IF(Table362[[#This Row],[Entity]]="Material","MATL",LEFT(UPPER(Table362[[#This Row],[Entity]]),4))&amp;"_"&amp;MID(SUBSTITUTE(Table362[[#This Row],[Rule Name]],"_","|",3),SEARCH("|",SUBSTITUTE(Table362[[#This Row],[Rule Name]],"_","|",3))+1,LEN(Table362[[#This Row],[Rule Name]]))</f>
        <v>045_MATL_ACTIVITY NUMBER IS NULL</v>
      </c>
      <c r="R422" s="8" t="s">
        <v>4013</v>
      </c>
      <c r="S422" s="7"/>
      <c r="T422" s="7" t="s">
        <v>4135</v>
      </c>
      <c r="U422" s="7"/>
      <c r="V422" s="7"/>
      <c r="W422" s="7" t="s">
        <v>4212</v>
      </c>
      <c r="X422" s="8"/>
      <c r="Y422" s="7"/>
      <c r="Z422" s="7"/>
      <c r="AA422" s="11" t="s">
        <v>4213</v>
      </c>
      <c r="AB422" s="11"/>
      <c r="AC422" s="11" t="s">
        <v>6810</v>
      </c>
      <c r="AD422" s="11"/>
      <c r="AH422" s="8"/>
      <c r="AI422" s="20"/>
      <c r="AJ422" s="20"/>
      <c r="AK422" s="31"/>
      <c r="AL422" s="31"/>
    </row>
    <row r="423" spans="1:38" ht="84" hidden="1" x14ac:dyDescent="0.25">
      <c r="A423" s="14" t="s">
        <v>7076</v>
      </c>
      <c r="B423" s="7" t="s">
        <v>5877</v>
      </c>
      <c r="C423" s="7" t="s">
        <v>3</v>
      </c>
      <c r="D423" s="7" t="s">
        <v>6711</v>
      </c>
      <c r="E423" s="7" t="s">
        <v>6712</v>
      </c>
      <c r="F423" s="7" t="s">
        <v>6713</v>
      </c>
      <c r="G423" s="7"/>
      <c r="H423" s="7"/>
      <c r="I423" s="7"/>
      <c r="J423" s="20" t="str">
        <f>VLOOKUP(V423,Table_to_BRG!A:D,3,FALSE)</f>
        <v>Plant data</v>
      </c>
      <c r="K423" s="20" t="str">
        <f>VLOOKUP(V423,Table_to_BRG!A:D,2,FALSE)</f>
        <v>Plant</v>
      </c>
      <c r="L423" s="20"/>
      <c r="M423" s="20"/>
      <c r="N423" s="9" t="s">
        <v>6465</v>
      </c>
      <c r="O423" s="54" t="s">
        <v>7812</v>
      </c>
      <c r="P423" s="7" t="s">
        <v>7777</v>
      </c>
      <c r="Q423" s="11" t="str">
        <f>RIGHT("00"&amp;Table362[[#This Row],[Rule '#]],3)&amp;"_"&amp;IF(Table362[[#This Row],[Entity]]="Material","MATL",LEFT(UPPER(Table362[[#This Row],[Entity]]),4))&amp;"_"&amp;MID(SUBSTITUTE(Table362[[#This Row],[Rule Name]],"_","|",3),SEARCH("|",SUBSTITUTE(Table362[[#This Row],[Rule Name]],"_","|",3))+1,LEN(Table362[[#This Row],[Rule Name]]))</f>
        <v>046_MATL_LOT_SIZE</v>
      </c>
      <c r="R423" s="8" t="s">
        <v>4014</v>
      </c>
      <c r="S423" s="42" t="s">
        <v>4135</v>
      </c>
      <c r="T423" s="7" t="s">
        <v>139</v>
      </c>
      <c r="U423" s="8" t="s">
        <v>6824</v>
      </c>
      <c r="V423" s="7" t="s">
        <v>1527</v>
      </c>
      <c r="W423" s="8" t="s">
        <v>6823</v>
      </c>
      <c r="X423" s="8"/>
      <c r="Y423" s="7"/>
      <c r="Z423" s="7"/>
      <c r="AA423" s="11" t="s">
        <v>6827</v>
      </c>
      <c r="AB423" s="11"/>
      <c r="AC423" s="8"/>
      <c r="AD423" s="8"/>
      <c r="AE423" s="8" t="s">
        <v>7774</v>
      </c>
      <c r="AG423" s="11" t="s">
        <v>7776</v>
      </c>
      <c r="AH423" s="8"/>
      <c r="AI423" s="20"/>
      <c r="AJ423" s="20"/>
      <c r="AK423" s="31"/>
      <c r="AL423" s="31"/>
    </row>
    <row r="424" spans="1:38" ht="36" hidden="1" x14ac:dyDescent="0.25">
      <c r="A424" s="14" t="s">
        <v>7077</v>
      </c>
      <c r="B424" s="7" t="s">
        <v>5877</v>
      </c>
      <c r="C424" s="7" t="s">
        <v>3</v>
      </c>
      <c r="D424" s="7" t="s">
        <v>5978</v>
      </c>
      <c r="E424" s="7" t="s">
        <v>5978</v>
      </c>
      <c r="F424" s="7" t="s">
        <v>5978</v>
      </c>
      <c r="G424" s="7"/>
      <c r="H424" s="7"/>
      <c r="I424" s="7"/>
      <c r="J424" s="20" t="e">
        <f>VLOOKUP(V424,Table_to_BRG!A:D,3,FALSE)</f>
        <v>#N/A</v>
      </c>
      <c r="K424" s="20" t="e">
        <f>VLOOKUP(V424,Table_to_BRG!A:D,2,FALSE)</f>
        <v>#N/A</v>
      </c>
      <c r="L424" s="20"/>
      <c r="M424" s="20"/>
      <c r="N424" s="9" t="s">
        <v>6465</v>
      </c>
      <c r="O424" s="54" t="s">
        <v>7812</v>
      </c>
      <c r="P424" s="7" t="s">
        <v>4089</v>
      </c>
      <c r="Q424" s="11" t="str">
        <f>RIGHT("00"&amp;Table362[[#This Row],[Rule '#]],3)&amp;"_"&amp;IF(Table362[[#This Row],[Entity]]="Material","MATL",LEFT(UPPER(Table362[[#This Row],[Entity]]),4))&amp;"_"&amp;MID(SUBSTITUTE(Table362[[#This Row],[Rule Name]],"_","|",3),SEARCH("|",SUBSTITUTE(Table362[[#This Row],[Rule Name]],"_","|",3))+1,LEN(Table362[[#This Row],[Rule Name]]))</f>
        <v>047_MATL_INCOTERM IS WITHIN LIST</v>
      </c>
      <c r="R424" s="8" t="s">
        <v>4015</v>
      </c>
      <c r="S424" s="7"/>
      <c r="T424" s="7" t="s">
        <v>4135</v>
      </c>
      <c r="U424" s="7"/>
      <c r="V424" s="7"/>
      <c r="W424" s="7" t="s">
        <v>4151</v>
      </c>
      <c r="X424" s="8"/>
      <c r="Y424" s="7" t="s">
        <v>4214</v>
      </c>
      <c r="Z424" s="7" t="s">
        <v>3299</v>
      </c>
      <c r="AA424" s="11" t="str">
        <f>"BEGIN
     RETURN exists('DS_IS_RDS', '"&amp;Table362[[#This Row],[Lookup Table]]&amp;"', '"&amp;Table362[[#This Row],[Lookup Field]]&amp;"', upper("&amp;Table362[[#This Row],[IS Parameter]]&amp;");
END"</f>
        <v>BEGIN
     RETURN exists('DS_IS_RDS', 'TINC', 'INCO1', upper();
END</v>
      </c>
      <c r="AB424" s="11"/>
      <c r="AC424" s="11"/>
      <c r="AD424" s="11"/>
      <c r="AH424" s="8" t="s">
        <v>5969</v>
      </c>
      <c r="AI424" s="20"/>
      <c r="AJ424" s="20"/>
      <c r="AK424" s="31"/>
      <c r="AL424" s="31"/>
    </row>
    <row r="425" spans="1:38" ht="36" hidden="1" x14ac:dyDescent="0.25">
      <c r="A425" s="14" t="s">
        <v>7078</v>
      </c>
      <c r="B425" s="7" t="s">
        <v>5877</v>
      </c>
      <c r="C425" s="7" t="s">
        <v>3</v>
      </c>
      <c r="D425" s="7" t="s">
        <v>5978</v>
      </c>
      <c r="E425" s="7" t="s">
        <v>5978</v>
      </c>
      <c r="F425" s="7" t="s">
        <v>5978</v>
      </c>
      <c r="G425" s="7"/>
      <c r="H425" s="7"/>
      <c r="I425" s="7"/>
      <c r="J425" s="20" t="e">
        <f>VLOOKUP(V425,Table_to_BRG!A:D,3,FALSE)</f>
        <v>#N/A</v>
      </c>
      <c r="K425" s="20" t="e">
        <f>VLOOKUP(V425,Table_to_BRG!A:D,2,FALSE)</f>
        <v>#N/A</v>
      </c>
      <c r="L425" s="20"/>
      <c r="M425" s="20"/>
      <c r="N425" s="9" t="s">
        <v>6465</v>
      </c>
      <c r="O425" s="54" t="s">
        <v>7812</v>
      </c>
      <c r="P425" s="7" t="s">
        <v>4090</v>
      </c>
      <c r="Q425" s="11" t="str">
        <f>RIGHT("00"&amp;Table362[[#This Row],[Rule '#]],3)&amp;"_"&amp;IF(Table362[[#This Row],[Entity]]="Material","MATL",LEFT(UPPER(Table362[[#This Row],[Entity]]),4))&amp;"_"&amp;MID(SUBSTITUTE(Table362[[#This Row],[Rule Name]],"_","|",3),SEARCH("|",SUBSTITUTE(Table362[[#This Row],[Rule Name]],"_","|",3))+1,LEN(Table362[[#This Row],[Rule Name]]))</f>
        <v>048_MATL_STORAGE TYPE IS WITHIN LIST</v>
      </c>
      <c r="R425" s="8" t="s">
        <v>4016</v>
      </c>
      <c r="S425" s="7"/>
      <c r="T425" s="7" t="s">
        <v>4135</v>
      </c>
      <c r="U425" s="7"/>
      <c r="V425" s="7"/>
      <c r="W425" s="7" t="s">
        <v>4215</v>
      </c>
      <c r="X425" s="8"/>
      <c r="Y425" s="7" t="s">
        <v>4216</v>
      </c>
      <c r="Z425" s="7" t="s">
        <v>2566</v>
      </c>
      <c r="AA425" s="11" t="str">
        <f>"BEGIN
     RETURN exists('DS_IS_RDS', '"&amp;Table362[[#This Row],[Lookup Table]]&amp;"', '"&amp;Table362[[#This Row],[Lookup Field]]&amp;"', upper("&amp;Table362[[#This Row],[IS Parameter]]&amp;");
END"</f>
        <v>BEGIN
     RETURN exists('DS_IS_RDS', 'T301', 'LGNUM', upper();
END</v>
      </c>
      <c r="AB425" s="11"/>
      <c r="AC425" s="11"/>
      <c r="AD425" s="11"/>
      <c r="AH425" s="8"/>
      <c r="AI425" s="20"/>
      <c r="AJ425" s="20"/>
      <c r="AK425" s="31"/>
      <c r="AL425" s="31"/>
    </row>
    <row r="426" spans="1:38" ht="36" hidden="1" x14ac:dyDescent="0.25">
      <c r="A426" s="14" t="s">
        <v>7079</v>
      </c>
      <c r="B426" s="7" t="s">
        <v>5877</v>
      </c>
      <c r="C426" s="7" t="s">
        <v>3</v>
      </c>
      <c r="D426" s="7" t="s">
        <v>5978</v>
      </c>
      <c r="E426" s="7" t="s">
        <v>5978</v>
      </c>
      <c r="F426" s="7" t="s">
        <v>5978</v>
      </c>
      <c r="G426" s="7"/>
      <c r="H426" s="7"/>
      <c r="I426" s="7"/>
      <c r="J426" s="20" t="e">
        <f>VLOOKUP(V426,Table_to_BRG!A:D,3,FALSE)</f>
        <v>#N/A</v>
      </c>
      <c r="K426" s="20" t="e">
        <f>VLOOKUP(V426,Table_to_BRG!A:D,2,FALSE)</f>
        <v>#N/A</v>
      </c>
      <c r="L426" s="20"/>
      <c r="M426" s="20"/>
      <c r="N426" s="9" t="s">
        <v>6465</v>
      </c>
      <c r="O426" s="57" t="str">
        <f>"Duplicate of Rule #"&amp;A380</f>
        <v>Duplicate of Rule #5003</v>
      </c>
      <c r="P426" s="7" t="s">
        <v>4091</v>
      </c>
      <c r="Q426" s="11" t="str">
        <f>RIGHT("00"&amp;Table362[[#This Row],[Rule '#]],3)&amp;"_"&amp;IF(Table362[[#This Row],[Entity]]="Material","MATL",LEFT(UPPER(Table362[[#This Row],[Entity]]),4))&amp;"_"&amp;MID(SUBSTITUTE(Table362[[#This Row],[Rule Name]],"_","|",3),SEARCH("|",SUBSTITUTE(Table362[[#This Row],[Rule Name]],"_","|",3))+1,LEN(Table362[[#This Row],[Rule Name]]))</f>
        <v>049_MATL_IR_PURCH_ORG WITHIN LIST</v>
      </c>
      <c r="R426" s="8" t="s">
        <v>4017</v>
      </c>
      <c r="S426" s="7"/>
      <c r="T426" s="7" t="s">
        <v>21</v>
      </c>
      <c r="U426" s="7"/>
      <c r="V426" s="7"/>
      <c r="W426" s="7" t="s">
        <v>4217</v>
      </c>
      <c r="X426" s="8"/>
      <c r="Y426" s="7" t="s">
        <v>3819</v>
      </c>
      <c r="Z426" s="7" t="s">
        <v>3814</v>
      </c>
      <c r="AA426" s="11" t="str">
        <f>"BEGIN
     RETURN exists('DS_IS_RDS', '"&amp;Table362[[#This Row],[Lookup Table]]&amp;"', '"&amp;Table362[[#This Row],[Lookup Field]]&amp;"', upper("&amp;Table362[[#This Row],[IS Parameter]]&amp;");
END"</f>
        <v>BEGIN
     RETURN exists('DS_IS_RDS', 'T024E', 'EKORG', upper();
END</v>
      </c>
      <c r="AB426" s="11"/>
      <c r="AC426" s="11"/>
      <c r="AD426" s="11"/>
      <c r="AH426" s="8"/>
      <c r="AI426" s="20"/>
      <c r="AJ426" s="20"/>
      <c r="AK426" s="31"/>
      <c r="AL426" s="31"/>
    </row>
    <row r="427" spans="1:38" ht="48" hidden="1" x14ac:dyDescent="0.25">
      <c r="A427" s="14" t="s">
        <v>7080</v>
      </c>
      <c r="B427" s="7" t="s">
        <v>5877</v>
      </c>
      <c r="C427" s="7" t="s">
        <v>3</v>
      </c>
      <c r="D427" s="7" t="s">
        <v>5978</v>
      </c>
      <c r="E427" s="7" t="s">
        <v>5978</v>
      </c>
      <c r="F427" s="7" t="s">
        <v>5978</v>
      </c>
      <c r="G427" s="7"/>
      <c r="H427" s="7"/>
      <c r="I427" s="7"/>
      <c r="J427" s="20" t="e">
        <f>VLOOKUP(V427,Table_to_BRG!A:D,3,FALSE)</f>
        <v>#N/A</v>
      </c>
      <c r="K427" s="20" t="e">
        <f>VLOOKUP(V427,Table_to_BRG!A:D,2,FALSE)</f>
        <v>#N/A</v>
      </c>
      <c r="L427" s="20"/>
      <c r="M427" s="20"/>
      <c r="N427" s="9" t="s">
        <v>6465</v>
      </c>
      <c r="O427" s="54" t="s">
        <v>7812</v>
      </c>
      <c r="P427" s="7" t="s">
        <v>4092</v>
      </c>
      <c r="Q427" s="11" t="str">
        <f>RIGHT("00"&amp;Table362[[#This Row],[Rule '#]],3)&amp;"_"&amp;IF(Table362[[#This Row],[Entity]]="Material","MATL",LEFT(UPPER(Table362[[#This Row],[Entity]]),4))&amp;"_"&amp;MID(SUBSTITUTE(Table362[[#This Row],[Rule Name]],"_","|",3),SEARCH("|",SUBSTITUTE(Table362[[#This Row],[Rule Name]],"_","|",3))+1,LEN(Table362[[#This Row],[Rule Name]]))</f>
        <v>050_MATL_IR_Number</v>
      </c>
      <c r="R427" s="8" t="s">
        <v>4018</v>
      </c>
      <c r="S427" s="7"/>
      <c r="T427" s="7" t="s">
        <v>21</v>
      </c>
      <c r="U427" s="7"/>
      <c r="V427" s="7"/>
      <c r="W427" s="7" t="s">
        <v>4218</v>
      </c>
      <c r="X427" s="8"/>
      <c r="Y427" s="7"/>
      <c r="Z427" s="7"/>
      <c r="AA427" s="11" t="s">
        <v>4219</v>
      </c>
      <c r="AB427" s="11"/>
      <c r="AC427" s="11"/>
      <c r="AD427" s="11"/>
      <c r="AH427" s="8"/>
      <c r="AI427" s="20"/>
      <c r="AJ427" s="20"/>
      <c r="AK427" s="31"/>
      <c r="AL427" s="31"/>
    </row>
    <row r="428" spans="1:38" ht="36" hidden="1" x14ac:dyDescent="0.25">
      <c r="A428" s="14" t="s">
        <v>7081</v>
      </c>
      <c r="B428" s="7" t="s">
        <v>5877</v>
      </c>
      <c r="C428" s="7" t="s">
        <v>3</v>
      </c>
      <c r="D428" s="7" t="s">
        <v>5978</v>
      </c>
      <c r="E428" s="7" t="s">
        <v>5978</v>
      </c>
      <c r="F428" s="7" t="s">
        <v>5978</v>
      </c>
      <c r="G428" s="7"/>
      <c r="H428" s="7"/>
      <c r="I428" s="7" t="s">
        <v>3971</v>
      </c>
      <c r="J428" s="20" t="e">
        <f>VLOOKUP(V428,Table_to_BRG!A:D,3,FALSE)</f>
        <v>#N/A</v>
      </c>
      <c r="K428" s="20" t="e">
        <f>VLOOKUP(V428,Table_to_BRG!A:D,2,FALSE)</f>
        <v>#N/A</v>
      </c>
      <c r="L428" s="20"/>
      <c r="M428" s="20"/>
      <c r="N428" s="9" t="s">
        <v>6465</v>
      </c>
      <c r="O428" s="54" t="s">
        <v>7812</v>
      </c>
      <c r="P428" s="7" t="s">
        <v>4093</v>
      </c>
      <c r="Q428" s="11" t="str">
        <f>RIGHT("00"&amp;Table362[[#This Row],[Rule '#]],3)&amp;"_"&amp;IF(Table362[[#This Row],[Entity]]="Material","MATL",LEFT(UPPER(Table362[[#This Row],[Entity]]),4))&amp;"_"&amp;MID(SUBSTITUTE(Table362[[#This Row],[Rule Name]],"_","|",3),SEARCH("|",SUBSTITUTE(Table362[[#This Row],[Rule Name]],"_","|",3))+1,LEN(Table362[[#This Row],[Rule Name]]))</f>
        <v>051_MATL_WITHHOLDING TAX COUNTRY KEY WITHIN LIST</v>
      </c>
      <c r="R428" s="8" t="s">
        <v>4019</v>
      </c>
      <c r="S428" s="7"/>
      <c r="T428" s="7" t="s">
        <v>4135</v>
      </c>
      <c r="U428" s="7"/>
      <c r="V428" s="7"/>
      <c r="W428" s="7" t="s">
        <v>4151</v>
      </c>
      <c r="X428" s="8"/>
      <c r="Y428" s="7" t="s">
        <v>4220</v>
      </c>
      <c r="Z428" s="7" t="s">
        <v>3523</v>
      </c>
      <c r="AA428" s="11" t="str">
        <f>"BEGIN
     RETURN exists('DS_IS_RDS', '"&amp;Table362[[#This Row],[Lookup Table]]&amp;"', '"&amp;Table362[[#This Row],[Lookup Field]]&amp;"', upper("&amp;Table362[[#This Row],[IS Parameter]]&amp;");
END"</f>
        <v>BEGIN
     RETURN exists('DS_IS_RDS', 'T005Q', 'QLAND', upper();
END</v>
      </c>
      <c r="AB428" s="11"/>
      <c r="AC428" s="11"/>
      <c r="AD428" s="11"/>
      <c r="AH428" s="8" t="s">
        <v>5969</v>
      </c>
      <c r="AI428" s="20" t="s">
        <v>7654</v>
      </c>
      <c r="AJ428" s="20"/>
      <c r="AK428" s="31"/>
      <c r="AL428" s="31"/>
    </row>
    <row r="429" spans="1:38" ht="72" hidden="1" x14ac:dyDescent="0.25">
      <c r="A429" s="14" t="s">
        <v>7082</v>
      </c>
      <c r="B429" s="7" t="s">
        <v>5877</v>
      </c>
      <c r="C429" s="7" t="s">
        <v>3</v>
      </c>
      <c r="D429" s="7" t="s">
        <v>5978</v>
      </c>
      <c r="E429" s="7" t="s">
        <v>5978</v>
      </c>
      <c r="F429" s="7" t="s">
        <v>5978</v>
      </c>
      <c r="G429" s="7"/>
      <c r="H429" s="7"/>
      <c r="I429" s="7"/>
      <c r="J429" s="20" t="str">
        <f>VLOOKUP(V429,Table_to_BRG!A:D,3,FALSE)</f>
        <v>Plant data</v>
      </c>
      <c r="K429" s="20" t="str">
        <f>VLOOKUP(V429,Table_to_BRG!A:D,2,FALSE)</f>
        <v>Plant</v>
      </c>
      <c r="L429" s="20"/>
      <c r="M429" s="20"/>
      <c r="N429" s="9" t="s">
        <v>6465</v>
      </c>
      <c r="O429" s="54" t="s">
        <v>7812</v>
      </c>
      <c r="P429" s="7" t="s">
        <v>7741</v>
      </c>
      <c r="Q429" s="11" t="str">
        <f>RIGHT("00"&amp;Table362[[#This Row],[Rule '#]],3)&amp;"_"&amp;IF(Table362[[#This Row],[Entity]]="Material","MATL",LEFT(UPPER(Table362[[#This Row],[Entity]]),4))&amp;"_"&amp;MID(SUBSTITUTE(Table362[[#This Row],[Rule Name]],"_","|",3),SEARCH("|",SUBSTITUTE(Table362[[#This Row],[Rule Name]],"_","|",3))+1,LEN(Table362[[#This Row],[Rule Name]]))</f>
        <v>052_MATL_PROFIT_CENTER_IS_WITHIN_LIST</v>
      </c>
      <c r="R429" s="8" t="s">
        <v>4020</v>
      </c>
      <c r="S429" s="7" t="s">
        <v>21</v>
      </c>
      <c r="T429" s="7" t="s">
        <v>4135</v>
      </c>
      <c r="U429" s="7" t="s">
        <v>6891</v>
      </c>
      <c r="V429" s="7" t="s">
        <v>1527</v>
      </c>
      <c r="W429" s="7" t="s">
        <v>1770</v>
      </c>
      <c r="X429" s="8" t="s">
        <v>1732</v>
      </c>
      <c r="Y429" s="7" t="s">
        <v>4221</v>
      </c>
      <c r="Z429" s="7" t="s">
        <v>1770</v>
      </c>
      <c r="AA429" s="11" t="str">
        <f>"BEGIN
     RETURN exists('DS_IS_RDS', '"&amp;Table362[[#This Row],[Lookup Table]]&amp;"', '"&amp;Table362[[#This Row],[Lookup Field]]&amp;"', lpad("&amp;Table362[[#This Row],[IS Parameter]]&amp;", 10, '0');
END"</f>
        <v>BEGIN
     RETURN exists('DS_IS_RDS', 'CEPC', 'PRCTR', lpad($P_I_ProfitCenter, 10, '0');
END</v>
      </c>
      <c r="AB429" s="11"/>
      <c r="AC429" s="11"/>
      <c r="AD429" s="11"/>
      <c r="AE429" s="13" t="str">
        <f>IF(Table362[[#This Row],[Entity]]="Customer","KUNNR",IF(Table362[[#This Row],[Entity]]="Vendor","LIFNR","MATNR"))&amp;",WERKS"&amp;","&amp;Table362[[#This Row],[Field]]</f>
        <v>MATNR,WERKS,PRCTR</v>
      </c>
      <c r="AG429" s="11" t="str">
        <f>"create view "&amp;Table362[[#This Row],[View Name]]&amp;" as 
     select 
          "&amp;IF(Table362[[#This Row],[Entity]]="Customer","KUNNR",IF(Table362[[#This Row],[Entity]]="Vendor","LIFNR","MATNR"))&amp;",
          WERKS,
          "&amp;Table362[[#This Row],[Field]]&amp;" 
     from "&amp;Table362[[#This Row],[Table]]</f>
        <v>create view  as 
     select 
          MATNR,
          WERKS,
          PRCTR 
     from MARC</v>
      </c>
      <c r="AH429" s="8"/>
      <c r="AI429" s="20"/>
      <c r="AJ429" s="20"/>
      <c r="AK429" s="31"/>
      <c r="AL429" s="31"/>
    </row>
    <row r="430" spans="1:38" ht="45" hidden="1" x14ac:dyDescent="0.25">
      <c r="A430" s="14" t="s">
        <v>7083</v>
      </c>
      <c r="B430" s="7" t="s">
        <v>5877</v>
      </c>
      <c r="C430" s="7" t="s">
        <v>3</v>
      </c>
      <c r="D430" s="7" t="s">
        <v>6711</v>
      </c>
      <c r="E430" s="7" t="s">
        <v>6712</v>
      </c>
      <c r="F430" s="7" t="s">
        <v>6725</v>
      </c>
      <c r="G430" s="7"/>
      <c r="H430" s="7"/>
      <c r="I430" s="7"/>
      <c r="J430" s="20" t="str">
        <f>VLOOKUP(V430,Table_to_BRG!A:D,3,FALSE)</f>
        <v>General data</v>
      </c>
      <c r="K430" s="20" t="str">
        <f>VLOOKUP(V430,Table_to_BRG!A:D,2,FALSE)</f>
        <v>General</v>
      </c>
      <c r="L430" s="20"/>
      <c r="M430" s="20" t="s">
        <v>7707</v>
      </c>
      <c r="N430" s="9" t="s">
        <v>6465</v>
      </c>
      <c r="O430" s="54" t="s">
        <v>7812</v>
      </c>
      <c r="P430" s="7" t="s">
        <v>4094</v>
      </c>
      <c r="Q430" s="11" t="str">
        <f>RIGHT("00"&amp;Table362[[#This Row],[Rule '#]],3)&amp;"_"&amp;IF(Table362[[#This Row],[Entity]]="Material","MATL",LEFT(UPPER(Table362[[#This Row],[Entity]]),4))&amp;"_"&amp;MID(SUBSTITUTE(Table362[[#This Row],[Rule Name]],"_","|",3),SEARCH("|",SUBSTITUTE(Table362[[#This Row],[Rule Name]],"_","|",3))+1,LEN(Table362[[#This Row],[Rule Name]]))</f>
        <v>053_MATL_TRANSPORT GROUP</v>
      </c>
      <c r="R430" s="8" t="s">
        <v>4021</v>
      </c>
      <c r="S430" s="7"/>
      <c r="T430" s="7" t="s">
        <v>4135</v>
      </c>
      <c r="U430" s="7"/>
      <c r="V430" s="7" t="s">
        <v>1526</v>
      </c>
      <c r="W430" s="7" t="s">
        <v>4222</v>
      </c>
      <c r="X430" s="8"/>
      <c r="Y430" s="7" t="s">
        <v>4223</v>
      </c>
      <c r="Z430" s="7" t="s">
        <v>2393</v>
      </c>
      <c r="AA430" s="11" t="str">
        <f>"BEGIN
     RETURN exists('DS_IS_RDS', '"&amp;Table362[[#This Row],[Lookup Table]]&amp;"', '"&amp;Table362[[#This Row],[Lookup Field]]&amp;"', "&amp;Table362[[#This Row],[IS Parameter]]&amp;");
END"</f>
        <v>BEGIN
     RETURN exists('DS_IS_RDS', 'TTGR', 'TRAGR', );
END</v>
      </c>
      <c r="AB430" s="11"/>
      <c r="AC430" s="11" t="s">
        <v>6663</v>
      </c>
      <c r="AD430" s="11"/>
      <c r="AH430" s="8"/>
      <c r="AI430" s="20" t="s">
        <v>7707</v>
      </c>
      <c r="AJ430" s="20"/>
      <c r="AK430" s="31"/>
      <c r="AL430" s="31"/>
    </row>
    <row r="431" spans="1:38" ht="36" hidden="1" x14ac:dyDescent="0.25">
      <c r="A431" s="14" t="s">
        <v>7084</v>
      </c>
      <c r="B431" s="7" t="s">
        <v>5877</v>
      </c>
      <c r="C431" s="7" t="s">
        <v>3</v>
      </c>
      <c r="D431" s="7" t="s">
        <v>5978</v>
      </c>
      <c r="E431" s="7" t="s">
        <v>5978</v>
      </c>
      <c r="F431" s="7" t="s">
        <v>5978</v>
      </c>
      <c r="G431" s="7"/>
      <c r="H431" s="7"/>
      <c r="I431" s="7"/>
      <c r="J431" s="20" t="e">
        <f>VLOOKUP(V431,Table_to_BRG!A:D,3,FALSE)</f>
        <v>#N/A</v>
      </c>
      <c r="K431" s="20" t="e">
        <f>VLOOKUP(V431,Table_to_BRG!A:D,2,FALSE)</f>
        <v>#N/A</v>
      </c>
      <c r="L431" s="20"/>
      <c r="M431" s="20"/>
      <c r="N431" s="9" t="s">
        <v>6465</v>
      </c>
      <c r="O431" s="54" t="s">
        <v>7812</v>
      </c>
      <c r="P431" s="7" t="s">
        <v>4095</v>
      </c>
      <c r="Q431" s="11" t="str">
        <f>RIGHT("00"&amp;Table362[[#This Row],[Rule '#]],3)&amp;"_"&amp;IF(Table362[[#This Row],[Entity]]="Material","MATL",LEFT(UPPER(Table362[[#This Row],[Entity]]),4))&amp;"_"&amp;MID(SUBSTITUTE(Table362[[#This Row],[Rule Name]],"_","|",3),SEARCH("|",SUBSTITUTE(Table362[[#This Row],[Rule Name]],"_","|",3))+1,LEN(Table362[[#This Row],[Rule Name]]))</f>
        <v>054_MATL_REGION</v>
      </c>
      <c r="R431" s="8" t="s">
        <v>4022</v>
      </c>
      <c r="S431" s="7"/>
      <c r="T431" s="7" t="s">
        <v>21</v>
      </c>
      <c r="U431" s="7"/>
      <c r="V431" s="7"/>
      <c r="W431" s="7" t="s">
        <v>4224</v>
      </c>
      <c r="X431" s="8"/>
      <c r="Y431" s="7" t="s">
        <v>4225</v>
      </c>
      <c r="Z431" s="7" t="s">
        <v>4226</v>
      </c>
      <c r="AA431" s="11" t="str">
        <f>"BEGIN
     RETURN exists('DS_IS_RDS', '"&amp;Table362[[#This Row],[Lookup Table]]&amp;"', '"&amp;Table362[[#This Row],[Lookup Field]]&amp;"', "&amp;Table362[[#This Row],[IS Parameter]]&amp;");
END"</f>
        <v>BEGIN
     RETURN exists('DS_IS_RDS', 'T005S', 'BLAND', );
END</v>
      </c>
      <c r="AB431" s="11"/>
      <c r="AC431" s="11" t="s">
        <v>6663</v>
      </c>
      <c r="AD431" s="11"/>
      <c r="AH431" s="8"/>
      <c r="AI431" s="20" t="s">
        <v>7680</v>
      </c>
      <c r="AJ431" s="20"/>
      <c r="AK431" s="31"/>
      <c r="AL431" s="31"/>
    </row>
    <row r="432" spans="1:38" ht="36" hidden="1" x14ac:dyDescent="0.25">
      <c r="A432" s="14" t="s">
        <v>7085</v>
      </c>
      <c r="B432" s="7" t="s">
        <v>5877</v>
      </c>
      <c r="C432" s="7" t="s">
        <v>3</v>
      </c>
      <c r="D432" s="7" t="s">
        <v>5978</v>
      </c>
      <c r="E432" s="7" t="s">
        <v>5978</v>
      </c>
      <c r="F432" s="7" t="s">
        <v>5978</v>
      </c>
      <c r="G432" s="7"/>
      <c r="H432" s="7"/>
      <c r="I432" s="7"/>
      <c r="J432" s="20" t="e">
        <f>VLOOKUP(V432,Table_to_BRG!A:D,3,FALSE)</f>
        <v>#N/A</v>
      </c>
      <c r="K432" s="20" t="e">
        <f>VLOOKUP(V432,Table_to_BRG!A:D,2,FALSE)</f>
        <v>#N/A</v>
      </c>
      <c r="L432" s="20"/>
      <c r="M432" s="20"/>
      <c r="N432" s="9" t="s">
        <v>6465</v>
      </c>
      <c r="O432" s="54" t="s">
        <v>7812</v>
      </c>
      <c r="P432" s="7" t="s">
        <v>4096</v>
      </c>
      <c r="Q432" s="11" t="str">
        <f>RIGHT("00"&amp;Table362[[#This Row],[Rule '#]],3)&amp;"_"&amp;IF(Table362[[#This Row],[Entity]]="Material","MATL",LEFT(UPPER(Table362[[#This Row],[Entity]]),4))&amp;"_"&amp;MID(SUBSTITUTE(Table362[[#This Row],[Rule Name]],"_","|",3),SEARCH("|",SUBSTITUTE(Table362[[#This Row],[Rule Name]],"_","|",3))+1,LEN(Table362[[#This Row],[Rule Name]]))</f>
        <v>055_MATL_WAREHOUSE NO IS WITHIN LIST</v>
      </c>
      <c r="R432" s="8" t="s">
        <v>4023</v>
      </c>
      <c r="S432" s="7"/>
      <c r="T432" s="7" t="s">
        <v>4135</v>
      </c>
      <c r="U432" s="7"/>
      <c r="V432" s="7"/>
      <c r="W432" s="7" t="s">
        <v>4227</v>
      </c>
      <c r="X432" s="8"/>
      <c r="Y432" s="7" t="s">
        <v>4216</v>
      </c>
      <c r="Z432" s="7" t="s">
        <v>2566</v>
      </c>
      <c r="AA432" s="11" t="str">
        <f>"BEGIN
     RETURN exists('DS_IS_RDS', '"&amp;Table362[[#This Row],[Lookup Table]]&amp;"', '"&amp;Table362[[#This Row],[Lookup Field]]&amp;"', upper("&amp;Table362[[#This Row],[IS Parameter]]&amp;");
END"</f>
        <v>BEGIN
     RETURN exists('DS_IS_RDS', 'T301', 'LGNUM', upper();
END</v>
      </c>
      <c r="AB432" s="11"/>
      <c r="AC432" s="11"/>
      <c r="AD432" s="11"/>
      <c r="AH432" s="8"/>
      <c r="AI432" s="20"/>
      <c r="AJ432" s="20"/>
      <c r="AK432" s="31"/>
      <c r="AL432" s="31"/>
    </row>
    <row r="433" spans="1:38" ht="36" hidden="1" x14ac:dyDescent="0.25">
      <c r="A433" s="14" t="s">
        <v>7086</v>
      </c>
      <c r="B433" s="7" t="s">
        <v>5877</v>
      </c>
      <c r="C433" s="7" t="s">
        <v>3</v>
      </c>
      <c r="D433" s="7" t="s">
        <v>5978</v>
      </c>
      <c r="E433" s="7" t="s">
        <v>5978</v>
      </c>
      <c r="F433" s="7" t="s">
        <v>5978</v>
      </c>
      <c r="G433" s="7"/>
      <c r="H433" s="7"/>
      <c r="I433" s="7"/>
      <c r="J433" s="20" t="e">
        <f>VLOOKUP(V433,Table_to_BRG!A:D,3,FALSE)</f>
        <v>#N/A</v>
      </c>
      <c r="K433" s="20" t="e">
        <f>VLOOKUP(V433,Table_to_BRG!A:D,2,FALSE)</f>
        <v>#N/A</v>
      </c>
      <c r="L433" s="20"/>
      <c r="M433" s="20"/>
      <c r="N433" s="9" t="s">
        <v>6465</v>
      </c>
      <c r="O433" s="54" t="s">
        <v>7812</v>
      </c>
      <c r="P433" s="7" t="s">
        <v>4097</v>
      </c>
      <c r="Q433" s="11" t="e">
        <f>RIGHT("00"&amp;Table362[[#This Row],[Rule '#]],3)&amp;"_"&amp;IF(Table362[[#This Row],[Entity]]="Material","MATL",LEFT(UPPER(Table362[[#This Row],[Entity]]),4))&amp;"_"&amp;MID(SUBSTITUTE(Table362[[#This Row],[Rule Name]],"_","|",3),SEARCH("|",SUBSTITUTE(Table362[[#This Row],[Rule Name]],"_","|",3))+1,LEN(Table362[[#This Row],[Rule Name]]))</f>
        <v>#VALUE!</v>
      </c>
      <c r="R433" s="8" t="s">
        <v>4024</v>
      </c>
      <c r="S433" s="7"/>
      <c r="T433" s="7" t="s">
        <v>4135</v>
      </c>
      <c r="U433" s="7"/>
      <c r="V433" s="7"/>
      <c r="W433" s="7" t="s">
        <v>4151</v>
      </c>
      <c r="X433" s="8"/>
      <c r="Y433" s="7"/>
      <c r="Z433" s="7"/>
      <c r="AA433" s="11" t="s">
        <v>4228</v>
      </c>
      <c r="AB433" s="11"/>
      <c r="AC433" s="11" t="s">
        <v>6809</v>
      </c>
      <c r="AD433" s="11"/>
      <c r="AH433" s="8" t="s">
        <v>5969</v>
      </c>
      <c r="AI433" s="20"/>
      <c r="AJ433" s="20"/>
      <c r="AK433" s="31"/>
      <c r="AL433" s="31"/>
    </row>
    <row r="434" spans="1:38" ht="36" hidden="1" x14ac:dyDescent="0.25">
      <c r="A434" s="14" t="s">
        <v>7087</v>
      </c>
      <c r="B434" s="7" t="s">
        <v>5877</v>
      </c>
      <c r="C434" s="7" t="s">
        <v>3</v>
      </c>
      <c r="D434" s="7" t="s">
        <v>5978</v>
      </c>
      <c r="E434" s="7" t="s">
        <v>5978</v>
      </c>
      <c r="F434" s="7" t="s">
        <v>5978</v>
      </c>
      <c r="G434" s="7"/>
      <c r="H434" s="7"/>
      <c r="I434" s="7"/>
      <c r="J434" s="20" t="e">
        <f>VLOOKUP(V434,Table_to_BRG!A:D,3,FALSE)</f>
        <v>#N/A</v>
      </c>
      <c r="K434" s="20" t="e">
        <f>VLOOKUP(V434,Table_to_BRG!A:D,2,FALSE)</f>
        <v>#N/A</v>
      </c>
      <c r="L434" s="20"/>
      <c r="M434" s="20"/>
      <c r="N434" s="9" t="s">
        <v>6465</v>
      </c>
      <c r="O434" s="54" t="s">
        <v>7812</v>
      </c>
      <c r="P434" s="7" t="s">
        <v>4098</v>
      </c>
      <c r="Q434" s="11" t="str">
        <f>RIGHT("00"&amp;Table362[[#This Row],[Rule '#]],3)&amp;"_"&amp;IF(Table362[[#This Row],[Entity]]="Material","MATL",LEFT(UPPER(Table362[[#This Row],[Entity]]),4))&amp;"_"&amp;MID(SUBSTITUTE(Table362[[#This Row],[Rule Name]],"_","|",3),SEARCH("|",SUBSTITUTE(Table362[[#This Row],[Rule Name]],"_","|",3))+1,LEN(Table362[[#This Row],[Rule Name]]))</f>
        <v>057_MATL_PLANT SP. MAT. STATUS WITHIN LIST</v>
      </c>
      <c r="R434" s="8" t="s">
        <v>4025</v>
      </c>
      <c r="S434" s="7"/>
      <c r="T434" s="7" t="s">
        <v>4135</v>
      </c>
      <c r="U434" s="7"/>
      <c r="V434" s="7"/>
      <c r="W434" s="7" t="s">
        <v>4229</v>
      </c>
      <c r="X434" s="8"/>
      <c r="Y434" s="7" t="s">
        <v>4230</v>
      </c>
      <c r="Z434" s="7" t="s">
        <v>1768</v>
      </c>
      <c r="AA434" s="11" t="str">
        <f>"BEGIN
     RETURN exists('DS_IS_RDS', '"&amp;Table362[[#This Row],[Lookup Table]]&amp;"', '"&amp;Table362[[#This Row],[Lookup Field]]&amp;"', "&amp;Table362[[#This Row],[IS Parameter]]&amp;");
END"</f>
        <v>BEGIN
     RETURN exists('DS_IS_RDS', 'T141', 'MMSTA', );
END</v>
      </c>
      <c r="AB434" s="11"/>
      <c r="AC434" s="11"/>
      <c r="AD434" s="11"/>
      <c r="AH434" s="8"/>
      <c r="AI434" s="20"/>
      <c r="AJ434" s="20"/>
      <c r="AK434" s="31"/>
      <c r="AL434" s="31"/>
    </row>
    <row r="435" spans="1:38" ht="45" hidden="1" x14ac:dyDescent="0.25">
      <c r="A435" s="14" t="s">
        <v>7088</v>
      </c>
      <c r="B435" s="7" t="s">
        <v>5877</v>
      </c>
      <c r="C435" s="7" t="s">
        <v>3</v>
      </c>
      <c r="D435" s="7" t="s">
        <v>6711</v>
      </c>
      <c r="E435" s="7" t="s">
        <v>6712</v>
      </c>
      <c r="F435" s="7" t="s">
        <v>6745</v>
      </c>
      <c r="G435" s="7"/>
      <c r="H435" s="7"/>
      <c r="I435" s="7"/>
      <c r="J435" s="20" t="str">
        <f>VLOOKUP(V435,Table_to_BRG!A:D,3,FALSE)</f>
        <v>Valuation data</v>
      </c>
      <c r="K435" s="20" t="str">
        <f>VLOOKUP(V435,Table_to_BRG!A:D,2,FALSE)</f>
        <v>Valuation</v>
      </c>
      <c r="L435" s="20"/>
      <c r="M435" s="20"/>
      <c r="N435" s="9" t="s">
        <v>6465</v>
      </c>
      <c r="O435" s="54" t="s">
        <v>7812</v>
      </c>
      <c r="P435" s="7" t="s">
        <v>4099</v>
      </c>
      <c r="Q435" s="11" t="str">
        <f>RIGHT("00"&amp;Table362[[#This Row],[Rule '#]],3)&amp;"_"&amp;IF(Table362[[#This Row],[Entity]]="Material","MATL",LEFT(UPPER(Table362[[#This Row],[Entity]]),4))&amp;"_"&amp;MID(SUBSTITUTE(Table362[[#This Row],[Rule Name]],"_","|",3),SEARCH("|",SUBSTITUTE(Table362[[#This Row],[Rule Name]],"_","|",3))+1,LEN(Table362[[#This Row],[Rule Name]]))</f>
        <v>058_MATL_PRICE UNIT</v>
      </c>
      <c r="R435" s="8" t="s">
        <v>4026</v>
      </c>
      <c r="S435" s="7"/>
      <c r="T435" s="7" t="s">
        <v>4135</v>
      </c>
      <c r="U435" s="7"/>
      <c r="V435" s="7" t="s">
        <v>1528</v>
      </c>
      <c r="W435" s="7" t="s">
        <v>4231</v>
      </c>
      <c r="X435" s="8"/>
      <c r="Y435" s="7"/>
      <c r="Z435" s="7"/>
      <c r="AA435" s="11" t="s">
        <v>4232</v>
      </c>
      <c r="AB435" s="11"/>
      <c r="AC435" s="11" t="s">
        <v>6809</v>
      </c>
      <c r="AD435" s="11"/>
      <c r="AH435" s="8"/>
      <c r="AI435" s="20"/>
      <c r="AJ435" s="20"/>
      <c r="AK435" s="31"/>
      <c r="AL435" s="31"/>
    </row>
    <row r="436" spans="1:38" ht="36" hidden="1" x14ac:dyDescent="0.25">
      <c r="A436" s="14" t="s">
        <v>7089</v>
      </c>
      <c r="B436" s="7" t="s">
        <v>5877</v>
      </c>
      <c r="C436" s="7" t="s">
        <v>3</v>
      </c>
      <c r="D436" s="7" t="s">
        <v>5978</v>
      </c>
      <c r="E436" s="7" t="s">
        <v>5978</v>
      </c>
      <c r="F436" s="7" t="s">
        <v>5978</v>
      </c>
      <c r="G436" s="7"/>
      <c r="H436" s="7"/>
      <c r="I436" s="7"/>
      <c r="J436" s="20" t="e">
        <f>VLOOKUP(V436,Table_to_BRG!A:D,3,FALSE)</f>
        <v>#N/A</v>
      </c>
      <c r="K436" s="20" t="e">
        <f>VLOOKUP(V436,Table_to_BRG!A:D,2,FALSE)</f>
        <v>#N/A</v>
      </c>
      <c r="L436" s="20"/>
      <c r="M436" s="20"/>
      <c r="N436" s="9" t="s">
        <v>6465</v>
      </c>
      <c r="O436" s="54" t="str">
        <f>"Duplicate of rule "&amp;A152</f>
        <v>Duplicate of rule 146</v>
      </c>
      <c r="P436" s="7" t="s">
        <v>4100</v>
      </c>
      <c r="Q436" s="11" t="str">
        <f>RIGHT("00"&amp;Table362[[#This Row],[Rule '#]],3)&amp;"_"&amp;IF(Table362[[#This Row],[Entity]]="Material","MATL",LEFT(UPPER(Table362[[#This Row],[Entity]]),4))&amp;"_"&amp;MID(SUBSTITUTE(Table362[[#This Row],[Rule Name]],"_","|",3),SEARCH("|",SUBSTITUTE(Table362[[#This Row],[Rule Name]],"_","|",3))+1,LEN(Table362[[#This Row],[Rule Name]]))</f>
        <v>059_MATL_ACCOUNTING CLERK WITHIN LIST</v>
      </c>
      <c r="R436" s="8" t="s">
        <v>6889</v>
      </c>
      <c r="S436" s="7"/>
      <c r="T436" s="7" t="s">
        <v>4135</v>
      </c>
      <c r="U436" s="7"/>
      <c r="V436" s="7"/>
      <c r="W436" s="7" t="s">
        <v>4151</v>
      </c>
      <c r="X436" s="8"/>
      <c r="Y436" s="7" t="s">
        <v>4233</v>
      </c>
      <c r="Z436" s="7" t="s">
        <v>2792</v>
      </c>
      <c r="AA436" s="11" t="str">
        <f>"BEGIN
     RETURN exists('DS_IS_RDS', '"&amp;Table362[[#This Row],[Lookup Table]]&amp;"', '"&amp;Table362[[#This Row],[Lookup Field]]&amp;"', upper("&amp;Table362[[#This Row],[IS Parameter]]&amp;");
END"</f>
        <v>BEGIN
     RETURN exists('DS_IS_RDS', 'T001S', 'BUSAB', upper();
END</v>
      </c>
      <c r="AB436" s="11"/>
      <c r="AC436" s="11"/>
      <c r="AD436" s="11"/>
      <c r="AH436" s="8" t="s">
        <v>5969</v>
      </c>
      <c r="AI436" s="20"/>
      <c r="AJ436" s="20"/>
      <c r="AK436" s="31"/>
      <c r="AL436" s="31"/>
    </row>
    <row r="437" spans="1:38" ht="36" hidden="1" x14ac:dyDescent="0.25">
      <c r="A437" s="14" t="s">
        <v>7090</v>
      </c>
      <c r="B437" s="7" t="s">
        <v>5877</v>
      </c>
      <c r="C437" s="7" t="s">
        <v>3</v>
      </c>
      <c r="D437" s="7" t="s">
        <v>5978</v>
      </c>
      <c r="E437" s="7" t="s">
        <v>5978</v>
      </c>
      <c r="F437" s="7" t="s">
        <v>5978</v>
      </c>
      <c r="G437" s="7"/>
      <c r="H437" s="7"/>
      <c r="I437" s="7"/>
      <c r="J437" s="20" t="e">
        <f>VLOOKUP(V437,Table_to_BRG!A:D,3,FALSE)</f>
        <v>#N/A</v>
      </c>
      <c r="K437" s="20" t="e">
        <f>VLOOKUP(V437,Table_to_BRG!A:D,2,FALSE)</f>
        <v>#N/A</v>
      </c>
      <c r="L437" s="20"/>
      <c r="M437" s="20"/>
      <c r="N437" s="9" t="s">
        <v>6465</v>
      </c>
      <c r="O437" s="54" t="s">
        <v>7812</v>
      </c>
      <c r="P437" s="7" t="s">
        <v>4101</v>
      </c>
      <c r="Q437" s="11" t="str">
        <f>RIGHT("00"&amp;Table362[[#This Row],[Rule '#]],3)&amp;"_"&amp;IF(Table362[[#This Row],[Entity]]="Material","MATL",LEFT(UPPER(Table362[[#This Row],[Entity]]),4))&amp;"_"&amp;MID(SUBSTITUTE(Table362[[#This Row],[Rule Name]],"_","|",3),SEARCH("|",SUBSTITUTE(Table362[[#This Row],[Rule Name]],"_","|",3))+1,LEN(Table362[[#This Row],[Rule Name]]))</f>
        <v>060_MATL_IR_VENDOR MATERIAL NUMBER</v>
      </c>
      <c r="R437" s="8" t="s">
        <v>4027</v>
      </c>
      <c r="S437" s="7"/>
      <c r="T437" s="7" t="s">
        <v>4135</v>
      </c>
      <c r="U437" s="7"/>
      <c r="V437" s="7"/>
      <c r="W437" s="7" t="s">
        <v>4234</v>
      </c>
      <c r="X437" s="8"/>
      <c r="Y437" s="7"/>
      <c r="Z437" s="7"/>
      <c r="AA437" s="11" t="s">
        <v>4235</v>
      </c>
      <c r="AB437" s="11"/>
      <c r="AC437" s="11" t="s">
        <v>6811</v>
      </c>
      <c r="AD437" s="11"/>
      <c r="AH437" s="8"/>
      <c r="AI437" s="20"/>
      <c r="AJ437" s="20"/>
      <c r="AK437" s="31"/>
      <c r="AL437" s="31"/>
    </row>
    <row r="438" spans="1:38" ht="36" hidden="1" x14ac:dyDescent="0.25">
      <c r="A438" s="14" t="s">
        <v>7091</v>
      </c>
      <c r="B438" s="7" t="s">
        <v>5877</v>
      </c>
      <c r="C438" s="7" t="s">
        <v>3</v>
      </c>
      <c r="D438" s="7" t="s">
        <v>5978</v>
      </c>
      <c r="E438" s="7" t="s">
        <v>5978</v>
      </c>
      <c r="F438" s="7" t="s">
        <v>5978</v>
      </c>
      <c r="G438" s="7"/>
      <c r="H438" s="7"/>
      <c r="I438" s="7"/>
      <c r="J438" s="20" t="e">
        <f>VLOOKUP(V438,Table_to_BRG!A:D,3,FALSE)</f>
        <v>#N/A</v>
      </c>
      <c r="K438" s="20" t="e">
        <f>VLOOKUP(V438,Table_to_BRG!A:D,2,FALSE)</f>
        <v>#N/A</v>
      </c>
      <c r="L438" s="20"/>
      <c r="M438" s="20"/>
      <c r="N438" s="9" t="s">
        <v>6465</v>
      </c>
      <c r="O438" s="54" t="s">
        <v>7812</v>
      </c>
      <c r="P438" s="7" t="s">
        <v>4102</v>
      </c>
      <c r="Q438" s="11" t="str">
        <f>RIGHT("00"&amp;Table362[[#This Row],[Rule '#]],3)&amp;"_"&amp;IF(Table362[[#This Row],[Entity]]="Material","MATL",LEFT(UPPER(Table362[[#This Row],[Entity]]),4))&amp;"_"&amp;MID(SUBSTITUTE(Table362[[#This Row],[Rule Name]],"_","|",3),SEARCH("|",SUBSTITUTE(Table362[[#This Row],[Rule Name]],"_","|",3))+1,LEN(Table362[[#This Row],[Rule Name]]))</f>
        <v>061_MATL_PERIODIC ACCOUNT STATEMENTS WITHIN LIST</v>
      </c>
      <c r="R438" s="8" t="s">
        <v>4028</v>
      </c>
      <c r="S438" s="7"/>
      <c r="T438" s="7" t="s">
        <v>4135</v>
      </c>
      <c r="U438" s="7"/>
      <c r="V438" s="7"/>
      <c r="W438" s="7" t="s">
        <v>4151</v>
      </c>
      <c r="X438" s="8"/>
      <c r="Y438" s="7" t="s">
        <v>4236</v>
      </c>
      <c r="Z438" s="7" t="s">
        <v>2794</v>
      </c>
      <c r="AA438" s="11" t="str">
        <f>"BEGIN
     RETURN exists('DS_IS_RDS', '"&amp;Table362[[#This Row],[Lookup Table]]&amp;"', '"&amp;Table362[[#This Row],[Lookup Field]]&amp;"', "&amp;Table362[[#This Row],[IS Parameter]]&amp;");
END"</f>
        <v>BEGIN
     RETURN exists('DS_IS_RDS', 'T048K', 'XAUSZ', );
END</v>
      </c>
      <c r="AB438" s="11"/>
      <c r="AC438" s="11"/>
      <c r="AD438" s="11"/>
      <c r="AH438" s="8"/>
      <c r="AI438" s="20"/>
      <c r="AJ438" s="20"/>
      <c r="AK438" s="31"/>
      <c r="AL438" s="31"/>
    </row>
    <row r="439" spans="1:38" ht="45" hidden="1" x14ac:dyDescent="0.25">
      <c r="A439" s="14" t="s">
        <v>7092</v>
      </c>
      <c r="B439" s="7" t="s">
        <v>5877</v>
      </c>
      <c r="C439" s="7" t="s">
        <v>3</v>
      </c>
      <c r="D439" s="7" t="s">
        <v>6711</v>
      </c>
      <c r="E439" s="7" t="s">
        <v>6712</v>
      </c>
      <c r="F439" s="7" t="s">
        <v>6745</v>
      </c>
      <c r="G439" s="7"/>
      <c r="H439" s="7"/>
      <c r="I439" s="7"/>
      <c r="J439" s="20" t="str">
        <f>VLOOKUP(V439,Table_to_BRG!A:D,3,FALSE)</f>
        <v>Valuation data</v>
      </c>
      <c r="K439" s="20" t="str">
        <f>VLOOKUP(V439,Table_to_BRG!A:D,2,FALSE)</f>
        <v>Valuation</v>
      </c>
      <c r="L439" s="20"/>
      <c r="M439" s="20"/>
      <c r="N439" s="9" t="s">
        <v>6465</v>
      </c>
      <c r="O439" s="54" t="s">
        <v>7812</v>
      </c>
      <c r="P439" s="7" t="s">
        <v>4103</v>
      </c>
      <c r="Q439" s="11" t="str">
        <f>RIGHT("00"&amp;Table362[[#This Row],[Rule '#]],3)&amp;"_"&amp;IF(Table362[[#This Row],[Entity]]="Material","MATL",LEFT(UPPER(Table362[[#This Row],[Entity]]),4))&amp;"_"&amp;MID(SUBSTITUTE(Table362[[#This Row],[Rule Name]],"_","|",3),SEARCH("|",SUBSTITUTE(Table362[[#This Row],[Rule Name]],"_","|",3))+1,LEN(Table362[[#This Row],[Rule Name]]))</f>
        <v>062_MATL_VARIENCE KEY</v>
      </c>
      <c r="R439" s="8" t="s">
        <v>4029</v>
      </c>
      <c r="S439" s="7"/>
      <c r="T439" s="7" t="s">
        <v>4135</v>
      </c>
      <c r="U439" s="7"/>
      <c r="V439" s="7" t="s">
        <v>1528</v>
      </c>
      <c r="W439" s="7" t="s">
        <v>4237</v>
      </c>
      <c r="X439" s="8"/>
      <c r="Y439" s="7" t="s">
        <v>4238</v>
      </c>
      <c r="Z439" s="7" t="s">
        <v>1767</v>
      </c>
      <c r="AA439" s="11" t="str">
        <f>"BEGIN
     RETURN exists('DS_IS_RDS', '"&amp;Table362[[#This Row],[Lookup Table]]&amp;"', '"&amp;Table362[[#This Row],[Lookup Field]]&amp;"', "&amp;Table362[[#This Row],[IS Parameter]]&amp;");
END"</f>
        <v>BEGIN
     RETURN exists('DS_IS_RDS', 'TKV01', 'AWSLS', );
END</v>
      </c>
      <c r="AB439" s="11"/>
      <c r="AC439" s="11" t="s">
        <v>6663</v>
      </c>
      <c r="AD439" s="11"/>
      <c r="AH439" s="8"/>
      <c r="AI439" s="20"/>
      <c r="AJ439" s="20"/>
      <c r="AK439" s="31"/>
      <c r="AL439" s="31"/>
    </row>
    <row r="440" spans="1:38" ht="36" hidden="1" x14ac:dyDescent="0.25">
      <c r="A440" s="14" t="s">
        <v>7093</v>
      </c>
      <c r="B440" s="7" t="s">
        <v>5877</v>
      </c>
      <c r="C440" s="7" t="s">
        <v>3</v>
      </c>
      <c r="D440" s="7" t="s">
        <v>5978</v>
      </c>
      <c r="E440" s="7" t="s">
        <v>5978</v>
      </c>
      <c r="F440" s="7" t="s">
        <v>5978</v>
      </c>
      <c r="G440" s="7"/>
      <c r="H440" s="7"/>
      <c r="I440" s="7"/>
      <c r="J440" s="20" t="e">
        <f>VLOOKUP(V440,Table_to_BRG!A:D,3,FALSE)</f>
        <v>#N/A</v>
      </c>
      <c r="K440" s="20" t="e">
        <f>VLOOKUP(V440,Table_to_BRG!A:D,2,FALSE)</f>
        <v>#N/A</v>
      </c>
      <c r="L440" s="20"/>
      <c r="M440" s="20"/>
      <c r="N440" s="9" t="s">
        <v>6465</v>
      </c>
      <c r="O440" s="54" t="s">
        <v>7812</v>
      </c>
      <c r="P440" s="7" t="s">
        <v>4104</v>
      </c>
      <c r="Q440" s="11" t="str">
        <f>RIGHT("00"&amp;Table362[[#This Row],[Rule '#]],3)&amp;"_"&amp;IF(Table362[[#This Row],[Entity]]="Material","MATL",LEFT(UPPER(Table362[[#This Row],[Entity]]),4))&amp;"_"&amp;MID(SUBSTITUTE(Table362[[#This Row],[Rule Name]],"_","|",3),SEARCH("|",SUBSTITUTE(Table362[[#This Row],[Rule Name]],"_","|",3))+1,LEN(Table362[[#This Row],[Rule Name]]))</f>
        <v>063_MATL_MATERIAL SERVICE GROUP IS WITHIN LIST</v>
      </c>
      <c r="R440" s="8" t="s">
        <v>4030</v>
      </c>
      <c r="S440" s="7"/>
      <c r="T440" s="7" t="s">
        <v>4135</v>
      </c>
      <c r="U440" s="7"/>
      <c r="V440" s="7"/>
      <c r="W440" s="7" t="s">
        <v>4239</v>
      </c>
      <c r="X440" s="8"/>
      <c r="Y440" s="7" t="s">
        <v>4165</v>
      </c>
      <c r="Z440" s="7" t="s">
        <v>1620</v>
      </c>
      <c r="AA440" s="11" t="str">
        <f>"BEGIN
     RETURN exists('DS_IS_RDS', '"&amp;Table362[[#This Row],[Lookup Table]]&amp;"', '"&amp;Table362[[#This Row],[Lookup Field]]&amp;"', "&amp;Table362[[#This Row],[IS Parameter]]&amp;");
END"</f>
        <v>BEGIN
     RETURN exists('DS_IS_RDS', 'T023', 'MATKL', );
END</v>
      </c>
      <c r="AB440" s="11"/>
      <c r="AC440" s="11"/>
      <c r="AD440" s="11"/>
      <c r="AH440" s="8"/>
      <c r="AI440" s="20"/>
      <c r="AJ440" s="20"/>
      <c r="AK440" s="31"/>
      <c r="AL440" s="31"/>
    </row>
    <row r="441" spans="1:38" ht="75" hidden="1" x14ac:dyDescent="0.25">
      <c r="A441" s="14" t="s">
        <v>7094</v>
      </c>
      <c r="B441" s="7" t="s">
        <v>5877</v>
      </c>
      <c r="C441" s="7" t="s">
        <v>3</v>
      </c>
      <c r="D441" s="7" t="s">
        <v>6711</v>
      </c>
      <c r="E441" s="7" t="s">
        <v>6712</v>
      </c>
      <c r="F441" s="7" t="s">
        <v>6745</v>
      </c>
      <c r="G441" s="7"/>
      <c r="H441" s="7"/>
      <c r="I441" s="7"/>
      <c r="J441" s="20" t="str">
        <f>VLOOKUP(V441,Table_to_BRG!A:D,3,FALSE)</f>
        <v>Valuation data</v>
      </c>
      <c r="K441" s="20" t="str">
        <f>VLOOKUP(V441,Table_to_BRG!A:D,2,FALSE)</f>
        <v>Valuation</v>
      </c>
      <c r="L441" s="20"/>
      <c r="M441" s="20"/>
      <c r="N441" s="9" t="s">
        <v>6465</v>
      </c>
      <c r="O441" s="54" t="s">
        <v>7812</v>
      </c>
      <c r="P441" s="7" t="s">
        <v>4105</v>
      </c>
      <c r="Q441" s="11" t="str">
        <f>RIGHT("00"&amp;Table362[[#This Row],[Rule '#]],3)&amp;"_"&amp;IF(Table362[[#This Row],[Entity]]="Material","MATL",LEFT(UPPER(Table362[[#This Row],[Entity]]),4))&amp;"_"&amp;MID(SUBSTITUTE(Table362[[#This Row],[Rule Name]],"_","|",3),SEARCH("|",SUBSTITUTE(Table362[[#This Row],[Rule Name]],"_","|",3))+1,LEN(Table362[[#This Row],[Rule Name]]))</f>
        <v>064_MATL_PRICE CONTROL</v>
      </c>
      <c r="R441" s="8" t="s">
        <v>4031</v>
      </c>
      <c r="S441" s="7"/>
      <c r="T441" s="7" t="s">
        <v>4135</v>
      </c>
      <c r="U441" s="7"/>
      <c r="V441" s="7" t="s">
        <v>1528</v>
      </c>
      <c r="W441" s="7" t="s">
        <v>4240</v>
      </c>
      <c r="X441" s="8"/>
      <c r="Y441" s="7"/>
      <c r="Z441" s="7"/>
      <c r="AA441" s="11" t="s">
        <v>4241</v>
      </c>
      <c r="AB441" s="11"/>
      <c r="AC441" s="11" t="s">
        <v>6809</v>
      </c>
      <c r="AD441" s="11"/>
      <c r="AH441" s="8"/>
      <c r="AI441" s="20"/>
      <c r="AJ441" s="20"/>
      <c r="AK441" s="31"/>
      <c r="AL441" s="31"/>
    </row>
    <row r="442" spans="1:38" ht="36" hidden="1" x14ac:dyDescent="0.25">
      <c r="A442" s="14" t="s">
        <v>7095</v>
      </c>
      <c r="B442" s="7" t="s">
        <v>5877</v>
      </c>
      <c r="C442" s="7" t="s">
        <v>3</v>
      </c>
      <c r="D442" s="7" t="s">
        <v>5978</v>
      </c>
      <c r="E442" s="7" t="s">
        <v>5978</v>
      </c>
      <c r="F442" s="7" t="s">
        <v>5978</v>
      </c>
      <c r="G442" s="7"/>
      <c r="H442" s="7"/>
      <c r="I442" s="7"/>
      <c r="J442" s="20" t="e">
        <f>VLOOKUP(V442,Table_to_BRG!A:D,3,FALSE)</f>
        <v>#N/A</v>
      </c>
      <c r="K442" s="20" t="e">
        <f>VLOOKUP(V442,Table_to_BRG!A:D,2,FALSE)</f>
        <v>#N/A</v>
      </c>
      <c r="L442" s="20"/>
      <c r="M442" s="20"/>
      <c r="N442" s="9" t="s">
        <v>6465</v>
      </c>
      <c r="O442" s="54" t="str">
        <f>"Duplicate of rule "&amp;A319</f>
        <v>Duplicate of rule 316</v>
      </c>
      <c r="P442" s="7" t="s">
        <v>4106</v>
      </c>
      <c r="Q442" s="11" t="str">
        <f>RIGHT("00"&amp;Table362[[#This Row],[Rule '#]],3)&amp;"_"&amp;IF(Table362[[#This Row],[Entity]]="Material","MATL",LEFT(UPPER(Table362[[#This Row],[Entity]]),4))&amp;"_"&amp;MID(SUBSTITUTE(Table362[[#This Row],[Rule Name]],"_","|",3),SEARCH("|",SUBSTITUTE(Table362[[#This Row],[Rule Name]],"_","|",3))+1,LEN(Table362[[#This Row],[Rule Name]]))</f>
        <v>065_MATL_PURCHASING GROUP IS WITHIN LIST</v>
      </c>
      <c r="R442" s="8" t="s">
        <v>4032</v>
      </c>
      <c r="S442" s="7"/>
      <c r="T442" s="7" t="s">
        <v>4135</v>
      </c>
      <c r="U442" s="7"/>
      <c r="V442" s="7"/>
      <c r="W442" s="7" t="s">
        <v>4242</v>
      </c>
      <c r="X442" s="8"/>
      <c r="Y442" s="7" t="s">
        <v>4275</v>
      </c>
      <c r="Z442" s="7" t="s">
        <v>2045</v>
      </c>
      <c r="AA442" s="11" t="str">
        <f>"BEGIN
     RETURN exists('DS_IS_RDS', '"&amp;Table362[[#This Row],[Lookup Table]]&amp;"', '"&amp;Table362[[#This Row],[Lookup Field]]&amp;"', upper("&amp;Table362[[#This Row],[IS Parameter]]&amp;");
END"</f>
        <v>BEGIN
     RETURN exists('DS_IS_RDS', 'T024', 'EKGRP', upper();
END</v>
      </c>
      <c r="AB442" s="11"/>
      <c r="AC442" s="11"/>
      <c r="AD442" s="11"/>
      <c r="AH442" s="8"/>
      <c r="AI442" s="20"/>
      <c r="AJ442" s="20"/>
      <c r="AK442" s="31"/>
      <c r="AL442" s="31"/>
    </row>
    <row r="443" spans="1:38" ht="36" hidden="1" x14ac:dyDescent="0.25">
      <c r="A443" s="14" t="s">
        <v>7096</v>
      </c>
      <c r="B443" s="7" t="s">
        <v>5877</v>
      </c>
      <c r="C443" s="7" t="s">
        <v>3</v>
      </c>
      <c r="D443" s="7" t="s">
        <v>5978</v>
      </c>
      <c r="E443" s="7" t="s">
        <v>5978</v>
      </c>
      <c r="F443" s="7" t="s">
        <v>5978</v>
      </c>
      <c r="G443" s="7"/>
      <c r="H443" s="7"/>
      <c r="I443" s="7"/>
      <c r="J443" s="20" t="e">
        <f>VLOOKUP(V443,Table_to_BRG!A:D,3,FALSE)</f>
        <v>#N/A</v>
      </c>
      <c r="K443" s="20" t="e">
        <f>VLOOKUP(V443,Table_to_BRG!A:D,2,FALSE)</f>
        <v>#N/A</v>
      </c>
      <c r="L443" s="20"/>
      <c r="M443" s="20"/>
      <c r="N443" s="9" t="s">
        <v>6465</v>
      </c>
      <c r="O443" s="54" t="s">
        <v>7812</v>
      </c>
      <c r="P443" s="7" t="s">
        <v>4107</v>
      </c>
      <c r="Q443" s="11" t="str">
        <f>RIGHT("00"&amp;Table362[[#This Row],[Rule '#]],3)&amp;"_"&amp;IF(Table362[[#This Row],[Entity]]="Material","MATL",LEFT(UPPER(Table362[[#This Row],[Entity]]),4))&amp;"_"&amp;MID(SUBSTITUTE(Table362[[#This Row],[Rule Name]],"_","|",3),SEARCH("|",SUBSTITUTE(Table362[[#This Row],[Rule Name]],"_","|",3))+1,LEN(Table362[[#This Row],[Rule Name]]))</f>
        <v>066_MATL_DISTRIBUTION CHANNEL IS WITHIN LIST</v>
      </c>
      <c r="R443" s="8" t="s">
        <v>4033</v>
      </c>
      <c r="S443" s="7"/>
      <c r="T443" s="7" t="s">
        <v>4135</v>
      </c>
      <c r="U443" s="7"/>
      <c r="V443" s="7"/>
      <c r="W443" s="7" t="s">
        <v>4243</v>
      </c>
      <c r="X443" s="8"/>
      <c r="Y443" s="7" t="s">
        <v>4244</v>
      </c>
      <c r="Z443" s="7" t="s">
        <v>2435</v>
      </c>
      <c r="AA443" s="11" t="str">
        <f>"BEGIN
     RETURN exists('DS_IS_RDS', '"&amp;Table362[[#This Row],[Lookup Table]]&amp;"', '"&amp;Table362[[#This Row],[Lookup Field]]&amp;"', "&amp;Table362[[#This Row],[IS Parameter]]&amp;");
END"</f>
        <v>BEGIN
     RETURN exists('DS_IS_RDS', 'TVTW', 'VTWEG', );
END</v>
      </c>
      <c r="AB443" s="11"/>
      <c r="AC443" s="11"/>
      <c r="AD443" s="11"/>
      <c r="AH443" s="8"/>
      <c r="AI443" s="20"/>
      <c r="AJ443" s="20"/>
      <c r="AK443" s="31"/>
      <c r="AL443" s="31"/>
    </row>
    <row r="444" spans="1:38" ht="45" hidden="1" x14ac:dyDescent="0.25">
      <c r="A444" s="14" t="s">
        <v>7097</v>
      </c>
      <c r="B444" s="7" t="s">
        <v>5877</v>
      </c>
      <c r="C444" s="7" t="s">
        <v>3</v>
      </c>
      <c r="D444" s="7" t="s">
        <v>6711</v>
      </c>
      <c r="E444" s="7" t="s">
        <v>6712</v>
      </c>
      <c r="F444" s="7" t="s">
        <v>6713</v>
      </c>
      <c r="G444" s="7"/>
      <c r="H444" s="7"/>
      <c r="I444" s="7"/>
      <c r="J444" s="20" t="str">
        <f>VLOOKUP(V444,Table_to_BRG!A:D,3,FALSE)</f>
        <v>Plant data</v>
      </c>
      <c r="K444" s="20" t="str">
        <f>VLOOKUP(V444,Table_to_BRG!A:D,2,FALSE)</f>
        <v>Plant</v>
      </c>
      <c r="L444" s="20"/>
      <c r="M444" s="20"/>
      <c r="N444" s="9" t="s">
        <v>6465</v>
      </c>
      <c r="O444" s="54" t="s">
        <v>7812</v>
      </c>
      <c r="P444" s="7" t="s">
        <v>4108</v>
      </c>
      <c r="Q444" s="11" t="str">
        <f>RIGHT("00"&amp;Table362[[#This Row],[Rule '#]],3)&amp;"_"&amp;IF(Table362[[#This Row],[Entity]]="Material","MATL",LEFT(UPPER(Table362[[#This Row],[Entity]]),4))&amp;"_"&amp;MID(SUBSTITUTE(Table362[[#This Row],[Rule Name]],"_","|",3),SEARCH("|",SUBSTITUTE(Table362[[#This Row],[Rule Name]],"_","|",3))+1,LEN(Table362[[#This Row],[Rule Name]]))</f>
        <v>067_MATL_SPECIAL PROCUREMENTTYPE</v>
      </c>
      <c r="R444" s="8" t="s">
        <v>4034</v>
      </c>
      <c r="S444" s="7"/>
      <c r="T444" s="7" t="s">
        <v>4135</v>
      </c>
      <c r="U444" s="7"/>
      <c r="V444" s="7" t="s">
        <v>1527</v>
      </c>
      <c r="W444" s="7" t="s">
        <v>4245</v>
      </c>
      <c r="X444" s="8"/>
      <c r="Y444" s="7" t="s">
        <v>4246</v>
      </c>
      <c r="Z444" s="7" t="s">
        <v>2115</v>
      </c>
      <c r="AA444" s="11" t="str">
        <f>"BEGIN
     RETURN exists('DS_IS_RDS', '"&amp;Table362[[#This Row],[Lookup Table]]&amp;"', '"&amp;Table362[[#This Row],[Lookup Field]]&amp;"', "&amp;Table362[[#This Row],[IS Parameter]]&amp;");
END"</f>
        <v>BEGIN
     RETURN exists('DS_IS_RDS', 'T460A', 'SOBSL', );
END</v>
      </c>
      <c r="AB444" s="11"/>
      <c r="AC444" s="11" t="s">
        <v>6663</v>
      </c>
      <c r="AD444" s="11"/>
      <c r="AH444" s="8"/>
      <c r="AI444" s="20"/>
      <c r="AJ444" s="20"/>
      <c r="AK444" s="31"/>
      <c r="AL444" s="31"/>
    </row>
    <row r="445" spans="1:38" ht="36" hidden="1" x14ac:dyDescent="0.25">
      <c r="A445" s="14" t="s">
        <v>7098</v>
      </c>
      <c r="B445" s="7" t="s">
        <v>5877</v>
      </c>
      <c r="C445" s="7" t="s">
        <v>3</v>
      </c>
      <c r="D445" s="7" t="s">
        <v>5978</v>
      </c>
      <c r="E445" s="7" t="s">
        <v>5978</v>
      </c>
      <c r="F445" s="7" t="s">
        <v>5978</v>
      </c>
      <c r="G445" s="7"/>
      <c r="H445" s="7"/>
      <c r="I445" s="7"/>
      <c r="J445" s="20" t="e">
        <f>VLOOKUP(V445,Table_to_BRG!A:D,3,FALSE)</f>
        <v>#N/A</v>
      </c>
      <c r="K445" s="20" t="e">
        <f>VLOOKUP(V445,Table_to_BRG!A:D,2,FALSE)</f>
        <v>#N/A</v>
      </c>
      <c r="L445" s="20"/>
      <c r="M445" s="20"/>
      <c r="N445" s="9" t="s">
        <v>6465</v>
      </c>
      <c r="O445" s="54" t="s">
        <v>7812</v>
      </c>
      <c r="P445" s="7" t="s">
        <v>4109</v>
      </c>
      <c r="Q445" s="11" t="str">
        <f>RIGHT("00"&amp;Table362[[#This Row],[Rule '#]],3)&amp;"_"&amp;IF(Table362[[#This Row],[Entity]]="Material","MATL",LEFT(UPPER(Table362[[#This Row],[Entity]]),4))&amp;"_"&amp;MID(SUBSTITUTE(Table362[[#This Row],[Rule Name]],"_","|",3),SEARCH("|",SUBSTITUTE(Table362[[#This Row],[Rule Name]],"_","|",3))+1,LEN(Table362[[#This Row],[Rule Name]]))</f>
        <v>068_MATL_VENDOR ACCOUNT GROUP</v>
      </c>
      <c r="R445" s="8" t="s">
        <v>4035</v>
      </c>
      <c r="S445" s="7"/>
      <c r="T445" s="7" t="s">
        <v>21</v>
      </c>
      <c r="U445" s="7"/>
      <c r="V445" s="7"/>
      <c r="W445" s="7" t="s">
        <v>4247</v>
      </c>
      <c r="X445" s="8"/>
      <c r="Y445" s="7" t="s">
        <v>4184</v>
      </c>
      <c r="Z445" s="7" t="s">
        <v>3516</v>
      </c>
      <c r="AA445" s="11" t="str">
        <f>"BEGIN
     RETURN exists('DS_IS_RDS', '"&amp;Table362[[#This Row],[Lookup Table]]&amp;"', '"&amp;Table362[[#This Row],[Lookup Field]]&amp;"', "&amp;Table362[[#This Row],[IS Parameter]]&amp;");
END"</f>
        <v>BEGIN
     RETURN exists('DS_IS_RDS', 'T077Y', 'KTOKK', );
END</v>
      </c>
      <c r="AB445" s="11"/>
      <c r="AC445" s="11" t="s">
        <v>6663</v>
      </c>
      <c r="AD445" s="11"/>
      <c r="AH445" s="8"/>
      <c r="AI445" s="20"/>
      <c r="AJ445" s="20"/>
      <c r="AK445" s="31"/>
      <c r="AL445" s="31"/>
    </row>
    <row r="446" spans="1:38" ht="36" hidden="1" x14ac:dyDescent="0.25">
      <c r="A446" s="14" t="s">
        <v>7099</v>
      </c>
      <c r="B446" s="7" t="s">
        <v>5877</v>
      </c>
      <c r="C446" s="7" t="s">
        <v>3</v>
      </c>
      <c r="D446" s="7" t="s">
        <v>6711</v>
      </c>
      <c r="E446" s="7" t="s">
        <v>6712</v>
      </c>
      <c r="F446" s="7" t="s">
        <v>6713</v>
      </c>
      <c r="G446" s="7"/>
      <c r="H446" s="7"/>
      <c r="I446" s="7"/>
      <c r="J446" s="20" t="str">
        <f>VLOOKUP(V446,Table_to_BRG!A:D,3,FALSE)</f>
        <v>Plant data</v>
      </c>
      <c r="K446" s="20" t="str">
        <f>VLOOKUP(V446,Table_to_BRG!A:D,2,FALSE)</f>
        <v>Plant</v>
      </c>
      <c r="L446" s="20"/>
      <c r="M446" s="20"/>
      <c r="N446" s="9" t="s">
        <v>6465</v>
      </c>
      <c r="O446" s="54" t="s">
        <v>7812</v>
      </c>
      <c r="P446" s="7" t="s">
        <v>4110</v>
      </c>
      <c r="Q446" s="11" t="str">
        <f>RIGHT("00"&amp;Table362[[#This Row],[Rule '#]],3)&amp;"_"&amp;IF(Table362[[#This Row],[Entity]]="Material","MATL",LEFT(UPPER(Table362[[#This Row],[Entity]]),4))&amp;"_"&amp;MID(SUBSTITUTE(Table362[[#This Row],[Rule Name]],"_","|",3),SEARCH("|",SUBSTITUTE(Table362[[#This Row],[Rule Name]],"_","|",3))+1,LEN(Table362[[#This Row],[Rule Name]]))</f>
        <v>069_MATL_TIME UNIT</v>
      </c>
      <c r="R446" s="8" t="s">
        <v>4036</v>
      </c>
      <c r="S446" s="7"/>
      <c r="T446" s="7" t="s">
        <v>4135</v>
      </c>
      <c r="U446" s="7"/>
      <c r="V446" s="7" t="s">
        <v>1527</v>
      </c>
      <c r="W446" s="7" t="s">
        <v>4248</v>
      </c>
      <c r="X446" s="8"/>
      <c r="Y446" s="7"/>
      <c r="Z446" s="7"/>
      <c r="AA446" s="11" t="s">
        <v>4249</v>
      </c>
      <c r="AB446" s="11"/>
      <c r="AC446" s="11" t="s">
        <v>6809</v>
      </c>
      <c r="AD446" s="11"/>
      <c r="AH446" s="8"/>
      <c r="AI446" s="20"/>
      <c r="AJ446" s="20"/>
      <c r="AK446" s="31"/>
      <c r="AL446" s="31"/>
    </row>
    <row r="447" spans="1:38" ht="36" hidden="1" x14ac:dyDescent="0.25">
      <c r="A447" s="14" t="s">
        <v>7100</v>
      </c>
      <c r="B447" s="7" t="s">
        <v>5877</v>
      </c>
      <c r="C447" s="7" t="s">
        <v>3</v>
      </c>
      <c r="D447" s="7" t="s">
        <v>5978</v>
      </c>
      <c r="E447" s="7" t="s">
        <v>5978</v>
      </c>
      <c r="F447" s="7" t="s">
        <v>5978</v>
      </c>
      <c r="G447" s="7"/>
      <c r="H447" s="7"/>
      <c r="I447" s="7"/>
      <c r="J447" s="20" t="e">
        <f>VLOOKUP(V447,Table_to_BRG!A:D,3,FALSE)</f>
        <v>#N/A</v>
      </c>
      <c r="K447" s="20" t="e">
        <f>VLOOKUP(V447,Table_to_BRG!A:D,2,FALSE)</f>
        <v>#N/A</v>
      </c>
      <c r="L447" s="20"/>
      <c r="M447" s="20"/>
      <c r="N447" s="9" t="s">
        <v>6465</v>
      </c>
      <c r="O447" s="54" t="s">
        <v>7812</v>
      </c>
      <c r="P447" s="7" t="s">
        <v>4111</v>
      </c>
      <c r="Q447" s="11" t="str">
        <f>RIGHT("00"&amp;Table362[[#This Row],[Rule '#]],3)&amp;"_"&amp;IF(Table362[[#This Row],[Entity]]="Material","MATL",LEFT(UPPER(Table362[[#This Row],[Entity]]),4))&amp;"_"&amp;MID(SUBSTITUTE(Table362[[#This Row],[Rule Name]],"_","|",3),SEARCH("|",SUBSTITUTE(Table362[[#This Row],[Rule Name]],"_","|",3))+1,LEN(Table362[[#This Row],[Rule Name]]))</f>
        <v>070_MATL_PAYMENT TERM IS WITHIN LIST</v>
      </c>
      <c r="R447" s="8" t="s">
        <v>4037</v>
      </c>
      <c r="S447" s="7"/>
      <c r="T447" s="7" t="s">
        <v>4135</v>
      </c>
      <c r="U447" s="7"/>
      <c r="V447" s="7"/>
      <c r="W447" s="7" t="s">
        <v>4151</v>
      </c>
      <c r="X447" s="8"/>
      <c r="Y447" s="7" t="s">
        <v>4250</v>
      </c>
      <c r="Z447" s="7" t="s">
        <v>2888</v>
      </c>
      <c r="AA447" s="11" t="str">
        <f>"BEGIN
     RETURN exists('DS_IS_RDS', '"&amp;Table362[[#This Row],[Lookup Table]]&amp;"', '"&amp;Table362[[#This Row],[Lookup Field]]&amp;"', upper("&amp;Table362[[#This Row],[IS Parameter]]&amp;");
END"</f>
        <v>BEGIN
     RETURN exists('DS_IS_RDS', 'T052', 'ZTERM', upper();
END</v>
      </c>
      <c r="AB447" s="11"/>
      <c r="AC447" s="11"/>
      <c r="AD447" s="11"/>
      <c r="AH447" s="8" t="s">
        <v>5969</v>
      </c>
      <c r="AI447" s="20"/>
      <c r="AJ447" s="20"/>
      <c r="AK447" s="31"/>
      <c r="AL447" s="31"/>
    </row>
    <row r="448" spans="1:38" ht="48" hidden="1" x14ac:dyDescent="0.25">
      <c r="A448" s="14" t="s">
        <v>7101</v>
      </c>
      <c r="B448" s="7" t="s">
        <v>5877</v>
      </c>
      <c r="C448" s="7" t="s">
        <v>3</v>
      </c>
      <c r="D448" s="7" t="s">
        <v>5978</v>
      </c>
      <c r="E448" s="7" t="s">
        <v>5978</v>
      </c>
      <c r="F448" s="7" t="s">
        <v>5978</v>
      </c>
      <c r="G448" s="7"/>
      <c r="H448" s="7"/>
      <c r="I448" s="7"/>
      <c r="J448" s="20" t="e">
        <f>VLOOKUP(V448,Table_to_BRG!A:D,3,FALSE)</f>
        <v>#N/A</v>
      </c>
      <c r="K448" s="20" t="e">
        <f>VLOOKUP(V448,Table_to_BRG!A:D,2,FALSE)</f>
        <v>#N/A</v>
      </c>
      <c r="L448" s="20"/>
      <c r="M448" s="20"/>
      <c r="N448" s="9" t="s">
        <v>6465</v>
      </c>
      <c r="O448" s="54" t="s">
        <v>7812</v>
      </c>
      <c r="P448" s="7" t="s">
        <v>4112</v>
      </c>
      <c r="Q448" s="11" t="str">
        <f>RIGHT("00"&amp;Table362[[#This Row],[Rule '#]],3)&amp;"_"&amp;IF(Table362[[#This Row],[Entity]]="Material","MATL",LEFT(UPPER(Table362[[#This Row],[Entity]]),4))&amp;"_"&amp;MID(SUBSTITUTE(Table362[[#This Row],[Rule Name]],"_","|",3),SEARCH("|",SUBSTITUTE(Table362[[#This Row],[Rule Name]],"_","|",3))+1,LEN(Table362[[#This Row],[Rule Name]]))</f>
        <v>071_MATL_PAYMENT_METHODS IS WITHIN LIST</v>
      </c>
      <c r="R448" s="8" t="s">
        <v>4038</v>
      </c>
      <c r="S448" s="7"/>
      <c r="T448" s="7" t="s">
        <v>4135</v>
      </c>
      <c r="U448" s="7"/>
      <c r="V448" s="7"/>
      <c r="W448" s="7" t="s">
        <v>4151</v>
      </c>
      <c r="X448" s="8"/>
      <c r="Y448" s="7"/>
      <c r="Z448" s="7"/>
      <c r="AA448" s="11" t="s">
        <v>4251</v>
      </c>
      <c r="AB448" s="11"/>
      <c r="AC448" s="11"/>
      <c r="AD448" s="11"/>
      <c r="AH448" s="8" t="s">
        <v>5969</v>
      </c>
      <c r="AI448" s="20"/>
      <c r="AJ448" s="20"/>
      <c r="AK448" s="31"/>
      <c r="AL448" s="31"/>
    </row>
    <row r="449" spans="1:38" s="19" customFormat="1" ht="48" hidden="1" x14ac:dyDescent="0.25">
      <c r="A449" s="14" t="s">
        <v>7102</v>
      </c>
      <c r="B449" s="15" t="s">
        <v>5877</v>
      </c>
      <c r="C449" s="15" t="s">
        <v>3</v>
      </c>
      <c r="D449" s="15" t="s">
        <v>5978</v>
      </c>
      <c r="E449" s="15" t="s">
        <v>5978</v>
      </c>
      <c r="F449" s="15" t="s">
        <v>5978</v>
      </c>
      <c r="G449" s="15"/>
      <c r="H449" s="15"/>
      <c r="I449" s="15"/>
      <c r="J449" s="27" t="e">
        <f>VLOOKUP(V449,Table_to_BRG!A:D,3,FALSE)</f>
        <v>#N/A</v>
      </c>
      <c r="K449" s="27" t="e">
        <f>VLOOKUP(V449,Table_to_BRG!A:D,2,FALSE)</f>
        <v>#N/A</v>
      </c>
      <c r="L449" s="27"/>
      <c r="M449" s="27"/>
      <c r="N449" s="14" t="s">
        <v>6465</v>
      </c>
      <c r="O449" s="56" t="str">
        <f>"Duplicate of Rule "&amp;A454</f>
        <v>Duplicate of Rule 5077</v>
      </c>
      <c r="P449" s="15" t="s">
        <v>4113</v>
      </c>
      <c r="Q449" s="17" t="str">
        <f>RIGHT("00"&amp;Table362[[#This Row],[Rule '#]],3)&amp;"_"&amp;IF(Table362[[#This Row],[Entity]]="Material","MATL",LEFT(UPPER(Table362[[#This Row],[Entity]]),4))&amp;"_"&amp;MID(SUBSTITUTE(Table362[[#This Row],[Rule Name]],"_","|",3),SEARCH("|",SUBSTITUTE(Table362[[#This Row],[Rule Name]],"_","|",3))+1,LEN(Table362[[#This Row],[Rule Name]]))</f>
        <v>072_MATL_STORAGE LOCATION IS WITHIN LIST</v>
      </c>
      <c r="R449" s="16" t="s">
        <v>4039</v>
      </c>
      <c r="S449" s="15"/>
      <c r="T449" s="15" t="s">
        <v>4135</v>
      </c>
      <c r="U449" s="15"/>
      <c r="V449" s="15"/>
      <c r="W449" s="15" t="s">
        <v>4252</v>
      </c>
      <c r="X449" s="16"/>
      <c r="Y449" s="15" t="s">
        <v>4253</v>
      </c>
      <c r="Z449" s="15" t="s">
        <v>1495</v>
      </c>
      <c r="AA449" s="17" t="s">
        <v>4254</v>
      </c>
      <c r="AB449" s="17"/>
      <c r="AC449" s="17" t="s">
        <v>6663</v>
      </c>
      <c r="AD449" s="17"/>
      <c r="AE449" s="18"/>
      <c r="AF449" s="18"/>
      <c r="AG449" s="17"/>
      <c r="AH449" s="16"/>
      <c r="AI449" s="27"/>
      <c r="AJ449" s="27"/>
      <c r="AK449" s="52"/>
      <c r="AL449" s="52"/>
    </row>
    <row r="450" spans="1:38" ht="45" hidden="1" x14ac:dyDescent="0.25">
      <c r="A450" s="14" t="s">
        <v>7103</v>
      </c>
      <c r="B450" s="7" t="s">
        <v>5877</v>
      </c>
      <c r="C450" s="7" t="s">
        <v>3</v>
      </c>
      <c r="D450" s="7" t="s">
        <v>6711</v>
      </c>
      <c r="E450" s="7" t="s">
        <v>6712</v>
      </c>
      <c r="F450" s="7" t="s">
        <v>6713</v>
      </c>
      <c r="G450" s="7"/>
      <c r="H450" s="7"/>
      <c r="I450" s="7"/>
      <c r="J450" s="20" t="str">
        <f>VLOOKUP(V450,Table_to_BRG!A:D,3,FALSE)</f>
        <v>Plant data</v>
      </c>
      <c r="K450" s="20" t="str">
        <f>VLOOKUP(V450,Table_to_BRG!A:D,2,FALSE)</f>
        <v>Plant</v>
      </c>
      <c r="L450" s="20"/>
      <c r="M450" s="20"/>
      <c r="N450" s="9" t="s">
        <v>6465</v>
      </c>
      <c r="O450" s="54" t="s">
        <v>7812</v>
      </c>
      <c r="P450" s="7" t="s">
        <v>4114</v>
      </c>
      <c r="Q450" s="11" t="str">
        <f>RIGHT("00"&amp;Table362[[#This Row],[Rule '#]],3)&amp;"_"&amp;IF(Table362[[#This Row],[Entity]]="Material","MATL",LEFT(UPPER(Table362[[#This Row],[Entity]]),4))&amp;"_"&amp;MID(SUBSTITUTE(Table362[[#This Row],[Rule Name]],"_","|",3),SEARCH("|",SUBSTITUTE(Table362[[#This Row],[Rule Name]],"_","|",3))+1,LEN(Table362[[#This Row],[Rule Name]]))</f>
        <v>073_MATL_MRP TYPE</v>
      </c>
      <c r="R450" s="8" t="s">
        <v>4040</v>
      </c>
      <c r="S450" s="7"/>
      <c r="T450" s="7" t="s">
        <v>4135</v>
      </c>
      <c r="U450" s="7"/>
      <c r="V450" s="7" t="s">
        <v>1527</v>
      </c>
      <c r="W450" s="7" t="s">
        <v>4255</v>
      </c>
      <c r="X450" s="8"/>
      <c r="Y450" s="7"/>
      <c r="Z450" s="7"/>
      <c r="AA450" s="11" t="s">
        <v>4256</v>
      </c>
      <c r="AB450" s="11"/>
      <c r="AC450" s="11" t="s">
        <v>6809</v>
      </c>
      <c r="AD450" s="11"/>
      <c r="AH450" s="8"/>
      <c r="AI450" s="20"/>
      <c r="AJ450" s="20"/>
      <c r="AK450" s="31"/>
      <c r="AL450" s="31"/>
    </row>
    <row r="451" spans="1:38" ht="45" hidden="1" x14ac:dyDescent="0.25">
      <c r="A451" s="14" t="s">
        <v>7104</v>
      </c>
      <c r="B451" s="7" t="s">
        <v>5877</v>
      </c>
      <c r="C451" s="7" t="s">
        <v>3</v>
      </c>
      <c r="D451" s="7" t="s">
        <v>6711</v>
      </c>
      <c r="E451" s="7" t="s">
        <v>6712</v>
      </c>
      <c r="F451" s="7" t="s">
        <v>6729</v>
      </c>
      <c r="G451" s="7"/>
      <c r="H451" s="7"/>
      <c r="I451" s="7"/>
      <c r="J451" s="20" t="str">
        <f>VLOOKUP(V451,Table_to_BRG!A:D,3,FALSE)</f>
        <v>Sales data</v>
      </c>
      <c r="K451" s="20" t="str">
        <f>VLOOKUP(V451,Table_to_BRG!A:D,2,FALSE)</f>
        <v>Sales</v>
      </c>
      <c r="L451" s="20"/>
      <c r="M451" s="20"/>
      <c r="N451" s="9" t="s">
        <v>6465</v>
      </c>
      <c r="O451" s="54" t="s">
        <v>7812</v>
      </c>
      <c r="P451" s="7" t="s">
        <v>4115</v>
      </c>
      <c r="Q451" s="11" t="str">
        <f>RIGHT("00"&amp;Table362[[#This Row],[Rule '#]],3)&amp;"_"&amp;IF(Table362[[#This Row],[Entity]]="Material","MATL",LEFT(UPPER(Table362[[#This Row],[Entity]]),4))&amp;"_"&amp;MID(SUBSTITUTE(Table362[[#This Row],[Rule Name]],"_","|",3),SEARCH("|",SUBSTITUTE(Table362[[#This Row],[Rule Name]],"_","|",3))+1,LEN(Table362[[#This Row],[Rule Name]]))</f>
        <v>074_MATL_ACCOUNT ASSIGNMENTCATEGORY</v>
      </c>
      <c r="R451" s="8" t="s">
        <v>4041</v>
      </c>
      <c r="S451" s="7"/>
      <c r="T451" s="7" t="s">
        <v>4135</v>
      </c>
      <c r="U451" s="7"/>
      <c r="V451" s="7" t="s">
        <v>2460</v>
      </c>
      <c r="W451" s="7" t="s">
        <v>4257</v>
      </c>
      <c r="X451" s="8"/>
      <c r="Y451" s="7" t="s">
        <v>4258</v>
      </c>
      <c r="Z451" s="7" t="s">
        <v>2502</v>
      </c>
      <c r="AA451" s="11" t="str">
        <f>"BEGIN
     RETURN exists('DS_IS_RDS', '"&amp;Table362[[#This Row],[Lookup Table]]&amp;"', '"&amp;Table362[[#This Row],[Lookup Field]]&amp;"', "&amp;Table362[[#This Row],[IS Parameter]]&amp;");
END"</f>
        <v>BEGIN
     RETURN exists('DS_IS_RDS', 'TVKM', 'KTGRM', );
END</v>
      </c>
      <c r="AB451" s="11"/>
      <c r="AC451" s="11" t="s">
        <v>6663</v>
      </c>
      <c r="AD451" s="11"/>
      <c r="AH451" s="8"/>
      <c r="AI451" s="20"/>
      <c r="AJ451" s="20"/>
      <c r="AK451" s="31"/>
      <c r="AL451" s="31"/>
    </row>
    <row r="452" spans="1:38" ht="36" hidden="1" x14ac:dyDescent="0.25">
      <c r="A452" s="14" t="s">
        <v>7105</v>
      </c>
      <c r="B452" s="7" t="s">
        <v>5877</v>
      </c>
      <c r="C452" s="7" t="s">
        <v>3</v>
      </c>
      <c r="D452" s="7" t="s">
        <v>5978</v>
      </c>
      <c r="E452" s="7" t="s">
        <v>5978</v>
      </c>
      <c r="F452" s="7" t="s">
        <v>5978</v>
      </c>
      <c r="G452" s="7"/>
      <c r="H452" s="7"/>
      <c r="I452" s="7"/>
      <c r="J452" s="20" t="e">
        <f>VLOOKUP(V452,Table_to_BRG!A:D,3,FALSE)</f>
        <v>#N/A</v>
      </c>
      <c r="K452" s="20" t="e">
        <f>VLOOKUP(V452,Table_to_BRG!A:D,2,FALSE)</f>
        <v>#N/A</v>
      </c>
      <c r="L452" s="20"/>
      <c r="M452" s="20"/>
      <c r="N452" s="9" t="s">
        <v>6465</v>
      </c>
      <c r="O452" s="54" t="s">
        <v>7812</v>
      </c>
      <c r="P452" s="7" t="s">
        <v>4116</v>
      </c>
      <c r="Q452" s="11" t="str">
        <f>RIGHT("00"&amp;Table362[[#This Row],[Rule '#]],3)&amp;"_"&amp;IF(Table362[[#This Row],[Entity]]="Material","MATL",LEFT(UPPER(Table362[[#This Row],[Entity]]),4))&amp;"_"&amp;MID(SUBSTITUTE(Table362[[#This Row],[Rule Name]],"_","|",3),SEARCH("|",SUBSTITUTE(Table362[[#This Row],[Rule Name]],"_","|",3))+1,LEN(Table362[[#This Row],[Rule Name]]))</f>
        <v>075_MATL_CASH MGMT GRP</v>
      </c>
      <c r="R452" s="8" t="s">
        <v>4042</v>
      </c>
      <c r="S452" s="7"/>
      <c r="T452" s="7" t="s">
        <v>21</v>
      </c>
      <c r="U452" s="7"/>
      <c r="V452" s="7"/>
      <c r="W452" s="7" t="s">
        <v>4259</v>
      </c>
      <c r="X452" s="8"/>
      <c r="Y452" s="7" t="s">
        <v>4260</v>
      </c>
      <c r="Z452" s="7" t="s">
        <v>4261</v>
      </c>
      <c r="AA452" s="11" t="str">
        <f>"BEGIN
     RETURN exists('DS_IS_RDS', '"&amp;Table362[[#This Row],[Lookup Table]]&amp;"', '"&amp;Table362[[#This Row],[Lookup Field]]&amp;"', "&amp;Table362[[#This Row],[IS Parameter]]&amp;");
END"</f>
        <v>BEGIN
     RETURN exists('DS_IS_RDS', 'T035', 'GRUPP', );
END</v>
      </c>
      <c r="AB452" s="11"/>
      <c r="AC452" s="11" t="s">
        <v>6663</v>
      </c>
      <c r="AD452" s="11"/>
      <c r="AH452" s="8"/>
      <c r="AI452" s="20"/>
      <c r="AJ452" s="20"/>
      <c r="AK452" s="31"/>
      <c r="AL452" s="31"/>
    </row>
    <row r="453" spans="1:38" ht="48" hidden="1" x14ac:dyDescent="0.25">
      <c r="A453" s="14" t="s">
        <v>7106</v>
      </c>
      <c r="B453" s="7" t="s">
        <v>5877</v>
      </c>
      <c r="C453" s="7" t="s">
        <v>3</v>
      </c>
      <c r="D453" s="7" t="s">
        <v>5978</v>
      </c>
      <c r="E453" s="7" t="s">
        <v>5978</v>
      </c>
      <c r="F453" s="7" t="s">
        <v>5978</v>
      </c>
      <c r="G453" s="7"/>
      <c r="H453" s="7"/>
      <c r="I453" s="7"/>
      <c r="J453" s="20" t="e">
        <f>VLOOKUP(V453,Table_to_BRG!A:D,3,FALSE)</f>
        <v>#N/A</v>
      </c>
      <c r="K453" s="20" t="e">
        <f>VLOOKUP(V453,Table_to_BRG!A:D,2,FALSE)</f>
        <v>#N/A</v>
      </c>
      <c r="L453" s="20"/>
      <c r="M453" s="20"/>
      <c r="N453" s="9" t="s">
        <v>6465</v>
      </c>
      <c r="O453" s="54" t="s">
        <v>7812</v>
      </c>
      <c r="P453" s="7" t="s">
        <v>4117</v>
      </c>
      <c r="Q453" s="11" t="str">
        <f>RIGHT("00"&amp;Table362[[#This Row],[Rule '#]],3)&amp;"_"&amp;IF(Table362[[#This Row],[Entity]]="Material","MATL",LEFT(UPPER(Table362[[#This Row],[Entity]]),4))&amp;"_"&amp;MID(SUBSTITUTE(Table362[[#This Row],[Rule Name]],"_","|",3),SEARCH("|",SUBSTITUTE(Table362[[#This Row],[Rule Name]],"_","|",3))+1,LEN(Table362[[#This Row],[Rule Name]]))</f>
        <v>076_MATL_COMPANY CODE</v>
      </c>
      <c r="R453" s="8" t="s">
        <v>4043</v>
      </c>
      <c r="S453" s="7"/>
      <c r="T453" s="7" t="s">
        <v>4136</v>
      </c>
      <c r="U453" s="7"/>
      <c r="V453" s="7"/>
      <c r="W453" s="7" t="s">
        <v>4262</v>
      </c>
      <c r="X453" s="8"/>
      <c r="Y453" s="7" t="s">
        <v>2739</v>
      </c>
      <c r="Z453" s="7" t="s">
        <v>2706</v>
      </c>
      <c r="AA453" s="11" t="s">
        <v>4263</v>
      </c>
      <c r="AB453" s="11"/>
      <c r="AC453" s="11"/>
      <c r="AD453" s="11"/>
      <c r="AH453" s="8"/>
      <c r="AI453" s="20"/>
      <c r="AJ453" s="20"/>
      <c r="AK453" s="31"/>
      <c r="AL453" s="31"/>
    </row>
    <row r="454" spans="1:38" ht="72" hidden="1" x14ac:dyDescent="0.25">
      <c r="A454" s="14" t="s">
        <v>7107</v>
      </c>
      <c r="B454" s="7" t="s">
        <v>5877</v>
      </c>
      <c r="C454" s="7" t="s">
        <v>3</v>
      </c>
      <c r="D454" s="7" t="s">
        <v>6711</v>
      </c>
      <c r="E454" s="7" t="s">
        <v>6712</v>
      </c>
      <c r="F454" s="7" t="s">
        <v>6713</v>
      </c>
      <c r="G454" s="7"/>
      <c r="H454" s="7"/>
      <c r="I454" s="7"/>
      <c r="J454" s="20" t="str">
        <f>VLOOKUP(V454,Table_to_BRG!A:D,3,FALSE)</f>
        <v>Plant data</v>
      </c>
      <c r="K454" s="20" t="str">
        <f>VLOOKUP(V454,Table_to_BRG!A:D,2,FALSE)</f>
        <v>Plant</v>
      </c>
      <c r="L454" s="20"/>
      <c r="M454" s="20"/>
      <c r="N454" s="9" t="s">
        <v>6465</v>
      </c>
      <c r="O454" s="54" t="s">
        <v>7812</v>
      </c>
      <c r="P454" s="7" t="s">
        <v>6888</v>
      </c>
      <c r="Q454" s="11" t="str">
        <f>RIGHT("00"&amp;Table362[[#This Row],[Rule '#]],3)&amp;"_"&amp;IF(Table362[[#This Row],[Entity]]="Material","MATL",LEFT(UPPER(Table362[[#This Row],[Entity]]),4))&amp;"_"&amp;MID(SUBSTITUTE(Table362[[#This Row],[Rule Name]],"_","|",3),SEARCH("|",SUBSTITUTE(Table362[[#This Row],[Rule Name]],"_","|",3))+1,LEN(Table362[[#This Row],[Rule Name]]))</f>
        <v>077_MATL_Plant</v>
      </c>
      <c r="R454" s="8" t="s">
        <v>6887</v>
      </c>
      <c r="S454" s="7" t="s">
        <v>21</v>
      </c>
      <c r="T454" s="7" t="s">
        <v>4135</v>
      </c>
      <c r="U454" s="7" t="s">
        <v>485</v>
      </c>
      <c r="V454" s="7" t="s">
        <v>1527</v>
      </c>
      <c r="W454" s="7" t="s">
        <v>1495</v>
      </c>
      <c r="X454" s="8" t="s">
        <v>1265</v>
      </c>
      <c r="Y454" s="7" t="s">
        <v>4253</v>
      </c>
      <c r="Z454" s="7" t="s">
        <v>1495</v>
      </c>
      <c r="AA454" s="11" t="str">
        <f>"BEGIN
     RETURN exists('DS_IS_RDS', '"&amp;Table362[[#This Row],[Lookup Table]]&amp;"', '"&amp;Table362[[#This Row],[Lookup Field]]&amp;"', "&amp;Table362[[#This Row],[IS Parameter]]&amp;");
END"</f>
        <v>BEGIN
     RETURN exists('DS_IS_RDS', 'T001L', 'WERKS', $P_I_Plant);
END</v>
      </c>
      <c r="AB454" s="11"/>
      <c r="AC454" s="11"/>
      <c r="AD454" s="11"/>
      <c r="AE454" s="13" t="str">
        <f>IF(Table362[[#This Row],[Entity]]="Customer","KUNNR",IF(Table362[[#This Row],[Entity]]="Vendor","LIFNR","MATNR"))&amp;","&amp;Table362[[#This Row],[Field]]</f>
        <v>MATNR,WERKS</v>
      </c>
      <c r="AG454" s="11" t="str">
        <f>"create view "&amp;Table362[[#This Row],[View Name]]&amp;" as 
     select 
          "&amp;IF(Table362[[#This Row],[Entity]]="Customer","KUNNR",IF(Table362[[#This Row],[Entity]]="Vendor","LIFNR","MATNR"))&amp;",
          "&amp;Table362[[#This Row],[Field]]&amp;" 
     from "&amp;Table362[[#This Row],[Table]]&amp;"
     group by "&amp;IF(Table362[[#This Row],[Entity]]="Customer","KUNNR",IF(Table362[[#This Row],[Entity]]="Vendor","LIFNR","MATNR"))&amp;","&amp;Table362[[#This Row],[Field]]</f>
        <v>create view  as 
     select 
          MATNR,
          WERKS 
     from MARC
     group by MATNR,WERKS</v>
      </c>
      <c r="AH454" s="8"/>
      <c r="AI454" s="20"/>
      <c r="AJ454" s="20"/>
      <c r="AK454" s="31"/>
      <c r="AL454" s="31"/>
    </row>
    <row r="455" spans="1:38" ht="36" hidden="1" x14ac:dyDescent="0.25">
      <c r="A455" s="14" t="s">
        <v>7108</v>
      </c>
      <c r="B455" s="7" t="s">
        <v>5877</v>
      </c>
      <c r="C455" s="7" t="s">
        <v>3</v>
      </c>
      <c r="D455" s="7" t="s">
        <v>5978</v>
      </c>
      <c r="E455" s="7" t="s">
        <v>5978</v>
      </c>
      <c r="F455" s="7" t="s">
        <v>5978</v>
      </c>
      <c r="G455" s="7"/>
      <c r="H455" s="7"/>
      <c r="I455" s="7"/>
      <c r="J455" s="20" t="e">
        <f>VLOOKUP(V455,Table_to_BRG!A:D,3,FALSE)</f>
        <v>#N/A</v>
      </c>
      <c r="K455" s="20" t="e">
        <f>VLOOKUP(V455,Table_to_BRG!A:D,2,FALSE)</f>
        <v>#N/A</v>
      </c>
      <c r="L455" s="20"/>
      <c r="M455" s="20"/>
      <c r="N455" s="9" t="s">
        <v>6465</v>
      </c>
      <c r="O455" s="54" t="s">
        <v>7812</v>
      </c>
      <c r="P455" s="7" t="s">
        <v>4118</v>
      </c>
      <c r="Q455" s="11" t="str">
        <f>RIGHT("00"&amp;Table362[[#This Row],[Rule '#]],3)&amp;"_"&amp;IF(Table362[[#This Row],[Entity]]="Material","MATL",LEFT(UPPER(Table362[[#This Row],[Entity]]),4))&amp;"_"&amp;MID(SUBSTITUTE(Table362[[#This Row],[Rule Name]],"_","|",3),SEARCH("|",SUBSTITUTE(Table362[[#This Row],[Rule Name]],"_","|",3))+1,LEN(Table362[[#This Row],[Rule Name]]))</f>
        <v>078_MATL_QA_VALID TO IS DATE</v>
      </c>
      <c r="R455" s="8" t="s">
        <v>4044</v>
      </c>
      <c r="S455" s="7"/>
      <c r="T455" s="7" t="s">
        <v>4135</v>
      </c>
      <c r="U455" s="7"/>
      <c r="V455" s="7"/>
      <c r="W455" s="7" t="s">
        <v>4264</v>
      </c>
      <c r="X455" s="8"/>
      <c r="Y455" s="7"/>
      <c r="Z455" s="7"/>
      <c r="AA455" s="11" t="s">
        <v>4265</v>
      </c>
      <c r="AB455" s="11"/>
      <c r="AC455" s="11"/>
      <c r="AD455" s="11"/>
      <c r="AH455" s="8"/>
      <c r="AI455" s="20"/>
      <c r="AJ455" s="20"/>
      <c r="AK455" s="31"/>
      <c r="AL455" s="31"/>
    </row>
    <row r="456" spans="1:38" ht="45" hidden="1" x14ac:dyDescent="0.25">
      <c r="A456" s="14" t="s">
        <v>7109</v>
      </c>
      <c r="B456" s="7" t="s">
        <v>5877</v>
      </c>
      <c r="C456" s="7" t="s">
        <v>3</v>
      </c>
      <c r="D456" s="7" t="s">
        <v>6711</v>
      </c>
      <c r="E456" s="7" t="s">
        <v>6712</v>
      </c>
      <c r="F456" s="7" t="s">
        <v>6713</v>
      </c>
      <c r="G456" s="7"/>
      <c r="H456" s="7"/>
      <c r="I456" s="7"/>
      <c r="J456" s="20" t="str">
        <f>VLOOKUP(V456,Table_to_BRG!A:D,3,FALSE)</f>
        <v>Plant data</v>
      </c>
      <c r="K456" s="20" t="str">
        <f>VLOOKUP(V456,Table_to_BRG!A:D,2,FALSE)</f>
        <v>Plant</v>
      </c>
      <c r="L456" s="20"/>
      <c r="M456" s="20"/>
      <c r="N456" s="9" t="s">
        <v>6465</v>
      </c>
      <c r="O456" s="54" t="str">
        <f>"Duplicate of rule "&amp;A28</f>
        <v>Duplicate of rule 24</v>
      </c>
      <c r="P456" s="7" t="s">
        <v>4119</v>
      </c>
      <c r="Q456" s="11" t="str">
        <f>RIGHT("00"&amp;Table362[[#This Row],[Rule '#]],3)&amp;"_"&amp;IF(Table362[[#This Row],[Entity]]="Material","MATL",LEFT(UPPER(Table362[[#This Row],[Entity]]),4))&amp;"_"&amp;MID(SUBSTITUTE(Table362[[#This Row],[Rule Name]],"_","|",3),SEARCH("|",SUBSTITUTE(Table362[[#This Row],[Rule Name]],"_","|",3))+1,LEN(Table362[[#This Row],[Rule Name]]))</f>
        <v>079_MATL_AVAILABILITY CHECK</v>
      </c>
      <c r="R456" s="8" t="s">
        <v>4045</v>
      </c>
      <c r="S456" s="7"/>
      <c r="T456" s="7" t="s">
        <v>4135</v>
      </c>
      <c r="U456" s="7"/>
      <c r="V456" s="7" t="s">
        <v>1527</v>
      </c>
      <c r="W456" s="7" t="s">
        <v>4266</v>
      </c>
      <c r="X456" s="8"/>
      <c r="Y456" s="7" t="s">
        <v>4267</v>
      </c>
      <c r="Z456" s="7" t="s">
        <v>2179</v>
      </c>
      <c r="AA456" s="11" t="str">
        <f>"BEGIN
     RETURN exists('DS_IS_RDS', '"&amp;Table362[[#This Row],[Lookup Table]]&amp;"', '"&amp;Table362[[#This Row],[Lookup Field]]&amp;"', "&amp;Table362[[#This Row],[IS Parameter]]&amp;");
END"</f>
        <v>BEGIN
     RETURN exists('DS_IS_RDS', 'TMVF', 'MTVFP', );
END</v>
      </c>
      <c r="AB456" s="11"/>
      <c r="AC456" s="11" t="s">
        <v>6663</v>
      </c>
      <c r="AD456" s="11"/>
      <c r="AH456" s="8"/>
      <c r="AI456" s="20" t="s">
        <v>7702</v>
      </c>
      <c r="AJ456" s="20"/>
      <c r="AK456" s="31"/>
      <c r="AL456" s="31"/>
    </row>
    <row r="457" spans="1:38" ht="36" hidden="1" x14ac:dyDescent="0.25">
      <c r="A457" s="14" t="s">
        <v>7110</v>
      </c>
      <c r="B457" s="7" t="s">
        <v>5877</v>
      </c>
      <c r="C457" s="7" t="s">
        <v>3</v>
      </c>
      <c r="D457" s="7" t="s">
        <v>5978</v>
      </c>
      <c r="E457" s="7" t="s">
        <v>5978</v>
      </c>
      <c r="F457" s="7" t="s">
        <v>5978</v>
      </c>
      <c r="G457" s="7"/>
      <c r="H457" s="7"/>
      <c r="I457" s="7"/>
      <c r="J457" s="20" t="e">
        <f>VLOOKUP(V457,Table_to_BRG!A:D,3,FALSE)</f>
        <v>#N/A</v>
      </c>
      <c r="K457" s="20" t="e">
        <f>VLOOKUP(V457,Table_to_BRG!A:D,2,FALSE)</f>
        <v>#N/A</v>
      </c>
      <c r="L457" s="20"/>
      <c r="M457" s="20"/>
      <c r="N457" s="9" t="s">
        <v>6465</v>
      </c>
      <c r="O457" s="54" t="s">
        <v>7812</v>
      </c>
      <c r="P457" s="7" t="s">
        <v>4120</v>
      </c>
      <c r="Q457" s="11" t="str">
        <f>RIGHT("00"&amp;Table362[[#This Row],[Rule '#]],3)&amp;"_"&amp;IF(Table362[[#This Row],[Entity]]="Material","MATL",LEFT(UPPER(Table362[[#This Row],[Entity]]),4))&amp;"_"&amp;MID(SUBSTITUTE(Table362[[#This Row],[Rule Name]],"_","|",3),SEARCH("|",SUBSTITUTE(Table362[[#This Row],[Rule Name]],"_","|",3))+1,LEN(Table362[[#This Row],[Rule Name]]))</f>
        <v>080_MATL_VALUATION CLASS</v>
      </c>
      <c r="R457" s="8" t="s">
        <v>3974</v>
      </c>
      <c r="S457" s="7"/>
      <c r="T457" s="7" t="s">
        <v>4135</v>
      </c>
      <c r="U457" s="7"/>
      <c r="V457" s="7"/>
      <c r="W457" s="7" t="s">
        <v>4268</v>
      </c>
      <c r="X457" s="8"/>
      <c r="Y457" s="7" t="s">
        <v>4269</v>
      </c>
      <c r="Z457" s="7" t="s">
        <v>1501</v>
      </c>
      <c r="AA457" s="11" t="str">
        <f>"BEGIN
     RETURN exists('DS_IS_RDS', '"&amp;Table362[[#This Row],[Lookup Table]]&amp;"', '"&amp;Table362[[#This Row],[Lookup Field]]&amp;"', "&amp;Table362[[#This Row],[IS Parameter]]&amp;");
END"</f>
        <v>BEGIN
     RETURN exists('DS_IS_RDS', 'T025', 'BKLAS', );
END</v>
      </c>
      <c r="AB457" s="11"/>
      <c r="AC457" s="11"/>
      <c r="AD457" s="11"/>
      <c r="AH457" s="8"/>
      <c r="AI457" s="20"/>
      <c r="AJ457" s="20"/>
      <c r="AK457" s="31"/>
      <c r="AL457" s="31"/>
    </row>
    <row r="458" spans="1:38" ht="36" hidden="1" x14ac:dyDescent="0.25">
      <c r="A458" s="14" t="s">
        <v>7111</v>
      </c>
      <c r="B458" s="7" t="s">
        <v>5877</v>
      </c>
      <c r="C458" s="7" t="s">
        <v>3</v>
      </c>
      <c r="D458" s="7" t="s">
        <v>5978</v>
      </c>
      <c r="E458" s="7" t="s">
        <v>5978</v>
      </c>
      <c r="F458" s="7" t="s">
        <v>5978</v>
      </c>
      <c r="G458" s="7"/>
      <c r="H458" s="7"/>
      <c r="I458" s="7"/>
      <c r="J458" s="20" t="e">
        <f>VLOOKUP(V458,Table_to_BRG!A:D,3,FALSE)</f>
        <v>#N/A</v>
      </c>
      <c r="K458" s="20" t="e">
        <f>VLOOKUP(V458,Table_to_BRG!A:D,2,FALSE)</f>
        <v>#N/A</v>
      </c>
      <c r="L458" s="20"/>
      <c r="M458" s="20"/>
      <c r="N458" s="9" t="s">
        <v>6465</v>
      </c>
      <c r="O458" s="54" t="s">
        <v>7812</v>
      </c>
      <c r="P458" s="7" t="s">
        <v>4121</v>
      </c>
      <c r="Q458" s="11" t="str">
        <f>RIGHT("00"&amp;Table362[[#This Row],[Rule '#]],3)&amp;"_"&amp;IF(Table362[[#This Row],[Entity]]="Material","MATL",LEFT(UPPER(Table362[[#This Row],[Entity]]),4))&amp;"_"&amp;MID(SUBSTITUTE(Table362[[#This Row],[Rule Name]],"_","|",3),SEARCH("|",SUBSTITUTE(Table362[[#This Row],[Rule Name]],"_","|",3))+1,LEN(Table362[[#This Row],[Rule Name]]))</f>
        <v>081_MATL_RECON ACCOUNT1</v>
      </c>
      <c r="R458" s="8" t="s">
        <v>3975</v>
      </c>
      <c r="S458" s="7"/>
      <c r="T458" s="7" t="s">
        <v>4135</v>
      </c>
      <c r="U458" s="7"/>
      <c r="V458" s="7"/>
      <c r="W458" s="7" t="s">
        <v>4270</v>
      </c>
      <c r="X458" s="8"/>
      <c r="Y458" s="7" t="s">
        <v>4271</v>
      </c>
      <c r="Z458" s="7" t="s">
        <v>4272</v>
      </c>
      <c r="AA458" s="11" t="str">
        <f>"BEGIN
     RETURN exists('DS_IS_RDS', '"&amp;Table362[[#This Row],[Lookup Table]]&amp;"', '"&amp;Table362[[#This Row],[Lookup Field]]&amp;"', "&amp;Table362[[#This Row],[IS Parameter]]&amp;");
END"</f>
        <v>BEGIN
     RETURN exists('DS_IS_RDS', 'SKB1', 'SAKNR', );
END</v>
      </c>
      <c r="AB458" s="11"/>
      <c r="AC458" s="11" t="s">
        <v>6663</v>
      </c>
      <c r="AD458" s="11"/>
      <c r="AH458" s="8"/>
      <c r="AI458" s="20"/>
      <c r="AJ458" s="20"/>
      <c r="AK458" s="31"/>
      <c r="AL458" s="31"/>
    </row>
    <row r="459" spans="1:38" ht="96" hidden="1" x14ac:dyDescent="0.25">
      <c r="A459" s="14" t="s">
        <v>7112</v>
      </c>
      <c r="B459" s="7" t="s">
        <v>5877</v>
      </c>
      <c r="C459" s="7" t="s">
        <v>3</v>
      </c>
      <c r="D459" s="7" t="s">
        <v>6711</v>
      </c>
      <c r="E459" s="7" t="s">
        <v>6712</v>
      </c>
      <c r="F459" s="7" t="s">
        <v>6713</v>
      </c>
      <c r="G459" s="7"/>
      <c r="H459" s="7"/>
      <c r="I459" s="7"/>
      <c r="J459" s="20" t="str">
        <f>VLOOKUP(V459,Table_to_BRG!A:D,3,FALSE)</f>
        <v>Plant data</v>
      </c>
      <c r="K459" s="20" t="str">
        <f>VLOOKUP(V459,Table_to_BRG!A:D,2,FALSE)</f>
        <v>Plant</v>
      </c>
      <c r="L459" s="20"/>
      <c r="M459" s="20"/>
      <c r="N459" s="9" t="s">
        <v>6465</v>
      </c>
      <c r="O459" s="54" t="s">
        <v>7812</v>
      </c>
      <c r="P459" s="7" t="s">
        <v>7778</v>
      </c>
      <c r="Q459" s="11" t="str">
        <f>RIGHT("00"&amp;Table362[[#This Row],[Rule '#]],3)&amp;"_"&amp;IF(Table362[[#This Row],[Entity]]="Material","MATL",LEFT(UPPER(Table362[[#This Row],[Entity]]),4))&amp;"_"&amp;MID(SUBSTITUTE(Table362[[#This Row],[Rule Name]],"_","|",3),SEARCH("|",SUBSTITUTE(Table362[[#This Row],[Rule Name]],"_","|",3))+1,LEN(Table362[[#This Row],[Rule Name]]))</f>
        <v>082_MATL_FIXED_LOTSIZE</v>
      </c>
      <c r="R459" s="8" t="s">
        <v>7772</v>
      </c>
      <c r="S459" s="42" t="s">
        <v>4135</v>
      </c>
      <c r="T459" s="7" t="s">
        <v>139</v>
      </c>
      <c r="U459" s="8" t="s">
        <v>6826</v>
      </c>
      <c r="V459" s="7" t="s">
        <v>1527</v>
      </c>
      <c r="W459" s="8" t="s">
        <v>6825</v>
      </c>
      <c r="X459" s="8"/>
      <c r="Y459" s="7"/>
      <c r="Z459" s="7"/>
      <c r="AA459" s="11" t="s">
        <v>6828</v>
      </c>
      <c r="AB459" s="11"/>
      <c r="AC459" s="8"/>
      <c r="AD459" s="8"/>
      <c r="AE459" s="8" t="s">
        <v>7773</v>
      </c>
      <c r="AG459" s="11" t="s">
        <v>7775</v>
      </c>
      <c r="AH459" s="8"/>
      <c r="AI459" s="20"/>
      <c r="AJ459" s="20"/>
      <c r="AK459" s="31"/>
      <c r="AL459" s="31"/>
    </row>
    <row r="460" spans="1:38" ht="36" hidden="1" x14ac:dyDescent="0.25">
      <c r="A460" s="14" t="s">
        <v>7113</v>
      </c>
      <c r="B460" s="7" t="s">
        <v>5877</v>
      </c>
      <c r="C460" s="7" t="s">
        <v>3</v>
      </c>
      <c r="D460" s="7" t="s">
        <v>5978</v>
      </c>
      <c r="E460" s="7" t="s">
        <v>5978</v>
      </c>
      <c r="F460" s="7" t="s">
        <v>5978</v>
      </c>
      <c r="G460" s="7"/>
      <c r="H460" s="7"/>
      <c r="I460" s="7"/>
      <c r="J460" s="20" t="e">
        <f>VLOOKUP(V460,Table_to_BRG!A:D,3,FALSE)</f>
        <v>#N/A</v>
      </c>
      <c r="K460" s="20" t="e">
        <f>VLOOKUP(V460,Table_to_BRG!A:D,2,FALSE)</f>
        <v>#N/A</v>
      </c>
      <c r="L460" s="20"/>
      <c r="M460" s="20"/>
      <c r="N460" s="9" t="s">
        <v>6465</v>
      </c>
      <c r="O460" s="54" t="s">
        <v>7812</v>
      </c>
      <c r="P460" s="7" t="s">
        <v>4122</v>
      </c>
      <c r="Q460" s="11" t="str">
        <f>RIGHT("00"&amp;Table362[[#This Row],[Rule '#]],3)&amp;"_"&amp;IF(Table362[[#This Row],[Entity]]="Material","MATL",LEFT(UPPER(Table362[[#This Row],[Entity]]),4))&amp;"_"&amp;MID(SUBSTITUTE(Table362[[#This Row],[Rule Name]],"_","|",3),SEARCH("|",SUBSTITUTE(Table362[[#This Row],[Rule Name]],"_","|",3))+1,LEN(Table362[[#This Row],[Rule Name]]))</f>
        <v>083_MATL_NO SPECIAL CHAR</v>
      </c>
      <c r="R460" s="8" t="s">
        <v>3976</v>
      </c>
      <c r="S460" s="7"/>
      <c r="T460" s="7" t="s">
        <v>139</v>
      </c>
      <c r="U460" s="7"/>
      <c r="V460" s="7"/>
      <c r="W460" s="7" t="s">
        <v>4151</v>
      </c>
      <c r="X460" s="8"/>
      <c r="Y460" s="7"/>
      <c r="Z460" s="7"/>
      <c r="AA460" s="11" t="s">
        <v>4273</v>
      </c>
      <c r="AB460" s="11"/>
      <c r="AC460" s="11"/>
      <c r="AD460" s="11"/>
      <c r="AH460" s="8" t="s">
        <v>5969</v>
      </c>
      <c r="AI460" s="20"/>
      <c r="AJ460" s="20"/>
      <c r="AK460" s="31"/>
      <c r="AL460" s="31"/>
    </row>
    <row r="461" spans="1:38" ht="36" hidden="1" x14ac:dyDescent="0.25">
      <c r="A461" s="14" t="s">
        <v>7114</v>
      </c>
      <c r="B461" s="7" t="s">
        <v>5877</v>
      </c>
      <c r="C461" s="7" t="s">
        <v>3</v>
      </c>
      <c r="D461" s="7" t="s">
        <v>5978</v>
      </c>
      <c r="E461" s="7" t="s">
        <v>5978</v>
      </c>
      <c r="F461" s="7" t="s">
        <v>5978</v>
      </c>
      <c r="G461" s="7"/>
      <c r="H461" s="7"/>
      <c r="I461" s="7"/>
      <c r="J461" s="20" t="e">
        <f>VLOOKUP(V461,Table_to_BRG!A:D,3,FALSE)</f>
        <v>#N/A</v>
      </c>
      <c r="K461" s="20" t="e">
        <f>VLOOKUP(V461,Table_to_BRG!A:D,2,FALSE)</f>
        <v>#N/A</v>
      </c>
      <c r="L461" s="20"/>
      <c r="M461" s="20"/>
      <c r="N461" s="9" t="s">
        <v>6465</v>
      </c>
      <c r="O461" s="54" t="s">
        <v>7812</v>
      </c>
      <c r="P461" s="7" t="s">
        <v>4123</v>
      </c>
      <c r="Q461" s="11" t="str">
        <f>RIGHT("00"&amp;Table362[[#This Row],[Rule '#]],3)&amp;"_"&amp;IF(Table362[[#This Row],[Entity]]="Material","MATL",LEFT(UPPER(Table362[[#This Row],[Entity]]),4))&amp;"_"&amp;MID(SUBSTITUTE(Table362[[#This Row],[Rule Name]],"_","|",3),SEARCH("|",SUBSTITUTE(Table362[[#This Row],[Rule Name]],"_","|",3))+1,LEN(Table362[[#This Row],[Rule Name]]))</f>
        <v>084_MATL_IR_PURCH GROUP WITHIN LIST</v>
      </c>
      <c r="R461" s="8" t="s">
        <v>3977</v>
      </c>
      <c r="S461" s="7"/>
      <c r="T461" s="7" t="s">
        <v>21</v>
      </c>
      <c r="U461" s="7"/>
      <c r="V461" s="7"/>
      <c r="W461" s="7" t="s">
        <v>4274</v>
      </c>
      <c r="X461" s="8"/>
      <c r="Y461" s="7" t="s">
        <v>4275</v>
      </c>
      <c r="Z461" s="7" t="s">
        <v>2045</v>
      </c>
      <c r="AA461" s="11" t="str">
        <f>"BEGIN
     RETURN exists('DS_IS_RDS', '"&amp;Table362[[#This Row],[Lookup Table]]&amp;"', '"&amp;Table362[[#This Row],[Lookup Field]]&amp;"', upper("&amp;Table362[[#This Row],[IS Parameter]]&amp;");
END"</f>
        <v>BEGIN
     RETURN exists('DS_IS_RDS', 'T024', 'EKGRP', upper();
END</v>
      </c>
      <c r="AB461" s="11"/>
      <c r="AC461" s="11"/>
      <c r="AD461" s="11"/>
      <c r="AH461" s="8"/>
      <c r="AI461" s="20"/>
      <c r="AJ461" s="20"/>
      <c r="AK461" s="31"/>
      <c r="AL461" s="31"/>
    </row>
    <row r="462" spans="1:38" ht="36" hidden="1" x14ac:dyDescent="0.25">
      <c r="A462" s="14" t="s">
        <v>7115</v>
      </c>
      <c r="B462" s="7" t="s">
        <v>5877</v>
      </c>
      <c r="C462" s="7" t="s">
        <v>3</v>
      </c>
      <c r="D462" s="7" t="s">
        <v>5978</v>
      </c>
      <c r="E462" s="7" t="s">
        <v>5978</v>
      </c>
      <c r="F462" s="7" t="s">
        <v>5978</v>
      </c>
      <c r="G462" s="7"/>
      <c r="H462" s="7"/>
      <c r="I462" s="7"/>
      <c r="J462" s="20" t="e">
        <f>VLOOKUP(V462,Table_to_BRG!A:D,3,FALSE)</f>
        <v>#N/A</v>
      </c>
      <c r="K462" s="20" t="e">
        <f>VLOOKUP(V462,Table_to_BRG!A:D,2,FALSE)</f>
        <v>#N/A</v>
      </c>
      <c r="L462" s="20"/>
      <c r="M462" s="20"/>
      <c r="N462" s="9" t="s">
        <v>6465</v>
      </c>
      <c r="O462" s="54" t="str">
        <f>"Duplicate of Rule "&amp;A282</f>
        <v>Duplicate of Rule 278</v>
      </c>
      <c r="P462" s="7" t="s">
        <v>4124</v>
      </c>
      <c r="Q462" s="11" t="str">
        <f>RIGHT("00"&amp;Table362[[#This Row],[Rule '#]],3)&amp;"_"&amp;IF(Table362[[#This Row],[Entity]]="Material","MATL",LEFT(UPPER(Table362[[#This Row],[Entity]]),4))&amp;"_"&amp;MID(SUBSTITUTE(Table362[[#This Row],[Rule Name]],"_","|",3),SEARCH("|",SUBSTITUTE(Table362[[#This Row],[Rule Name]],"_","|",3))+1,LEN(Table362[[#This Row],[Rule Name]]))</f>
        <v>085_MATL_PRODSLOC</v>
      </c>
      <c r="R462" s="8" t="s">
        <v>3978</v>
      </c>
      <c r="S462" s="7"/>
      <c r="T462" s="7" t="s">
        <v>4135</v>
      </c>
      <c r="U462" s="7"/>
      <c r="V462" s="7"/>
      <c r="W462" s="7" t="s">
        <v>4276</v>
      </c>
      <c r="X462" s="8"/>
      <c r="Y462" s="7" t="s">
        <v>4253</v>
      </c>
      <c r="Z462" s="7" t="s">
        <v>4277</v>
      </c>
      <c r="AA462" s="11" t="str">
        <f>"BEGIN
     RETURN exists('DS_IS_RDS', '"&amp;Table362[[#This Row],[Lookup Table]]&amp;"', '"&amp;Table362[[#This Row],[Lookup Field]]&amp;"', "&amp;Table362[[#This Row],[IS Parameter]]&amp;");
END"</f>
        <v>BEGIN
     RETURN exists('DS_IS_RDS', 'T001L', 'LGORT', );
END</v>
      </c>
      <c r="AB462" s="11"/>
      <c r="AC462" s="11" t="s">
        <v>6663</v>
      </c>
      <c r="AD462" s="11"/>
      <c r="AH462" s="8"/>
      <c r="AI462" s="20"/>
      <c r="AJ462" s="20"/>
      <c r="AK462" s="31"/>
      <c r="AL462" s="31"/>
    </row>
    <row r="463" spans="1:38" ht="48" hidden="1" x14ac:dyDescent="0.25">
      <c r="A463" s="14" t="s">
        <v>7116</v>
      </c>
      <c r="B463" s="7" t="s">
        <v>5877</v>
      </c>
      <c r="C463" s="7" t="s">
        <v>3</v>
      </c>
      <c r="D463" s="7" t="s">
        <v>5978</v>
      </c>
      <c r="E463" s="7" t="s">
        <v>5978</v>
      </c>
      <c r="F463" s="7" t="s">
        <v>5978</v>
      </c>
      <c r="G463" s="7"/>
      <c r="H463" s="7"/>
      <c r="I463" s="7"/>
      <c r="J463" s="20" t="e">
        <f>VLOOKUP(V463,Table_to_BRG!A:D,3,FALSE)</f>
        <v>#N/A</v>
      </c>
      <c r="K463" s="20" t="e">
        <f>VLOOKUP(V463,Table_to_BRG!A:D,2,FALSE)</f>
        <v>#N/A</v>
      </c>
      <c r="L463" s="20"/>
      <c r="M463" s="20"/>
      <c r="N463" s="9" t="s">
        <v>6465</v>
      </c>
      <c r="O463" s="54" t="s">
        <v>7812</v>
      </c>
      <c r="P463" s="7" t="s">
        <v>4125</v>
      </c>
      <c r="Q463" s="11" t="str">
        <f>RIGHT("00"&amp;Table362[[#This Row],[Rule '#]],3)&amp;"_"&amp;IF(Table362[[#This Row],[Entity]]="Material","MATL",LEFT(UPPER(Table362[[#This Row],[Entity]]),4))&amp;"_"&amp;MID(SUBSTITUTE(Table362[[#This Row],[Rule Name]],"_","|",3),SEARCH("|",SUBSTITUTE(Table362[[#This Row],[Rule Name]],"_","|",3))+1,LEN(Table362[[#This Row],[Rule Name]]))</f>
        <v>086_MATL_MATERIAL NUMBER IS NULL</v>
      </c>
      <c r="R463" s="8" t="s">
        <v>3979</v>
      </c>
      <c r="S463" s="7"/>
      <c r="T463" s="7" t="s">
        <v>4135</v>
      </c>
      <c r="U463" s="7"/>
      <c r="V463" s="7"/>
      <c r="W463" s="7" t="s">
        <v>4278</v>
      </c>
      <c r="X463" s="8"/>
      <c r="Y463" s="7"/>
      <c r="Z463" s="7"/>
      <c r="AA463" s="11" t="s">
        <v>4279</v>
      </c>
      <c r="AB463" s="11"/>
      <c r="AC463" s="11"/>
      <c r="AD463" s="11"/>
      <c r="AH463" s="8"/>
      <c r="AI463" s="20"/>
      <c r="AJ463" s="20"/>
      <c r="AK463" s="31"/>
      <c r="AL463" s="31"/>
    </row>
    <row r="464" spans="1:38" ht="36" hidden="1" x14ac:dyDescent="0.25">
      <c r="A464" s="14" t="s">
        <v>7117</v>
      </c>
      <c r="B464" s="7" t="s">
        <v>5877</v>
      </c>
      <c r="C464" s="7" t="s">
        <v>3</v>
      </c>
      <c r="D464" s="7" t="s">
        <v>5978</v>
      </c>
      <c r="E464" s="7" t="s">
        <v>5978</v>
      </c>
      <c r="F464" s="7" t="s">
        <v>5978</v>
      </c>
      <c r="G464" s="7"/>
      <c r="H464" s="7"/>
      <c r="I464" s="7" t="s">
        <v>3971</v>
      </c>
      <c r="J464" s="20" t="e">
        <f>VLOOKUP(V464,Table_to_BRG!A:D,3,FALSE)</f>
        <v>#N/A</v>
      </c>
      <c r="K464" s="20" t="e">
        <f>VLOOKUP(V464,Table_to_BRG!A:D,2,FALSE)</f>
        <v>#N/A</v>
      </c>
      <c r="L464" s="20"/>
      <c r="M464" s="20"/>
      <c r="N464" s="9" t="s">
        <v>6465</v>
      </c>
      <c r="O464" s="54" t="s">
        <v>7812</v>
      </c>
      <c r="P464" s="7" t="s">
        <v>4126</v>
      </c>
      <c r="Q464" s="11" t="str">
        <f>RIGHT("00"&amp;Table362[[#This Row],[Rule '#]],3)&amp;"_"&amp;IF(Table362[[#This Row],[Entity]]="Material","MATL",LEFT(UPPER(Table362[[#This Row],[Entity]]),4))&amp;"_"&amp;MID(SUBSTITUTE(Table362[[#This Row],[Rule Name]],"_","|",3),SEARCH("|",SUBSTITUTE(Table362[[#This Row],[Rule Name]],"_","|",3))+1,LEN(Table362[[#This Row],[Rule Name]]))</f>
        <v>087_MATL_TAX CLASSIFICATION IS WITHIN LIST</v>
      </c>
      <c r="R464" s="8" t="s">
        <v>3980</v>
      </c>
      <c r="S464" s="7"/>
      <c r="T464" s="7" t="s">
        <v>4135</v>
      </c>
      <c r="U464" s="7"/>
      <c r="V464" s="7"/>
      <c r="W464" s="7" t="s">
        <v>4280</v>
      </c>
      <c r="X464" s="8"/>
      <c r="Y464" s="7" t="s">
        <v>4281</v>
      </c>
      <c r="Z464" s="7" t="s">
        <v>4282</v>
      </c>
      <c r="AA464" s="11" t="str">
        <f>"BEGIN
     RETURN exists('DS_IS_RDS', '"&amp;Table362[[#This Row],[Lookup Table]]&amp;"', '"&amp;Table362[[#This Row],[Lookup Field]]&amp;"', upper("&amp;Table362[[#This Row],[IS Parameter]]&amp;");
END"</f>
        <v>BEGIN
     RETURN exists('DS_IS_RDS', 'TSKM', 'TAXKM', upper();
END</v>
      </c>
      <c r="AB464" s="11"/>
      <c r="AC464" s="11"/>
      <c r="AD464" s="11"/>
      <c r="AH464" s="8"/>
      <c r="AI464" s="20" t="s">
        <v>7651</v>
      </c>
      <c r="AJ464" s="20"/>
      <c r="AK464" s="31"/>
      <c r="AL464" s="31"/>
    </row>
    <row r="465" spans="1:38" ht="36" hidden="1" x14ac:dyDescent="0.25">
      <c r="A465" s="14" t="s">
        <v>7118</v>
      </c>
      <c r="B465" s="7" t="s">
        <v>5877</v>
      </c>
      <c r="C465" s="7" t="s">
        <v>3</v>
      </c>
      <c r="D465" s="7" t="s">
        <v>5978</v>
      </c>
      <c r="E465" s="7" t="s">
        <v>5978</v>
      </c>
      <c r="F465" s="7" t="s">
        <v>5978</v>
      </c>
      <c r="G465" s="7"/>
      <c r="H465" s="7"/>
      <c r="I465" s="7"/>
      <c r="J465" s="20" t="e">
        <f>VLOOKUP(V465,Table_to_BRG!A:D,3,FALSE)</f>
        <v>#N/A</v>
      </c>
      <c r="K465" s="20" t="e">
        <f>VLOOKUP(V465,Table_to_BRG!A:D,2,FALSE)</f>
        <v>#N/A</v>
      </c>
      <c r="L465" s="20"/>
      <c r="M465" s="20"/>
      <c r="N465" s="9" t="s">
        <v>6465</v>
      </c>
      <c r="O465" s="54" t="s">
        <v>7812</v>
      </c>
      <c r="P465" s="7" t="s">
        <v>4127</v>
      </c>
      <c r="Q465" s="11" t="str">
        <f>RIGHT("00"&amp;Table362[[#This Row],[Rule '#]],3)&amp;"_"&amp;IF(Table362[[#This Row],[Entity]]="Material","MATL",LEFT(UPPER(Table362[[#This Row],[Entity]]),4))&amp;"_"&amp;MID(SUBSTITUTE(Table362[[#This Row],[Rule Name]],"_","|",3),SEARCH("|",SUBSTITUTE(Table362[[#This Row],[Rule Name]],"_","|",3))+1,LEN(Table362[[#This Row],[Rule Name]]))</f>
        <v>088_MATL_COUNTRY</v>
      </c>
      <c r="R465" s="8" t="s">
        <v>3981</v>
      </c>
      <c r="S465" s="7"/>
      <c r="T465" s="7" t="s">
        <v>4135</v>
      </c>
      <c r="U465" s="7"/>
      <c r="V465" s="7"/>
      <c r="W465" s="7" t="s">
        <v>4283</v>
      </c>
      <c r="X465" s="8"/>
      <c r="Y465" s="7" t="s">
        <v>4152</v>
      </c>
      <c r="Z465" s="7" t="s">
        <v>2958</v>
      </c>
      <c r="AA465" s="11" t="str">
        <f>"BEGIN
     RETURN exists('DS_IS_RDS', '"&amp;Table362[[#This Row],[Lookup Table]]&amp;"', '"&amp;Table362[[#This Row],[Lookup Field]]&amp;"', "&amp;Table362[[#This Row],[IS Parameter]]&amp;");
END"</f>
        <v>BEGIN
     RETURN exists('DS_IS_RDS', 'T005', 'LAND1', );
END</v>
      </c>
      <c r="AB465" s="11"/>
      <c r="AC465" s="11" t="s">
        <v>6663</v>
      </c>
      <c r="AD465" s="11"/>
      <c r="AH465" s="8"/>
      <c r="AI465" s="20"/>
      <c r="AJ465" s="20"/>
      <c r="AK465" s="31"/>
      <c r="AL465" s="31"/>
    </row>
    <row r="466" spans="1:38" ht="36" hidden="1" x14ac:dyDescent="0.25">
      <c r="A466" s="14" t="s">
        <v>7119</v>
      </c>
      <c r="B466" s="7" t="s">
        <v>5877</v>
      </c>
      <c r="C466" s="7" t="s">
        <v>3</v>
      </c>
      <c r="D466" s="7" t="s">
        <v>5978</v>
      </c>
      <c r="E466" s="7" t="s">
        <v>5978</v>
      </c>
      <c r="F466" s="7" t="s">
        <v>5978</v>
      </c>
      <c r="G466" s="7"/>
      <c r="H466" s="7"/>
      <c r="I466" s="7"/>
      <c r="J466" s="20" t="e">
        <f>VLOOKUP(V466,Table_to_BRG!A:D,3,FALSE)</f>
        <v>#N/A</v>
      </c>
      <c r="K466" s="20" t="e">
        <f>VLOOKUP(V466,Table_to_BRG!A:D,2,FALSE)</f>
        <v>#N/A</v>
      </c>
      <c r="L466" s="20"/>
      <c r="M466" s="20"/>
      <c r="N466" s="9" t="s">
        <v>6465</v>
      </c>
      <c r="O466" s="54" t="s">
        <v>7812</v>
      </c>
      <c r="P466" s="7" t="s">
        <v>4128</v>
      </c>
      <c r="Q466" s="11" t="str">
        <f>RIGHT("00"&amp;Table362[[#This Row],[Rule '#]],3)&amp;"_"&amp;IF(Table362[[#This Row],[Entity]]="Material","MATL",LEFT(UPPER(Table362[[#This Row],[Entity]]),4))&amp;"_"&amp;MID(SUBSTITUTE(Table362[[#This Row],[Rule Name]],"_","|",3),SEARCH("|",SUBSTITUTE(Table362[[#This Row],[Rule Name]],"_","|",3))+1,LEN(Table362[[#This Row],[Rule Name]]))</f>
        <v>089_MATL_SALES ORG IS WITHIN LIST</v>
      </c>
      <c r="R466" s="8" t="s">
        <v>3982</v>
      </c>
      <c r="S466" s="7"/>
      <c r="T466" s="7" t="s">
        <v>4135</v>
      </c>
      <c r="U466" s="7"/>
      <c r="V466" s="7"/>
      <c r="W466" s="7" t="s">
        <v>4284</v>
      </c>
      <c r="X466" s="8"/>
      <c r="Y466" s="7" t="s">
        <v>4285</v>
      </c>
      <c r="Z466" s="7" t="s">
        <v>2434</v>
      </c>
      <c r="AA466" s="11" t="str">
        <f>"BEGIN
     RETURN exists('DS_IS_RDS', '"&amp;Table362[[#This Row],[Lookup Table]]&amp;"', '"&amp;Table362[[#This Row],[Lookup Field]]&amp;"', "&amp;Table362[[#This Row],[IS Parameter]]&amp;");
END"</f>
        <v>BEGIN
     RETURN exists('DS_IS_RDS', 'TVKO', 'VKORG', );
END</v>
      </c>
      <c r="AB466" s="11"/>
      <c r="AC466" s="11"/>
      <c r="AD466" s="11"/>
      <c r="AH466" s="8"/>
      <c r="AI466" s="20" t="s">
        <v>6595</v>
      </c>
      <c r="AJ466" s="20"/>
      <c r="AK466" s="31"/>
      <c r="AL466" s="31"/>
    </row>
    <row r="467" spans="1:38" ht="36" hidden="1" x14ac:dyDescent="0.25">
      <c r="A467" s="14" t="s">
        <v>7120</v>
      </c>
      <c r="B467" s="7" t="s">
        <v>5877</v>
      </c>
      <c r="C467" s="7" t="s">
        <v>3</v>
      </c>
      <c r="D467" s="7" t="s">
        <v>5978</v>
      </c>
      <c r="E467" s="7" t="s">
        <v>5978</v>
      </c>
      <c r="F467" s="7" t="s">
        <v>5978</v>
      </c>
      <c r="G467" s="7"/>
      <c r="H467" s="7"/>
      <c r="I467" s="7"/>
      <c r="J467" s="20" t="e">
        <f>VLOOKUP(V467,Table_to_BRG!A:D,3,FALSE)</f>
        <v>#N/A</v>
      </c>
      <c r="K467" s="20" t="e">
        <f>VLOOKUP(V467,Table_to_BRG!A:D,2,FALSE)</f>
        <v>#N/A</v>
      </c>
      <c r="L467" s="20"/>
      <c r="M467" s="20"/>
      <c r="N467" s="9" t="s">
        <v>6465</v>
      </c>
      <c r="O467" s="54" t="s">
        <v>7812</v>
      </c>
      <c r="P467" s="7" t="s">
        <v>4129</v>
      </c>
      <c r="Q467" s="11" t="str">
        <f>RIGHT("00"&amp;Table362[[#This Row],[Rule '#]],3)&amp;"_"&amp;IF(Table362[[#This Row],[Entity]]="Material","MATL",LEFT(UPPER(Table362[[#This Row],[Entity]]),4))&amp;"_"&amp;MID(SUBSTITUTE(Table362[[#This Row],[Rule Name]],"_","|",3),SEARCH("|",SUBSTITUTE(Table362[[#This Row],[Rule Name]],"_","|",3))+1,LEN(Table362[[#This Row],[Rule Name]]))</f>
        <v>090_MATL_PARTNER FUNCTION IS WITHIN LIST</v>
      </c>
      <c r="R467" s="8" t="s">
        <v>3983</v>
      </c>
      <c r="S467" s="7"/>
      <c r="T467" s="7" t="s">
        <v>4135</v>
      </c>
      <c r="U467" s="7"/>
      <c r="V467" s="7"/>
      <c r="W467" s="7" t="s">
        <v>4151</v>
      </c>
      <c r="X467" s="8"/>
      <c r="Y467" s="7" t="s">
        <v>4286</v>
      </c>
      <c r="Z467" s="7" t="s">
        <v>3353</v>
      </c>
      <c r="AA467" s="11" t="str">
        <f>"BEGIN
     RETURN exists('DS_IS_RDS', '"&amp;Table362[[#This Row],[Lookup Table]]&amp;"', '"&amp;Table362[[#This Row],[Lookup Field]]&amp;"', upper("&amp;Table362[[#This Row],[IS Parameter]]&amp;");
END"</f>
        <v>BEGIN
     RETURN exists('DS_IS_RDS', 'TPAR', 'PARVW', upper();
END</v>
      </c>
      <c r="AB467" s="11"/>
      <c r="AC467" s="11"/>
      <c r="AD467" s="11"/>
      <c r="AH467" s="8"/>
      <c r="AI467" s="20"/>
      <c r="AJ467" s="20"/>
      <c r="AK467" s="31"/>
      <c r="AL467" s="31"/>
    </row>
    <row r="468" spans="1:38" ht="36" hidden="1" x14ac:dyDescent="0.25">
      <c r="A468" s="14" t="s">
        <v>7121</v>
      </c>
      <c r="B468" s="7" t="s">
        <v>5877</v>
      </c>
      <c r="C468" s="7" t="s">
        <v>3</v>
      </c>
      <c r="D468" s="7" t="s">
        <v>5978</v>
      </c>
      <c r="E468" s="7" t="s">
        <v>5978</v>
      </c>
      <c r="F468" s="7" t="s">
        <v>5978</v>
      </c>
      <c r="G468" s="7"/>
      <c r="H468" s="7"/>
      <c r="I468" s="7"/>
      <c r="J468" s="20" t="e">
        <f>VLOOKUP(V468,Table_to_BRG!A:D,3,FALSE)</f>
        <v>#N/A</v>
      </c>
      <c r="K468" s="20" t="e">
        <f>VLOOKUP(V468,Table_to_BRG!A:D,2,FALSE)</f>
        <v>#N/A</v>
      </c>
      <c r="L468" s="20"/>
      <c r="M468" s="20"/>
      <c r="N468" s="9" t="s">
        <v>6465</v>
      </c>
      <c r="O468" s="54" t="s">
        <v>7812</v>
      </c>
      <c r="P468" s="7" t="s">
        <v>4130</v>
      </c>
      <c r="Q468" s="11" t="str">
        <f>RIGHT("00"&amp;Table362[[#This Row],[Rule '#]],3)&amp;"_"&amp;IF(Table362[[#This Row],[Entity]]="Material","MATL",LEFT(UPPER(Table362[[#This Row],[Entity]]),4))&amp;"_"&amp;MID(SUBSTITUTE(Table362[[#This Row],[Rule Name]],"_","|",3),SEARCH("|",SUBSTITUTE(Table362[[#This Row],[Rule Name]],"_","|",3))+1,LEN(Table362[[#This Row],[Rule Name]]))</f>
        <v>091_MATL_QA_Number</v>
      </c>
      <c r="R468" s="8" t="s">
        <v>3984</v>
      </c>
      <c r="S468" s="7"/>
      <c r="T468" s="7" t="s">
        <v>21</v>
      </c>
      <c r="U468" s="7"/>
      <c r="V468" s="7"/>
      <c r="W468" s="7" t="s">
        <v>4287</v>
      </c>
      <c r="X468" s="8"/>
      <c r="Y468" s="7"/>
      <c r="Z468" s="7"/>
      <c r="AA468" s="11" t="s">
        <v>4288</v>
      </c>
      <c r="AB468" s="11"/>
      <c r="AC468" s="11" t="s">
        <v>6810</v>
      </c>
      <c r="AD468" s="11"/>
      <c r="AH468" s="8"/>
      <c r="AI468" s="20"/>
      <c r="AJ468" s="20"/>
      <c r="AK468" s="31"/>
      <c r="AL468" s="31"/>
    </row>
    <row r="469" spans="1:38" s="19" customFormat="1" ht="36" hidden="1" x14ac:dyDescent="0.25">
      <c r="A469" s="14" t="s">
        <v>7122</v>
      </c>
      <c r="B469" s="15" t="s">
        <v>5877</v>
      </c>
      <c r="C469" s="15" t="s">
        <v>3</v>
      </c>
      <c r="D469" s="15" t="s">
        <v>5978</v>
      </c>
      <c r="E469" s="15" t="s">
        <v>5978</v>
      </c>
      <c r="F469" s="15" t="s">
        <v>5978</v>
      </c>
      <c r="G469" s="15"/>
      <c r="H469" s="15"/>
      <c r="I469" s="15"/>
      <c r="J469" s="27" t="e">
        <f>VLOOKUP(V469,Table_to_BRG!A:D,3,FALSE)</f>
        <v>#N/A</v>
      </c>
      <c r="K469" s="27" t="e">
        <f>VLOOKUP(V469,Table_to_BRG!A:D,2,FALSE)</f>
        <v>#N/A</v>
      </c>
      <c r="L469" s="27"/>
      <c r="M469" s="27"/>
      <c r="N469" s="14" t="s">
        <v>6465</v>
      </c>
      <c r="O469" s="56" t="str">
        <f>"Duplicate of rule "&amp;A132</f>
        <v>Duplicate of rule 123</v>
      </c>
      <c r="P469" s="15" t="s">
        <v>4131</v>
      </c>
      <c r="Q469" s="11" t="str">
        <f>RIGHT("00"&amp;Table362[[#This Row],[Rule '#]],3)&amp;"_"&amp;IF(Table362[[#This Row],[Entity]]="Material","MATL",LEFT(UPPER(Table362[[#This Row],[Entity]]),4))&amp;"_"&amp;MID(SUBSTITUTE(Table362[[#This Row],[Rule Name]],"_","|",3),SEARCH("|",SUBSTITUTE(Table362[[#This Row],[Rule Name]],"_","|",3))+1,LEN(Table362[[#This Row],[Rule Name]]))</f>
        <v>092_MATL_PLANT IS WITHIN PLANT LIST</v>
      </c>
      <c r="R469" s="16" t="s">
        <v>3985</v>
      </c>
      <c r="S469" s="15"/>
      <c r="T469" s="15" t="s">
        <v>4135</v>
      </c>
      <c r="U469" s="15"/>
      <c r="V469" s="15"/>
      <c r="W469" s="15" t="s">
        <v>4210</v>
      </c>
      <c r="X469" s="16"/>
      <c r="Y469" s="15" t="s">
        <v>4289</v>
      </c>
      <c r="Z469" s="15" t="s">
        <v>1495</v>
      </c>
      <c r="AA469" s="11" t="str">
        <f>"BEGIN
     RETURN exists('DS_IS_RDS', '"&amp;Table362[[#This Row],[Lookup Table]]&amp;"', '"&amp;Table362[[#This Row],[Lookup Field]]&amp;"', upper("&amp;Table362[[#This Row],[IS Parameter]]&amp;");
END"</f>
        <v>BEGIN
     RETURN exists('DS_IS_RDS', 'T001W_1', 'WERKS', upper();
END</v>
      </c>
      <c r="AB469" s="11"/>
      <c r="AC469" s="17"/>
      <c r="AD469" s="17"/>
      <c r="AE469" s="18"/>
      <c r="AF469" s="18"/>
      <c r="AG469" s="17"/>
      <c r="AH469" s="16"/>
      <c r="AI469" s="27"/>
      <c r="AJ469" s="27"/>
      <c r="AK469" s="52"/>
      <c r="AL469" s="52"/>
    </row>
    <row r="470" spans="1:38" ht="48" hidden="1" x14ac:dyDescent="0.25">
      <c r="A470" s="14" t="s">
        <v>7123</v>
      </c>
      <c r="B470" s="7" t="s">
        <v>5877</v>
      </c>
      <c r="C470" s="7" t="s">
        <v>3</v>
      </c>
      <c r="D470" s="7" t="s">
        <v>5978</v>
      </c>
      <c r="E470" s="7" t="s">
        <v>5978</v>
      </c>
      <c r="F470" s="7" t="s">
        <v>5978</v>
      </c>
      <c r="G470" s="7"/>
      <c r="H470" s="7"/>
      <c r="I470" s="7"/>
      <c r="J470" s="20" t="e">
        <f>VLOOKUP(V470,Table_to_BRG!A:D,3,FALSE)</f>
        <v>#N/A</v>
      </c>
      <c r="K470" s="20" t="e">
        <f>VLOOKUP(V470,Table_to_BRG!A:D,2,FALSE)</f>
        <v>#N/A</v>
      </c>
      <c r="L470" s="20"/>
      <c r="M470" s="20"/>
      <c r="N470" s="9" t="s">
        <v>6465</v>
      </c>
      <c r="O470" s="54" t="s">
        <v>7812</v>
      </c>
      <c r="P470" s="7" t="s">
        <v>4132</v>
      </c>
      <c r="Q470" s="11" t="str">
        <f>RIGHT("00"&amp;Table362[[#This Row],[Rule '#]],3)&amp;"_"&amp;IF(Table362[[#This Row],[Entity]]="Material","MATL",LEFT(UPPER(Table362[[#This Row],[Entity]]),4))&amp;"_"&amp;MID(SUBSTITUTE(Table362[[#This Row],[Rule Name]],"_","|",3),SEARCH("|",SUBSTITUTE(Table362[[#This Row],[Rule Name]],"_","|",3))+1,LEN(Table362[[#This Row],[Rule Name]]))</f>
        <v>093_MATL_MATERIAL TYPE IS WITHIN LIST</v>
      </c>
      <c r="R470" s="8" t="s">
        <v>3986</v>
      </c>
      <c r="S470" s="7"/>
      <c r="T470" s="7" t="s">
        <v>4135</v>
      </c>
      <c r="U470" s="7"/>
      <c r="V470" s="7"/>
      <c r="W470" s="7" t="s">
        <v>4290</v>
      </c>
      <c r="X470" s="8"/>
      <c r="Y470" s="7"/>
      <c r="Z470" s="7"/>
      <c r="AA470" s="11" t="s">
        <v>4291</v>
      </c>
      <c r="AB470" s="11"/>
      <c r="AC470" s="11"/>
      <c r="AD470" s="11"/>
      <c r="AH470" s="8"/>
      <c r="AI470" s="20"/>
      <c r="AJ470" s="20"/>
      <c r="AK470" s="31"/>
      <c r="AL470" s="31"/>
    </row>
    <row r="471" spans="1:38" ht="36" hidden="1" x14ac:dyDescent="0.25">
      <c r="A471" s="14" t="s">
        <v>7124</v>
      </c>
      <c r="B471" s="7" t="s">
        <v>5877</v>
      </c>
      <c r="C471" s="7" t="s">
        <v>4610</v>
      </c>
      <c r="D471" s="7" t="s">
        <v>5978</v>
      </c>
      <c r="E471" s="7" t="s">
        <v>5978</v>
      </c>
      <c r="F471" s="7" t="s">
        <v>5978</v>
      </c>
      <c r="G471" s="7"/>
      <c r="H471" s="7"/>
      <c r="I471" s="7"/>
      <c r="J471" s="20" t="e">
        <f>VLOOKUP(V471,Table_to_BRG!A:D,3,FALSE)</f>
        <v>#N/A</v>
      </c>
      <c r="K471" s="20" t="e">
        <f>VLOOKUP(V471,Table_to_BRG!A:D,2,FALSE)</f>
        <v>#N/A</v>
      </c>
      <c r="L471" s="20"/>
      <c r="M471" s="20"/>
      <c r="N471" s="9" t="s">
        <v>6465</v>
      </c>
      <c r="O471" s="54" t="s">
        <v>7812</v>
      </c>
      <c r="P471" s="7" t="s">
        <v>4295</v>
      </c>
      <c r="Q471" s="11" t="str">
        <f>RIGHT("00"&amp;Table362[[#This Row],[Rule '#]],3)&amp;"_"&amp;IF(Table362[[#This Row],[Entity]]="Material","MATL",LEFT(UPPER(Table362[[#This Row],[Entity]]),4))&amp;"_"&amp;MID(SUBSTITUTE(Table362[[#This Row],[Rule Name]],"_","|",3),SEARCH("|",SUBSTITUTE(Table362[[#This Row],[Rule Name]],"_","|",3))+1,LEN(Table362[[#This Row],[Rule Name]]))</f>
        <v>094_FI_GL</v>
      </c>
      <c r="R471" s="8" t="s">
        <v>4296</v>
      </c>
      <c r="S471" s="7"/>
      <c r="T471" s="7"/>
      <c r="U471" s="7"/>
      <c r="V471" s="7" t="s">
        <v>4271</v>
      </c>
      <c r="W471" s="7" t="s">
        <v>4440</v>
      </c>
      <c r="X471" s="8"/>
      <c r="Y471" s="7" t="s">
        <v>4148</v>
      </c>
      <c r="Z471" s="7" t="s">
        <v>2850</v>
      </c>
      <c r="AA471" s="11" t="str">
        <f>"BEGIN
     RETURN exists('DS_IS_RDS', '"&amp;Table362[[#This Row],[Lookup Table]]&amp;"', '"&amp;Table362[[#This Row],[Lookup Field]]&amp;"', upper("&amp;Table362[[#This Row],[IS Parameter]]&amp;");
END"</f>
        <v>BEGIN
     RETURN exists('DS_IS_RDS', 'TCURC', 'WAERS', upper();
END</v>
      </c>
      <c r="AB471" s="11"/>
      <c r="AC471" s="11"/>
      <c r="AD471" s="11"/>
      <c r="AH471" s="8"/>
      <c r="AI471" s="20" t="s">
        <v>7700</v>
      </c>
      <c r="AJ471" s="20"/>
      <c r="AK471" s="31"/>
      <c r="AL471" s="31"/>
    </row>
    <row r="472" spans="1:38" ht="60" hidden="1" x14ac:dyDescent="0.25">
      <c r="A472" s="14" t="s">
        <v>7125</v>
      </c>
      <c r="B472" s="7" t="s">
        <v>5877</v>
      </c>
      <c r="C472" s="7" t="s">
        <v>4610</v>
      </c>
      <c r="D472" s="7" t="s">
        <v>5978</v>
      </c>
      <c r="E472" s="7" t="s">
        <v>5978</v>
      </c>
      <c r="F472" s="7" t="s">
        <v>5978</v>
      </c>
      <c r="G472" s="7"/>
      <c r="H472" s="7"/>
      <c r="I472" s="7"/>
      <c r="J472" s="20" t="e">
        <f>VLOOKUP(V472,Table_to_BRG!A:D,3,FALSE)</f>
        <v>#N/A</v>
      </c>
      <c r="K472" s="20" t="e">
        <f>VLOOKUP(V472,Table_to_BRG!A:D,2,FALSE)</f>
        <v>#N/A</v>
      </c>
      <c r="L472" s="20"/>
      <c r="M472" s="20"/>
      <c r="N472" s="9" t="s">
        <v>6465</v>
      </c>
      <c r="O472" s="54" t="s">
        <v>7812</v>
      </c>
      <c r="P472" s="7" t="s">
        <v>4297</v>
      </c>
      <c r="Q472" s="11" t="str">
        <f>RIGHT("00"&amp;Table362[[#This Row],[Rule '#]],3)&amp;"_"&amp;IF(Table362[[#This Row],[Entity]]="Material","MATL",LEFT(UPPER(Table362[[#This Row],[Entity]]),4))&amp;"_"&amp;MID(SUBSTITUTE(Table362[[#This Row],[Rule Name]],"_","|",3),SEARCH("|",SUBSTITUTE(Table362[[#This Row],[Rule Name]],"_","|",3))+1,LEN(Table362[[#This Row],[Rule Name]]))</f>
        <v>095_FI_T001</v>
      </c>
      <c r="R472" s="8" t="s">
        <v>4298</v>
      </c>
      <c r="S472" s="7"/>
      <c r="T472" s="7"/>
      <c r="U472" s="7"/>
      <c r="V472" s="7"/>
      <c r="W472" s="7" t="s">
        <v>4440</v>
      </c>
      <c r="X472" s="8"/>
      <c r="Y472" s="7" t="s">
        <v>2739</v>
      </c>
      <c r="Z472" s="7" t="s">
        <v>2850</v>
      </c>
      <c r="AA472" s="11" t="s">
        <v>4441</v>
      </c>
      <c r="AB472" s="11"/>
      <c r="AC472" s="11"/>
      <c r="AD472" s="11"/>
      <c r="AH472" s="8"/>
      <c r="AI472" s="20" t="s">
        <v>7700</v>
      </c>
      <c r="AJ472" s="20"/>
      <c r="AK472" s="31"/>
      <c r="AL472" s="31"/>
    </row>
    <row r="473" spans="1:38" ht="72" hidden="1" x14ac:dyDescent="0.25">
      <c r="A473" s="14" t="s">
        <v>7126</v>
      </c>
      <c r="B473" s="7" t="s">
        <v>5877</v>
      </c>
      <c r="C473" s="7" t="s">
        <v>4610</v>
      </c>
      <c r="D473" s="7" t="s">
        <v>5978</v>
      </c>
      <c r="E473" s="7" t="s">
        <v>5978</v>
      </c>
      <c r="F473" s="7" t="s">
        <v>5978</v>
      </c>
      <c r="G473" s="7"/>
      <c r="H473" s="7"/>
      <c r="I473" s="7"/>
      <c r="J473" s="20" t="e">
        <f>VLOOKUP(V473,Table_to_BRG!A:D,3,FALSE)</f>
        <v>#N/A</v>
      </c>
      <c r="K473" s="20" t="e">
        <f>VLOOKUP(V473,Table_to_BRG!A:D,2,FALSE)</f>
        <v>#N/A</v>
      </c>
      <c r="L473" s="20"/>
      <c r="M473" s="20"/>
      <c r="N473" s="9" t="s">
        <v>6465</v>
      </c>
      <c r="O473" s="54" t="s">
        <v>7812</v>
      </c>
      <c r="P473" s="7" t="s">
        <v>4299</v>
      </c>
      <c r="Q473" s="11" t="str">
        <f>RIGHT("00"&amp;Table362[[#This Row],[Rule '#]],3)&amp;"_"&amp;IF(Table362[[#This Row],[Entity]]="Material","MATL",LEFT(UPPER(Table362[[#This Row],[Entity]]),4))&amp;"_"&amp;MID(SUBSTITUTE(Table362[[#This Row],[Rule Name]],"_","|",3),SEARCH("|",SUBSTITUTE(Table362[[#This Row],[Rule Name]],"_","|",3))+1,LEN(Table362[[#This Row],[Rule Name]]))</f>
        <v>096_FI_IS_REQUIRED_IO</v>
      </c>
      <c r="R473" s="8" t="s">
        <v>4300</v>
      </c>
      <c r="S473" s="7"/>
      <c r="T473" s="7"/>
      <c r="U473" s="7"/>
      <c r="V473" s="7" t="s">
        <v>4442</v>
      </c>
      <c r="W473" s="7" t="s">
        <v>4443</v>
      </c>
      <c r="X473" s="8"/>
      <c r="Y473" s="7" t="s">
        <v>4444</v>
      </c>
      <c r="Z473" s="7" t="s">
        <v>4445</v>
      </c>
      <c r="AA473" s="11" t="s">
        <v>5888</v>
      </c>
      <c r="AB473" s="11"/>
      <c r="AC473" s="11"/>
      <c r="AD473" s="11"/>
      <c r="AH473" s="8"/>
      <c r="AI473" s="20"/>
      <c r="AJ473" s="20"/>
      <c r="AK473" s="31"/>
      <c r="AL473" s="31"/>
    </row>
    <row r="474" spans="1:38" ht="72" hidden="1" x14ac:dyDescent="0.25">
      <c r="A474" s="14" t="s">
        <v>7127</v>
      </c>
      <c r="B474" s="7" t="s">
        <v>5877</v>
      </c>
      <c r="C474" s="7" t="s">
        <v>4610</v>
      </c>
      <c r="D474" s="7" t="s">
        <v>5978</v>
      </c>
      <c r="E474" s="7" t="s">
        <v>5978</v>
      </c>
      <c r="F474" s="7" t="s">
        <v>5978</v>
      </c>
      <c r="G474" s="7"/>
      <c r="H474" s="7"/>
      <c r="I474" s="7"/>
      <c r="J474" s="20" t="e">
        <f>VLOOKUP(V474,Table_to_BRG!A:D,3,FALSE)</f>
        <v>#N/A</v>
      </c>
      <c r="K474" s="20" t="e">
        <f>VLOOKUP(V474,Table_to_BRG!A:D,2,FALSE)</f>
        <v>#N/A</v>
      </c>
      <c r="L474" s="20"/>
      <c r="M474" s="20"/>
      <c r="N474" s="9" t="s">
        <v>6465</v>
      </c>
      <c r="O474" s="54" t="s">
        <v>7812</v>
      </c>
      <c r="P474" s="7" t="s">
        <v>4301</v>
      </c>
      <c r="Q474" s="11" t="str">
        <f>RIGHT("00"&amp;Table362[[#This Row],[Rule '#]],3)&amp;"_"&amp;IF(Table362[[#This Row],[Entity]]="Material","MATL",LEFT(UPPER(Table362[[#This Row],[Entity]]),4))&amp;"_"&amp;MID(SUBSTITUTE(Table362[[#This Row],[Rule Name]],"_","|",3),SEARCH("|",SUBSTITUTE(Table362[[#This Row],[Rule Name]],"_","|",3))+1,LEN(Table362[[#This Row],[Rule Name]]))</f>
        <v>097_FI_AREA_IS_1000</v>
      </c>
      <c r="R474" s="8" t="s">
        <v>4302</v>
      </c>
      <c r="S474" s="7"/>
      <c r="T474" s="7"/>
      <c r="U474" s="7"/>
      <c r="V474" s="7"/>
      <c r="W474" s="7" t="s">
        <v>4446</v>
      </c>
      <c r="X474" s="8"/>
      <c r="Y474" s="7" t="s">
        <v>4447</v>
      </c>
      <c r="Z474" s="7" t="s">
        <v>4448</v>
      </c>
      <c r="AA474" s="11" t="s">
        <v>4449</v>
      </c>
      <c r="AB474" s="11"/>
      <c r="AC474" s="11"/>
      <c r="AD474" s="11"/>
      <c r="AH474" s="8"/>
      <c r="AI474" s="20"/>
      <c r="AJ474" s="20"/>
      <c r="AK474" s="31"/>
      <c r="AL474" s="31"/>
    </row>
    <row r="475" spans="1:38" ht="72" hidden="1" x14ac:dyDescent="0.25">
      <c r="A475" s="14" t="s">
        <v>7128</v>
      </c>
      <c r="B475" s="7" t="s">
        <v>5877</v>
      </c>
      <c r="C475" s="7" t="s">
        <v>4610</v>
      </c>
      <c r="D475" s="7" t="s">
        <v>5978</v>
      </c>
      <c r="E475" s="7" t="s">
        <v>5978</v>
      </c>
      <c r="F475" s="7" t="s">
        <v>5978</v>
      </c>
      <c r="G475" s="7"/>
      <c r="H475" s="7"/>
      <c r="I475" s="7"/>
      <c r="J475" s="20" t="e">
        <f>VLOOKUP(V475,Table_to_BRG!A:D,3,FALSE)</f>
        <v>#N/A</v>
      </c>
      <c r="K475" s="20" t="e">
        <f>VLOOKUP(V475,Table_to_BRG!A:D,2,FALSE)</f>
        <v>#N/A</v>
      </c>
      <c r="L475" s="20"/>
      <c r="M475" s="20"/>
      <c r="N475" s="9" t="s">
        <v>6465</v>
      </c>
      <c r="O475" s="54" t="s">
        <v>7812</v>
      </c>
      <c r="P475" s="7" t="s">
        <v>4303</v>
      </c>
      <c r="Q475" s="11" t="str">
        <f>RIGHT("00"&amp;Table362[[#This Row],[Rule '#]],3)&amp;"_"&amp;IF(Table362[[#This Row],[Entity]]="Material","MATL",LEFT(UPPER(Table362[[#This Row],[Entity]]),4))&amp;"_"&amp;MID(SUBSTITUTE(Table362[[#This Row],[Rule Name]],"_","|",3),SEARCH("|",SUBSTITUTE(Table362[[#This Row],[Rule Name]],"_","|",3))+1,LEN(Table362[[#This Row],[Rule Name]]))</f>
        <v>098_FI_TYPE_IS_REQUIRED_IO</v>
      </c>
      <c r="R475" s="8" t="s">
        <v>4304</v>
      </c>
      <c r="S475" s="7"/>
      <c r="T475" s="7"/>
      <c r="U475" s="7"/>
      <c r="V475" s="7" t="s">
        <v>4442</v>
      </c>
      <c r="W475" s="7" t="s">
        <v>4450</v>
      </c>
      <c r="X475" s="8"/>
      <c r="Y475" s="7" t="s">
        <v>4451</v>
      </c>
      <c r="Z475" s="7" t="s">
        <v>4452</v>
      </c>
      <c r="AA475" s="11" t="s">
        <v>4453</v>
      </c>
      <c r="AB475" s="11"/>
      <c r="AC475" s="11"/>
      <c r="AD475" s="11"/>
      <c r="AH475" s="8"/>
      <c r="AI475" s="20"/>
      <c r="AJ475" s="20"/>
      <c r="AK475" s="31"/>
      <c r="AL475" s="31"/>
    </row>
    <row r="476" spans="1:38" ht="36" hidden="1" x14ac:dyDescent="0.25">
      <c r="A476" s="14" t="s">
        <v>7129</v>
      </c>
      <c r="B476" s="7" t="s">
        <v>5877</v>
      </c>
      <c r="C476" s="7" t="s">
        <v>4610</v>
      </c>
      <c r="D476" s="7" t="s">
        <v>5978</v>
      </c>
      <c r="E476" s="7" t="s">
        <v>5978</v>
      </c>
      <c r="F476" s="7" t="s">
        <v>5978</v>
      </c>
      <c r="G476" s="7"/>
      <c r="H476" s="7"/>
      <c r="I476" s="7"/>
      <c r="J476" s="20" t="e">
        <f>VLOOKUP(V476,Table_to_BRG!A:D,3,FALSE)</f>
        <v>#N/A</v>
      </c>
      <c r="K476" s="20" t="e">
        <f>VLOOKUP(V476,Table_to_BRG!A:D,2,FALSE)</f>
        <v>#N/A</v>
      </c>
      <c r="L476" s="20"/>
      <c r="M476" s="20"/>
      <c r="N476" s="9" t="s">
        <v>6465</v>
      </c>
      <c r="O476" s="54" t="s">
        <v>7812</v>
      </c>
      <c r="P476" s="7" t="s">
        <v>8233</v>
      </c>
      <c r="Q476" s="11" t="str">
        <f>RIGHT("00"&amp;Table362[[#This Row],[Rule '#]],3)&amp;"_"&amp;IF(Table362[[#This Row],[Entity]]="Material","MATL",LEFT(UPPER(Table362[[#This Row],[Entity]]),4))&amp;"_"&amp;MID(SUBSTITUTE(Table362[[#This Row],[Rule Name]],"_","|",3),SEARCH("|",SUBSTITUTE(Table362[[#This Row],[Rule Name]],"_","|",3))+1,LEN(Table362[[#This Row],[Rule Name]]))</f>
        <v>099_FI_Account Number Populated_GL</v>
      </c>
      <c r="R476" s="8" t="s">
        <v>4305</v>
      </c>
      <c r="S476" s="7"/>
      <c r="T476" s="7"/>
      <c r="U476" s="7"/>
      <c r="V476" s="7" t="s">
        <v>4271</v>
      </c>
      <c r="W476" s="7" t="s">
        <v>4454</v>
      </c>
      <c r="X476" s="8"/>
      <c r="Y476" s="7" t="s">
        <v>4455</v>
      </c>
      <c r="Z476" s="7" t="s">
        <v>4272</v>
      </c>
      <c r="AA476" s="11" t="str">
        <f>"BEGIN
     RETURN exists('DS_IS_RDS', '"&amp;Table362[[#This Row],[Lookup Table]]&amp;"', '"&amp;Table362[[#This Row],[Lookup Field]]&amp;"', "&amp;Table362[[#This Row],[IS Parameter]]&amp;");
END"</f>
        <v>BEGIN
     RETURN exists('DS_IS_RDS', 'SKA1_UPLOAD', 'SAKNR', );
END</v>
      </c>
      <c r="AB476" s="11"/>
      <c r="AC476" s="11"/>
      <c r="AD476" s="11"/>
      <c r="AH476" s="8"/>
      <c r="AI476" s="20"/>
      <c r="AJ476" s="20"/>
      <c r="AK476" s="31"/>
      <c r="AL476" s="31"/>
    </row>
    <row r="477" spans="1:38" ht="60" hidden="1" x14ac:dyDescent="0.25">
      <c r="A477" s="14" t="s">
        <v>7130</v>
      </c>
      <c r="B477" s="7" t="s">
        <v>5877</v>
      </c>
      <c r="C477" s="7" t="s">
        <v>4610</v>
      </c>
      <c r="D477" s="7" t="s">
        <v>5978</v>
      </c>
      <c r="E477" s="7" t="s">
        <v>5978</v>
      </c>
      <c r="F477" s="7" t="s">
        <v>5978</v>
      </c>
      <c r="G477" s="7"/>
      <c r="H477" s="7"/>
      <c r="I477" s="7"/>
      <c r="J477" s="20" t="e">
        <f>VLOOKUP(V477,Table_to_BRG!A:D,3,FALSE)</f>
        <v>#N/A</v>
      </c>
      <c r="K477" s="20" t="e">
        <f>VLOOKUP(V477,Table_to_BRG!A:D,2,FALSE)</f>
        <v>#N/A</v>
      </c>
      <c r="L477" s="20"/>
      <c r="M477" s="20"/>
      <c r="N477" s="9" t="s">
        <v>6465</v>
      </c>
      <c r="O477" s="54" t="s">
        <v>7812</v>
      </c>
      <c r="P477" s="7" t="s">
        <v>4306</v>
      </c>
      <c r="Q477" s="11" t="str">
        <f>RIGHT("00"&amp;Table362[[#This Row],[Rule '#]],3)&amp;"_"&amp;IF(Table362[[#This Row],[Entity]]="Material","MATL",LEFT(UPPER(Table362[[#This Row],[Entity]]),4))&amp;"_"&amp;MID(SUBSTITUTE(Table362[[#This Row],[Rule Name]],"_","|",3),SEARCH("|",SUBSTITUTE(Table362[[#This Row],[Rule Name]],"_","|",3))+1,LEN(Table362[[#This Row],[Rule Name]]))</f>
        <v>100_FI_GL</v>
      </c>
      <c r="R477" s="8" t="s">
        <v>4307</v>
      </c>
      <c r="S477" s="7"/>
      <c r="T477" s="7"/>
      <c r="U477" s="7"/>
      <c r="V477" s="7" t="s">
        <v>4456</v>
      </c>
      <c r="W477" s="7" t="s">
        <v>4457</v>
      </c>
      <c r="X477" s="8"/>
      <c r="Y477" s="7" t="s">
        <v>4458</v>
      </c>
      <c r="Z477" s="7" t="s">
        <v>4459</v>
      </c>
      <c r="AA477" s="11" t="s">
        <v>4460</v>
      </c>
      <c r="AB477" s="11"/>
      <c r="AC477" s="11"/>
      <c r="AD477" s="11"/>
      <c r="AH477" s="8"/>
      <c r="AI477" s="20"/>
      <c r="AJ477" s="20"/>
      <c r="AK477" s="31"/>
      <c r="AL477" s="31"/>
    </row>
    <row r="478" spans="1:38" ht="48" hidden="1" x14ac:dyDescent="0.25">
      <c r="A478" s="14" t="s">
        <v>7131</v>
      </c>
      <c r="B478" s="7" t="s">
        <v>5877</v>
      </c>
      <c r="C478" s="7" t="s">
        <v>4610</v>
      </c>
      <c r="D478" s="7" t="s">
        <v>5978</v>
      </c>
      <c r="E478" s="7" t="s">
        <v>5978</v>
      </c>
      <c r="F478" s="7" t="s">
        <v>5978</v>
      </c>
      <c r="G478" s="7"/>
      <c r="H478" s="7"/>
      <c r="I478" s="7"/>
      <c r="J478" s="20" t="e">
        <f>VLOOKUP(V478,Table_to_BRG!A:D,3,FALSE)</f>
        <v>#N/A</v>
      </c>
      <c r="K478" s="20" t="e">
        <f>VLOOKUP(V478,Table_to_BRG!A:D,2,FALSE)</f>
        <v>#N/A</v>
      </c>
      <c r="L478" s="20"/>
      <c r="M478" s="20"/>
      <c r="N478" s="9" t="s">
        <v>6465</v>
      </c>
      <c r="O478" s="54" t="s">
        <v>7812</v>
      </c>
      <c r="P478" s="7" t="s">
        <v>4308</v>
      </c>
      <c r="Q478" s="11" t="str">
        <f>RIGHT("00"&amp;Table362[[#This Row],[Rule '#]],3)&amp;"_"&amp;IF(Table362[[#This Row],[Entity]]="Material","MATL",LEFT(UPPER(Table362[[#This Row],[Entity]]),4))&amp;"_"&amp;MID(SUBSTITUTE(Table362[[#This Row],[Rule Name]],"_","|",3),SEARCH("|",SUBSTITUTE(Table362[[#This Row],[Rule Name]],"_","|",3))+1,LEN(Table362[[#This Row],[Rule Name]]))</f>
        <v>101_FI_IS_MANDATORY</v>
      </c>
      <c r="R478" s="8" t="s">
        <v>4309</v>
      </c>
      <c r="S478" s="7"/>
      <c r="T478" s="7"/>
      <c r="U478" s="7"/>
      <c r="V478" s="7"/>
      <c r="W478" s="7" t="s">
        <v>4461</v>
      </c>
      <c r="X478" s="8"/>
      <c r="Y478" s="7"/>
      <c r="Z478" s="7"/>
      <c r="AA478" s="11" t="s">
        <v>4462</v>
      </c>
      <c r="AB478" s="11"/>
      <c r="AC478" s="11"/>
      <c r="AD478" s="11"/>
      <c r="AH478" s="8"/>
      <c r="AI478" s="20"/>
      <c r="AJ478" s="20"/>
      <c r="AK478" s="31"/>
      <c r="AL478" s="31"/>
    </row>
    <row r="479" spans="1:38" ht="60" hidden="1" x14ac:dyDescent="0.25">
      <c r="A479" s="14" t="s">
        <v>7132</v>
      </c>
      <c r="B479" s="7" t="s">
        <v>5877</v>
      </c>
      <c r="C479" s="7" t="s">
        <v>4610</v>
      </c>
      <c r="D479" s="7" t="s">
        <v>5978</v>
      </c>
      <c r="E479" s="7" t="s">
        <v>5978</v>
      </c>
      <c r="F479" s="7" t="s">
        <v>5978</v>
      </c>
      <c r="G479" s="7"/>
      <c r="H479" s="7"/>
      <c r="I479" s="7"/>
      <c r="J479" s="20" t="e">
        <f>VLOOKUP(V479,Table_to_BRG!A:D,3,FALSE)</f>
        <v>#N/A</v>
      </c>
      <c r="K479" s="20" t="e">
        <f>VLOOKUP(V479,Table_to_BRG!A:D,2,FALSE)</f>
        <v>#N/A</v>
      </c>
      <c r="L479" s="20"/>
      <c r="M479" s="20"/>
      <c r="N479" s="9" t="s">
        <v>6465</v>
      </c>
      <c r="O479" s="54" t="s">
        <v>7812</v>
      </c>
      <c r="P479" s="7" t="s">
        <v>4310</v>
      </c>
      <c r="Q479" s="11" t="str">
        <f>RIGHT("00"&amp;Table362[[#This Row],[Rule '#]],3)&amp;"_"&amp;IF(Table362[[#This Row],[Entity]]="Material","MATL",LEFT(UPPER(Table362[[#This Row],[Entity]]),4))&amp;"_"&amp;MID(SUBSTITUTE(Table362[[#This Row],[Rule Name]],"_","|",3),SEARCH("|",SUBSTITUTE(Table362[[#This Row],[Rule Name]],"_","|",3))+1,LEN(Table362[[#This Row],[Rule Name]]))</f>
        <v>102_FI_TYPE_IS_REQUIRED_IO</v>
      </c>
      <c r="R479" s="8" t="s">
        <v>4311</v>
      </c>
      <c r="S479" s="7"/>
      <c r="T479" s="7"/>
      <c r="U479" s="7"/>
      <c r="V479" s="7"/>
      <c r="W479" s="7" t="s">
        <v>4463</v>
      </c>
      <c r="X479" s="8"/>
      <c r="Y479" s="7" t="s">
        <v>4464</v>
      </c>
      <c r="Z479" s="7" t="s">
        <v>4465</v>
      </c>
      <c r="AA479" s="11" t="s">
        <v>4466</v>
      </c>
      <c r="AB479" s="11"/>
      <c r="AC479" s="11"/>
      <c r="AD479" s="11"/>
      <c r="AH479" s="8"/>
      <c r="AI479" s="20"/>
      <c r="AJ479" s="20"/>
      <c r="AK479" s="31"/>
      <c r="AL479" s="31"/>
    </row>
    <row r="480" spans="1:38" ht="150" hidden="1" x14ac:dyDescent="0.25">
      <c r="A480" s="14" t="s">
        <v>7133</v>
      </c>
      <c r="B480" s="7" t="s">
        <v>5877</v>
      </c>
      <c r="C480" s="7" t="s">
        <v>4610</v>
      </c>
      <c r="D480" s="7" t="s">
        <v>5978</v>
      </c>
      <c r="E480" s="7" t="s">
        <v>5978</v>
      </c>
      <c r="F480" s="7" t="s">
        <v>5978</v>
      </c>
      <c r="G480" s="7"/>
      <c r="H480" s="7"/>
      <c r="I480" s="7"/>
      <c r="J480" s="20" t="e">
        <f>VLOOKUP(V480,Table_to_BRG!A:D,3,FALSE)</f>
        <v>#N/A</v>
      </c>
      <c r="K480" s="20" t="e">
        <f>VLOOKUP(V480,Table_to_BRG!A:D,2,FALSE)</f>
        <v>#N/A</v>
      </c>
      <c r="L480" s="20"/>
      <c r="M480" s="20"/>
      <c r="N480" s="9" t="s">
        <v>6465</v>
      </c>
      <c r="O480" s="54" t="s">
        <v>7812</v>
      </c>
      <c r="P480" s="7" t="s">
        <v>4312</v>
      </c>
      <c r="Q480" s="11" t="str">
        <f>RIGHT("00"&amp;Table362[[#This Row],[Rule '#]],3)&amp;"_"&amp;IF(Table362[[#This Row],[Entity]]="Material","MATL",LEFT(UPPER(Table362[[#This Row],[Entity]]),4))&amp;"_"&amp;MID(SUBSTITUTE(Table362[[#This Row],[Rule Name]],"_","|",3),SEARCH("|",SUBSTITUTE(Table362[[#This Row],[Rule Name]],"_","|",3))+1,LEN(Table362[[#This Row],[Rule Name]]))</f>
        <v>103_FI_RESPONSIBLE_IS_REQUIRED_IO</v>
      </c>
      <c r="R480" s="8" t="s">
        <v>4313</v>
      </c>
      <c r="S480" s="7"/>
      <c r="T480" s="7"/>
      <c r="U480" s="7"/>
      <c r="V480" s="7" t="s">
        <v>4442</v>
      </c>
      <c r="W480" s="7" t="s">
        <v>4467</v>
      </c>
      <c r="X480" s="8"/>
      <c r="Y480" s="7"/>
      <c r="Z480" s="7"/>
      <c r="AA480" s="11" t="s">
        <v>4468</v>
      </c>
      <c r="AB480" s="11"/>
      <c r="AC480" s="11"/>
      <c r="AD480" s="11"/>
      <c r="AH480" s="8" t="s">
        <v>5889</v>
      </c>
      <c r="AI480" s="20"/>
      <c r="AJ480" s="20"/>
      <c r="AK480" s="31"/>
      <c r="AL480" s="31"/>
    </row>
    <row r="481" spans="1:38" ht="48" hidden="1" x14ac:dyDescent="0.25">
      <c r="A481" s="14" t="s">
        <v>7134</v>
      </c>
      <c r="B481" s="7" t="s">
        <v>5877</v>
      </c>
      <c r="C481" s="7" t="s">
        <v>4610</v>
      </c>
      <c r="D481" s="7" t="s">
        <v>5978</v>
      </c>
      <c r="E481" s="7" t="s">
        <v>5978</v>
      </c>
      <c r="F481" s="7" t="s">
        <v>5978</v>
      </c>
      <c r="G481" s="7"/>
      <c r="H481" s="7"/>
      <c r="I481" s="7"/>
      <c r="J481" s="20" t="e">
        <f>VLOOKUP(V481,Table_to_BRG!A:D,3,FALSE)</f>
        <v>#N/A</v>
      </c>
      <c r="K481" s="20" t="e">
        <f>VLOOKUP(V481,Table_to_BRG!A:D,2,FALSE)</f>
        <v>#N/A</v>
      </c>
      <c r="L481" s="20"/>
      <c r="M481" s="20"/>
      <c r="N481" s="9" t="s">
        <v>6465</v>
      </c>
      <c r="O481" s="54" t="s">
        <v>7812</v>
      </c>
      <c r="P481" s="7" t="s">
        <v>4314</v>
      </c>
      <c r="Q481" s="11" t="str">
        <f>RIGHT("00"&amp;Table362[[#This Row],[Rule '#]],3)&amp;"_"&amp;IF(Table362[[#This Row],[Entity]]="Material","MATL",LEFT(UPPER(Table362[[#This Row],[Entity]]),4))&amp;"_"&amp;MID(SUBSTITUTE(Table362[[#This Row],[Rule Name]],"_","|",3),SEARCH("|",SUBSTITUTE(Table362[[#This Row],[Rule Name]],"_","|",3))+1,LEN(Table362[[#This Row],[Rule Name]]))</f>
        <v>104_FI_Decimal</v>
      </c>
      <c r="R481" s="8"/>
      <c r="S481" s="7"/>
      <c r="T481" s="7"/>
      <c r="U481" s="7"/>
      <c r="V481" s="7"/>
      <c r="W481" s="7" t="s">
        <v>4151</v>
      </c>
      <c r="X481" s="8"/>
      <c r="Y481" s="7"/>
      <c r="Z481" s="7"/>
      <c r="AA481" s="11" t="s">
        <v>4178</v>
      </c>
      <c r="AB481" s="11"/>
      <c r="AC481" s="11"/>
      <c r="AD481" s="11"/>
      <c r="AH481" s="8"/>
      <c r="AI481" s="20"/>
      <c r="AJ481" s="20"/>
      <c r="AK481" s="31"/>
      <c r="AL481" s="31"/>
    </row>
    <row r="482" spans="1:38" ht="48" hidden="1" x14ac:dyDescent="0.25">
      <c r="A482" s="14" t="s">
        <v>7135</v>
      </c>
      <c r="B482" s="7" t="s">
        <v>5877</v>
      </c>
      <c r="C482" s="7" t="s">
        <v>4610</v>
      </c>
      <c r="D482" s="7" t="s">
        <v>5978</v>
      </c>
      <c r="E482" s="7" t="s">
        <v>5978</v>
      </c>
      <c r="F482" s="7" t="s">
        <v>5978</v>
      </c>
      <c r="G482" s="7"/>
      <c r="H482" s="7"/>
      <c r="I482" s="7"/>
      <c r="J482" s="20" t="e">
        <f>VLOOKUP(V482,Table_to_BRG!A:D,3,FALSE)</f>
        <v>#N/A</v>
      </c>
      <c r="K482" s="20" t="e">
        <f>VLOOKUP(V482,Table_to_BRG!A:D,2,FALSE)</f>
        <v>#N/A</v>
      </c>
      <c r="L482" s="20"/>
      <c r="M482" s="20"/>
      <c r="N482" s="9" t="s">
        <v>6465</v>
      </c>
      <c r="O482" s="54" t="s">
        <v>7812</v>
      </c>
      <c r="P482" s="7" t="s">
        <v>4065</v>
      </c>
      <c r="Q482" s="11" t="e">
        <f>RIGHT("00"&amp;Table362[[#This Row],[Rule '#]],3)&amp;"_"&amp;IF(Table362[[#This Row],[Entity]]="Material","MATL",LEFT(UPPER(Table362[[#This Row],[Entity]]),4))&amp;"_"&amp;MID(SUBSTITUTE(Table362[[#This Row],[Rule Name]],"_","|",3),SEARCH("|",SUBSTITUTE(Table362[[#This Row],[Rule Name]],"_","|",3))+1,LEN(Table362[[#This Row],[Rule Name]]))</f>
        <v>#VALUE!</v>
      </c>
      <c r="R482" s="8"/>
      <c r="S482" s="7"/>
      <c r="T482" s="7"/>
      <c r="U482" s="7"/>
      <c r="V482" s="7"/>
      <c r="W482" s="7" t="s">
        <v>4151</v>
      </c>
      <c r="X482" s="8"/>
      <c r="Y482" s="7"/>
      <c r="Z482" s="7"/>
      <c r="AA482" s="11" t="s">
        <v>4178</v>
      </c>
      <c r="AB482" s="11"/>
      <c r="AC482" s="11"/>
      <c r="AD482" s="11"/>
      <c r="AH482" s="8"/>
      <c r="AI482" s="20"/>
      <c r="AJ482" s="20"/>
      <c r="AK482" s="31"/>
      <c r="AL482" s="31"/>
    </row>
    <row r="483" spans="1:38" ht="165" hidden="1" x14ac:dyDescent="0.25">
      <c r="A483" s="14" t="s">
        <v>7136</v>
      </c>
      <c r="B483" s="7" t="s">
        <v>5877</v>
      </c>
      <c r="C483" s="7" t="s">
        <v>4610</v>
      </c>
      <c r="D483" s="7" t="s">
        <v>5978</v>
      </c>
      <c r="E483" s="7" t="s">
        <v>5978</v>
      </c>
      <c r="F483" s="7" t="s">
        <v>5978</v>
      </c>
      <c r="G483" s="7"/>
      <c r="H483" s="7"/>
      <c r="I483" s="7"/>
      <c r="J483" s="20" t="e">
        <f>VLOOKUP(V483,Table_to_BRG!A:D,3,FALSE)</f>
        <v>#N/A</v>
      </c>
      <c r="K483" s="20" t="e">
        <f>VLOOKUP(V483,Table_to_BRG!A:D,2,FALSE)</f>
        <v>#N/A</v>
      </c>
      <c r="L483" s="20"/>
      <c r="M483" s="20"/>
      <c r="N483" s="9" t="s">
        <v>6465</v>
      </c>
      <c r="O483" s="54" t="s">
        <v>7812</v>
      </c>
      <c r="P483" s="7" t="s">
        <v>4315</v>
      </c>
      <c r="Q483" s="11" t="str">
        <f>RIGHT("00"&amp;Table362[[#This Row],[Rule '#]],3)&amp;"_"&amp;IF(Table362[[#This Row],[Entity]]="Material","MATL",LEFT(UPPER(Table362[[#This Row],[Entity]]),4))&amp;"_"&amp;MID(SUBSTITUTE(Table362[[#This Row],[Rule Name]],"_","|",3),SEARCH("|",SUBSTITUTE(Table362[[#This Row],[Rule Name]],"_","|",3))+1,LEN(Table362[[#This Row],[Rule Name]]))</f>
        <v>106_FI_NO_IS_REQUIRED_AA</v>
      </c>
      <c r="R483" s="8" t="s">
        <v>4316</v>
      </c>
      <c r="S483" s="7"/>
      <c r="T483" s="7"/>
      <c r="U483" s="7"/>
      <c r="V483" s="7" t="s">
        <v>4469</v>
      </c>
      <c r="W483" s="7" t="s">
        <v>4470</v>
      </c>
      <c r="X483" s="8"/>
      <c r="Y483" s="7" t="s">
        <v>3542</v>
      </c>
      <c r="Z483" s="7" t="s">
        <v>3045</v>
      </c>
      <c r="AA483" s="11" t="s">
        <v>5890</v>
      </c>
      <c r="AB483" s="11"/>
      <c r="AC483" s="11"/>
      <c r="AD483" s="11"/>
      <c r="AH483" s="8" t="s">
        <v>5891</v>
      </c>
      <c r="AI483" s="20"/>
      <c r="AJ483" s="20"/>
      <c r="AK483" s="31"/>
      <c r="AL483" s="31"/>
    </row>
    <row r="484" spans="1:38" ht="60" hidden="1" x14ac:dyDescent="0.25">
      <c r="A484" s="14" t="s">
        <v>7137</v>
      </c>
      <c r="B484" s="7" t="s">
        <v>5877</v>
      </c>
      <c r="C484" s="7" t="s">
        <v>4610</v>
      </c>
      <c r="D484" s="7" t="s">
        <v>5978</v>
      </c>
      <c r="E484" s="7" t="s">
        <v>5978</v>
      </c>
      <c r="F484" s="7" t="s">
        <v>5978</v>
      </c>
      <c r="G484" s="7"/>
      <c r="H484" s="7"/>
      <c r="I484" s="7"/>
      <c r="J484" s="20" t="e">
        <f>VLOOKUP(V484,Table_to_BRG!A:D,3,FALSE)</f>
        <v>#N/A</v>
      </c>
      <c r="K484" s="20" t="e">
        <f>VLOOKUP(V484,Table_to_BRG!A:D,2,FALSE)</f>
        <v>#N/A</v>
      </c>
      <c r="L484" s="20"/>
      <c r="M484" s="20"/>
      <c r="N484" s="9" t="s">
        <v>6465</v>
      </c>
      <c r="O484" s="54" t="s">
        <v>7812</v>
      </c>
      <c r="P484" s="7" t="s">
        <v>4317</v>
      </c>
      <c r="Q484" s="11" t="str">
        <f>RIGHT("00"&amp;Table362[[#This Row],[Rule '#]],3)&amp;"_"&amp;IF(Table362[[#This Row],[Entity]]="Material","MATL",LEFT(UPPER(Table362[[#This Row],[Entity]]),4))&amp;"_"&amp;MID(SUBSTITUTE(Table362[[#This Row],[Rule Name]],"_","|",3),SEARCH("|",SUBSTITUTE(Table362[[#This Row],[Rule Name]],"_","|",3))+1,LEN(Table362[[#This Row],[Rule Name]]))</f>
        <v>107_FI_IS_EN</v>
      </c>
      <c r="R484" s="8" t="s">
        <v>4318</v>
      </c>
      <c r="S484" s="7"/>
      <c r="T484" s="7"/>
      <c r="U484" s="7"/>
      <c r="V484" s="7"/>
      <c r="W484" s="7" t="s">
        <v>4471</v>
      </c>
      <c r="X484" s="8"/>
      <c r="Y484" s="7" t="s">
        <v>4188</v>
      </c>
      <c r="Z484" s="7" t="s">
        <v>1534</v>
      </c>
      <c r="AA484" s="11" t="s">
        <v>4472</v>
      </c>
      <c r="AB484" s="11"/>
      <c r="AC484" s="11"/>
      <c r="AD484" s="11"/>
      <c r="AH484" s="8"/>
      <c r="AI484" s="20"/>
      <c r="AJ484" s="20"/>
      <c r="AK484" s="31"/>
      <c r="AL484" s="31"/>
    </row>
    <row r="485" spans="1:38" ht="75" hidden="1" x14ac:dyDescent="0.25">
      <c r="A485" s="14" t="s">
        <v>7138</v>
      </c>
      <c r="B485" s="7" t="s">
        <v>5877</v>
      </c>
      <c r="C485" s="7" t="s">
        <v>4610</v>
      </c>
      <c r="D485" s="7" t="s">
        <v>5978</v>
      </c>
      <c r="E485" s="7" t="s">
        <v>5978</v>
      </c>
      <c r="F485" s="7" t="s">
        <v>5978</v>
      </c>
      <c r="G485" s="7"/>
      <c r="H485" s="7"/>
      <c r="I485" s="7"/>
      <c r="J485" s="20" t="e">
        <f>VLOOKUP(V485,Table_to_BRG!A:D,3,FALSE)</f>
        <v>#N/A</v>
      </c>
      <c r="K485" s="20" t="e">
        <f>VLOOKUP(V485,Table_to_BRG!A:D,2,FALSE)</f>
        <v>#N/A</v>
      </c>
      <c r="L485" s="20"/>
      <c r="M485" s="20"/>
      <c r="N485" s="9" t="s">
        <v>6465</v>
      </c>
      <c r="O485" s="54" t="s">
        <v>7812</v>
      </c>
      <c r="P485" s="7" t="s">
        <v>4319</v>
      </c>
      <c r="Q485" s="11" t="str">
        <f>RIGHT("00"&amp;Table362[[#This Row],[Rule '#]],3)&amp;"_"&amp;IF(Table362[[#This Row],[Entity]]="Material","MATL",LEFT(UPPER(Table362[[#This Row],[Entity]]),4))&amp;"_"&amp;MID(SUBSTITUTE(Table362[[#This Row],[Rule Name]],"_","|",3),SEARCH("|",SUBSTITUTE(Table362[[#This Row],[Rule Name]],"_","|",3))+1,LEN(Table362[[#This Row],[Rule Name]]))</f>
        <v>108_FI_CCA</v>
      </c>
      <c r="R485" s="8" t="s">
        <v>4320</v>
      </c>
      <c r="S485" s="7"/>
      <c r="T485" s="7"/>
      <c r="U485" s="7"/>
      <c r="V485" s="7"/>
      <c r="W485" s="7" t="s">
        <v>4473</v>
      </c>
      <c r="X485" s="8"/>
      <c r="Y485" s="7"/>
      <c r="Z485" s="7"/>
      <c r="AA485" s="11" t="s">
        <v>4474</v>
      </c>
      <c r="AB485" s="11"/>
      <c r="AC485" s="11"/>
      <c r="AD485" s="11"/>
      <c r="AH485" s="8"/>
      <c r="AI485" s="20"/>
      <c r="AJ485" s="20"/>
      <c r="AK485" s="31"/>
      <c r="AL485" s="31"/>
    </row>
    <row r="486" spans="1:38" ht="48" hidden="1" x14ac:dyDescent="0.25">
      <c r="A486" s="14" t="s">
        <v>7139</v>
      </c>
      <c r="B486" s="7" t="s">
        <v>5877</v>
      </c>
      <c r="C486" s="7" t="s">
        <v>4610</v>
      </c>
      <c r="D486" s="7" t="s">
        <v>5978</v>
      </c>
      <c r="E486" s="7" t="s">
        <v>5978</v>
      </c>
      <c r="F486" s="7" t="s">
        <v>5978</v>
      </c>
      <c r="G486" s="7"/>
      <c r="H486" s="7"/>
      <c r="I486" s="7" t="s">
        <v>3971</v>
      </c>
      <c r="J486" s="20" t="e">
        <f>VLOOKUP(V486,Table_to_BRG!A:D,3,FALSE)</f>
        <v>#N/A</v>
      </c>
      <c r="K486" s="20" t="e">
        <f>VLOOKUP(V486,Table_to_BRG!A:D,2,FALSE)</f>
        <v>#N/A</v>
      </c>
      <c r="L486" s="20"/>
      <c r="M486" s="20"/>
      <c r="N486" s="9" t="s">
        <v>6465</v>
      </c>
      <c r="O486" s="54" t="s">
        <v>7812</v>
      </c>
      <c r="P486" s="7" t="s">
        <v>4321</v>
      </c>
      <c r="Q486" s="11" t="str">
        <f>RIGHT("00"&amp;Table362[[#This Row],[Rule '#]],3)&amp;"_"&amp;IF(Table362[[#This Row],[Entity]]="Material","MATL",LEFT(UPPER(Table362[[#This Row],[Entity]]),4))&amp;"_"&amp;MID(SUBSTITUTE(Table362[[#This Row],[Rule Name]],"_","|",3),SEARCH("|",SUBSTITUTE(Table362[[#This Row],[Rule Name]],"_","|",3))+1,LEN(Table362[[#This Row],[Rule Name]]))</f>
        <v>109_FI_GL</v>
      </c>
      <c r="R486" s="8" t="s">
        <v>4322</v>
      </c>
      <c r="S486" s="7"/>
      <c r="T486" s="7"/>
      <c r="U486" s="7"/>
      <c r="V486" s="7" t="s">
        <v>4271</v>
      </c>
      <c r="W486" s="7" t="s">
        <v>4475</v>
      </c>
      <c r="X486" s="8"/>
      <c r="Y486" s="7"/>
      <c r="Z486" s="7"/>
      <c r="AA486" s="11" t="s">
        <v>4476</v>
      </c>
      <c r="AB486" s="11"/>
      <c r="AC486" s="11"/>
      <c r="AD486" s="11"/>
      <c r="AH486" s="8"/>
      <c r="AI486" s="20" t="s">
        <v>7653</v>
      </c>
      <c r="AJ486" s="20"/>
      <c r="AK486" s="31"/>
      <c r="AL486" s="31"/>
    </row>
    <row r="487" spans="1:38" ht="72" hidden="1" x14ac:dyDescent="0.25">
      <c r="A487" s="14" t="s">
        <v>7140</v>
      </c>
      <c r="B487" s="7" t="s">
        <v>5877</v>
      </c>
      <c r="C487" s="7" t="s">
        <v>4610</v>
      </c>
      <c r="D487" s="7" t="s">
        <v>5978</v>
      </c>
      <c r="E487" s="7" t="s">
        <v>5978</v>
      </c>
      <c r="F487" s="7" t="s">
        <v>5978</v>
      </c>
      <c r="G487" s="7"/>
      <c r="H487" s="7"/>
      <c r="I487" s="7"/>
      <c r="J487" s="20" t="e">
        <f>VLOOKUP(V487,Table_to_BRG!A:D,3,FALSE)</f>
        <v>#N/A</v>
      </c>
      <c r="K487" s="20" t="e">
        <f>VLOOKUP(V487,Table_to_BRG!A:D,2,FALSE)</f>
        <v>#N/A</v>
      </c>
      <c r="L487" s="20"/>
      <c r="M487" s="20"/>
      <c r="N487" s="9" t="s">
        <v>6465</v>
      </c>
      <c r="O487" s="54" t="s">
        <v>7812</v>
      </c>
      <c r="P487" s="7" t="s">
        <v>4323</v>
      </c>
      <c r="Q487" s="11" t="str">
        <f>RIGHT("00"&amp;Table362[[#This Row],[Rule '#]],3)&amp;"_"&amp;IF(Table362[[#This Row],[Entity]]="Material","MATL",LEFT(UPPER(Table362[[#This Row],[Entity]]),4))&amp;"_"&amp;MID(SUBSTITUTE(Table362[[#This Row],[Rule Name]],"_","|",3),SEARCH("|",SUBSTITUTE(Table362[[#This Row],[Rule Name]],"_","|",3))+1,LEN(Table362[[#This Row],[Rule Name]]))</f>
        <v>110_FI_Type_CCA</v>
      </c>
      <c r="R487" s="8" t="s">
        <v>4324</v>
      </c>
      <c r="S487" s="7"/>
      <c r="T487" s="7"/>
      <c r="U487" s="7"/>
      <c r="V487" s="7"/>
      <c r="W487" s="7" t="s">
        <v>4477</v>
      </c>
      <c r="X487" s="8"/>
      <c r="Y487" s="7" t="s">
        <v>4478</v>
      </c>
      <c r="Z487" s="7" t="s">
        <v>4479</v>
      </c>
      <c r="AA487" s="11" t="s">
        <v>4480</v>
      </c>
      <c r="AB487" s="11"/>
      <c r="AC487" s="11"/>
      <c r="AD487" s="11"/>
      <c r="AH487" s="8"/>
      <c r="AI487" s="20"/>
      <c r="AJ487" s="20"/>
      <c r="AK487" s="31"/>
      <c r="AL487" s="31"/>
    </row>
    <row r="488" spans="1:38" ht="84" hidden="1" x14ac:dyDescent="0.25">
      <c r="A488" s="14" t="s">
        <v>7141</v>
      </c>
      <c r="B488" s="7" t="s">
        <v>5877</v>
      </c>
      <c r="C488" s="7" t="s">
        <v>4610</v>
      </c>
      <c r="D488" s="7" t="s">
        <v>5978</v>
      </c>
      <c r="E488" s="7" t="s">
        <v>5978</v>
      </c>
      <c r="F488" s="7" t="s">
        <v>5978</v>
      </c>
      <c r="G488" s="7"/>
      <c r="H488" s="7"/>
      <c r="I488" s="7"/>
      <c r="J488" s="20" t="e">
        <f>VLOOKUP(V488,Table_to_BRG!A:D,3,FALSE)</f>
        <v>#N/A</v>
      </c>
      <c r="K488" s="20" t="e">
        <f>VLOOKUP(V488,Table_to_BRG!A:D,2,FALSE)</f>
        <v>#N/A</v>
      </c>
      <c r="L488" s="20"/>
      <c r="M488" s="20"/>
      <c r="N488" s="9" t="s">
        <v>6465</v>
      </c>
      <c r="O488" s="54" t="s">
        <v>7812</v>
      </c>
      <c r="P488" s="7" t="s">
        <v>4325</v>
      </c>
      <c r="Q488" s="11" t="str">
        <f>RIGHT("00"&amp;Table362[[#This Row],[Rule '#]],3)&amp;"_"&amp;IF(Table362[[#This Row],[Entity]]="Material","MATL",LEFT(UPPER(Table362[[#This Row],[Entity]]),4))&amp;"_"&amp;MID(SUBSTITUTE(Table362[[#This Row],[Rule Name]],"_","|",3),SEARCH("|",SUBSTITUTE(Table362[[#This Row],[Rule Name]],"_","|",3))+1,LEN(Table362[[#This Row],[Rule Name]]))</f>
        <v>111_FI_IS_REQUIRED_AA</v>
      </c>
      <c r="R488" s="8" t="s">
        <v>4326</v>
      </c>
      <c r="S488" s="7"/>
      <c r="T488" s="7"/>
      <c r="U488" s="7"/>
      <c r="V488" s="7" t="s">
        <v>4469</v>
      </c>
      <c r="W488" s="7" t="s">
        <v>4481</v>
      </c>
      <c r="X488" s="8"/>
      <c r="Y488" s="7" t="s">
        <v>4482</v>
      </c>
      <c r="Z488" s="7" t="s">
        <v>2706</v>
      </c>
      <c r="AA488" s="11" t="s">
        <v>4483</v>
      </c>
      <c r="AB488" s="11"/>
      <c r="AC488" s="11"/>
      <c r="AD488" s="11"/>
      <c r="AH488" s="8"/>
      <c r="AI488" s="20"/>
      <c r="AJ488" s="20"/>
      <c r="AK488" s="31"/>
      <c r="AL488" s="31"/>
    </row>
    <row r="489" spans="1:38" ht="72" hidden="1" x14ac:dyDescent="0.25">
      <c r="A489" s="14" t="s">
        <v>7142</v>
      </c>
      <c r="B489" s="7" t="s">
        <v>5877</v>
      </c>
      <c r="C489" s="7" t="s">
        <v>4610</v>
      </c>
      <c r="D489" s="7" t="s">
        <v>5978</v>
      </c>
      <c r="E489" s="7" t="s">
        <v>5978</v>
      </c>
      <c r="F489" s="7" t="s">
        <v>5978</v>
      </c>
      <c r="G489" s="7"/>
      <c r="H489" s="7"/>
      <c r="I489" s="7"/>
      <c r="J489" s="20" t="e">
        <f>VLOOKUP(V489,Table_to_BRG!A:D,3,FALSE)</f>
        <v>#N/A</v>
      </c>
      <c r="K489" s="20" t="e">
        <f>VLOOKUP(V489,Table_to_BRG!A:D,2,FALSE)</f>
        <v>#N/A</v>
      </c>
      <c r="L489" s="20"/>
      <c r="M489" s="20"/>
      <c r="N489" s="9" t="s">
        <v>6465</v>
      </c>
      <c r="O489" s="54" t="s">
        <v>7812</v>
      </c>
      <c r="P489" s="7" t="s">
        <v>4327</v>
      </c>
      <c r="Q489" s="11" t="str">
        <f>RIGHT("00"&amp;Table362[[#This Row],[Rule '#]],3)&amp;"_"&amp;IF(Table362[[#This Row],[Entity]]="Material","MATL",LEFT(UPPER(Table362[[#This Row],[Entity]]),4))&amp;"_"&amp;MID(SUBSTITUTE(Table362[[#This Row],[Rule Name]],"_","|",3),SEARCH("|",SUBSTITUTE(Table362[[#This Row],[Rule Name]],"_","|",3))+1,LEN(Table362[[#This Row],[Rule Name]]))</f>
        <v>112_FI_GL</v>
      </c>
      <c r="R489" s="8" t="s">
        <v>4328</v>
      </c>
      <c r="S489" s="7"/>
      <c r="T489" s="7"/>
      <c r="U489" s="7"/>
      <c r="V489" s="7" t="s">
        <v>4456</v>
      </c>
      <c r="W489" s="7" t="s">
        <v>4484</v>
      </c>
      <c r="X489" s="8"/>
      <c r="Y489" s="7" t="s">
        <v>4485</v>
      </c>
      <c r="Z489" s="7" t="s">
        <v>4158</v>
      </c>
      <c r="AA489" s="11" t="s">
        <v>4486</v>
      </c>
      <c r="AB489" s="11"/>
      <c r="AC489" s="11"/>
      <c r="AD489" s="11"/>
      <c r="AH489" s="8"/>
      <c r="AI489" s="20"/>
      <c r="AJ489" s="20"/>
      <c r="AK489" s="31"/>
      <c r="AL489" s="31"/>
    </row>
    <row r="490" spans="1:38" ht="48" hidden="1" x14ac:dyDescent="0.25">
      <c r="A490" s="14" t="s">
        <v>7143</v>
      </c>
      <c r="B490" s="7" t="s">
        <v>5877</v>
      </c>
      <c r="C490" s="7" t="s">
        <v>4610</v>
      </c>
      <c r="D490" s="7" t="s">
        <v>5978</v>
      </c>
      <c r="E490" s="7" t="s">
        <v>5978</v>
      </c>
      <c r="F490" s="7" t="s">
        <v>5978</v>
      </c>
      <c r="G490" s="7"/>
      <c r="H490" s="7"/>
      <c r="I490" s="7"/>
      <c r="J490" s="20" t="e">
        <f>VLOOKUP(V490,Table_to_BRG!A:D,3,FALSE)</f>
        <v>#N/A</v>
      </c>
      <c r="K490" s="20" t="e">
        <f>VLOOKUP(V490,Table_to_BRG!A:D,2,FALSE)</f>
        <v>#N/A</v>
      </c>
      <c r="L490" s="20"/>
      <c r="M490" s="20"/>
      <c r="N490" s="9" t="s">
        <v>6465</v>
      </c>
      <c r="O490" s="54" t="s">
        <v>7812</v>
      </c>
      <c r="P490" s="7" t="s">
        <v>4329</v>
      </c>
      <c r="Q490" s="11" t="str">
        <f>RIGHT("00"&amp;Table362[[#This Row],[Rule '#]],3)&amp;"_"&amp;IF(Table362[[#This Row],[Entity]]="Material","MATL",LEFT(UPPER(Table362[[#This Row],[Entity]]),4))&amp;"_"&amp;MID(SUBSTITUTE(Table362[[#This Row],[Rule Name]],"_","|",3),SEARCH("|",SUBSTITUTE(Table362[[#This Row],[Rule Name]],"_","|",3))+1,LEN(Table362[[#This Row],[Rule Name]]))</f>
        <v>113_FI_IS_NULL_IO</v>
      </c>
      <c r="R490" s="8" t="s">
        <v>4330</v>
      </c>
      <c r="S490" s="7"/>
      <c r="T490" s="7"/>
      <c r="U490" s="7"/>
      <c r="V490" s="7" t="s">
        <v>4442</v>
      </c>
      <c r="W490" s="7" t="s">
        <v>4487</v>
      </c>
      <c r="X490" s="8"/>
      <c r="Y490" s="7"/>
      <c r="Z490" s="7"/>
      <c r="AA490" s="11" t="s">
        <v>4488</v>
      </c>
      <c r="AB490" s="11"/>
      <c r="AC490" s="11"/>
      <c r="AD490" s="11"/>
      <c r="AH490" s="8"/>
      <c r="AI490" s="20"/>
      <c r="AJ490" s="20"/>
      <c r="AK490" s="31"/>
      <c r="AL490" s="31"/>
    </row>
    <row r="491" spans="1:38" ht="60" hidden="1" x14ac:dyDescent="0.25">
      <c r="A491" s="14" t="s">
        <v>7144</v>
      </c>
      <c r="B491" s="7" t="s">
        <v>5877</v>
      </c>
      <c r="C491" s="7" t="s">
        <v>4610</v>
      </c>
      <c r="D491" s="7" t="s">
        <v>5978</v>
      </c>
      <c r="E491" s="7" t="s">
        <v>5978</v>
      </c>
      <c r="F491" s="7" t="s">
        <v>5978</v>
      </c>
      <c r="G491" s="7"/>
      <c r="H491" s="7"/>
      <c r="I491" s="7"/>
      <c r="J491" s="20" t="e">
        <f>VLOOKUP(V491,Table_to_BRG!A:D,3,FALSE)</f>
        <v>#N/A</v>
      </c>
      <c r="K491" s="20" t="e">
        <f>VLOOKUP(V491,Table_to_BRG!A:D,2,FALSE)</f>
        <v>#N/A</v>
      </c>
      <c r="L491" s="20"/>
      <c r="M491" s="20"/>
      <c r="N491" s="9" t="s">
        <v>6465</v>
      </c>
      <c r="O491" s="54" t="s">
        <v>7812</v>
      </c>
      <c r="P491" s="7" t="s">
        <v>4331</v>
      </c>
      <c r="Q491" s="11" t="str">
        <f>RIGHT("00"&amp;Table362[[#This Row],[Rule '#]],3)&amp;"_"&amp;IF(Table362[[#This Row],[Entity]]="Material","MATL",LEFT(UPPER(Table362[[#This Row],[Entity]]),4))&amp;"_"&amp;MID(SUBSTITUTE(Table362[[#This Row],[Rule Name]],"_","|",3),SEARCH("|",SUBSTITUTE(Table362[[#This Row],[Rule Name]],"_","|",3))+1,LEN(Table362[[#This Row],[Rule Name]]))</f>
        <v>114_FI_ACCGRP</v>
      </c>
      <c r="R491" s="8" t="s">
        <v>4332</v>
      </c>
      <c r="S491" s="7"/>
      <c r="T491" s="7"/>
      <c r="U491" s="7"/>
      <c r="V491" s="7"/>
      <c r="W491" s="7" t="s">
        <v>4183</v>
      </c>
      <c r="X491" s="8"/>
      <c r="Y491" s="7" t="s">
        <v>4489</v>
      </c>
      <c r="Z491" s="7" t="s">
        <v>3516</v>
      </c>
      <c r="AA491" s="11" t="s">
        <v>4490</v>
      </c>
      <c r="AB491" s="11"/>
      <c r="AC491" s="11"/>
      <c r="AD491" s="11"/>
      <c r="AH491" s="8"/>
      <c r="AI491" s="20"/>
      <c r="AJ491" s="20"/>
      <c r="AK491" s="31"/>
      <c r="AL491" s="31"/>
    </row>
    <row r="492" spans="1:38" ht="96" hidden="1" x14ac:dyDescent="0.25">
      <c r="A492" s="14" t="s">
        <v>7145</v>
      </c>
      <c r="B492" s="7" t="s">
        <v>5877</v>
      </c>
      <c r="C492" s="7" t="s">
        <v>4610</v>
      </c>
      <c r="D492" s="7" t="s">
        <v>5978</v>
      </c>
      <c r="E492" s="7" t="s">
        <v>5978</v>
      </c>
      <c r="F492" s="7" t="s">
        <v>5978</v>
      </c>
      <c r="G492" s="7"/>
      <c r="H492" s="7"/>
      <c r="I492" s="7"/>
      <c r="J492" s="20" t="e">
        <f>VLOOKUP(V492,Table_to_BRG!A:D,3,FALSE)</f>
        <v>#N/A</v>
      </c>
      <c r="K492" s="20" t="e">
        <f>VLOOKUP(V492,Table_to_BRG!A:D,2,FALSE)</f>
        <v>#N/A</v>
      </c>
      <c r="L492" s="20"/>
      <c r="M492" s="20"/>
      <c r="N492" s="9" t="s">
        <v>6465</v>
      </c>
      <c r="O492" s="54" t="s">
        <v>7812</v>
      </c>
      <c r="P492" s="7" t="s">
        <v>4333</v>
      </c>
      <c r="Q492" s="11" t="str">
        <f>RIGHT("00"&amp;Table362[[#This Row],[Rule '#]],3)&amp;"_"&amp;IF(Table362[[#This Row],[Entity]]="Material","MATL",LEFT(UPPER(Table362[[#This Row],[Entity]]),4))&amp;"_"&amp;MID(SUBSTITUTE(Table362[[#This Row],[Rule Name]],"_","|",3),SEARCH("|",SUBSTITUTE(Table362[[#This Row],[Rule Name]],"_","|",3))+1,LEN(Table362[[#This Row],[Rule Name]]))</f>
        <v>115_FI_CCA</v>
      </c>
      <c r="R492" s="8" t="s">
        <v>4334</v>
      </c>
      <c r="S492" s="7"/>
      <c r="T492" s="7"/>
      <c r="U492" s="7"/>
      <c r="V492" s="7"/>
      <c r="W492" s="7" t="s">
        <v>4491</v>
      </c>
      <c r="X492" s="8"/>
      <c r="Y492" s="7"/>
      <c r="Z492" s="7"/>
      <c r="AA492" s="11" t="s">
        <v>5892</v>
      </c>
      <c r="AB492" s="11"/>
      <c r="AC492" s="11"/>
      <c r="AD492" s="11"/>
      <c r="AH492" s="8"/>
      <c r="AI492" s="20"/>
      <c r="AJ492" s="20"/>
      <c r="AK492" s="31"/>
      <c r="AL492" s="31"/>
    </row>
    <row r="493" spans="1:38" ht="48" hidden="1" x14ac:dyDescent="0.25">
      <c r="A493" s="14" t="s">
        <v>7146</v>
      </c>
      <c r="B493" s="7" t="s">
        <v>5877</v>
      </c>
      <c r="C493" s="7" t="s">
        <v>4610</v>
      </c>
      <c r="D493" s="7" t="s">
        <v>5978</v>
      </c>
      <c r="E493" s="7" t="s">
        <v>5978</v>
      </c>
      <c r="F493" s="7" t="s">
        <v>5978</v>
      </c>
      <c r="G493" s="7"/>
      <c r="H493" s="7"/>
      <c r="I493" s="7"/>
      <c r="J493" s="20" t="e">
        <f>VLOOKUP(V493,Table_to_BRG!A:D,3,FALSE)</f>
        <v>#N/A</v>
      </c>
      <c r="K493" s="20" t="e">
        <f>VLOOKUP(V493,Table_to_BRG!A:D,2,FALSE)</f>
        <v>#N/A</v>
      </c>
      <c r="L493" s="20"/>
      <c r="M493" s="20"/>
      <c r="N493" s="9" t="s">
        <v>6465</v>
      </c>
      <c r="O493" s="54" t="s">
        <v>7812</v>
      </c>
      <c r="P493" s="7" t="s">
        <v>4335</v>
      </c>
      <c r="Q493" s="11" t="str">
        <f>RIGHT("00"&amp;Table362[[#This Row],[Rule '#]],3)&amp;"_"&amp;IF(Table362[[#This Row],[Entity]]="Material","MATL",LEFT(UPPER(Table362[[#This Row],[Entity]]),4))&amp;"_"&amp;MID(SUBSTITUTE(Table362[[#This Row],[Rule Name]],"_","|",3),SEARCH("|",SUBSTITUTE(Table362[[#This Row],[Rule Name]],"_","|",3))+1,LEN(Table362[[#This Row],[Rule Name]]))</f>
        <v>116_FI_Cost_Center_Categories_Activity_CCA</v>
      </c>
      <c r="R493" s="8" t="s">
        <v>4336</v>
      </c>
      <c r="S493" s="7"/>
      <c r="T493" s="7"/>
      <c r="U493" s="7"/>
      <c r="V493" s="7"/>
      <c r="W493" s="7" t="s">
        <v>4492</v>
      </c>
      <c r="X493" s="8"/>
      <c r="Y493" s="7"/>
      <c r="Z493" s="7"/>
      <c r="AA493" s="11" t="s">
        <v>5893</v>
      </c>
      <c r="AB493" s="11"/>
      <c r="AC493" s="11"/>
      <c r="AD493" s="11"/>
      <c r="AH493" s="8"/>
      <c r="AI493" s="20"/>
      <c r="AJ493" s="20"/>
      <c r="AK493" s="31"/>
      <c r="AL493" s="31"/>
    </row>
    <row r="494" spans="1:38" ht="48" hidden="1" x14ac:dyDescent="0.25">
      <c r="A494" s="14" t="s">
        <v>7147</v>
      </c>
      <c r="B494" s="7" t="s">
        <v>5877</v>
      </c>
      <c r="C494" s="7" t="s">
        <v>4610</v>
      </c>
      <c r="D494" s="7" t="s">
        <v>5978</v>
      </c>
      <c r="E494" s="7" t="s">
        <v>5978</v>
      </c>
      <c r="F494" s="7" t="s">
        <v>5978</v>
      </c>
      <c r="G494" s="7"/>
      <c r="H494" s="7"/>
      <c r="I494" s="7"/>
      <c r="J494" s="20" t="e">
        <f>VLOOKUP(V494,Table_to_BRG!A:D,3,FALSE)</f>
        <v>#N/A</v>
      </c>
      <c r="K494" s="20" t="e">
        <f>VLOOKUP(V494,Table_to_BRG!A:D,2,FALSE)</f>
        <v>#N/A</v>
      </c>
      <c r="L494" s="20"/>
      <c r="M494" s="20"/>
      <c r="N494" s="9" t="s">
        <v>6465</v>
      </c>
      <c r="O494" s="54" t="s">
        <v>7812</v>
      </c>
      <c r="P494" s="7" t="s">
        <v>4337</v>
      </c>
      <c r="Q494" s="11" t="str">
        <f>RIGHT("00"&amp;Table362[[#This Row],[Rule '#]],3)&amp;"_"&amp;IF(Table362[[#This Row],[Entity]]="Material","MATL",LEFT(UPPER(Table362[[#This Row],[Entity]]),4))&amp;"_"&amp;MID(SUBSTITUTE(Table362[[#This Row],[Rule Name]],"_","|",3),SEARCH("|",SUBSTITUTE(Table362[[#This Row],[Rule Name]],"_","|",3))+1,LEN(Table362[[#This Row],[Rule Name]]))</f>
        <v>117_FI_Type_Category_CCA</v>
      </c>
      <c r="R494" s="8" t="s">
        <v>4338</v>
      </c>
      <c r="S494" s="7"/>
      <c r="T494" s="7"/>
      <c r="U494" s="7"/>
      <c r="V494" s="7"/>
      <c r="W494" s="7" t="s">
        <v>4493</v>
      </c>
      <c r="X494" s="8"/>
      <c r="Y494" s="7"/>
      <c r="Z494" s="7"/>
      <c r="AA494" s="11" t="s">
        <v>4494</v>
      </c>
      <c r="AB494" s="11"/>
      <c r="AC494" s="11" t="s">
        <v>6809</v>
      </c>
      <c r="AD494" s="11"/>
      <c r="AH494" s="8"/>
      <c r="AI494" s="20"/>
      <c r="AJ494" s="20"/>
      <c r="AK494" s="31"/>
      <c r="AL494" s="31"/>
    </row>
    <row r="495" spans="1:38" ht="168" hidden="1" x14ac:dyDescent="0.25">
      <c r="A495" s="14" t="s">
        <v>7148</v>
      </c>
      <c r="B495" s="7" t="s">
        <v>5877</v>
      </c>
      <c r="C495" s="7" t="s">
        <v>4610</v>
      </c>
      <c r="D495" s="7" t="s">
        <v>5978</v>
      </c>
      <c r="E495" s="7" t="s">
        <v>5978</v>
      </c>
      <c r="F495" s="7" t="s">
        <v>5978</v>
      </c>
      <c r="G495" s="7"/>
      <c r="H495" s="7"/>
      <c r="I495" s="7"/>
      <c r="J495" s="20" t="e">
        <f>VLOOKUP(V495,Table_to_BRG!A:D,3,FALSE)</f>
        <v>#N/A</v>
      </c>
      <c r="K495" s="20" t="e">
        <f>VLOOKUP(V495,Table_to_BRG!A:D,2,FALSE)</f>
        <v>#N/A</v>
      </c>
      <c r="L495" s="20"/>
      <c r="M495" s="20"/>
      <c r="N495" s="9" t="s">
        <v>6465</v>
      </c>
      <c r="O495" s="54" t="s">
        <v>7812</v>
      </c>
      <c r="P495" s="7" t="s">
        <v>4339</v>
      </c>
      <c r="Q495" s="11" t="str">
        <f>RIGHT("00"&amp;Table362[[#This Row],[Rule '#]],3)&amp;"_"&amp;IF(Table362[[#This Row],[Entity]]="Material","MATL",LEFT(UPPER(Table362[[#This Row],[Entity]]),4))&amp;"_"&amp;MID(SUBSTITUTE(Table362[[#This Row],[Rule Name]],"_","|",3),SEARCH("|",SUBSTITUTE(Table362[[#This Row],[Rule Name]],"_","|",3))+1,LEN(Table362[[#This Row],[Rule Name]]))</f>
        <v>118_FI_GL</v>
      </c>
      <c r="R495" s="8" t="s">
        <v>4340</v>
      </c>
      <c r="S495" s="7"/>
      <c r="T495" s="7"/>
      <c r="U495" s="7"/>
      <c r="V495" s="7" t="s">
        <v>4271</v>
      </c>
      <c r="W495" s="7" t="s">
        <v>4495</v>
      </c>
      <c r="X495" s="8"/>
      <c r="Y495" s="7" t="s">
        <v>4496</v>
      </c>
      <c r="Z495" s="7" t="s">
        <v>4497</v>
      </c>
      <c r="AA495" s="11" t="s">
        <v>4498</v>
      </c>
      <c r="AB495" s="11"/>
      <c r="AC495" s="11"/>
      <c r="AD495" s="11"/>
      <c r="AH495" s="8"/>
      <c r="AI495" s="20"/>
      <c r="AJ495" s="20"/>
      <c r="AK495" s="31"/>
      <c r="AL495" s="31"/>
    </row>
    <row r="496" spans="1:38" ht="72" hidden="1" x14ac:dyDescent="0.25">
      <c r="A496" s="14" t="s">
        <v>7149</v>
      </c>
      <c r="B496" s="7" t="s">
        <v>5877</v>
      </c>
      <c r="C496" s="7" t="s">
        <v>4610</v>
      </c>
      <c r="D496" s="7" t="s">
        <v>5978</v>
      </c>
      <c r="E496" s="7" t="s">
        <v>5978</v>
      </c>
      <c r="F496" s="7" t="s">
        <v>5978</v>
      </c>
      <c r="G496" s="7"/>
      <c r="H496" s="7"/>
      <c r="I496" s="7"/>
      <c r="J496" s="20" t="e">
        <f>VLOOKUP(V496,Table_to_BRG!A:D,3,FALSE)</f>
        <v>#N/A</v>
      </c>
      <c r="K496" s="20" t="e">
        <f>VLOOKUP(V496,Table_to_BRG!A:D,2,FALSE)</f>
        <v>#N/A</v>
      </c>
      <c r="L496" s="20"/>
      <c r="M496" s="20"/>
      <c r="N496" s="9" t="s">
        <v>6465</v>
      </c>
      <c r="O496" s="54" t="s">
        <v>7812</v>
      </c>
      <c r="P496" s="7" t="s">
        <v>4341</v>
      </c>
      <c r="Q496" s="11" t="str">
        <f>RIGHT("00"&amp;Table362[[#This Row],[Rule '#]],3)&amp;"_"&amp;IF(Table362[[#This Row],[Entity]]="Material","MATL",LEFT(UPPER(Table362[[#This Row],[Entity]]),4))&amp;"_"&amp;MID(SUBSTITUTE(Table362[[#This Row],[Rule Name]],"_","|",3),SEARCH("|",SUBSTITUTE(Table362[[#This Row],[Rule Name]],"_","|",3))+1,LEN(Table362[[#This Row],[Rule Name]]))</f>
        <v>119_FI_Statistical_key_figure_SKF</v>
      </c>
      <c r="R496" s="8" t="s">
        <v>4342</v>
      </c>
      <c r="S496" s="7"/>
      <c r="T496" s="7"/>
      <c r="U496" s="7"/>
      <c r="V496" s="7"/>
      <c r="W496" s="7" t="s">
        <v>4499</v>
      </c>
      <c r="X496" s="8"/>
      <c r="Y496" s="7" t="s">
        <v>4192</v>
      </c>
      <c r="Z496" s="7" t="s">
        <v>4143</v>
      </c>
      <c r="AA496" s="11" t="s">
        <v>4500</v>
      </c>
      <c r="AB496" s="11"/>
      <c r="AC496" s="11"/>
      <c r="AD496" s="11"/>
      <c r="AH496" s="8"/>
      <c r="AI496" s="20"/>
      <c r="AJ496" s="20"/>
      <c r="AK496" s="31"/>
      <c r="AL496" s="31"/>
    </row>
    <row r="497" spans="1:38" ht="60" hidden="1" x14ac:dyDescent="0.25">
      <c r="A497" s="14" t="s">
        <v>7150</v>
      </c>
      <c r="B497" s="7" t="s">
        <v>5877</v>
      </c>
      <c r="C497" s="7" t="s">
        <v>4610</v>
      </c>
      <c r="D497" s="7" t="s">
        <v>5978</v>
      </c>
      <c r="E497" s="7" t="s">
        <v>5978</v>
      </c>
      <c r="F497" s="7" t="s">
        <v>5978</v>
      </c>
      <c r="G497" s="7"/>
      <c r="H497" s="7"/>
      <c r="I497" s="7"/>
      <c r="J497" s="20" t="e">
        <f>VLOOKUP(V497,Table_to_BRG!A:D,3,FALSE)</f>
        <v>#N/A</v>
      </c>
      <c r="K497" s="20" t="e">
        <f>VLOOKUP(V497,Table_to_BRG!A:D,2,FALSE)</f>
        <v>#N/A</v>
      </c>
      <c r="L497" s="20"/>
      <c r="M497" s="20"/>
      <c r="N497" s="9" t="s">
        <v>6465</v>
      </c>
      <c r="O497" s="54" t="s">
        <v>7812</v>
      </c>
      <c r="P497" s="7" t="s">
        <v>4343</v>
      </c>
      <c r="Q497" s="11" t="str">
        <f>RIGHT("00"&amp;Table362[[#This Row],[Rule '#]],3)&amp;"_"&amp;IF(Table362[[#This Row],[Entity]]="Material","MATL",LEFT(UPPER(Table362[[#This Row],[Entity]]),4))&amp;"_"&amp;MID(SUBSTITUTE(Table362[[#This Row],[Rule Name]],"_","|",3),SEARCH("|",SUBSTITUTE(Table362[[#This Row],[Rule Name]],"_","|",3))+1,LEN(Table362[[#This Row],[Rule Name]]))</f>
        <v>120_FI_From_Date</v>
      </c>
      <c r="R497" s="8" t="s">
        <v>4344</v>
      </c>
      <c r="S497" s="7"/>
      <c r="T497" s="7"/>
      <c r="U497" s="7"/>
      <c r="V497" s="7"/>
      <c r="W497" s="7" t="s">
        <v>4501</v>
      </c>
      <c r="X497" s="8"/>
      <c r="Y497" s="7"/>
      <c r="Z497" s="7"/>
      <c r="AA497" s="11" t="s">
        <v>4502</v>
      </c>
      <c r="AB497" s="11"/>
      <c r="AC497" s="11"/>
      <c r="AD497" s="11"/>
      <c r="AH497" s="8"/>
      <c r="AI497" s="20"/>
      <c r="AJ497" s="20"/>
      <c r="AK497" s="31"/>
      <c r="AL497" s="31"/>
    </row>
    <row r="498" spans="1:38" ht="48" hidden="1" x14ac:dyDescent="0.25">
      <c r="A498" s="14" t="s">
        <v>7151</v>
      </c>
      <c r="B498" s="7" t="s">
        <v>5877</v>
      </c>
      <c r="C498" s="7" t="s">
        <v>4610</v>
      </c>
      <c r="D498" s="7" t="s">
        <v>5978</v>
      </c>
      <c r="E498" s="7" t="s">
        <v>5978</v>
      </c>
      <c r="F498" s="7" t="s">
        <v>5978</v>
      </c>
      <c r="G498" s="7"/>
      <c r="H498" s="7"/>
      <c r="I498" s="7"/>
      <c r="J498" s="20" t="e">
        <f>VLOOKUP(V498,Table_to_BRG!A:D,3,FALSE)</f>
        <v>#N/A</v>
      </c>
      <c r="K498" s="20" t="e">
        <f>VLOOKUP(V498,Table_to_BRG!A:D,2,FALSE)</f>
        <v>#N/A</v>
      </c>
      <c r="L498" s="20"/>
      <c r="M498" s="20"/>
      <c r="N498" s="9" t="s">
        <v>6465</v>
      </c>
      <c r="O498" s="54" t="s">
        <v>7812</v>
      </c>
      <c r="P498" s="7" t="s">
        <v>4345</v>
      </c>
      <c r="Q498" s="11" t="str">
        <f>RIGHT("00"&amp;Table362[[#This Row],[Rule '#]],3)&amp;"_"&amp;IF(Table362[[#This Row],[Entity]]="Material","MATL",LEFT(UPPER(Table362[[#This Row],[Entity]]),4))&amp;"_"&amp;MID(SUBSTITUTE(Table362[[#This Row],[Rule Name]],"_","|",3),SEARCH("|",SUBSTITUTE(Table362[[#This Row],[Rule Name]],"_","|",3))+1,LEN(Table362[[#This Row],[Rule Name]]))</f>
        <v>121_FI_Venture_CCA</v>
      </c>
      <c r="R498" s="8" t="s">
        <v>4346</v>
      </c>
      <c r="S498" s="7"/>
      <c r="T498" s="7"/>
      <c r="U498" s="7"/>
      <c r="V498" s="7"/>
      <c r="W498" s="7" t="s">
        <v>4503</v>
      </c>
      <c r="X498" s="8"/>
      <c r="Y498" s="7" t="s">
        <v>4444</v>
      </c>
      <c r="Z498" s="7" t="s">
        <v>4504</v>
      </c>
      <c r="AA498" s="11" t="s">
        <v>4505</v>
      </c>
      <c r="AB498" s="11"/>
      <c r="AC498" s="11"/>
      <c r="AD498" s="11"/>
      <c r="AH498" s="8"/>
      <c r="AI498" s="20"/>
      <c r="AJ498" s="20"/>
      <c r="AK498" s="31"/>
      <c r="AL498" s="31"/>
    </row>
    <row r="499" spans="1:38" ht="36" hidden="1" x14ac:dyDescent="0.25">
      <c r="A499" s="14" t="s">
        <v>7152</v>
      </c>
      <c r="B499" s="7" t="s">
        <v>5877</v>
      </c>
      <c r="C499" s="7" t="s">
        <v>4610</v>
      </c>
      <c r="D499" s="7" t="s">
        <v>5978</v>
      </c>
      <c r="E499" s="7" t="s">
        <v>5978</v>
      </c>
      <c r="F499" s="7" t="s">
        <v>5978</v>
      </c>
      <c r="G499" s="7"/>
      <c r="H499" s="7"/>
      <c r="I499" s="7"/>
      <c r="J499" s="20" t="e">
        <f>VLOOKUP(V499,Table_to_BRG!A:D,3,FALSE)</f>
        <v>#N/A</v>
      </c>
      <c r="K499" s="20" t="e">
        <f>VLOOKUP(V499,Table_to_BRG!A:D,2,FALSE)</f>
        <v>#N/A</v>
      </c>
      <c r="L499" s="20"/>
      <c r="M499" s="20"/>
      <c r="N499" s="9" t="s">
        <v>6465</v>
      </c>
      <c r="O499" s="54" t="s">
        <v>7812</v>
      </c>
      <c r="P499" s="7" t="s">
        <v>4347</v>
      </c>
      <c r="Q499" s="11" t="str">
        <f>RIGHT("00"&amp;Table362[[#This Row],[Rule '#]],3)&amp;"_"&amp;IF(Table362[[#This Row],[Entity]]="Material","MATL",LEFT(UPPER(Table362[[#This Row],[Entity]]),4))&amp;"_"&amp;MID(SUBSTITUTE(Table362[[#This Row],[Rule Name]],"_","|",3),SEARCH("|",SUBSTITUTE(Table362[[#This Row],[Rule Name]],"_","|",3))+1,LEN(Table362[[#This Row],[Rule Name]]))</f>
        <v>122_FI_TXT50</v>
      </c>
      <c r="R499" s="8" t="s">
        <v>4348</v>
      </c>
      <c r="S499" s="7"/>
      <c r="T499" s="7"/>
      <c r="U499" s="7"/>
      <c r="V499" s="7"/>
      <c r="W499" s="7" t="s">
        <v>4506</v>
      </c>
      <c r="X499" s="8"/>
      <c r="Y499" s="7"/>
      <c r="Z499" s="7"/>
      <c r="AA499" s="11" t="s">
        <v>4507</v>
      </c>
      <c r="AB499" s="11"/>
      <c r="AC499" s="11"/>
      <c r="AD499" s="11"/>
      <c r="AH499" s="8"/>
      <c r="AI499" s="20"/>
      <c r="AJ499" s="20"/>
      <c r="AK499" s="31"/>
      <c r="AL499" s="31"/>
    </row>
    <row r="500" spans="1:38" ht="48" hidden="1" x14ac:dyDescent="0.25">
      <c r="A500" s="14" t="s">
        <v>7153</v>
      </c>
      <c r="B500" s="7" t="s">
        <v>5877</v>
      </c>
      <c r="C500" s="7" t="s">
        <v>4610</v>
      </c>
      <c r="D500" s="7" t="s">
        <v>5978</v>
      </c>
      <c r="E500" s="7" t="s">
        <v>5978</v>
      </c>
      <c r="F500" s="7" t="s">
        <v>5978</v>
      </c>
      <c r="G500" s="7"/>
      <c r="H500" s="7"/>
      <c r="I500" s="7"/>
      <c r="J500" s="20" t="e">
        <f>VLOOKUP(V500,Table_to_BRG!A:D,3,FALSE)</f>
        <v>#N/A</v>
      </c>
      <c r="K500" s="20" t="e">
        <f>VLOOKUP(V500,Table_to_BRG!A:D,2,FALSE)</f>
        <v>#N/A</v>
      </c>
      <c r="L500" s="20"/>
      <c r="M500" s="20"/>
      <c r="N500" s="9" t="s">
        <v>6465</v>
      </c>
      <c r="O500" s="54" t="s">
        <v>7812</v>
      </c>
      <c r="P500" s="7" t="s">
        <v>4349</v>
      </c>
      <c r="Q500" s="11" t="str">
        <f>RIGHT("00"&amp;Table362[[#This Row],[Rule '#]],3)&amp;"_"&amp;IF(Table362[[#This Row],[Entity]]="Material","MATL",LEFT(UPPER(Table362[[#This Row],[Entity]]),4))&amp;"_"&amp;MID(SUBSTITUTE(Table362[[#This Row],[Rule Name]],"_","|",3),SEARCH("|",SUBSTITUTE(Table362[[#This Row],[Rule Name]],"_","|",3))+1,LEN(Table362[[#This Row],[Rule Name]]))</f>
        <v>123_FI_YEARS_AA</v>
      </c>
      <c r="R500" s="8" t="s">
        <v>4350</v>
      </c>
      <c r="S500" s="7"/>
      <c r="T500" s="7"/>
      <c r="U500" s="7"/>
      <c r="V500" s="7"/>
      <c r="W500" s="7" t="s">
        <v>4508</v>
      </c>
      <c r="X500" s="8"/>
      <c r="Y500" s="7"/>
      <c r="Z500" s="7"/>
      <c r="AA500" s="11" t="s">
        <v>4509</v>
      </c>
      <c r="AB500" s="11"/>
      <c r="AC500" s="11"/>
      <c r="AD500" s="11"/>
      <c r="AH500" s="8"/>
      <c r="AI500" s="20"/>
      <c r="AJ500" s="20"/>
      <c r="AK500" s="31"/>
      <c r="AL500" s="31"/>
    </row>
    <row r="501" spans="1:38" ht="60" hidden="1" x14ac:dyDescent="0.25">
      <c r="A501" s="14" t="s">
        <v>7154</v>
      </c>
      <c r="B501" s="7" t="s">
        <v>5877</v>
      </c>
      <c r="C501" s="7" t="s">
        <v>4610</v>
      </c>
      <c r="D501" s="7" t="s">
        <v>5978</v>
      </c>
      <c r="E501" s="7" t="s">
        <v>5978</v>
      </c>
      <c r="F501" s="7" t="s">
        <v>5978</v>
      </c>
      <c r="G501" s="7"/>
      <c r="H501" s="7"/>
      <c r="I501" s="7"/>
      <c r="J501" s="20" t="e">
        <f>VLOOKUP(V501,Table_to_BRG!A:D,3,FALSE)</f>
        <v>#N/A</v>
      </c>
      <c r="K501" s="20" t="e">
        <f>VLOOKUP(V501,Table_to_BRG!A:D,2,FALSE)</f>
        <v>#N/A</v>
      </c>
      <c r="L501" s="20"/>
      <c r="M501" s="20"/>
      <c r="N501" s="9" t="s">
        <v>6465</v>
      </c>
      <c r="O501" s="54" t="s">
        <v>7812</v>
      </c>
      <c r="P501" s="7" t="s">
        <v>4351</v>
      </c>
      <c r="Q501" s="11" t="str">
        <f>RIGHT("00"&amp;Table362[[#This Row],[Rule '#]],3)&amp;"_"&amp;IF(Table362[[#This Row],[Entity]]="Material","MATL",LEFT(UPPER(Table362[[#This Row],[Entity]]),4))&amp;"_"&amp;MID(SUBSTITUTE(Table362[[#This Row],[Rule Name]],"_","|",3),SEARCH("|",SUBSTITUTE(Table362[[#This Row],[Rule Name]],"_","|",3))+1,LEN(Table362[[#This Row],[Rule Name]]))</f>
        <v>124_FI_Indicator_CCA</v>
      </c>
      <c r="R501" s="8" t="s">
        <v>4352</v>
      </c>
      <c r="S501" s="7"/>
      <c r="T501" s="7"/>
      <c r="U501" s="7"/>
      <c r="V501" s="7"/>
      <c r="W501" s="7" t="s">
        <v>4510</v>
      </c>
      <c r="X501" s="8"/>
      <c r="Y501" s="7" t="s">
        <v>4444</v>
      </c>
      <c r="Z501" s="7" t="s">
        <v>4511</v>
      </c>
      <c r="AA501" s="11" t="s">
        <v>4512</v>
      </c>
      <c r="AB501" s="11"/>
      <c r="AC501" s="11"/>
      <c r="AD501" s="11"/>
      <c r="AH501" s="8"/>
      <c r="AI501" s="20"/>
      <c r="AJ501" s="20"/>
      <c r="AK501" s="31"/>
      <c r="AL501" s="31"/>
    </row>
    <row r="502" spans="1:38" ht="84" hidden="1" x14ac:dyDescent="0.25">
      <c r="A502" s="14" t="s">
        <v>7155</v>
      </c>
      <c r="B502" s="7" t="s">
        <v>5877</v>
      </c>
      <c r="C502" s="7" t="s">
        <v>4610</v>
      </c>
      <c r="D502" s="7" t="s">
        <v>5978</v>
      </c>
      <c r="E502" s="7" t="s">
        <v>5978</v>
      </c>
      <c r="F502" s="7" t="s">
        <v>5978</v>
      </c>
      <c r="G502" s="7"/>
      <c r="H502" s="7"/>
      <c r="I502" s="7"/>
      <c r="J502" s="20" t="e">
        <f>VLOOKUP(V502,Table_to_BRG!A:D,3,FALSE)</f>
        <v>#N/A</v>
      </c>
      <c r="K502" s="20" t="e">
        <f>VLOOKUP(V502,Table_to_BRG!A:D,2,FALSE)</f>
        <v>#N/A</v>
      </c>
      <c r="L502" s="20"/>
      <c r="M502" s="20"/>
      <c r="N502" s="9" t="s">
        <v>6465</v>
      </c>
      <c r="O502" s="54" t="s">
        <v>7812</v>
      </c>
      <c r="P502" s="7" t="s">
        <v>4353</v>
      </c>
      <c r="Q502" s="11" t="str">
        <f>RIGHT("00"&amp;Table362[[#This Row],[Rule '#]],3)&amp;"_"&amp;IF(Table362[[#This Row],[Entity]]="Material","MATL",LEFT(UPPER(Table362[[#This Row],[Entity]]),4))&amp;"_"&amp;MID(SUBSTITUTE(Table362[[#This Row],[Rule Name]],"_","|",3),SEARCH("|",SUBSTITUTE(Table362[[#This Row],[Rule Name]],"_","|",3))+1,LEN(Table362[[#This Row],[Rule Name]]))</f>
        <v>125_FI_IS_REQUIRED_AA</v>
      </c>
      <c r="R502" s="8" t="s">
        <v>4354</v>
      </c>
      <c r="S502" s="7"/>
      <c r="T502" s="7"/>
      <c r="U502" s="7"/>
      <c r="V502" s="7" t="s">
        <v>4513</v>
      </c>
      <c r="W502" s="7" t="s">
        <v>4514</v>
      </c>
      <c r="X502" s="8"/>
      <c r="Y502" s="7" t="s">
        <v>4515</v>
      </c>
      <c r="Z502" s="7" t="s">
        <v>4516</v>
      </c>
      <c r="AA502" s="11" t="s">
        <v>4517</v>
      </c>
      <c r="AB502" s="11"/>
      <c r="AC502" s="11"/>
      <c r="AD502" s="11"/>
      <c r="AH502" s="8"/>
      <c r="AI502" s="20"/>
      <c r="AJ502" s="20"/>
      <c r="AK502" s="31"/>
      <c r="AL502" s="31"/>
    </row>
    <row r="503" spans="1:38" ht="36" hidden="1" x14ac:dyDescent="0.25">
      <c r="A503" s="14" t="s">
        <v>7156</v>
      </c>
      <c r="B503" s="7" t="s">
        <v>5877</v>
      </c>
      <c r="C503" s="7" t="s">
        <v>4610</v>
      </c>
      <c r="D503" s="7" t="s">
        <v>5978</v>
      </c>
      <c r="E503" s="7" t="s">
        <v>5978</v>
      </c>
      <c r="F503" s="7" t="s">
        <v>5978</v>
      </c>
      <c r="G503" s="7"/>
      <c r="H503" s="7"/>
      <c r="I503" s="7"/>
      <c r="J503" s="20" t="e">
        <f>VLOOKUP(V503,Table_to_BRG!A:D,3,FALSE)</f>
        <v>#N/A</v>
      </c>
      <c r="K503" s="20" t="e">
        <f>VLOOKUP(V503,Table_to_BRG!A:D,2,FALSE)</f>
        <v>#N/A</v>
      </c>
      <c r="L503" s="20"/>
      <c r="M503" s="20"/>
      <c r="N503" s="9" t="s">
        <v>6465</v>
      </c>
      <c r="O503" s="54" t="s">
        <v>7812</v>
      </c>
      <c r="P503" s="7" t="s">
        <v>4355</v>
      </c>
      <c r="Q503" s="11" t="str">
        <f>RIGHT("00"&amp;Table362[[#This Row],[Rule '#]],3)&amp;"_"&amp;IF(Table362[[#This Row],[Entity]]="Material","MATL",LEFT(UPPER(Table362[[#This Row],[Entity]]),4))&amp;"_"&amp;MID(SUBSTITUTE(Table362[[#This Row],[Rule Name]],"_","|",3),SEARCH("|",SUBSTITUTE(Table362[[#This Row],[Rule Name]],"_","|",3))+1,LEN(Table362[[#This Row],[Rule Name]]))</f>
        <v>126_FI_IS_REQUIRED_AA</v>
      </c>
      <c r="R503" s="8" t="s">
        <v>4356</v>
      </c>
      <c r="S503" s="7"/>
      <c r="T503" s="7"/>
      <c r="U503" s="7"/>
      <c r="V503" s="7" t="s">
        <v>4518</v>
      </c>
      <c r="W503" s="7" t="s">
        <v>4519</v>
      </c>
      <c r="X503" s="8"/>
      <c r="Y503" s="7" t="s">
        <v>4444</v>
      </c>
      <c r="Z503" s="7" t="s">
        <v>4445</v>
      </c>
      <c r="AA503" s="11" t="str">
        <f>"BEGIN
     RETURN exists('DS_IS_RDS', '"&amp;Table362[[#This Row],[Lookup Table]]&amp;"', '"&amp;Table362[[#This Row],[Lookup Field]]&amp;"', "&amp;Table362[[#This Row],[IS Parameter]]&amp;");
END"</f>
        <v>BEGIN
     RETURN exists('DS_IS_RDS', 'CSKS', 'KOSTL', );
END</v>
      </c>
      <c r="AB503" s="11"/>
      <c r="AC503" s="11"/>
      <c r="AD503" s="11"/>
      <c r="AH503" s="8"/>
      <c r="AI503" s="20"/>
      <c r="AJ503" s="20"/>
      <c r="AK503" s="31"/>
      <c r="AL503" s="31"/>
    </row>
    <row r="504" spans="1:38" ht="96" hidden="1" x14ac:dyDescent="0.25">
      <c r="A504" s="14" t="s">
        <v>7157</v>
      </c>
      <c r="B504" s="7" t="s">
        <v>5877</v>
      </c>
      <c r="C504" s="7" t="s">
        <v>4610</v>
      </c>
      <c r="D504" s="7" t="s">
        <v>5978</v>
      </c>
      <c r="E504" s="7" t="s">
        <v>5978</v>
      </c>
      <c r="F504" s="7" t="s">
        <v>5978</v>
      </c>
      <c r="G504" s="7"/>
      <c r="H504" s="7"/>
      <c r="I504" s="7"/>
      <c r="J504" s="20" t="e">
        <f>VLOOKUP(V504,Table_to_BRG!A:D,3,FALSE)</f>
        <v>#N/A</v>
      </c>
      <c r="K504" s="20" t="e">
        <f>VLOOKUP(V504,Table_to_BRG!A:D,2,FALSE)</f>
        <v>#N/A</v>
      </c>
      <c r="L504" s="20"/>
      <c r="M504" s="20"/>
      <c r="N504" s="9" t="s">
        <v>6465</v>
      </c>
      <c r="O504" s="54" t="s">
        <v>7812</v>
      </c>
      <c r="P504" s="7" t="s">
        <v>4357</v>
      </c>
      <c r="Q504" s="11" t="str">
        <f>RIGHT("00"&amp;Table362[[#This Row],[Rule '#]],3)&amp;"_"&amp;IF(Table362[[#This Row],[Entity]]="Material","MATL",LEFT(UPPER(Table362[[#This Row],[Entity]]),4))&amp;"_"&amp;MID(SUBSTITUTE(Table362[[#This Row],[Rule Name]],"_","|",3),SEARCH("|",SUBSTITUTE(Table362[[#This Row],[Rule Name]],"_","|",3))+1,LEN(Table362[[#This Row],[Rule Name]]))</f>
        <v>127_FI_Center_Naming_Conv_CCA</v>
      </c>
      <c r="R504" s="8" t="s">
        <v>4358</v>
      </c>
      <c r="S504" s="7"/>
      <c r="T504" s="7"/>
      <c r="U504" s="7"/>
      <c r="V504" s="7" t="s">
        <v>4520</v>
      </c>
      <c r="W504" s="7" t="s">
        <v>4521</v>
      </c>
      <c r="X504" s="8"/>
      <c r="Y504" s="7" t="s">
        <v>4444</v>
      </c>
      <c r="Z504" s="7" t="s">
        <v>4445</v>
      </c>
      <c r="AA504" s="11" t="s">
        <v>4522</v>
      </c>
      <c r="AB504" s="11"/>
      <c r="AC504" s="11"/>
      <c r="AD504" s="11"/>
      <c r="AH504" s="8"/>
      <c r="AI504" s="20"/>
      <c r="AJ504" s="20"/>
      <c r="AK504" s="31"/>
      <c r="AL504" s="31"/>
    </row>
    <row r="505" spans="1:38" ht="36" hidden="1" x14ac:dyDescent="0.25">
      <c r="A505" s="14" t="s">
        <v>7158</v>
      </c>
      <c r="B505" s="7" t="s">
        <v>5877</v>
      </c>
      <c r="C505" s="7" t="s">
        <v>4610</v>
      </c>
      <c r="D505" s="7" t="s">
        <v>5978</v>
      </c>
      <c r="E505" s="7" t="s">
        <v>5978</v>
      </c>
      <c r="F505" s="7" t="s">
        <v>5978</v>
      </c>
      <c r="G505" s="7"/>
      <c r="H505" s="7"/>
      <c r="I505" s="7"/>
      <c r="J505" s="20" t="e">
        <f>VLOOKUP(V505,Table_to_BRG!A:D,3,FALSE)</f>
        <v>#N/A</v>
      </c>
      <c r="K505" s="20" t="e">
        <f>VLOOKUP(V505,Table_to_BRG!A:D,2,FALSE)</f>
        <v>#N/A</v>
      </c>
      <c r="L505" s="20"/>
      <c r="M505" s="20"/>
      <c r="N505" s="9" t="s">
        <v>6465</v>
      </c>
      <c r="O505" s="54" t="s">
        <v>7812</v>
      </c>
      <c r="P505" s="7" t="s">
        <v>4359</v>
      </c>
      <c r="Q505" s="11" t="str">
        <f>RIGHT("00"&amp;Table362[[#This Row],[Rule '#]],3)&amp;"_"&amp;IF(Table362[[#This Row],[Entity]]="Material","MATL",LEFT(UPPER(Table362[[#This Row],[Entity]]),4))&amp;"_"&amp;MID(SUBSTITUTE(Table362[[#This Row],[Rule Name]],"_","|",3),SEARCH("|",SUBSTITUTE(Table362[[#This Row],[Rule Name]],"_","|",3))+1,LEN(Table362[[#This Row],[Rule Name]]))</f>
        <v>128_FI_NULL_IO</v>
      </c>
      <c r="R505" s="8" t="s">
        <v>4360</v>
      </c>
      <c r="S505" s="7"/>
      <c r="T505" s="7"/>
      <c r="U505" s="7"/>
      <c r="V505" s="7" t="s">
        <v>4442</v>
      </c>
      <c r="W505" s="7" t="s">
        <v>4523</v>
      </c>
      <c r="X505" s="8"/>
      <c r="Y505" s="7"/>
      <c r="Z505" s="7"/>
      <c r="AA505" s="11" t="s">
        <v>4524</v>
      </c>
      <c r="AB505" s="11"/>
      <c r="AC505" s="11" t="s">
        <v>6810</v>
      </c>
      <c r="AD505" s="11"/>
      <c r="AH505" s="8"/>
      <c r="AI505" s="20"/>
      <c r="AJ505" s="20"/>
      <c r="AK505" s="31"/>
      <c r="AL505" s="31"/>
    </row>
    <row r="506" spans="1:38" ht="60" hidden="1" x14ac:dyDescent="0.25">
      <c r="A506" s="14" t="s">
        <v>7159</v>
      </c>
      <c r="B506" s="7" t="s">
        <v>5877</v>
      </c>
      <c r="C506" s="7" t="s">
        <v>4610</v>
      </c>
      <c r="D506" s="7" t="s">
        <v>5978</v>
      </c>
      <c r="E506" s="7" t="s">
        <v>5978</v>
      </c>
      <c r="F506" s="7" t="s">
        <v>5978</v>
      </c>
      <c r="G506" s="7"/>
      <c r="H506" s="7"/>
      <c r="I506" s="7"/>
      <c r="J506" s="20" t="e">
        <f>VLOOKUP(V506,Table_to_BRG!A:D,3,FALSE)</f>
        <v>#N/A</v>
      </c>
      <c r="K506" s="20" t="e">
        <f>VLOOKUP(V506,Table_to_BRG!A:D,2,FALSE)</f>
        <v>#N/A</v>
      </c>
      <c r="L506" s="20"/>
      <c r="M506" s="20"/>
      <c r="N506" s="9" t="s">
        <v>6465</v>
      </c>
      <c r="O506" s="54" t="s">
        <v>7812</v>
      </c>
      <c r="P506" s="7" t="s">
        <v>4361</v>
      </c>
      <c r="Q506" s="11" t="str">
        <f>RIGHT("00"&amp;Table362[[#This Row],[Rule '#]],3)&amp;"_"&amp;IF(Table362[[#This Row],[Entity]]="Material","MATL",LEFT(UPPER(Table362[[#This Row],[Entity]]),4))&amp;"_"&amp;MID(SUBSTITUTE(Table362[[#This Row],[Rule Name]],"_","|",3),SEARCH("|",SUBSTITUTE(Table362[[#This Row],[Rule Name]],"_","|",3))+1,LEN(Table362[[#This Row],[Rule Name]]))</f>
        <v>129_FI_CCA</v>
      </c>
      <c r="R506" s="8" t="s">
        <v>4362</v>
      </c>
      <c r="S506" s="7"/>
      <c r="T506" s="7"/>
      <c r="U506" s="7"/>
      <c r="V506" s="7"/>
      <c r="W506" s="7" t="s">
        <v>4525</v>
      </c>
      <c r="X506" s="8"/>
      <c r="Y506" s="7" t="s">
        <v>4192</v>
      </c>
      <c r="Z506" s="7" t="s">
        <v>4143</v>
      </c>
      <c r="AA506" s="11" t="str">
        <f>"BEGIN
     RETURN exists('DS_IS_RDS', '"&amp;Table362[[#This Row],[Lookup Table]]&amp;"', '"&amp;Table362[[#This Row],[Lookup Field]]&amp;"', "&amp;Table362[[#This Row],[IS Parameter]]&amp;");
END"</f>
        <v>BEGIN
     RETURN exists('DS_IS_RDS', 'T006', 'MSEHI', );
END</v>
      </c>
      <c r="AB506" s="11"/>
      <c r="AC506" s="11"/>
      <c r="AD506" s="11"/>
      <c r="AH506" s="8"/>
      <c r="AI506" s="20"/>
      <c r="AJ506" s="20"/>
      <c r="AK506" s="31"/>
      <c r="AL506" s="31"/>
    </row>
    <row r="507" spans="1:38" ht="108" hidden="1" x14ac:dyDescent="0.25">
      <c r="A507" s="14" t="s">
        <v>7160</v>
      </c>
      <c r="B507" s="7" t="s">
        <v>5877</v>
      </c>
      <c r="C507" s="7" t="s">
        <v>4610</v>
      </c>
      <c r="D507" s="7" t="s">
        <v>5978</v>
      </c>
      <c r="E507" s="7" t="s">
        <v>5978</v>
      </c>
      <c r="F507" s="7" t="s">
        <v>5978</v>
      </c>
      <c r="G507" s="7"/>
      <c r="H507" s="7"/>
      <c r="I507" s="7"/>
      <c r="J507" s="20" t="e">
        <f>VLOOKUP(V507,Table_to_BRG!A:D,3,FALSE)</f>
        <v>#N/A</v>
      </c>
      <c r="K507" s="20" t="e">
        <f>VLOOKUP(V507,Table_to_BRG!A:D,2,FALSE)</f>
        <v>#N/A</v>
      </c>
      <c r="L507" s="20"/>
      <c r="M507" s="20"/>
      <c r="N507" s="9" t="s">
        <v>6465</v>
      </c>
      <c r="O507" s="54" t="s">
        <v>7812</v>
      </c>
      <c r="P507" s="7" t="s">
        <v>4363</v>
      </c>
      <c r="Q507" s="11" t="str">
        <f>RIGHT("00"&amp;Table362[[#This Row],[Rule '#]],3)&amp;"_"&amp;IF(Table362[[#This Row],[Entity]]="Material","MATL",LEFT(UPPER(Table362[[#This Row],[Entity]]),4))&amp;"_"&amp;MID(SUBSTITUTE(Table362[[#This Row],[Rule Name]],"_","|",3),SEARCH("|",SUBSTITUTE(Table362[[#This Row],[Rule Name]],"_","|",3))+1,LEN(Table362[[#This Row],[Rule Name]]))</f>
        <v>130_FI_Hierarchy_Area_CCA</v>
      </c>
      <c r="R507" s="8" t="s">
        <v>4364</v>
      </c>
      <c r="S507" s="7"/>
      <c r="T507" s="7"/>
      <c r="U507" s="7"/>
      <c r="V507" s="7"/>
      <c r="W507" s="7" t="s">
        <v>4526</v>
      </c>
      <c r="X507" s="8"/>
      <c r="Y507" s="7" t="s">
        <v>4444</v>
      </c>
      <c r="Z507" s="7" t="s">
        <v>4527</v>
      </c>
      <c r="AA507" s="11" t="s">
        <v>4528</v>
      </c>
      <c r="AB507" s="11"/>
      <c r="AC507" s="11"/>
      <c r="AD507" s="11"/>
      <c r="AH507" s="8"/>
      <c r="AI507" s="20"/>
      <c r="AJ507" s="20"/>
      <c r="AK507" s="31"/>
      <c r="AL507" s="31"/>
    </row>
    <row r="508" spans="1:38" ht="60" hidden="1" x14ac:dyDescent="0.25">
      <c r="A508" s="14" t="s">
        <v>7161</v>
      </c>
      <c r="B508" s="7" t="s">
        <v>5877</v>
      </c>
      <c r="C508" s="7" t="s">
        <v>4610</v>
      </c>
      <c r="D508" s="7" t="s">
        <v>5978</v>
      </c>
      <c r="E508" s="7" t="s">
        <v>5978</v>
      </c>
      <c r="F508" s="7" t="s">
        <v>5978</v>
      </c>
      <c r="G508" s="7"/>
      <c r="H508" s="7"/>
      <c r="I508" s="7"/>
      <c r="J508" s="20" t="e">
        <f>VLOOKUP(V508,Table_to_BRG!A:D,3,FALSE)</f>
        <v>#N/A</v>
      </c>
      <c r="K508" s="20" t="e">
        <f>VLOOKUP(V508,Table_to_BRG!A:D,2,FALSE)</f>
        <v>#N/A</v>
      </c>
      <c r="L508" s="20"/>
      <c r="M508" s="20"/>
      <c r="N508" s="9" t="s">
        <v>6465</v>
      </c>
      <c r="O508" s="54" t="s">
        <v>7812</v>
      </c>
      <c r="P508" s="7" t="s">
        <v>4365</v>
      </c>
      <c r="Q508" s="11" t="str">
        <f>RIGHT("00"&amp;Table362[[#This Row],[Rule '#]],3)&amp;"_"&amp;IF(Table362[[#This Row],[Entity]]="Material","MATL",LEFT(UPPER(Table362[[#This Row],[Entity]]),4))&amp;"_"&amp;MID(SUBSTITUTE(Table362[[#This Row],[Rule Name]],"_","|",3),SEARCH("|",SUBSTITUTE(Table362[[#This Row],[Rule Name]],"_","|",3))+1,LEN(Table362[[#This Row],[Rule Name]]))</f>
        <v>131_FI_HIER_GROUP</v>
      </c>
      <c r="R508" s="8" t="s">
        <v>4366</v>
      </c>
      <c r="S508" s="7"/>
      <c r="T508" s="7"/>
      <c r="U508" s="7"/>
      <c r="V508" s="7"/>
      <c r="W508" s="7" t="s">
        <v>4529</v>
      </c>
      <c r="X508" s="8"/>
      <c r="Y508" s="7" t="s">
        <v>4221</v>
      </c>
      <c r="Z508" s="7" t="s">
        <v>4530</v>
      </c>
      <c r="AA508" s="11" t="s">
        <v>4531</v>
      </c>
      <c r="AB508" s="11"/>
      <c r="AC508" s="11"/>
      <c r="AD508" s="11"/>
      <c r="AH508" s="8"/>
      <c r="AI508" s="20"/>
      <c r="AJ508" s="20"/>
      <c r="AK508" s="31"/>
      <c r="AL508" s="31"/>
    </row>
    <row r="509" spans="1:38" ht="132" hidden="1" x14ac:dyDescent="0.25">
      <c r="A509" s="14" t="s">
        <v>7162</v>
      </c>
      <c r="B509" s="7" t="s">
        <v>5877</v>
      </c>
      <c r="C509" s="7" t="s">
        <v>4610</v>
      </c>
      <c r="D509" s="7" t="s">
        <v>5978</v>
      </c>
      <c r="E509" s="7" t="s">
        <v>5978</v>
      </c>
      <c r="F509" s="7" t="s">
        <v>5978</v>
      </c>
      <c r="G509" s="7"/>
      <c r="H509" s="7"/>
      <c r="I509" s="7"/>
      <c r="J509" s="20" t="e">
        <f>VLOOKUP(V509,Table_to_BRG!A:D,3,FALSE)</f>
        <v>#N/A</v>
      </c>
      <c r="K509" s="20" t="e">
        <f>VLOOKUP(V509,Table_to_BRG!A:D,2,FALSE)</f>
        <v>#N/A</v>
      </c>
      <c r="L509" s="20"/>
      <c r="M509" s="20"/>
      <c r="N509" s="9" t="s">
        <v>6465</v>
      </c>
      <c r="O509" s="54" t="s">
        <v>7812</v>
      </c>
      <c r="P509" s="7" t="s">
        <v>4367</v>
      </c>
      <c r="Q509" s="11" t="str">
        <f>RIGHT("00"&amp;Table362[[#This Row],[Rule '#]],3)&amp;"_"&amp;IF(Table362[[#This Row],[Entity]]="Material","MATL",LEFT(UPPER(Table362[[#This Row],[Entity]]),4))&amp;"_"&amp;MID(SUBSTITUTE(Table362[[#This Row],[Rule Name]],"_","|",3),SEARCH("|",SUBSTITUTE(Table362[[#This Row],[Rule Name]],"_","|",3))+1,LEN(Table362[[#This Row],[Rule Name]]))</f>
        <v>132_FI_GL</v>
      </c>
      <c r="R509" s="8" t="s">
        <v>4368</v>
      </c>
      <c r="S509" s="7"/>
      <c r="T509" s="7"/>
      <c r="U509" s="7"/>
      <c r="V509" s="7" t="s">
        <v>4271</v>
      </c>
      <c r="W509" s="7" t="s">
        <v>4532</v>
      </c>
      <c r="X509" s="8"/>
      <c r="Y509" s="7"/>
      <c r="Z509" s="7"/>
      <c r="AA509" s="11" t="s">
        <v>4533</v>
      </c>
      <c r="AB509" s="11"/>
      <c r="AC509" s="11"/>
      <c r="AD509" s="11"/>
      <c r="AH509" s="8"/>
      <c r="AI509" s="20"/>
      <c r="AJ509" s="20"/>
      <c r="AK509" s="31"/>
      <c r="AL509" s="31"/>
    </row>
    <row r="510" spans="1:38" ht="372" hidden="1" x14ac:dyDescent="0.25">
      <c r="A510" s="14" t="s">
        <v>7163</v>
      </c>
      <c r="B510" s="7" t="s">
        <v>5877</v>
      </c>
      <c r="C510" s="7" t="s">
        <v>4610</v>
      </c>
      <c r="D510" s="7" t="s">
        <v>5978</v>
      </c>
      <c r="E510" s="7" t="s">
        <v>5978</v>
      </c>
      <c r="F510" s="7" t="s">
        <v>5978</v>
      </c>
      <c r="G510" s="7"/>
      <c r="H510" s="7"/>
      <c r="I510" s="7"/>
      <c r="J510" s="20" t="e">
        <f>VLOOKUP(V510,Table_to_BRG!A:D,3,FALSE)</f>
        <v>#N/A</v>
      </c>
      <c r="K510" s="20" t="e">
        <f>VLOOKUP(V510,Table_to_BRG!A:D,2,FALSE)</f>
        <v>#N/A</v>
      </c>
      <c r="L510" s="20"/>
      <c r="M510" s="20"/>
      <c r="N510" s="9" t="s">
        <v>6465</v>
      </c>
      <c r="O510" s="54" t="s">
        <v>7812</v>
      </c>
      <c r="P510" s="7" t="s">
        <v>4369</v>
      </c>
      <c r="Q510" s="11" t="str">
        <f>RIGHT("00"&amp;Table362[[#This Row],[Rule '#]],3)&amp;"_"&amp;IF(Table362[[#This Row],[Entity]]="Material","MATL",LEFT(UPPER(Table362[[#This Row],[Entity]]),4))&amp;"_"&amp;MID(SUBSTITUTE(Table362[[#This Row],[Rule Name]],"_","|",3),SEARCH("|",SUBSTITUTE(Table362[[#This Row],[Rule Name]],"_","|",3))+1,LEN(Table362[[#This Row],[Rule Name]]))</f>
        <v>133_FI_GL</v>
      </c>
      <c r="R510" s="8" t="s">
        <v>4370</v>
      </c>
      <c r="S510" s="7"/>
      <c r="T510" s="7"/>
      <c r="U510" s="7"/>
      <c r="V510" s="7" t="s">
        <v>4456</v>
      </c>
      <c r="W510" s="7" t="s">
        <v>4534</v>
      </c>
      <c r="X510" s="8"/>
      <c r="Y510" s="7"/>
      <c r="Z510" s="7"/>
      <c r="AA510" s="11" t="s">
        <v>5894</v>
      </c>
      <c r="AB510" s="11"/>
      <c r="AC510" s="11"/>
      <c r="AD510" s="11"/>
      <c r="AH510" s="10" t="s">
        <v>5895</v>
      </c>
      <c r="AI510" s="20"/>
      <c r="AJ510" s="20"/>
      <c r="AK510" s="31"/>
      <c r="AL510" s="31"/>
    </row>
    <row r="511" spans="1:38" ht="45" hidden="1" x14ac:dyDescent="0.25">
      <c r="A511" s="14" t="s">
        <v>7164</v>
      </c>
      <c r="B511" s="7" t="s">
        <v>5877</v>
      </c>
      <c r="C511" s="7" t="s">
        <v>4610</v>
      </c>
      <c r="D511" s="7" t="s">
        <v>5978</v>
      </c>
      <c r="E511" s="7" t="s">
        <v>5978</v>
      </c>
      <c r="F511" s="7" t="s">
        <v>5978</v>
      </c>
      <c r="G511" s="7"/>
      <c r="H511" s="7"/>
      <c r="I511" s="7"/>
      <c r="J511" s="20" t="e">
        <f>VLOOKUP(V511,Table_to_BRG!A:D,3,FALSE)</f>
        <v>#N/A</v>
      </c>
      <c r="K511" s="20" t="e">
        <f>VLOOKUP(V511,Table_to_BRG!A:D,2,FALSE)</f>
        <v>#N/A</v>
      </c>
      <c r="L511" s="20"/>
      <c r="M511" s="20"/>
      <c r="N511" s="9" t="s">
        <v>6465</v>
      </c>
      <c r="O511" s="54" t="s">
        <v>7812</v>
      </c>
      <c r="P511" s="7" t="s">
        <v>4371</v>
      </c>
      <c r="Q511" s="11" t="str">
        <f>RIGHT("00"&amp;Table362[[#This Row],[Rule '#]],3)&amp;"_"&amp;IF(Table362[[#This Row],[Entity]]="Material","MATL",LEFT(UPPER(Table362[[#This Row],[Entity]]),4))&amp;"_"&amp;MID(SUBSTITUTE(Table362[[#This Row],[Rule Name]],"_","|",3),SEARCH("|",SUBSTITUTE(Table362[[#This Row],[Rule Name]],"_","|",3))+1,LEN(Table362[[#This Row],[Rule Name]]))</f>
        <v>134_FI_CCA</v>
      </c>
      <c r="R511" s="8" t="s">
        <v>4372</v>
      </c>
      <c r="S511" s="7"/>
      <c r="T511" s="7"/>
      <c r="U511" s="7"/>
      <c r="V511" s="7" t="s">
        <v>4535</v>
      </c>
      <c r="W511" s="7" t="s">
        <v>4536</v>
      </c>
      <c r="X511" s="8"/>
      <c r="Y511" s="7" t="s">
        <v>4537</v>
      </c>
      <c r="Z511" s="7" t="s">
        <v>4538</v>
      </c>
      <c r="AA511" s="11" t="str">
        <f>"BEGIN
     RETURN exists('DS_IS_RDS', '"&amp;Table362[[#This Row],[Lookup Table]]&amp;"', '"&amp;Table362[[#This Row],[Lookup Field]]&amp;"', "&amp;Table362[[#This Row],[IS Parameter]]&amp;");
END"</f>
        <v>BEGIN
     RETURN exists('DS_IS_RDS', 'TKA10', 'TARKZ', );
END</v>
      </c>
      <c r="AB511" s="11"/>
      <c r="AC511" s="11"/>
      <c r="AD511" s="11"/>
      <c r="AH511" s="8"/>
      <c r="AI511" s="20"/>
      <c r="AJ511" s="20"/>
      <c r="AK511" s="31"/>
      <c r="AL511" s="31"/>
    </row>
    <row r="512" spans="1:38" ht="48" hidden="1" x14ac:dyDescent="0.25">
      <c r="A512" s="14" t="s">
        <v>7165</v>
      </c>
      <c r="B512" s="7" t="s">
        <v>5877</v>
      </c>
      <c r="C512" s="7" t="s">
        <v>4610</v>
      </c>
      <c r="D512" s="7" t="s">
        <v>5978</v>
      </c>
      <c r="E512" s="7" t="s">
        <v>5978</v>
      </c>
      <c r="F512" s="7" t="s">
        <v>5978</v>
      </c>
      <c r="G512" s="7"/>
      <c r="H512" s="7"/>
      <c r="I512" s="7"/>
      <c r="J512" s="20" t="e">
        <f>VLOOKUP(V512,Table_to_BRG!A:D,3,FALSE)</f>
        <v>#N/A</v>
      </c>
      <c r="K512" s="20" t="e">
        <f>VLOOKUP(V512,Table_to_BRG!A:D,2,FALSE)</f>
        <v>#N/A</v>
      </c>
      <c r="L512" s="20"/>
      <c r="M512" s="20"/>
      <c r="N512" s="9" t="s">
        <v>6465</v>
      </c>
      <c r="O512" s="54" t="s">
        <v>7812</v>
      </c>
      <c r="P512" s="7" t="s">
        <v>4373</v>
      </c>
      <c r="Q512" s="11" t="str">
        <f>RIGHT("00"&amp;Table362[[#This Row],[Rule '#]],3)&amp;"_"&amp;IF(Table362[[#This Row],[Entity]]="Material","MATL",LEFT(UPPER(Table362[[#This Row],[Entity]]),4))&amp;"_"&amp;MID(SUBSTITUTE(Table362[[#This Row],[Rule Name]],"_","|",3),SEARCH("|",SUBSTITUTE(Table362[[#This Row],[Rule Name]],"_","|",3))+1,LEN(Table362[[#This Row],[Rule Name]]))</f>
        <v>135_FI_IS_REQUIRED_IO</v>
      </c>
      <c r="R512" s="8" t="s">
        <v>4374</v>
      </c>
      <c r="S512" s="7"/>
      <c r="T512" s="7"/>
      <c r="U512" s="7"/>
      <c r="V512" s="7" t="s">
        <v>4442</v>
      </c>
      <c r="W512" s="7" t="s">
        <v>4539</v>
      </c>
      <c r="X512" s="8"/>
      <c r="Y512" s="7"/>
      <c r="Z512" s="7"/>
      <c r="AA512" s="11" t="s">
        <v>4540</v>
      </c>
      <c r="AB512" s="11"/>
      <c r="AC512" s="11"/>
      <c r="AD512" s="11"/>
      <c r="AH512" s="8"/>
      <c r="AI512" s="20"/>
      <c r="AJ512" s="20"/>
      <c r="AK512" s="31"/>
      <c r="AL512" s="31"/>
    </row>
    <row r="513" spans="1:38" ht="48" hidden="1" x14ac:dyDescent="0.25">
      <c r="A513" s="14" t="s">
        <v>7166</v>
      </c>
      <c r="B513" s="7" t="s">
        <v>5877</v>
      </c>
      <c r="C513" s="7" t="s">
        <v>4610</v>
      </c>
      <c r="D513" s="7" t="s">
        <v>5978</v>
      </c>
      <c r="E513" s="7" t="s">
        <v>5978</v>
      </c>
      <c r="F513" s="7" t="s">
        <v>5978</v>
      </c>
      <c r="G513" s="7"/>
      <c r="H513" s="7"/>
      <c r="I513" s="7"/>
      <c r="J513" s="20" t="e">
        <f>VLOOKUP(V513,Table_to_BRG!A:D,3,FALSE)</f>
        <v>#N/A</v>
      </c>
      <c r="K513" s="20" t="e">
        <f>VLOOKUP(V513,Table_to_BRG!A:D,2,FALSE)</f>
        <v>#N/A</v>
      </c>
      <c r="L513" s="20"/>
      <c r="M513" s="20"/>
      <c r="N513" s="9" t="s">
        <v>6465</v>
      </c>
      <c r="O513" s="54" t="s">
        <v>7812</v>
      </c>
      <c r="P513" s="7" t="s">
        <v>4375</v>
      </c>
      <c r="Q513" s="11" t="str">
        <f>RIGHT("00"&amp;Table362[[#This Row],[Rule '#]],3)&amp;"_"&amp;IF(Table362[[#This Row],[Entity]]="Material","MATL",LEFT(UPPER(Table362[[#This Row],[Entity]]),4))&amp;"_"&amp;MID(SUBSTITUTE(Table362[[#This Row],[Rule Name]],"_","|",3),SEARCH("|",SUBSTITUTE(Table362[[#This Row],[Rule Name]],"_","|",3))+1,LEN(Table362[[#This Row],[Rule Name]]))</f>
        <v>136_FI_PERIOD_AA</v>
      </c>
      <c r="R513" s="8" t="s">
        <v>4376</v>
      </c>
      <c r="S513" s="7"/>
      <c r="T513" s="7"/>
      <c r="U513" s="7"/>
      <c r="V513" s="7"/>
      <c r="W513" s="7" t="s">
        <v>4541</v>
      </c>
      <c r="X513" s="8"/>
      <c r="Y513" s="7"/>
      <c r="Z513" s="7"/>
      <c r="AA513" s="11" t="s">
        <v>4542</v>
      </c>
      <c r="AB513" s="11"/>
      <c r="AC513" s="11"/>
      <c r="AD513" s="11"/>
      <c r="AH513" s="8"/>
      <c r="AI513" s="20"/>
      <c r="AJ513" s="20"/>
      <c r="AK513" s="31"/>
      <c r="AL513" s="31"/>
    </row>
    <row r="514" spans="1:38" ht="156" hidden="1" x14ac:dyDescent="0.25">
      <c r="A514" s="14" t="s">
        <v>7167</v>
      </c>
      <c r="B514" s="7" t="s">
        <v>5877</v>
      </c>
      <c r="C514" s="7" t="s">
        <v>4610</v>
      </c>
      <c r="D514" s="7" t="s">
        <v>5978</v>
      </c>
      <c r="E514" s="7" t="s">
        <v>5978</v>
      </c>
      <c r="F514" s="7" t="s">
        <v>5978</v>
      </c>
      <c r="G514" s="7"/>
      <c r="H514" s="7"/>
      <c r="I514" s="7"/>
      <c r="J514" s="20" t="e">
        <f>VLOOKUP(V514,Table_to_BRG!A:D,3,FALSE)</f>
        <v>#N/A</v>
      </c>
      <c r="K514" s="20" t="e">
        <f>VLOOKUP(V514,Table_to_BRG!A:D,2,FALSE)</f>
        <v>#N/A</v>
      </c>
      <c r="L514" s="20"/>
      <c r="M514" s="20"/>
      <c r="N514" s="9" t="s">
        <v>6465</v>
      </c>
      <c r="O514" s="54" t="s">
        <v>7812</v>
      </c>
      <c r="P514" s="7" t="s">
        <v>4377</v>
      </c>
      <c r="Q514" s="11" t="str">
        <f>RIGHT("00"&amp;Table362[[#This Row],[Rule '#]],3)&amp;"_"&amp;IF(Table362[[#This Row],[Entity]]="Material","MATL",LEFT(UPPER(Table362[[#This Row],[Entity]]),4))&amp;"_"&amp;MID(SUBSTITUTE(Table362[[#This Row],[Rule Name]],"_","|",3),SEARCH("|",SUBSTITUTE(Table362[[#This Row],[Rule Name]],"_","|",3))+1,LEN(Table362[[#This Row],[Rule Name]]))</f>
        <v>137_FI_Sheet_Account_GL</v>
      </c>
      <c r="R514" s="8" t="s">
        <v>4378</v>
      </c>
      <c r="S514" s="7"/>
      <c r="T514" s="7"/>
      <c r="U514" s="7"/>
      <c r="V514" s="7" t="s">
        <v>4456</v>
      </c>
      <c r="W514" s="7" t="s">
        <v>4543</v>
      </c>
      <c r="X514" s="8"/>
      <c r="Y514" s="7"/>
      <c r="Z514" s="7"/>
      <c r="AA514" s="11" t="s">
        <v>4544</v>
      </c>
      <c r="AB514" s="11"/>
      <c r="AC514" s="11"/>
      <c r="AD514" s="11"/>
      <c r="AH514" s="8"/>
      <c r="AI514" s="20"/>
      <c r="AJ514" s="20"/>
      <c r="AK514" s="31"/>
      <c r="AL514" s="31"/>
    </row>
    <row r="515" spans="1:38" ht="60" hidden="1" x14ac:dyDescent="0.25">
      <c r="A515" s="14" t="s">
        <v>7168</v>
      </c>
      <c r="B515" s="7" t="s">
        <v>5877</v>
      </c>
      <c r="C515" s="7" t="s">
        <v>4610</v>
      </c>
      <c r="D515" s="7" t="s">
        <v>5978</v>
      </c>
      <c r="E515" s="7" t="s">
        <v>5978</v>
      </c>
      <c r="F515" s="7" t="s">
        <v>5978</v>
      </c>
      <c r="G515" s="7"/>
      <c r="H515" s="7"/>
      <c r="I515" s="7"/>
      <c r="J515" s="20" t="e">
        <f>VLOOKUP(V515,Table_to_BRG!A:D,3,FALSE)</f>
        <v>#N/A</v>
      </c>
      <c r="K515" s="20" t="e">
        <f>VLOOKUP(V515,Table_to_BRG!A:D,2,FALSE)</f>
        <v>#N/A</v>
      </c>
      <c r="L515" s="20"/>
      <c r="M515" s="20"/>
      <c r="N515" s="9" t="s">
        <v>6465</v>
      </c>
      <c r="O515" s="54" t="s">
        <v>7812</v>
      </c>
      <c r="P515" s="7" t="s">
        <v>4379</v>
      </c>
      <c r="Q515" s="11" t="str">
        <f>RIGHT("00"&amp;Table362[[#This Row],[Rule '#]],3)&amp;"_"&amp;IF(Table362[[#This Row],[Entity]]="Material","MATL",LEFT(UPPER(Table362[[#This Row],[Entity]]),4))&amp;"_"&amp;MID(SUBSTITUTE(Table362[[#This Row],[Rule Name]],"_","|",3),SEARCH("|",SUBSTITUTE(Table362[[#This Row],[Rule Name]],"_","|",3))+1,LEN(Table362[[#This Row],[Rule Name]]))</f>
        <v>138_FI_IS_REUIRED_IO</v>
      </c>
      <c r="R515" s="8" t="s">
        <v>4380</v>
      </c>
      <c r="S515" s="7"/>
      <c r="T515" s="7"/>
      <c r="U515" s="7"/>
      <c r="V515" s="7" t="s">
        <v>4442</v>
      </c>
      <c r="W515" s="7" t="s">
        <v>4545</v>
      </c>
      <c r="X515" s="8"/>
      <c r="Y515" s="7" t="s">
        <v>4221</v>
      </c>
      <c r="Z515" s="7" t="s">
        <v>1770</v>
      </c>
      <c r="AA515" s="11" t="s">
        <v>4546</v>
      </c>
      <c r="AB515" s="11"/>
      <c r="AC515" s="11"/>
      <c r="AD515" s="11"/>
      <c r="AH515" s="8"/>
      <c r="AI515" s="20"/>
      <c r="AJ515" s="20"/>
      <c r="AK515" s="31"/>
      <c r="AL515" s="31"/>
    </row>
    <row r="516" spans="1:38" ht="120" hidden="1" x14ac:dyDescent="0.25">
      <c r="A516" s="14" t="s">
        <v>7169</v>
      </c>
      <c r="B516" s="7" t="s">
        <v>5877</v>
      </c>
      <c r="C516" s="7" t="s">
        <v>4610</v>
      </c>
      <c r="D516" s="7" t="s">
        <v>5978</v>
      </c>
      <c r="E516" s="7" t="s">
        <v>5978</v>
      </c>
      <c r="F516" s="7" t="s">
        <v>5978</v>
      </c>
      <c r="G516" s="7"/>
      <c r="H516" s="7"/>
      <c r="I516" s="7"/>
      <c r="J516" s="20" t="e">
        <f>VLOOKUP(V516,Table_to_BRG!A:D,3,FALSE)</f>
        <v>#N/A</v>
      </c>
      <c r="K516" s="20" t="e">
        <f>VLOOKUP(V516,Table_to_BRG!A:D,2,FALSE)</f>
        <v>#N/A</v>
      </c>
      <c r="L516" s="20"/>
      <c r="M516" s="20"/>
      <c r="N516" s="9" t="s">
        <v>6465</v>
      </c>
      <c r="O516" s="54" t="s">
        <v>7812</v>
      </c>
      <c r="P516" s="7" t="s">
        <v>4381</v>
      </c>
      <c r="Q516" s="11" t="str">
        <f>RIGHT("00"&amp;Table362[[#This Row],[Rule '#]],3)&amp;"_"&amp;IF(Table362[[#This Row],[Entity]]="Material","MATL",LEFT(UPPER(Table362[[#This Row],[Entity]]),4))&amp;"_"&amp;MID(SUBSTITUTE(Table362[[#This Row],[Rule Name]],"_","|",3),SEARCH("|",SUBSTITUTE(Table362[[#This Row],[Rule Name]],"_","|",3))+1,LEN(Table362[[#This Row],[Rule Name]]))</f>
        <v>139_FI_Reconcilation_Account_GL</v>
      </c>
      <c r="R516" s="8" t="s">
        <v>4382</v>
      </c>
      <c r="S516" s="7"/>
      <c r="T516" s="7"/>
      <c r="U516" s="7"/>
      <c r="V516" s="7" t="s">
        <v>4271</v>
      </c>
      <c r="W516" s="7" t="s">
        <v>4547</v>
      </c>
      <c r="X516" s="8"/>
      <c r="Y516" s="7"/>
      <c r="Z516" s="7"/>
      <c r="AA516" s="11" t="s">
        <v>4548</v>
      </c>
      <c r="AB516" s="11"/>
      <c r="AC516" s="11"/>
      <c r="AD516" s="11"/>
      <c r="AH516" s="8"/>
      <c r="AI516" s="20"/>
      <c r="AJ516" s="20"/>
      <c r="AK516" s="31"/>
      <c r="AL516" s="31"/>
    </row>
    <row r="517" spans="1:38" ht="60" hidden="1" x14ac:dyDescent="0.25">
      <c r="A517" s="14" t="s">
        <v>7170</v>
      </c>
      <c r="B517" s="7" t="s">
        <v>5877</v>
      </c>
      <c r="C517" s="7" t="s">
        <v>4610</v>
      </c>
      <c r="D517" s="7" t="s">
        <v>5978</v>
      </c>
      <c r="E517" s="7" t="s">
        <v>5978</v>
      </c>
      <c r="F517" s="7" t="s">
        <v>5978</v>
      </c>
      <c r="G517" s="7"/>
      <c r="H517" s="7"/>
      <c r="I517" s="7"/>
      <c r="J517" s="20" t="e">
        <f>VLOOKUP(V517,Table_to_BRG!A:D,3,FALSE)</f>
        <v>#N/A</v>
      </c>
      <c r="K517" s="20" t="e">
        <f>VLOOKUP(V517,Table_to_BRG!A:D,2,FALSE)</f>
        <v>#N/A</v>
      </c>
      <c r="L517" s="20"/>
      <c r="M517" s="20"/>
      <c r="N517" s="9" t="s">
        <v>6465</v>
      </c>
      <c r="O517" s="54" t="s">
        <v>7812</v>
      </c>
      <c r="P517" s="7" t="s">
        <v>4383</v>
      </c>
      <c r="Q517" s="11" t="str">
        <f>RIGHT("00"&amp;Table362[[#This Row],[Rule '#]],3)&amp;"_"&amp;IF(Table362[[#This Row],[Entity]]="Material","MATL",LEFT(UPPER(Table362[[#This Row],[Entity]]),4))&amp;"_"&amp;MID(SUBSTITUTE(Table362[[#This Row],[Rule Name]],"_","|",3),SEARCH("|",SUBSTITUTE(Table362[[#This Row],[Rule Name]],"_","|",3))+1,LEN(Table362[[#This Row],[Rule Name]]))</f>
        <v>140_FI_IS_REQUIRED_IO</v>
      </c>
      <c r="R517" s="8" t="s">
        <v>4384</v>
      </c>
      <c r="S517" s="7"/>
      <c r="T517" s="7"/>
      <c r="U517" s="7"/>
      <c r="V517" s="7"/>
      <c r="W517" s="7" t="s">
        <v>4549</v>
      </c>
      <c r="X517" s="8"/>
      <c r="Y517" s="7" t="s">
        <v>4442</v>
      </c>
      <c r="Z517" s="7" t="s">
        <v>4550</v>
      </c>
      <c r="AA517" s="11" t="s">
        <v>4551</v>
      </c>
      <c r="AB517" s="11"/>
      <c r="AC517" s="11"/>
      <c r="AD517" s="11"/>
      <c r="AH517" s="8"/>
      <c r="AI517" s="20"/>
      <c r="AJ517" s="20"/>
      <c r="AK517" s="31"/>
      <c r="AL517" s="31"/>
    </row>
    <row r="518" spans="1:38" ht="144" hidden="1" x14ac:dyDescent="0.25">
      <c r="A518" s="14" t="s">
        <v>7171</v>
      </c>
      <c r="B518" s="7" t="s">
        <v>5877</v>
      </c>
      <c r="C518" s="7" t="s">
        <v>4610</v>
      </c>
      <c r="D518" s="7" t="s">
        <v>5978</v>
      </c>
      <c r="E518" s="7" t="s">
        <v>5978</v>
      </c>
      <c r="F518" s="7" t="s">
        <v>5978</v>
      </c>
      <c r="G518" s="7"/>
      <c r="H518" s="7"/>
      <c r="I518" s="7"/>
      <c r="J518" s="20" t="e">
        <f>VLOOKUP(V518,Table_to_BRG!A:D,3,FALSE)</f>
        <v>#N/A</v>
      </c>
      <c r="K518" s="20" t="e">
        <f>VLOOKUP(V518,Table_to_BRG!A:D,2,FALSE)</f>
        <v>#N/A</v>
      </c>
      <c r="L518" s="20"/>
      <c r="M518" s="20"/>
      <c r="N518" s="9" t="s">
        <v>6465</v>
      </c>
      <c r="O518" s="54" t="s">
        <v>7812</v>
      </c>
      <c r="P518" s="7" t="s">
        <v>4385</v>
      </c>
      <c r="Q518" s="11" t="str">
        <f>RIGHT("00"&amp;Table362[[#This Row],[Rule '#]],3)&amp;"_"&amp;IF(Table362[[#This Row],[Entity]]="Material","MATL",LEFT(UPPER(Table362[[#This Row],[Entity]]),4))&amp;"_"&amp;MID(SUBSTITUTE(Table362[[#This Row],[Rule Name]],"_","|",3),SEARCH("|",SUBSTITUTE(Table362[[#This Row],[Rule Name]],"_","|",3))+1,LEN(Table362[[#This Row],[Rule Name]]))</f>
        <v>141_FI_Name_Is_Not_Null</v>
      </c>
      <c r="R518" s="8" t="s">
        <v>4386</v>
      </c>
      <c r="S518" s="7"/>
      <c r="T518" s="7"/>
      <c r="U518" s="7"/>
      <c r="V518" s="7" t="s">
        <v>4552</v>
      </c>
      <c r="W518" s="7" t="s">
        <v>4446</v>
      </c>
      <c r="X518" s="8"/>
      <c r="Y518" s="7" t="s">
        <v>4553</v>
      </c>
      <c r="Z518" s="7" t="s">
        <v>4448</v>
      </c>
      <c r="AA518" s="11" t="s">
        <v>4554</v>
      </c>
      <c r="AB518" s="11"/>
      <c r="AC518" s="11"/>
      <c r="AD518" s="11"/>
      <c r="AH518" s="8"/>
      <c r="AI518" s="20"/>
      <c r="AJ518" s="20"/>
      <c r="AK518" s="31"/>
      <c r="AL518" s="31"/>
    </row>
    <row r="519" spans="1:38" ht="36" hidden="1" x14ac:dyDescent="0.25">
      <c r="A519" s="14" t="s">
        <v>7172</v>
      </c>
      <c r="B519" s="7" t="s">
        <v>5877</v>
      </c>
      <c r="C519" s="7" t="s">
        <v>4610</v>
      </c>
      <c r="D519" s="7" t="s">
        <v>6711</v>
      </c>
      <c r="E519" s="7" t="s">
        <v>6751</v>
      </c>
      <c r="F519" s="7" t="s">
        <v>6752</v>
      </c>
      <c r="G519" s="7"/>
      <c r="H519" s="7"/>
      <c r="I519" s="7"/>
      <c r="J519" s="20" t="e">
        <f>VLOOKUP(V519,Table_to_BRG!A:D,3,FALSE)</f>
        <v>#N/A</v>
      </c>
      <c r="K519" s="20" t="e">
        <f>VLOOKUP(V519,Table_to_BRG!A:D,2,FALSE)</f>
        <v>#N/A</v>
      </c>
      <c r="L519" s="20"/>
      <c r="M519" s="20"/>
      <c r="N519" s="9" t="s">
        <v>6465</v>
      </c>
      <c r="O519" s="54" t="s">
        <v>7812</v>
      </c>
      <c r="P519" s="7" t="s">
        <v>4387</v>
      </c>
      <c r="Q519" s="11" t="str">
        <f>RIGHT("00"&amp;Table362[[#This Row],[Rule '#]],3)&amp;"_"&amp;IF(Table362[[#This Row],[Entity]]="Material","MATL",LEFT(UPPER(Table362[[#This Row],[Entity]]),4))&amp;"_"&amp;MID(SUBSTITUTE(Table362[[#This Row],[Rule Name]],"_","|",3),SEARCH("|",SUBSTITUTE(Table362[[#This Row],[Rule Name]],"_","|",3))+1,LEN(Table362[[#This Row],[Rule Name]]))</f>
        <v>142_FI_IS_RQRD</v>
      </c>
      <c r="R519" s="8" t="s">
        <v>4388</v>
      </c>
      <c r="S519" s="7"/>
      <c r="T519" s="7"/>
      <c r="U519" s="7"/>
      <c r="V519" s="7" t="s">
        <v>4145</v>
      </c>
      <c r="W519" s="7" t="s">
        <v>4144</v>
      </c>
      <c r="X519" s="8"/>
      <c r="Y519" s="7"/>
      <c r="Z519" s="7"/>
      <c r="AA519" s="11" t="s">
        <v>4555</v>
      </c>
      <c r="AB519" s="11"/>
      <c r="AC519" s="11" t="s">
        <v>6813</v>
      </c>
      <c r="AD519" s="11"/>
      <c r="AH519" s="8"/>
      <c r="AI519" s="20"/>
      <c r="AJ519" s="20"/>
      <c r="AK519" s="31"/>
      <c r="AL519" s="31"/>
    </row>
    <row r="520" spans="1:38" ht="84" hidden="1" x14ac:dyDescent="0.25">
      <c r="A520" s="14" t="s">
        <v>7173</v>
      </c>
      <c r="B520" s="7" t="s">
        <v>5877</v>
      </c>
      <c r="C520" s="7" t="s">
        <v>4610</v>
      </c>
      <c r="D520" s="7" t="s">
        <v>5978</v>
      </c>
      <c r="E520" s="7" t="s">
        <v>5978</v>
      </c>
      <c r="F520" s="7" t="s">
        <v>5978</v>
      </c>
      <c r="G520" s="7"/>
      <c r="H520" s="7"/>
      <c r="I520" s="7"/>
      <c r="J520" s="20" t="e">
        <f>VLOOKUP(V520,Table_to_BRG!A:D,3,FALSE)</f>
        <v>#N/A</v>
      </c>
      <c r="K520" s="20" t="e">
        <f>VLOOKUP(V520,Table_to_BRG!A:D,2,FALSE)</f>
        <v>#N/A</v>
      </c>
      <c r="L520" s="20"/>
      <c r="M520" s="20"/>
      <c r="N520" s="9" t="s">
        <v>6465</v>
      </c>
      <c r="O520" s="54" t="s">
        <v>7812</v>
      </c>
      <c r="P520" s="7" t="s">
        <v>4389</v>
      </c>
      <c r="Q520" s="11" t="str">
        <f>RIGHT("00"&amp;Table362[[#This Row],[Rule '#]],3)&amp;"_"&amp;IF(Table362[[#This Row],[Entity]]="Material","MATL",LEFT(UPPER(Table362[[#This Row],[Entity]]),4))&amp;"_"&amp;MID(SUBSTITUTE(Table362[[#This Row],[Rule Name]],"_","|",3),SEARCH("|",SUBSTITUTE(Table362[[#This Row],[Rule Name]],"_","|",3))+1,LEN(Table362[[#This Row],[Rule Name]]))</f>
        <v>143_FI_To_Date</v>
      </c>
      <c r="R520" s="8" t="s">
        <v>4390</v>
      </c>
      <c r="S520" s="7"/>
      <c r="T520" s="7"/>
      <c r="U520" s="7"/>
      <c r="V520" s="7"/>
      <c r="W520" s="7" t="s">
        <v>4556</v>
      </c>
      <c r="X520" s="8"/>
      <c r="Y520" s="7"/>
      <c r="Z520" s="7"/>
      <c r="AA520" s="11" t="s">
        <v>4557</v>
      </c>
      <c r="AB520" s="11"/>
      <c r="AC520" s="11"/>
      <c r="AD520" s="11"/>
      <c r="AH520" s="8"/>
      <c r="AI520" s="20"/>
      <c r="AJ520" s="20"/>
      <c r="AK520" s="31"/>
      <c r="AL520" s="31"/>
    </row>
    <row r="521" spans="1:38" ht="48" hidden="1" x14ac:dyDescent="0.25">
      <c r="A521" s="14" t="s">
        <v>7174</v>
      </c>
      <c r="B521" s="7" t="s">
        <v>5877</v>
      </c>
      <c r="C521" s="7" t="s">
        <v>4610</v>
      </c>
      <c r="D521" s="7" t="s">
        <v>5978</v>
      </c>
      <c r="E521" s="7" t="s">
        <v>5978</v>
      </c>
      <c r="F521" s="7" t="s">
        <v>5978</v>
      </c>
      <c r="G521" s="7"/>
      <c r="H521" s="7"/>
      <c r="I521" s="7"/>
      <c r="J521" s="20" t="e">
        <f>VLOOKUP(V521,Table_to_BRG!A:D,3,FALSE)</f>
        <v>#N/A</v>
      </c>
      <c r="K521" s="20" t="e">
        <f>VLOOKUP(V521,Table_to_BRG!A:D,2,FALSE)</f>
        <v>#N/A</v>
      </c>
      <c r="L521" s="20"/>
      <c r="M521" s="20"/>
      <c r="N521" s="9" t="s">
        <v>6465</v>
      </c>
      <c r="O521" s="54" t="s">
        <v>7812</v>
      </c>
      <c r="P521" s="7" t="s">
        <v>4391</v>
      </c>
      <c r="Q521" s="11" t="str">
        <f>RIGHT("00"&amp;Table362[[#This Row],[Rule '#]],3)&amp;"_"&amp;IF(Table362[[#This Row],[Entity]]="Material","MATL",LEFT(UPPER(Table362[[#This Row],[Entity]]),4))&amp;"_"&amp;MID(SUBSTITUTE(Table362[[#This Row],[Rule Name]],"_","|",3),SEARCH("|",SUBSTITUTE(Table362[[#This Row],[Rule Name]],"_","|",3))+1,LEN(Table362[[#This Row],[Rule Name]]))</f>
        <v>144_FI_TXT20</v>
      </c>
      <c r="R521" s="8" t="s">
        <v>4392</v>
      </c>
      <c r="S521" s="7"/>
      <c r="T521" s="7"/>
      <c r="U521" s="7"/>
      <c r="V521" s="7"/>
      <c r="W521" s="7" t="s">
        <v>4558</v>
      </c>
      <c r="X521" s="8"/>
      <c r="Y521" s="7"/>
      <c r="Z521" s="7"/>
      <c r="AA521" s="11" t="s">
        <v>4559</v>
      </c>
      <c r="AB521" s="11"/>
      <c r="AC521" s="11"/>
      <c r="AD521" s="11"/>
      <c r="AH521" s="8"/>
      <c r="AI521" s="20"/>
      <c r="AJ521" s="20"/>
      <c r="AK521" s="31"/>
      <c r="AL521" s="31"/>
    </row>
    <row r="522" spans="1:38" ht="75" hidden="1" x14ac:dyDescent="0.25">
      <c r="A522" s="14" t="s">
        <v>7175</v>
      </c>
      <c r="B522" s="7" t="s">
        <v>5877</v>
      </c>
      <c r="C522" s="7" t="s">
        <v>4610</v>
      </c>
      <c r="D522" s="7" t="s">
        <v>5978</v>
      </c>
      <c r="E522" s="7" t="s">
        <v>5978</v>
      </c>
      <c r="F522" s="7" t="s">
        <v>5978</v>
      </c>
      <c r="G522" s="7"/>
      <c r="H522" s="7"/>
      <c r="I522" s="7"/>
      <c r="J522" s="20" t="e">
        <f>VLOOKUP(V522,Table_to_BRG!A:D,3,FALSE)</f>
        <v>#N/A</v>
      </c>
      <c r="K522" s="20" t="e">
        <f>VLOOKUP(V522,Table_to_BRG!A:D,2,FALSE)</f>
        <v>#N/A</v>
      </c>
      <c r="L522" s="20"/>
      <c r="M522" s="20"/>
      <c r="N522" s="9" t="s">
        <v>6465</v>
      </c>
      <c r="O522" s="54" t="s">
        <v>7812</v>
      </c>
      <c r="P522" s="7" t="s">
        <v>4393</v>
      </c>
      <c r="Q522" s="11" t="str">
        <f>RIGHT("00"&amp;Table362[[#This Row],[Rule '#]],3)&amp;"_"&amp;IF(Table362[[#This Row],[Entity]]="Material","MATL",LEFT(UPPER(Table362[[#This Row],[Entity]]),4))&amp;"_"&amp;MID(SUBSTITUTE(Table362[[#This Row],[Rule Name]],"_","|",3),SEARCH("|",SUBSTITUTE(Table362[[#This Row],[Rule Name]],"_","|",3))+1,LEN(Table362[[#This Row],[Rule Name]]))</f>
        <v>145_FI_Cost_Element_CCA</v>
      </c>
      <c r="R522" s="8" t="s">
        <v>4394</v>
      </c>
      <c r="S522" s="7"/>
      <c r="T522" s="7"/>
      <c r="U522" s="7"/>
      <c r="V522" s="7" t="s">
        <v>4535</v>
      </c>
      <c r="W522" s="7" t="s">
        <v>4560</v>
      </c>
      <c r="X522" s="8"/>
      <c r="Y522" s="7"/>
      <c r="Z522" s="7"/>
      <c r="AA522" s="11" t="s">
        <v>4561</v>
      </c>
      <c r="AB522" s="11"/>
      <c r="AC522" s="11"/>
      <c r="AD522" s="11"/>
      <c r="AH522" s="8"/>
      <c r="AI522" s="20"/>
      <c r="AJ522" s="20"/>
      <c r="AK522" s="31"/>
      <c r="AL522" s="31"/>
    </row>
    <row r="523" spans="1:38" ht="120" hidden="1" x14ac:dyDescent="0.25">
      <c r="A523" s="14" t="s">
        <v>7176</v>
      </c>
      <c r="B523" s="7" t="s">
        <v>5877</v>
      </c>
      <c r="C523" s="7" t="s">
        <v>4610</v>
      </c>
      <c r="D523" s="7" t="s">
        <v>5978</v>
      </c>
      <c r="E523" s="7" t="s">
        <v>5978</v>
      </c>
      <c r="F523" s="7" t="s">
        <v>5978</v>
      </c>
      <c r="G523" s="7"/>
      <c r="H523" s="7"/>
      <c r="I523" s="7"/>
      <c r="J523" s="20" t="e">
        <f>VLOOKUP(V523,Table_to_BRG!A:D,3,FALSE)</f>
        <v>#N/A</v>
      </c>
      <c r="K523" s="20" t="e">
        <f>VLOOKUP(V523,Table_to_BRG!A:D,2,FALSE)</f>
        <v>#N/A</v>
      </c>
      <c r="L523" s="20"/>
      <c r="M523" s="20"/>
      <c r="N523" s="9" t="s">
        <v>6465</v>
      </c>
      <c r="O523" s="54" t="s">
        <v>7812</v>
      </c>
      <c r="P523" s="7" t="s">
        <v>4395</v>
      </c>
      <c r="Q523" s="11" t="str">
        <f>RIGHT("00"&amp;Table362[[#This Row],[Rule '#]],3)&amp;"_"&amp;IF(Table362[[#This Row],[Entity]]="Material","MATL",LEFT(UPPER(Table362[[#This Row],[Entity]]),4))&amp;"_"&amp;MID(SUBSTITUTE(Table362[[#This Row],[Rule Name]],"_","|",3),SEARCH("|",SUBSTITUTE(Table362[[#This Row],[Rule Name]],"_","|",3))+1,LEN(Table362[[#This Row],[Rule Name]]))</f>
        <v>146_FI_Area_CCA</v>
      </c>
      <c r="R523" s="8" t="s">
        <v>4396</v>
      </c>
      <c r="S523" s="7"/>
      <c r="T523" s="7"/>
      <c r="U523" s="7"/>
      <c r="V523" s="7" t="s">
        <v>4562</v>
      </c>
      <c r="W523" s="7" t="s">
        <v>4563</v>
      </c>
      <c r="X523" s="8"/>
      <c r="Y523" s="7" t="s">
        <v>4564</v>
      </c>
      <c r="Z523" s="7" t="s">
        <v>4562</v>
      </c>
      <c r="AA523" s="11" t="s">
        <v>4565</v>
      </c>
      <c r="AB523" s="11"/>
      <c r="AC523" s="11"/>
      <c r="AD523" s="11"/>
      <c r="AH523" s="8"/>
      <c r="AI523" s="20"/>
      <c r="AJ523" s="20"/>
      <c r="AK523" s="31"/>
      <c r="AL523" s="31"/>
    </row>
    <row r="524" spans="1:38" ht="45" hidden="1" x14ac:dyDescent="0.25">
      <c r="A524" s="14" t="s">
        <v>7177</v>
      </c>
      <c r="B524" s="7" t="s">
        <v>5877</v>
      </c>
      <c r="C524" s="7" t="s">
        <v>4610</v>
      </c>
      <c r="D524" s="7" t="s">
        <v>5978</v>
      </c>
      <c r="E524" s="7" t="s">
        <v>5978</v>
      </c>
      <c r="F524" s="7" t="s">
        <v>5978</v>
      </c>
      <c r="G524" s="7"/>
      <c r="H524" s="7"/>
      <c r="I524" s="7"/>
      <c r="J524" s="20" t="e">
        <f>VLOOKUP(V524,Table_to_BRG!A:D,3,FALSE)</f>
        <v>#N/A</v>
      </c>
      <c r="K524" s="20" t="e">
        <f>VLOOKUP(V524,Table_to_BRG!A:D,2,FALSE)</f>
        <v>#N/A</v>
      </c>
      <c r="L524" s="20"/>
      <c r="M524" s="20"/>
      <c r="N524" s="9" t="s">
        <v>6465</v>
      </c>
      <c r="O524" s="54" t="s">
        <v>7812</v>
      </c>
      <c r="P524" s="7" t="s">
        <v>4397</v>
      </c>
      <c r="Q524" s="11" t="str">
        <f>RIGHT("00"&amp;Table362[[#This Row],[Rule '#]],3)&amp;"_"&amp;IF(Table362[[#This Row],[Entity]]="Material","MATL",LEFT(UPPER(Table362[[#This Row],[Entity]]),4))&amp;"_"&amp;MID(SUBSTITUTE(Table362[[#This Row],[Rule Name]],"_","|",3),SEARCH("|",SUBSTITUTE(Table362[[#This Row],[Rule Name]],"_","|",3))+1,LEN(Table362[[#This Row],[Rule Name]]))</f>
        <v>147_FI_IS_EN</v>
      </c>
      <c r="R524" s="8" t="s">
        <v>4318</v>
      </c>
      <c r="S524" s="7"/>
      <c r="T524" s="7"/>
      <c r="U524" s="7"/>
      <c r="V524" s="7"/>
      <c r="W524" s="7" t="s">
        <v>4471</v>
      </c>
      <c r="X524" s="8"/>
      <c r="Y524" s="7"/>
      <c r="Z524" s="7"/>
      <c r="AA524" s="11" t="s">
        <v>4566</v>
      </c>
      <c r="AB524" s="11"/>
      <c r="AC524" s="11"/>
      <c r="AD524" s="11"/>
      <c r="AH524" s="8"/>
      <c r="AI524" s="20"/>
      <c r="AJ524" s="20"/>
      <c r="AK524" s="31"/>
      <c r="AL524" s="31"/>
    </row>
    <row r="525" spans="1:38" ht="36" hidden="1" x14ac:dyDescent="0.25">
      <c r="A525" s="14" t="s">
        <v>7178</v>
      </c>
      <c r="B525" s="7" t="s">
        <v>5877</v>
      </c>
      <c r="C525" s="7" t="s">
        <v>4610</v>
      </c>
      <c r="D525" s="7" t="s">
        <v>5978</v>
      </c>
      <c r="E525" s="7" t="s">
        <v>5978</v>
      </c>
      <c r="F525" s="7" t="s">
        <v>5978</v>
      </c>
      <c r="G525" s="7"/>
      <c r="H525" s="7"/>
      <c r="I525" s="7"/>
      <c r="J525" s="20" t="e">
        <f>VLOOKUP(V525,Table_to_BRG!A:D,3,FALSE)</f>
        <v>#N/A</v>
      </c>
      <c r="K525" s="20" t="e">
        <f>VLOOKUP(V525,Table_to_BRG!A:D,2,FALSE)</f>
        <v>#N/A</v>
      </c>
      <c r="L525" s="20"/>
      <c r="M525" s="20"/>
      <c r="N525" s="9" t="s">
        <v>6465</v>
      </c>
      <c r="O525" s="54" t="s">
        <v>7812</v>
      </c>
      <c r="P525" s="7" t="s">
        <v>4398</v>
      </c>
      <c r="Q525" s="11" t="str">
        <f>RIGHT("00"&amp;Table362[[#This Row],[Rule '#]],3)&amp;"_"&amp;IF(Table362[[#This Row],[Entity]]="Material","MATL",LEFT(UPPER(Table362[[#This Row],[Entity]]),4))&amp;"_"&amp;MID(SUBSTITUTE(Table362[[#This Row],[Rule Name]],"_","|",3),SEARCH("|",SUBSTITUTE(Table362[[#This Row],[Rule Name]],"_","|",3))+1,LEN(Table362[[#This Row],[Rule Name]]))</f>
        <v>148_FI_EXIST</v>
      </c>
      <c r="R525" s="8" t="s">
        <v>4399</v>
      </c>
      <c r="S525" s="7"/>
      <c r="T525" s="7"/>
      <c r="U525" s="7"/>
      <c r="V525" s="7"/>
      <c r="W525" s="7" t="s">
        <v>4461</v>
      </c>
      <c r="X525" s="8"/>
      <c r="Y525" s="7" t="s">
        <v>4152</v>
      </c>
      <c r="Z525" s="7" t="s">
        <v>2958</v>
      </c>
      <c r="AA525" s="11" t="str">
        <f>"BEGIN
     RETURN exists('DS_IS_RDS', '"&amp;Table362[[#This Row],[Lookup Table]]&amp;"', '"&amp;Table362[[#This Row],[Lookup Field]]&amp;"', "&amp;Table362[[#This Row],[IS Parameter]]&amp;");
END"</f>
        <v>BEGIN
     RETURN exists('DS_IS_RDS', 'T005', 'LAND1', );
END</v>
      </c>
      <c r="AB525" s="11"/>
      <c r="AC525" s="11"/>
      <c r="AD525" s="11"/>
      <c r="AH525" s="8"/>
      <c r="AI525" s="20"/>
      <c r="AJ525" s="20"/>
      <c r="AK525" s="31"/>
      <c r="AL525" s="31"/>
    </row>
    <row r="526" spans="1:38" ht="75" hidden="1" x14ac:dyDescent="0.25">
      <c r="A526" s="14" t="s">
        <v>7179</v>
      </c>
      <c r="B526" s="7" t="s">
        <v>5877</v>
      </c>
      <c r="C526" s="7" t="s">
        <v>4610</v>
      </c>
      <c r="D526" s="7" t="s">
        <v>5978</v>
      </c>
      <c r="E526" s="7" t="s">
        <v>5978</v>
      </c>
      <c r="F526" s="7" t="s">
        <v>5978</v>
      </c>
      <c r="G526" s="7"/>
      <c r="H526" s="7"/>
      <c r="I526" s="7"/>
      <c r="J526" s="20" t="e">
        <f>VLOOKUP(V526,Table_to_BRG!A:D,3,FALSE)</f>
        <v>#N/A</v>
      </c>
      <c r="K526" s="20" t="e">
        <f>VLOOKUP(V526,Table_to_BRG!A:D,2,FALSE)</f>
        <v>#N/A</v>
      </c>
      <c r="L526" s="20"/>
      <c r="M526" s="20"/>
      <c r="N526" s="9" t="s">
        <v>6465</v>
      </c>
      <c r="O526" s="54" t="s">
        <v>7812</v>
      </c>
      <c r="P526" s="7" t="s">
        <v>4400</v>
      </c>
      <c r="Q526" s="11" t="str">
        <f>RIGHT("00"&amp;Table362[[#This Row],[Rule '#]],3)&amp;"_"&amp;IF(Table362[[#This Row],[Entity]]="Material","MATL",LEFT(UPPER(Table362[[#This Row],[Entity]]),4))&amp;"_"&amp;MID(SUBSTITUTE(Table362[[#This Row],[Rule Name]],"_","|",3),SEARCH("|",SUBSTITUTE(Table362[[#This Row],[Rule Name]],"_","|",3))+1,LEN(Table362[[#This Row],[Rule Name]]))</f>
        <v>149_FI_Cost_Center_Category_CCA</v>
      </c>
      <c r="R526" s="8" t="s">
        <v>4401</v>
      </c>
      <c r="S526" s="7"/>
      <c r="T526" s="7"/>
      <c r="U526" s="7"/>
      <c r="V526" s="7"/>
      <c r="W526" s="7" t="s">
        <v>4567</v>
      </c>
      <c r="X526" s="8"/>
      <c r="Y526" s="7" t="s">
        <v>4568</v>
      </c>
      <c r="Z526" s="7" t="s">
        <v>4569</v>
      </c>
      <c r="AA526" s="11" t="s">
        <v>4570</v>
      </c>
      <c r="AB526" s="11"/>
      <c r="AC526" s="11"/>
      <c r="AD526" s="11"/>
      <c r="AH526" s="8"/>
      <c r="AI526" s="20"/>
      <c r="AJ526" s="20"/>
      <c r="AK526" s="31"/>
      <c r="AL526" s="31"/>
    </row>
    <row r="527" spans="1:38" ht="72" hidden="1" x14ac:dyDescent="0.25">
      <c r="A527" s="14" t="s">
        <v>7180</v>
      </c>
      <c r="B527" s="7" t="s">
        <v>5877</v>
      </c>
      <c r="C527" s="7" t="s">
        <v>4610</v>
      </c>
      <c r="D527" s="7" t="s">
        <v>5978</v>
      </c>
      <c r="E527" s="7" t="s">
        <v>5978</v>
      </c>
      <c r="F527" s="7" t="s">
        <v>5978</v>
      </c>
      <c r="G527" s="7"/>
      <c r="H527" s="7"/>
      <c r="I527" s="7"/>
      <c r="J527" s="20" t="e">
        <f>VLOOKUP(V527,Table_to_BRG!A:D,3,FALSE)</f>
        <v>#N/A</v>
      </c>
      <c r="K527" s="20" t="e">
        <f>VLOOKUP(V527,Table_to_BRG!A:D,2,FALSE)</f>
        <v>#N/A</v>
      </c>
      <c r="L527" s="20"/>
      <c r="M527" s="20"/>
      <c r="N527" s="9" t="s">
        <v>6465</v>
      </c>
      <c r="O527" s="54" t="s">
        <v>7812</v>
      </c>
      <c r="P527" s="7" t="s">
        <v>4402</v>
      </c>
      <c r="Q527" s="11" t="str">
        <f>RIGHT("00"&amp;Table362[[#This Row],[Rule '#]],3)&amp;"_"&amp;IF(Table362[[#This Row],[Entity]]="Material","MATL",LEFT(UPPER(Table362[[#This Row],[Entity]]),4))&amp;"_"&amp;MID(SUBSTITUTE(Table362[[#This Row],[Rule Name]],"_","|",3),SEARCH("|",SUBSTITUTE(Table362[[#This Row],[Rule Name]],"_","|",3))+1,LEN(Table362[[#This Row],[Rule Name]]))</f>
        <v>150_FI_IS_REQUIRED_AA</v>
      </c>
      <c r="R527" s="8" t="s">
        <v>4403</v>
      </c>
      <c r="S527" s="7"/>
      <c r="T527" s="7"/>
      <c r="U527" s="7"/>
      <c r="V527" s="7" t="s">
        <v>4513</v>
      </c>
      <c r="W527" s="7" t="s">
        <v>4571</v>
      </c>
      <c r="X527" s="8"/>
      <c r="Y527" s="7" t="s">
        <v>4482</v>
      </c>
      <c r="Z527" s="7" t="s">
        <v>4572</v>
      </c>
      <c r="AA527" s="11" t="s">
        <v>4573</v>
      </c>
      <c r="AB527" s="11"/>
      <c r="AC527" s="11"/>
      <c r="AD527" s="11"/>
      <c r="AH527" s="8"/>
      <c r="AI527" s="20"/>
      <c r="AJ527" s="20"/>
      <c r="AK527" s="31"/>
      <c r="AL527" s="31"/>
    </row>
    <row r="528" spans="1:38" ht="60" hidden="1" x14ac:dyDescent="0.25">
      <c r="A528" s="14" t="s">
        <v>7181</v>
      </c>
      <c r="B528" s="7" t="s">
        <v>5877</v>
      </c>
      <c r="C528" s="7" t="s">
        <v>4610</v>
      </c>
      <c r="D528" s="7" t="s">
        <v>5978</v>
      </c>
      <c r="E528" s="7" t="s">
        <v>5978</v>
      </c>
      <c r="F528" s="7" t="s">
        <v>5978</v>
      </c>
      <c r="G528" s="7"/>
      <c r="H528" s="7"/>
      <c r="I528" s="7"/>
      <c r="J528" s="20" t="e">
        <f>VLOOKUP(V528,Table_to_BRG!A:D,3,FALSE)</f>
        <v>#N/A</v>
      </c>
      <c r="K528" s="20" t="e">
        <f>VLOOKUP(V528,Table_to_BRG!A:D,2,FALSE)</f>
        <v>#N/A</v>
      </c>
      <c r="L528" s="20"/>
      <c r="M528" s="20"/>
      <c r="N528" s="9" t="s">
        <v>6465</v>
      </c>
      <c r="O528" s="54" t="s">
        <v>7812</v>
      </c>
      <c r="P528" s="7" t="s">
        <v>4404</v>
      </c>
      <c r="Q528" s="11" t="str">
        <f>RIGHT("00"&amp;Table362[[#This Row],[Rule '#]],3)&amp;"_"&amp;IF(Table362[[#This Row],[Entity]]="Material","MATL",LEFT(UPPER(Table362[[#This Row],[Entity]]),4))&amp;"_"&amp;MID(SUBSTITUTE(Table362[[#This Row],[Rule Name]],"_","|",3),SEARCH("|",SUBSTITUTE(Table362[[#This Row],[Rule Name]],"_","|",3))+1,LEN(Table362[[#This Row],[Rule Name]]))</f>
        <v>151_FI_6_CHAR</v>
      </c>
      <c r="R528" s="8" t="s">
        <v>4405</v>
      </c>
      <c r="S528" s="7"/>
      <c r="T528" s="7"/>
      <c r="U528" s="7"/>
      <c r="V528" s="7"/>
      <c r="W528" s="7" t="s">
        <v>4574</v>
      </c>
      <c r="X528" s="8"/>
      <c r="Y528" s="7"/>
      <c r="Z528" s="7"/>
      <c r="AA528" s="11" t="s">
        <v>4575</v>
      </c>
      <c r="AB528" s="11"/>
      <c r="AC528" s="11"/>
      <c r="AD528" s="11"/>
      <c r="AH528" s="8"/>
      <c r="AI528" s="20"/>
      <c r="AJ528" s="20"/>
      <c r="AK528" s="31"/>
      <c r="AL528" s="31"/>
    </row>
    <row r="529" spans="1:38" ht="60" hidden="1" x14ac:dyDescent="0.25">
      <c r="A529" s="14" t="s">
        <v>7182</v>
      </c>
      <c r="B529" s="7" t="s">
        <v>5877</v>
      </c>
      <c r="C529" s="7" t="s">
        <v>4610</v>
      </c>
      <c r="D529" s="7" t="s">
        <v>5978</v>
      </c>
      <c r="E529" s="7" t="s">
        <v>5978</v>
      </c>
      <c r="F529" s="7" t="s">
        <v>5978</v>
      </c>
      <c r="G529" s="7"/>
      <c r="H529" s="7"/>
      <c r="I529" s="7"/>
      <c r="J529" s="20" t="e">
        <f>VLOOKUP(V529,Table_to_BRG!A:D,3,FALSE)</f>
        <v>#N/A</v>
      </c>
      <c r="K529" s="20" t="e">
        <f>VLOOKUP(V529,Table_to_BRG!A:D,2,FALSE)</f>
        <v>#N/A</v>
      </c>
      <c r="L529" s="20"/>
      <c r="M529" s="20"/>
      <c r="N529" s="9" t="s">
        <v>6465</v>
      </c>
      <c r="O529" s="54" t="s">
        <v>7812</v>
      </c>
      <c r="P529" s="7" t="s">
        <v>4406</v>
      </c>
      <c r="Q529" s="11" t="str">
        <f>RIGHT("00"&amp;Table362[[#This Row],[Rule '#]],3)&amp;"_"&amp;IF(Table362[[#This Row],[Entity]]="Material","MATL",LEFT(UPPER(Table362[[#This Row],[Entity]]),4))&amp;"_"&amp;MID(SUBSTITUTE(Table362[[#This Row],[Rule Name]],"_","|",3),SEARCH("|",SUBSTITUTE(Table362[[#This Row],[Rule Name]],"_","|",3))+1,LEN(Table362[[#This Row],[Rule Name]]))</f>
        <v>152_FI_PCA</v>
      </c>
      <c r="R529" s="8" t="s">
        <v>4407</v>
      </c>
      <c r="S529" s="7"/>
      <c r="T529" s="7"/>
      <c r="U529" s="7"/>
      <c r="V529" s="7" t="s">
        <v>4221</v>
      </c>
      <c r="W529" s="7" t="s">
        <v>4576</v>
      </c>
      <c r="X529" s="8"/>
      <c r="Y529" s="7"/>
      <c r="Z529" s="7"/>
      <c r="AA529" s="11" t="s">
        <v>4577</v>
      </c>
      <c r="AB529" s="11"/>
      <c r="AC529" s="11"/>
      <c r="AD529" s="11"/>
      <c r="AH529" s="8"/>
      <c r="AI529" s="20"/>
      <c r="AJ529" s="20"/>
      <c r="AK529" s="31"/>
      <c r="AL529" s="31"/>
    </row>
    <row r="530" spans="1:38" ht="36" hidden="1" x14ac:dyDescent="0.25">
      <c r="A530" s="14" t="s">
        <v>7183</v>
      </c>
      <c r="B530" s="7" t="s">
        <v>5877</v>
      </c>
      <c r="C530" s="7" t="s">
        <v>4610</v>
      </c>
      <c r="D530" s="7" t="s">
        <v>5978</v>
      </c>
      <c r="E530" s="7" t="s">
        <v>5978</v>
      </c>
      <c r="F530" s="7" t="s">
        <v>5978</v>
      </c>
      <c r="G530" s="7"/>
      <c r="H530" s="7"/>
      <c r="I530" s="7"/>
      <c r="J530" s="20" t="e">
        <f>VLOOKUP(V530,Table_to_BRG!A:D,3,FALSE)</f>
        <v>#N/A</v>
      </c>
      <c r="K530" s="20" t="e">
        <f>VLOOKUP(V530,Table_to_BRG!A:D,2,FALSE)</f>
        <v>#N/A</v>
      </c>
      <c r="L530" s="20"/>
      <c r="M530" s="20"/>
      <c r="N530" s="9" t="s">
        <v>6465</v>
      </c>
      <c r="O530" s="54" t="s">
        <v>7812</v>
      </c>
      <c r="P530" s="7" t="s">
        <v>4408</v>
      </c>
      <c r="Q530" s="11" t="str">
        <f>RIGHT("00"&amp;Table362[[#This Row],[Rule '#]],3)&amp;"_"&amp;IF(Table362[[#This Row],[Entity]]="Material","MATL",LEFT(UPPER(Table362[[#This Row],[Entity]]),4))&amp;"_"&amp;MID(SUBSTITUTE(Table362[[#This Row],[Rule Name]],"_","|",3),SEARCH("|",SUBSTITUTE(Table362[[#This Row],[Rule Name]],"_","|",3))+1,LEN(Table362[[#This Row],[Rule Name]]))</f>
        <v>153_FI_Status_Group_GL</v>
      </c>
      <c r="R530" s="8" t="s">
        <v>4340</v>
      </c>
      <c r="S530" s="7"/>
      <c r="T530" s="7"/>
      <c r="U530" s="7"/>
      <c r="V530" s="7" t="s">
        <v>4271</v>
      </c>
      <c r="W530" s="7" t="s">
        <v>4578</v>
      </c>
      <c r="X530" s="8"/>
      <c r="Y530" s="7" t="s">
        <v>4579</v>
      </c>
      <c r="Z530" s="7" t="s">
        <v>4580</v>
      </c>
      <c r="AA530" s="11" t="str">
        <f>"BEGIN
     RETURN exists('DS_IS_RDS', '"&amp;Table362[[#This Row],[Lookup Table]]&amp;"', '"&amp;Table362[[#This Row],[Lookup Field]]&amp;"', upper("&amp;Table362[[#This Row],[IS Parameter]]&amp;");
END"</f>
        <v>BEGIN
     RETURN exists('DS_IS_RDS', 'T004F', 'FSTAG', upper();
END</v>
      </c>
      <c r="AB530" s="11"/>
      <c r="AC530" s="11"/>
      <c r="AD530" s="11"/>
      <c r="AH530" s="8"/>
      <c r="AI530" s="20"/>
      <c r="AJ530" s="20"/>
      <c r="AK530" s="31"/>
      <c r="AL530" s="31"/>
    </row>
    <row r="531" spans="1:38" ht="36" hidden="1" x14ac:dyDescent="0.25">
      <c r="A531" s="14" t="s">
        <v>7184</v>
      </c>
      <c r="B531" s="7" t="s">
        <v>5877</v>
      </c>
      <c r="C531" s="7" t="s">
        <v>4610</v>
      </c>
      <c r="D531" s="7" t="s">
        <v>5978</v>
      </c>
      <c r="E531" s="7" t="s">
        <v>5978</v>
      </c>
      <c r="F531" s="7" t="s">
        <v>5978</v>
      </c>
      <c r="G531" s="7"/>
      <c r="H531" s="7"/>
      <c r="I531" s="7"/>
      <c r="J531" s="20" t="e">
        <f>VLOOKUP(V531,Table_to_BRG!A:D,3,FALSE)</f>
        <v>#N/A</v>
      </c>
      <c r="K531" s="20" t="e">
        <f>VLOOKUP(V531,Table_to_BRG!A:D,2,FALSE)</f>
        <v>#N/A</v>
      </c>
      <c r="L531" s="20"/>
      <c r="M531" s="20"/>
      <c r="N531" s="9" t="s">
        <v>6465</v>
      </c>
      <c r="O531" s="54" t="s">
        <v>7812</v>
      </c>
      <c r="P531" s="7" t="s">
        <v>4409</v>
      </c>
      <c r="Q531" s="11" t="str">
        <f>RIGHT("00"&amp;Table362[[#This Row],[Rule '#]],3)&amp;"_"&amp;IF(Table362[[#This Row],[Entity]]="Material","MATL",LEFT(UPPER(Table362[[#This Row],[Entity]]),4))&amp;"_"&amp;MID(SUBSTITUTE(Table362[[#This Row],[Rule Name]],"_","|",3),SEARCH("|",SUBSTITUTE(Table362[[#This Row],[Rule Name]],"_","|",3))+1,LEN(Table362[[#This Row],[Rule Name]]))</f>
        <v>154_FI_IS_NULL_IO</v>
      </c>
      <c r="R531" s="8" t="s">
        <v>4410</v>
      </c>
      <c r="S531" s="7"/>
      <c r="T531" s="7"/>
      <c r="U531" s="7"/>
      <c r="V531" s="7" t="s">
        <v>4442</v>
      </c>
      <c r="W531" s="7" t="s">
        <v>4581</v>
      </c>
      <c r="X531" s="8"/>
      <c r="Y531" s="7"/>
      <c r="Z531" s="7"/>
      <c r="AA531" s="11" t="s">
        <v>4582</v>
      </c>
      <c r="AB531" s="11"/>
      <c r="AC531" s="11" t="s">
        <v>6664</v>
      </c>
      <c r="AD531" s="11"/>
      <c r="AH531" s="8"/>
      <c r="AI531" s="20"/>
      <c r="AJ531" s="20"/>
      <c r="AK531" s="31"/>
      <c r="AL531" s="31"/>
    </row>
    <row r="532" spans="1:38" ht="48" hidden="1" x14ac:dyDescent="0.25">
      <c r="A532" s="14" t="s">
        <v>7185</v>
      </c>
      <c r="B532" s="7" t="s">
        <v>5877</v>
      </c>
      <c r="C532" s="7" t="s">
        <v>4610</v>
      </c>
      <c r="D532" s="7" t="s">
        <v>5978</v>
      </c>
      <c r="E532" s="7" t="s">
        <v>5978</v>
      </c>
      <c r="F532" s="7" t="s">
        <v>5978</v>
      </c>
      <c r="G532" s="7"/>
      <c r="H532" s="7"/>
      <c r="I532" s="7"/>
      <c r="J532" s="20" t="e">
        <f>VLOOKUP(V532,Table_to_BRG!A:D,3,FALSE)</f>
        <v>#N/A</v>
      </c>
      <c r="K532" s="20" t="e">
        <f>VLOOKUP(V532,Table_to_BRG!A:D,2,FALSE)</f>
        <v>#N/A</v>
      </c>
      <c r="L532" s="20"/>
      <c r="M532" s="20"/>
      <c r="N532" s="9" t="s">
        <v>6465</v>
      </c>
      <c r="O532" s="54" t="s">
        <v>7812</v>
      </c>
      <c r="P532" s="7" t="s">
        <v>4411</v>
      </c>
      <c r="Q532" s="11" t="str">
        <f>RIGHT("00"&amp;Table362[[#This Row],[Rule '#]],3)&amp;"_"&amp;IF(Table362[[#This Row],[Entity]]="Material","MATL",LEFT(UPPER(Table362[[#This Row],[Entity]]),4))&amp;"_"&amp;MID(SUBSTITUTE(Table362[[#This Row],[Rule Name]],"_","|",3),SEARCH("|",SUBSTITUTE(Table362[[#This Row],[Rule Name]],"_","|",3))+1,LEN(Table362[[#This Row],[Rule Name]]))</f>
        <v>155_FI_REQUIRED_IO</v>
      </c>
      <c r="R532" s="8" t="s">
        <v>4412</v>
      </c>
      <c r="S532" s="7"/>
      <c r="T532" s="7"/>
      <c r="U532" s="7"/>
      <c r="V532" s="7" t="s">
        <v>4442</v>
      </c>
      <c r="W532" s="7" t="s">
        <v>4583</v>
      </c>
      <c r="X532" s="8"/>
      <c r="Y532" s="7" t="s">
        <v>2739</v>
      </c>
      <c r="Z532" s="7" t="s">
        <v>2706</v>
      </c>
      <c r="AA532" s="11" t="s">
        <v>4584</v>
      </c>
      <c r="AB532" s="11"/>
      <c r="AC532" s="11"/>
      <c r="AD532" s="11"/>
      <c r="AH532" s="8"/>
      <c r="AI532" s="20"/>
      <c r="AJ532" s="20"/>
      <c r="AK532" s="31"/>
      <c r="AL532" s="31"/>
    </row>
    <row r="533" spans="1:38" ht="48" hidden="1" x14ac:dyDescent="0.25">
      <c r="A533" s="14" t="s">
        <v>7186</v>
      </c>
      <c r="B533" s="7" t="s">
        <v>5877</v>
      </c>
      <c r="C533" s="7" t="s">
        <v>4610</v>
      </c>
      <c r="D533" s="7" t="s">
        <v>5978</v>
      </c>
      <c r="E533" s="7" t="s">
        <v>5978</v>
      </c>
      <c r="F533" s="7" t="s">
        <v>5978</v>
      </c>
      <c r="G533" s="7"/>
      <c r="H533" s="7"/>
      <c r="I533" s="7"/>
      <c r="J533" s="20" t="e">
        <f>VLOOKUP(V533,Table_to_BRG!A:D,3,FALSE)</f>
        <v>#N/A</v>
      </c>
      <c r="K533" s="20" t="e">
        <f>VLOOKUP(V533,Table_to_BRG!A:D,2,FALSE)</f>
        <v>#N/A</v>
      </c>
      <c r="L533" s="20"/>
      <c r="M533" s="20"/>
      <c r="N533" s="9" t="s">
        <v>6465</v>
      </c>
      <c r="O533" s="54" t="s">
        <v>7812</v>
      </c>
      <c r="P533" s="7" t="s">
        <v>4413</v>
      </c>
      <c r="Q533" s="11" t="str">
        <f>RIGHT("00"&amp;Table362[[#This Row],[Rule '#]],3)&amp;"_"&amp;IF(Table362[[#This Row],[Entity]]="Material","MATL",LEFT(UPPER(Table362[[#This Row],[Entity]]),4))&amp;"_"&amp;MID(SUBSTITUTE(Table362[[#This Row],[Rule Name]],"_","|",3),SEARCH("|",SUBSTITUTE(Table362[[#This Row],[Rule Name]],"_","|",3))+1,LEN(Table362[[#This Row],[Rule Name]]))</f>
        <v>156_FI_IS_REQUIRED_AA</v>
      </c>
      <c r="R533" s="8" t="s">
        <v>4414</v>
      </c>
      <c r="S533" s="7"/>
      <c r="T533" s="7"/>
      <c r="U533" s="7"/>
      <c r="V533" s="7" t="s">
        <v>4469</v>
      </c>
      <c r="W533" s="7" t="s">
        <v>4585</v>
      </c>
      <c r="X533" s="8"/>
      <c r="Y533" s="7" t="s">
        <v>4586</v>
      </c>
      <c r="Z533" s="7" t="s">
        <v>4587</v>
      </c>
      <c r="AA533" s="11" t="s">
        <v>4588</v>
      </c>
      <c r="AB533" s="11"/>
      <c r="AC533" s="11"/>
      <c r="AD533" s="11"/>
      <c r="AH533" s="8"/>
      <c r="AI533" s="20"/>
      <c r="AJ533" s="20"/>
      <c r="AK533" s="31"/>
      <c r="AL533" s="31"/>
    </row>
    <row r="534" spans="1:38" ht="192" hidden="1" x14ac:dyDescent="0.25">
      <c r="A534" s="14" t="s">
        <v>7187</v>
      </c>
      <c r="B534" s="7" t="s">
        <v>5877</v>
      </c>
      <c r="C534" s="7" t="s">
        <v>4610</v>
      </c>
      <c r="D534" s="7" t="s">
        <v>5978</v>
      </c>
      <c r="E534" s="7" t="s">
        <v>5978</v>
      </c>
      <c r="F534" s="7" t="s">
        <v>5978</v>
      </c>
      <c r="G534" s="7"/>
      <c r="H534" s="7"/>
      <c r="I534" s="7"/>
      <c r="J534" s="20" t="e">
        <f>VLOOKUP(V534,Table_to_BRG!A:D,3,FALSE)</f>
        <v>#N/A</v>
      </c>
      <c r="K534" s="20" t="e">
        <f>VLOOKUP(V534,Table_to_BRG!A:D,2,FALSE)</f>
        <v>#N/A</v>
      </c>
      <c r="L534" s="20"/>
      <c r="M534" s="20"/>
      <c r="N534" s="9" t="s">
        <v>6465</v>
      </c>
      <c r="O534" s="54" t="s">
        <v>7812</v>
      </c>
      <c r="P534" s="7" t="s">
        <v>4415</v>
      </c>
      <c r="Q534" s="11" t="str">
        <f>RIGHT("00"&amp;Table362[[#This Row],[Rule '#]],3)&amp;"_"&amp;IF(Table362[[#This Row],[Entity]]="Material","MATL",LEFT(UPPER(Table362[[#This Row],[Entity]]),4))&amp;"_"&amp;MID(SUBSTITUTE(Table362[[#This Row],[Rule Name]],"_","|",3),SEARCH("|",SUBSTITUTE(Table362[[#This Row],[Rule Name]],"_","|",3))+1,LEN(Table362[[#This Row],[Rule Name]]))</f>
        <v>157_FI_Activity_Type_Category_CCA</v>
      </c>
      <c r="R534" s="8" t="s">
        <v>4416</v>
      </c>
      <c r="S534" s="7"/>
      <c r="T534" s="7"/>
      <c r="U534" s="7" t="s">
        <v>4493</v>
      </c>
      <c r="V534" s="7"/>
      <c r="W534" s="7" t="s">
        <v>6099</v>
      </c>
      <c r="X534" s="8"/>
      <c r="Y534" s="7"/>
      <c r="Z534" s="7"/>
      <c r="AA534" s="11" t="s">
        <v>5896</v>
      </c>
      <c r="AB534" s="11"/>
      <c r="AC534" s="11"/>
      <c r="AD534" s="11"/>
      <c r="AH534" s="10" t="s">
        <v>5897</v>
      </c>
      <c r="AI534" s="20"/>
      <c r="AJ534" s="20"/>
      <c r="AK534" s="31"/>
      <c r="AL534" s="31"/>
    </row>
    <row r="535" spans="1:38" ht="105" hidden="1" x14ac:dyDescent="0.25">
      <c r="A535" s="14" t="s">
        <v>7188</v>
      </c>
      <c r="B535" s="7" t="s">
        <v>5877</v>
      </c>
      <c r="C535" s="7" t="s">
        <v>4610</v>
      </c>
      <c r="D535" s="7" t="s">
        <v>5978</v>
      </c>
      <c r="E535" s="7" t="s">
        <v>5978</v>
      </c>
      <c r="F535" s="7" t="s">
        <v>5978</v>
      </c>
      <c r="G535" s="7"/>
      <c r="H535" s="7"/>
      <c r="I535" s="7"/>
      <c r="J535" s="20" t="e">
        <f>VLOOKUP(V535,Table_to_BRG!A:D,3,FALSE)</f>
        <v>#N/A</v>
      </c>
      <c r="K535" s="20" t="e">
        <f>VLOOKUP(V535,Table_to_BRG!A:D,2,FALSE)</f>
        <v>#N/A</v>
      </c>
      <c r="L535" s="20"/>
      <c r="M535" s="20"/>
      <c r="N535" s="9" t="s">
        <v>6465</v>
      </c>
      <c r="O535" s="54" t="s">
        <v>7812</v>
      </c>
      <c r="P535" s="7" t="s">
        <v>4417</v>
      </c>
      <c r="Q535" s="11" t="str">
        <f>RIGHT("00"&amp;Table362[[#This Row],[Rule '#]],3)&amp;"_"&amp;IF(Table362[[#This Row],[Entity]]="Material","MATL",LEFT(UPPER(Table362[[#This Row],[Entity]]),4))&amp;"_"&amp;MID(SUBSTITUTE(Table362[[#This Row],[Rule Name]],"_","|",3),SEARCH("|",SUBSTITUTE(Table362[[#This Row],[Rule Name]],"_","|",3))+1,LEN(Table362[[#This Row],[Rule Name]]))</f>
        <v>158_FI_Center_CCA</v>
      </c>
      <c r="R535" s="8" t="s">
        <v>4418</v>
      </c>
      <c r="S535" s="7"/>
      <c r="T535" s="7"/>
      <c r="U535" s="7" t="s">
        <v>4521</v>
      </c>
      <c r="V535" s="7"/>
      <c r="W535" s="7" t="s">
        <v>4445</v>
      </c>
      <c r="X535" s="8"/>
      <c r="Y535" s="7" t="s">
        <v>4444</v>
      </c>
      <c r="Z535" s="7" t="s">
        <v>4445</v>
      </c>
      <c r="AA535" s="11" t="s">
        <v>4589</v>
      </c>
      <c r="AB535" s="11"/>
      <c r="AC535" s="11"/>
      <c r="AD535" s="11"/>
      <c r="AH535" s="8"/>
      <c r="AI535" s="20"/>
      <c r="AJ535" s="20"/>
      <c r="AK535" s="31"/>
      <c r="AL535" s="31"/>
    </row>
    <row r="536" spans="1:38" ht="36" hidden="1" x14ac:dyDescent="0.25">
      <c r="A536" s="14" t="s">
        <v>7189</v>
      </c>
      <c r="B536" s="7" t="s">
        <v>5877</v>
      </c>
      <c r="C536" s="7" t="s">
        <v>4610</v>
      </c>
      <c r="D536" s="7" t="s">
        <v>5978</v>
      </c>
      <c r="E536" s="7" t="s">
        <v>5978</v>
      </c>
      <c r="F536" s="7" t="s">
        <v>5978</v>
      </c>
      <c r="G536" s="7"/>
      <c r="H536" s="7"/>
      <c r="I536" s="7"/>
      <c r="J536" s="20" t="e">
        <f>VLOOKUP(V536,Table_to_BRG!A:D,3,FALSE)</f>
        <v>#N/A</v>
      </c>
      <c r="K536" s="20" t="e">
        <f>VLOOKUP(V536,Table_to_BRG!A:D,2,FALSE)</f>
        <v>#N/A</v>
      </c>
      <c r="L536" s="20"/>
      <c r="M536" s="20"/>
      <c r="N536" s="9" t="s">
        <v>6465</v>
      </c>
      <c r="O536" s="54" t="s">
        <v>7812</v>
      </c>
      <c r="P536" s="7" t="s">
        <v>4419</v>
      </c>
      <c r="Q536" s="11" t="str">
        <f>RIGHT("00"&amp;Table362[[#This Row],[Rule '#]],3)&amp;"_"&amp;IF(Table362[[#This Row],[Entity]]="Material","MATL",LEFT(UPPER(Table362[[#This Row],[Entity]]),4))&amp;"_"&amp;MID(SUBSTITUTE(Table362[[#This Row],[Rule Name]],"_","|",3),SEARCH("|",SUBSTITUTE(Table362[[#This Row],[Rule Name]],"_","|",3))+1,LEN(Table362[[#This Row],[Rule Name]]))</f>
        <v>159_FI_X_CCA</v>
      </c>
      <c r="R536" s="8" t="s">
        <v>4420</v>
      </c>
      <c r="S536" s="7"/>
      <c r="T536" s="7"/>
      <c r="U536" s="7"/>
      <c r="V536" s="7"/>
      <c r="W536" s="7" t="s">
        <v>4590</v>
      </c>
      <c r="X536" s="8"/>
      <c r="Y536" s="7"/>
      <c r="Z536" s="7"/>
      <c r="AA536" s="11" t="s">
        <v>4591</v>
      </c>
      <c r="AB536" s="11"/>
      <c r="AC536" s="11"/>
      <c r="AD536" s="11"/>
      <c r="AH536" s="8"/>
      <c r="AI536" s="20"/>
      <c r="AJ536" s="20"/>
      <c r="AK536" s="31"/>
      <c r="AL536" s="31"/>
    </row>
    <row r="537" spans="1:38" ht="72" hidden="1" x14ac:dyDescent="0.25">
      <c r="A537" s="14" t="s">
        <v>7190</v>
      </c>
      <c r="B537" s="7" t="s">
        <v>5877</v>
      </c>
      <c r="C537" s="7" t="s">
        <v>4610</v>
      </c>
      <c r="D537" s="7" t="s">
        <v>5978</v>
      </c>
      <c r="E537" s="7" t="s">
        <v>5978</v>
      </c>
      <c r="F537" s="7" t="s">
        <v>5978</v>
      </c>
      <c r="G537" s="7"/>
      <c r="H537" s="7"/>
      <c r="I537" s="7"/>
      <c r="J537" s="20" t="e">
        <f>VLOOKUP(V537,Table_to_BRG!A:D,3,FALSE)</f>
        <v>#N/A</v>
      </c>
      <c r="K537" s="20" t="e">
        <f>VLOOKUP(V537,Table_to_BRG!A:D,2,FALSE)</f>
        <v>#N/A</v>
      </c>
      <c r="L537" s="20"/>
      <c r="M537" s="20"/>
      <c r="N537" s="9" t="s">
        <v>6465</v>
      </c>
      <c r="O537" s="54" t="s">
        <v>7812</v>
      </c>
      <c r="P537" s="7" t="s">
        <v>4421</v>
      </c>
      <c r="Q537" s="11" t="str">
        <f>RIGHT("00"&amp;Table362[[#This Row],[Rule '#]],3)&amp;"_"&amp;IF(Table362[[#This Row],[Entity]]="Material","MATL",LEFT(UPPER(Table362[[#This Row],[Entity]]),4))&amp;"_"&amp;MID(SUBSTITUTE(Table362[[#This Row],[Rule Name]],"_","|",3),SEARCH("|",SUBSTITUTE(Table362[[#This Row],[Rule Name]],"_","|",3))+1,LEN(Table362[[#This Row],[Rule Name]]))</f>
        <v>160_FI_Code_GL</v>
      </c>
      <c r="R537" s="8" t="s">
        <v>4422</v>
      </c>
      <c r="S537" s="7"/>
      <c r="T537" s="7"/>
      <c r="U537" s="7"/>
      <c r="V537" s="7" t="s">
        <v>4271</v>
      </c>
      <c r="W537" s="7" t="s">
        <v>4592</v>
      </c>
      <c r="X537" s="8"/>
      <c r="Y537" s="7" t="s">
        <v>4593</v>
      </c>
      <c r="Z537" s="7" t="s">
        <v>4594</v>
      </c>
      <c r="AA537" s="11" t="s">
        <v>4595</v>
      </c>
      <c r="AB537" s="11"/>
      <c r="AC537" s="11"/>
      <c r="AD537" s="11"/>
      <c r="AH537" s="8"/>
      <c r="AI537" s="20"/>
      <c r="AJ537" s="20"/>
      <c r="AK537" s="31"/>
      <c r="AL537" s="31"/>
    </row>
    <row r="538" spans="1:38" ht="48" hidden="1" x14ac:dyDescent="0.25">
      <c r="A538" s="14" t="s">
        <v>7191</v>
      </c>
      <c r="B538" s="7" t="s">
        <v>5877</v>
      </c>
      <c r="C538" s="7" t="s">
        <v>4610</v>
      </c>
      <c r="D538" s="7" t="s">
        <v>5978</v>
      </c>
      <c r="E538" s="7" t="s">
        <v>5978</v>
      </c>
      <c r="F538" s="7" t="s">
        <v>5978</v>
      </c>
      <c r="G538" s="7"/>
      <c r="H538" s="7"/>
      <c r="I538" s="7"/>
      <c r="J538" s="20" t="e">
        <f>VLOOKUP(V538,Table_to_BRG!A:D,3,FALSE)</f>
        <v>#N/A</v>
      </c>
      <c r="K538" s="20" t="e">
        <f>VLOOKUP(V538,Table_to_BRG!A:D,2,FALSE)</f>
        <v>#N/A</v>
      </c>
      <c r="L538" s="20"/>
      <c r="M538" s="20"/>
      <c r="N538" s="9" t="s">
        <v>6465</v>
      </c>
      <c r="O538" s="54" t="s">
        <v>7812</v>
      </c>
      <c r="P538" s="7" t="s">
        <v>4423</v>
      </c>
      <c r="Q538" s="11" t="str">
        <f>RIGHT("00"&amp;Table362[[#This Row],[Rule '#]],3)&amp;"_"&amp;IF(Table362[[#This Row],[Entity]]="Material","MATL",LEFT(UPPER(Table362[[#This Row],[Entity]]),4))&amp;"_"&amp;MID(SUBSTITUTE(Table362[[#This Row],[Rule Name]],"_","|",3),SEARCH("|",SUBSTITUTE(Table362[[#This Row],[Rule Name]],"_","|",3))+1,LEN(Table362[[#This Row],[Rule Name]]))</f>
        <v>161_FI_Account_Number_GL</v>
      </c>
      <c r="R538" s="8" t="s">
        <v>4424</v>
      </c>
      <c r="S538" s="7"/>
      <c r="T538" s="7"/>
      <c r="U538" s="7"/>
      <c r="V538" s="7" t="s">
        <v>4456</v>
      </c>
      <c r="W538" s="7" t="s">
        <v>4454</v>
      </c>
      <c r="X538" s="8"/>
      <c r="Y538" s="7"/>
      <c r="Z538" s="7"/>
      <c r="AA538" s="11" t="s">
        <v>5898</v>
      </c>
      <c r="AB538" s="11"/>
      <c r="AC538" s="11"/>
      <c r="AD538" s="11"/>
      <c r="AH538" s="8"/>
      <c r="AI538" s="20"/>
      <c r="AJ538" s="20"/>
      <c r="AK538" s="31"/>
      <c r="AL538" s="31"/>
    </row>
    <row r="539" spans="1:38" ht="144" hidden="1" x14ac:dyDescent="0.25">
      <c r="A539" s="14" t="s">
        <v>7192</v>
      </c>
      <c r="B539" s="7" t="s">
        <v>5877</v>
      </c>
      <c r="C539" s="7" t="s">
        <v>4610</v>
      </c>
      <c r="D539" s="7" t="s">
        <v>5978</v>
      </c>
      <c r="E539" s="7" t="s">
        <v>5978</v>
      </c>
      <c r="F539" s="7" t="s">
        <v>5978</v>
      </c>
      <c r="G539" s="7"/>
      <c r="H539" s="7"/>
      <c r="I539" s="7"/>
      <c r="J539" s="20" t="e">
        <f>VLOOKUP(V539,Table_to_BRG!A:D,3,FALSE)</f>
        <v>#N/A</v>
      </c>
      <c r="K539" s="20" t="e">
        <f>VLOOKUP(V539,Table_to_BRG!A:D,2,FALSE)</f>
        <v>#N/A</v>
      </c>
      <c r="L539" s="20"/>
      <c r="M539" s="20"/>
      <c r="N539" s="9" t="s">
        <v>6465</v>
      </c>
      <c r="O539" s="54" t="s">
        <v>7812</v>
      </c>
      <c r="P539" s="7" t="s">
        <v>4425</v>
      </c>
      <c r="Q539" s="11" t="str">
        <f>RIGHT("00"&amp;Table362[[#This Row],[Rule '#]],3)&amp;"_"&amp;IF(Table362[[#This Row],[Entity]]="Material","MATL",LEFT(UPPER(Table362[[#This Row],[Entity]]),4))&amp;"_"&amp;MID(SUBSTITUTE(Table362[[#This Row],[Rule Name]],"_","|",3),SEARCH("|",SUBSTITUTE(Table362[[#This Row],[Rule Name]],"_","|",3))+1,LEN(Table362[[#This Row],[Rule Name]]))</f>
        <v>162_FI_Is_Not_Null</v>
      </c>
      <c r="R539" s="8" t="s">
        <v>4426</v>
      </c>
      <c r="S539" s="7"/>
      <c r="T539" s="7"/>
      <c r="U539" s="7"/>
      <c r="V539" s="7" t="s">
        <v>4535</v>
      </c>
      <c r="W539" s="7" t="s">
        <v>4446</v>
      </c>
      <c r="X539" s="8"/>
      <c r="Y539" s="7"/>
      <c r="Z539" s="7"/>
      <c r="AA539" s="11" t="s">
        <v>4596</v>
      </c>
      <c r="AB539" s="11"/>
      <c r="AC539" s="11"/>
      <c r="AD539" s="11"/>
      <c r="AH539" s="8"/>
      <c r="AI539" s="20"/>
      <c r="AJ539" s="20"/>
      <c r="AK539" s="31"/>
      <c r="AL539" s="31"/>
    </row>
    <row r="540" spans="1:38" ht="36" hidden="1" x14ac:dyDescent="0.25">
      <c r="A540" s="14" t="s">
        <v>7193</v>
      </c>
      <c r="B540" s="7" t="s">
        <v>5877</v>
      </c>
      <c r="C540" s="7" t="s">
        <v>4610</v>
      </c>
      <c r="D540" s="7" t="s">
        <v>5978</v>
      </c>
      <c r="E540" s="7" t="s">
        <v>5978</v>
      </c>
      <c r="F540" s="7" t="s">
        <v>5978</v>
      </c>
      <c r="G540" s="7"/>
      <c r="H540" s="7"/>
      <c r="I540" s="7"/>
      <c r="J540" s="20" t="e">
        <f>VLOOKUP(V540,Table_to_BRG!A:D,3,FALSE)</f>
        <v>#N/A</v>
      </c>
      <c r="K540" s="20" t="e">
        <f>VLOOKUP(V540,Table_to_BRG!A:D,2,FALSE)</f>
        <v>#N/A</v>
      </c>
      <c r="L540" s="20"/>
      <c r="M540" s="20"/>
      <c r="N540" s="9" t="s">
        <v>6465</v>
      </c>
      <c r="O540" s="54" t="s">
        <v>7812</v>
      </c>
      <c r="P540" s="7" t="s">
        <v>4427</v>
      </c>
      <c r="Q540" s="11" t="e">
        <f>RIGHT("00"&amp;Table362[[#This Row],[Rule '#]],3)&amp;"_"&amp;IF(Table362[[#This Row],[Entity]]="Material","MATL",LEFT(UPPER(Table362[[#This Row],[Entity]]),4))&amp;"_"&amp;MID(SUBSTITUTE(Table362[[#This Row],[Rule Name]],"_","|",3),SEARCH("|",SUBSTITUTE(Table362[[#This Row],[Rule Name]],"_","|",3))+1,LEN(Table362[[#This Row],[Rule Name]]))</f>
        <v>#VALUE!</v>
      </c>
      <c r="R540" s="8"/>
      <c r="S540" s="7"/>
      <c r="T540" s="7"/>
      <c r="U540" s="7"/>
      <c r="V540" s="7"/>
      <c r="W540" s="7" t="s">
        <v>4151</v>
      </c>
      <c r="X540" s="8"/>
      <c r="Y540" s="7"/>
      <c r="Z540" s="7"/>
      <c r="AA540" s="11" t="s">
        <v>4597</v>
      </c>
      <c r="AB540" s="11"/>
      <c r="AC540" s="11" t="s">
        <v>6813</v>
      </c>
      <c r="AD540" s="11"/>
      <c r="AH540" s="8"/>
      <c r="AI540" s="20"/>
      <c r="AJ540" s="20"/>
      <c r="AK540" s="31"/>
      <c r="AL540" s="31"/>
    </row>
    <row r="541" spans="1:38" ht="75" hidden="1" x14ac:dyDescent="0.25">
      <c r="A541" s="14" t="s">
        <v>7194</v>
      </c>
      <c r="B541" s="7" t="s">
        <v>5877</v>
      </c>
      <c r="C541" s="7" t="s">
        <v>4610</v>
      </c>
      <c r="D541" s="7" t="s">
        <v>5978</v>
      </c>
      <c r="E541" s="7" t="s">
        <v>5978</v>
      </c>
      <c r="F541" s="7" t="s">
        <v>5978</v>
      </c>
      <c r="G541" s="7"/>
      <c r="H541" s="7"/>
      <c r="I541" s="7"/>
      <c r="J541" s="20" t="e">
        <f>VLOOKUP(V541,Table_to_BRG!A:D,3,FALSE)</f>
        <v>#N/A</v>
      </c>
      <c r="K541" s="20" t="e">
        <f>VLOOKUP(V541,Table_to_BRG!A:D,2,FALSE)</f>
        <v>#N/A</v>
      </c>
      <c r="L541" s="20"/>
      <c r="M541" s="20"/>
      <c r="N541" s="9" t="s">
        <v>6465</v>
      </c>
      <c r="O541" s="54" t="s">
        <v>7812</v>
      </c>
      <c r="P541" s="7" t="s">
        <v>4428</v>
      </c>
      <c r="Q541" s="11" t="str">
        <f>RIGHT("00"&amp;Table362[[#This Row],[Rule '#]],3)&amp;"_"&amp;IF(Table362[[#This Row],[Entity]]="Material","MATL",LEFT(UPPER(Table362[[#This Row],[Entity]]),4))&amp;"_"&amp;MID(SUBSTITUTE(Table362[[#This Row],[Rule Name]],"_","|",3),SEARCH("|",SUBSTITUTE(Table362[[#This Row],[Rule Name]],"_","|",3))+1,LEN(Table362[[#This Row],[Rule Name]]))</f>
        <v>164_FI_CE</v>
      </c>
      <c r="R541" s="8" t="s">
        <v>4429</v>
      </c>
      <c r="S541" s="7"/>
      <c r="T541" s="7"/>
      <c r="U541" s="7"/>
      <c r="V541" s="7"/>
      <c r="W541" s="7" t="s">
        <v>4598</v>
      </c>
      <c r="X541" s="8"/>
      <c r="Y541" s="7" t="s">
        <v>4599</v>
      </c>
      <c r="Z541" s="7" t="s">
        <v>4600</v>
      </c>
      <c r="AA541" s="11" t="s">
        <v>4601</v>
      </c>
      <c r="AB541" s="11"/>
      <c r="AC541" s="11"/>
      <c r="AD541" s="11"/>
      <c r="AH541" s="8"/>
      <c r="AI541" s="20"/>
      <c r="AJ541" s="20"/>
      <c r="AK541" s="31"/>
      <c r="AL541" s="31"/>
    </row>
    <row r="542" spans="1:38" ht="105" hidden="1" x14ac:dyDescent="0.25">
      <c r="A542" s="14" t="s">
        <v>7195</v>
      </c>
      <c r="B542" s="7" t="s">
        <v>5877</v>
      </c>
      <c r="C542" s="7" t="s">
        <v>4610</v>
      </c>
      <c r="D542" s="7" t="s">
        <v>5978</v>
      </c>
      <c r="E542" s="7" t="s">
        <v>5978</v>
      </c>
      <c r="F542" s="7" t="s">
        <v>5978</v>
      </c>
      <c r="G542" s="7"/>
      <c r="H542" s="7"/>
      <c r="I542" s="7"/>
      <c r="J542" s="20" t="e">
        <f>VLOOKUP(V542,Table_to_BRG!A:D,3,FALSE)</f>
        <v>#N/A</v>
      </c>
      <c r="K542" s="20" t="e">
        <f>VLOOKUP(V542,Table_to_BRG!A:D,2,FALSE)</f>
        <v>#N/A</v>
      </c>
      <c r="L542" s="20"/>
      <c r="M542" s="20"/>
      <c r="N542" s="9" t="s">
        <v>6465</v>
      </c>
      <c r="O542" s="54" t="s">
        <v>7812</v>
      </c>
      <c r="P542" s="7" t="s">
        <v>4430</v>
      </c>
      <c r="Q542" s="11" t="str">
        <f>RIGHT("00"&amp;Table362[[#This Row],[Rule '#]],3)&amp;"_"&amp;IF(Table362[[#This Row],[Entity]]="Material","MATL",LEFT(UPPER(Table362[[#This Row],[Entity]]),4))&amp;"_"&amp;MID(SUBSTITUTE(Table362[[#This Row],[Rule Name]],"_","|",3),SEARCH("|",SUBSTITUTE(Table362[[#This Row],[Rule Name]],"_","|",3))+1,LEN(Table362[[#This Row],[Rule Name]]))</f>
        <v>165_FI_Center_VS_Company_Code</v>
      </c>
      <c r="R542" s="8" t="s">
        <v>4431</v>
      </c>
      <c r="S542" s="7"/>
      <c r="T542" s="7"/>
      <c r="U542" s="7"/>
      <c r="V542" s="7"/>
      <c r="W542" s="7" t="s">
        <v>4592</v>
      </c>
      <c r="X542" s="8"/>
      <c r="Y542" s="7" t="s">
        <v>2739</v>
      </c>
      <c r="Z542" s="7" t="s">
        <v>2706</v>
      </c>
      <c r="AA542" s="11" t="s">
        <v>4602</v>
      </c>
      <c r="AB542" s="11"/>
      <c r="AC542" s="11"/>
      <c r="AD542" s="11"/>
      <c r="AH542" s="8"/>
      <c r="AI542" s="20"/>
      <c r="AJ542" s="20"/>
      <c r="AK542" s="31"/>
      <c r="AL542" s="31"/>
    </row>
    <row r="543" spans="1:38" ht="60" hidden="1" x14ac:dyDescent="0.25">
      <c r="A543" s="14" t="s">
        <v>7196</v>
      </c>
      <c r="B543" s="7" t="s">
        <v>5877</v>
      </c>
      <c r="C543" s="7" t="s">
        <v>4610</v>
      </c>
      <c r="D543" s="7" t="s">
        <v>5978</v>
      </c>
      <c r="E543" s="7" t="s">
        <v>5978</v>
      </c>
      <c r="F543" s="7" t="s">
        <v>5978</v>
      </c>
      <c r="G543" s="7"/>
      <c r="H543" s="7"/>
      <c r="I543" s="7"/>
      <c r="J543" s="20" t="e">
        <f>VLOOKUP(V543,Table_to_BRG!A:D,3,FALSE)</f>
        <v>#N/A</v>
      </c>
      <c r="K543" s="20" t="e">
        <f>VLOOKUP(V543,Table_to_BRG!A:D,2,FALSE)</f>
        <v>#N/A</v>
      </c>
      <c r="L543" s="20"/>
      <c r="M543" s="20"/>
      <c r="N543" s="9" t="s">
        <v>6465</v>
      </c>
      <c r="O543" s="54" t="s">
        <v>7812</v>
      </c>
      <c r="P543" s="7" t="s">
        <v>4432</v>
      </c>
      <c r="Q543" s="11" t="str">
        <f>RIGHT("00"&amp;Table362[[#This Row],[Rule '#]],3)&amp;"_"&amp;IF(Table362[[#This Row],[Entity]]="Material","MATL",LEFT(UPPER(Table362[[#This Row],[Entity]]),4))&amp;"_"&amp;MID(SUBSTITUTE(Table362[[#This Row],[Rule Name]],"_","|",3),SEARCH("|",SUBSTITUTE(Table362[[#This Row],[Rule Name]],"_","|",3))+1,LEN(Table362[[#This Row],[Rule Name]]))</f>
        <v>166_FI_GL</v>
      </c>
      <c r="R543" s="8" t="s">
        <v>4433</v>
      </c>
      <c r="S543" s="7"/>
      <c r="T543" s="7"/>
      <c r="U543" s="7"/>
      <c r="V543" s="7" t="s">
        <v>4271</v>
      </c>
      <c r="W543" s="7" t="s">
        <v>4603</v>
      </c>
      <c r="X543" s="8"/>
      <c r="Y543" s="7" t="s">
        <v>4182</v>
      </c>
      <c r="Z543" s="7" t="s">
        <v>2709</v>
      </c>
      <c r="AA543" s="11" t="s">
        <v>4604</v>
      </c>
      <c r="AB543" s="11"/>
      <c r="AC543" s="11"/>
      <c r="AD543" s="11"/>
      <c r="AH543" s="8"/>
      <c r="AI543" s="20"/>
      <c r="AJ543" s="20"/>
      <c r="AK543" s="31"/>
      <c r="AL543" s="31"/>
    </row>
    <row r="544" spans="1:38" ht="90" hidden="1" x14ac:dyDescent="0.25">
      <c r="A544" s="14" t="s">
        <v>7197</v>
      </c>
      <c r="B544" s="7" t="s">
        <v>5877</v>
      </c>
      <c r="C544" s="7" t="s">
        <v>4610</v>
      </c>
      <c r="D544" s="7" t="s">
        <v>5978</v>
      </c>
      <c r="E544" s="7" t="s">
        <v>5978</v>
      </c>
      <c r="F544" s="7" t="s">
        <v>5978</v>
      </c>
      <c r="G544" s="7"/>
      <c r="H544" s="7"/>
      <c r="I544" s="7"/>
      <c r="J544" s="20" t="e">
        <f>VLOOKUP(V544,Table_to_BRG!A:D,3,FALSE)</f>
        <v>#N/A</v>
      </c>
      <c r="K544" s="20" t="e">
        <f>VLOOKUP(V544,Table_to_BRG!A:D,2,FALSE)</f>
        <v>#N/A</v>
      </c>
      <c r="L544" s="20"/>
      <c r="M544" s="20"/>
      <c r="N544" s="9" t="s">
        <v>6465</v>
      </c>
      <c r="O544" s="54" t="s">
        <v>7812</v>
      </c>
      <c r="P544" s="7" t="s">
        <v>4434</v>
      </c>
      <c r="Q544" s="11" t="str">
        <f>RIGHT("00"&amp;Table362[[#This Row],[Rule '#]],3)&amp;"_"&amp;IF(Table362[[#This Row],[Entity]]="Material","MATL",LEFT(UPPER(Table362[[#This Row],[Entity]]),4))&amp;"_"&amp;MID(SUBSTITUTE(Table362[[#This Row],[Rule Name]],"_","|",3),SEARCH("|",SUBSTITUTE(Table362[[#This Row],[Rule Name]],"_","|",3))+1,LEN(Table362[[#This Row],[Rule Name]]))</f>
        <v>167_FI_Key_Figure_Category_PCA</v>
      </c>
      <c r="R544" s="8" t="s">
        <v>4435</v>
      </c>
      <c r="S544" s="7"/>
      <c r="T544" s="7"/>
      <c r="U544" s="7"/>
      <c r="V544" s="7"/>
      <c r="W544" s="7" t="s">
        <v>4605</v>
      </c>
      <c r="X544" s="8"/>
      <c r="Y544" s="7"/>
      <c r="Z544" s="7"/>
      <c r="AA544" s="11" t="s">
        <v>4606</v>
      </c>
      <c r="AB544" s="11"/>
      <c r="AC544" s="11"/>
      <c r="AD544" s="11"/>
      <c r="AH544" s="8"/>
      <c r="AI544" s="20"/>
      <c r="AJ544" s="20"/>
      <c r="AK544" s="31"/>
      <c r="AL544" s="31"/>
    </row>
    <row r="545" spans="1:38" ht="108" hidden="1" x14ac:dyDescent="0.25">
      <c r="A545" s="14" t="s">
        <v>7198</v>
      </c>
      <c r="B545" s="7" t="s">
        <v>5877</v>
      </c>
      <c r="C545" s="7" t="s">
        <v>4610</v>
      </c>
      <c r="D545" s="7" t="s">
        <v>5978</v>
      </c>
      <c r="E545" s="7" t="s">
        <v>5978</v>
      </c>
      <c r="F545" s="7" t="s">
        <v>5978</v>
      </c>
      <c r="G545" s="7"/>
      <c r="H545" s="7"/>
      <c r="I545" s="7"/>
      <c r="J545" s="20" t="e">
        <f>VLOOKUP(V545,Table_to_BRG!A:D,3,FALSE)</f>
        <v>#N/A</v>
      </c>
      <c r="K545" s="20" t="e">
        <f>VLOOKUP(V545,Table_to_BRG!A:D,2,FALSE)</f>
        <v>#N/A</v>
      </c>
      <c r="L545" s="20"/>
      <c r="M545" s="20"/>
      <c r="N545" s="9" t="s">
        <v>6465</v>
      </c>
      <c r="O545" s="54" t="s">
        <v>7812</v>
      </c>
      <c r="P545" s="7" t="s">
        <v>4436</v>
      </c>
      <c r="Q545" s="11" t="str">
        <f>RIGHT("00"&amp;Table362[[#This Row],[Rule '#]],3)&amp;"_"&amp;IF(Table362[[#This Row],[Entity]]="Material","MATL",LEFT(UPPER(Table362[[#This Row],[Entity]]),4))&amp;"_"&amp;MID(SUBSTITUTE(Table362[[#This Row],[Rule Name]],"_","|",3),SEARCH("|",SUBSTITUTE(Table362[[#This Row],[Rule Name]],"_","|",3))+1,LEN(Table362[[#This Row],[Rule Name]]))</f>
        <v>168_FI_GL</v>
      </c>
      <c r="R545" s="8" t="s">
        <v>4437</v>
      </c>
      <c r="S545" s="7"/>
      <c r="T545" s="7"/>
      <c r="U545" s="7"/>
      <c r="V545" s="7" t="s">
        <v>4456</v>
      </c>
      <c r="W545" s="7" t="s">
        <v>4607</v>
      </c>
      <c r="X545" s="8"/>
      <c r="Y545" s="7"/>
      <c r="Z545" s="7"/>
      <c r="AA545" s="11" t="s">
        <v>5899</v>
      </c>
      <c r="AB545" s="11"/>
      <c r="AC545" s="11"/>
      <c r="AD545" s="11"/>
      <c r="AH545" s="8"/>
      <c r="AI545" s="20"/>
      <c r="AJ545" s="20"/>
      <c r="AK545" s="31"/>
      <c r="AL545" s="31"/>
    </row>
    <row r="546" spans="1:38" ht="72" hidden="1" x14ac:dyDescent="0.25">
      <c r="A546" s="14" t="s">
        <v>7199</v>
      </c>
      <c r="B546" s="7" t="s">
        <v>5877</v>
      </c>
      <c r="C546" s="7" t="s">
        <v>4610</v>
      </c>
      <c r="D546" s="7" t="s">
        <v>5978</v>
      </c>
      <c r="E546" s="7" t="s">
        <v>5978</v>
      </c>
      <c r="F546" s="7" t="s">
        <v>5978</v>
      </c>
      <c r="G546" s="7"/>
      <c r="H546" s="7"/>
      <c r="I546" s="7"/>
      <c r="J546" s="20" t="e">
        <f>VLOOKUP(V546,Table_to_BRG!A:D,3,FALSE)</f>
        <v>#N/A</v>
      </c>
      <c r="K546" s="20" t="e">
        <f>VLOOKUP(V546,Table_to_BRG!A:D,2,FALSE)</f>
        <v>#N/A</v>
      </c>
      <c r="L546" s="20"/>
      <c r="M546" s="20"/>
      <c r="N546" s="9" t="s">
        <v>6465</v>
      </c>
      <c r="O546" s="54" t="s">
        <v>7812</v>
      </c>
      <c r="P546" s="7" t="s">
        <v>4438</v>
      </c>
      <c r="Q546" s="11" t="str">
        <f>RIGHT("00"&amp;Table362[[#This Row],[Rule '#]],3)&amp;"_"&amp;IF(Table362[[#This Row],[Entity]]="Material","MATL",LEFT(UPPER(Table362[[#This Row],[Entity]]),4))&amp;"_"&amp;MID(SUBSTITUTE(Table362[[#This Row],[Rule Name]],"_","|",3),SEARCH("|",SUBSTITUTE(Table362[[#This Row],[Rule Name]],"_","|",3))+1,LEN(Table362[[#This Row],[Rule Name]]))</f>
        <v>169_FI_IS_OPTIONAL</v>
      </c>
      <c r="R546" s="8" t="s">
        <v>4439</v>
      </c>
      <c r="S546" s="7"/>
      <c r="T546" s="7"/>
      <c r="U546" s="7"/>
      <c r="V546" s="7"/>
      <c r="W546" s="7" t="s">
        <v>4608</v>
      </c>
      <c r="X546" s="8"/>
      <c r="Y546" s="7" t="s">
        <v>4225</v>
      </c>
      <c r="Z546" s="7" t="s">
        <v>4226</v>
      </c>
      <c r="AA546" s="11" t="s">
        <v>4609</v>
      </c>
      <c r="AB546" s="11"/>
      <c r="AC546" s="11"/>
      <c r="AD546" s="11"/>
      <c r="AH546" s="8"/>
      <c r="AI546" s="20" t="s">
        <v>7680</v>
      </c>
      <c r="AJ546" s="20"/>
      <c r="AK546" s="31"/>
      <c r="AL546" s="31"/>
    </row>
    <row r="547" spans="1:38" ht="36" hidden="1" x14ac:dyDescent="0.25">
      <c r="A547" s="14" t="s">
        <v>7200</v>
      </c>
      <c r="B547" s="7" t="s">
        <v>5877</v>
      </c>
      <c r="C547" s="7" t="s">
        <v>4706</v>
      </c>
      <c r="D547" s="7" t="s">
        <v>5978</v>
      </c>
      <c r="E547" s="7" t="s">
        <v>5978</v>
      </c>
      <c r="F547" s="7" t="s">
        <v>5978</v>
      </c>
      <c r="G547" s="7"/>
      <c r="H547" s="7"/>
      <c r="I547" s="7"/>
      <c r="J547" s="20" t="e">
        <f>VLOOKUP(V547,Table_to_BRG!A:D,3,FALSE)</f>
        <v>#N/A</v>
      </c>
      <c r="K547" s="20" t="e">
        <f>VLOOKUP(V547,Table_to_BRG!A:D,2,FALSE)</f>
        <v>#N/A</v>
      </c>
      <c r="L547" s="20"/>
      <c r="M547" s="20"/>
      <c r="N547" s="9" t="s">
        <v>6465</v>
      </c>
      <c r="O547" s="54" t="s">
        <v>7812</v>
      </c>
      <c r="P547" s="7" t="s">
        <v>4611</v>
      </c>
      <c r="Q547" s="11" t="str">
        <f>RIGHT("00"&amp;Table362[[#This Row],[Rule '#]],3)&amp;"_"&amp;IF(Table362[[#This Row],[Entity]]="Material","MATL",LEFT(UPPER(Table362[[#This Row],[Entity]]),4))&amp;"_"&amp;MID(SUBSTITUTE(Table362[[#This Row],[Rule Name]],"_","|",3),SEARCH("|",SUBSTITUTE(Table362[[#This Row],[Rule Name]],"_","|",3))+1,LEN(Table362[[#This Row],[Rule Name]]))</f>
        <v>170_HR_IT0078_CHECK_PAYMENTDATE</v>
      </c>
      <c r="R547" s="8" t="s">
        <v>4612</v>
      </c>
      <c r="S547" s="7" t="s">
        <v>4135</v>
      </c>
      <c r="T547" s="7"/>
      <c r="U547" s="7"/>
      <c r="V547" s="7" t="s">
        <v>4662</v>
      </c>
      <c r="W547" s="7" t="s">
        <v>4663</v>
      </c>
      <c r="X547" s="8"/>
      <c r="Y547" s="7"/>
      <c r="Z547" s="7"/>
      <c r="AA547" s="11" t="s">
        <v>4664</v>
      </c>
      <c r="AB547" s="11"/>
      <c r="AC547" s="11"/>
      <c r="AD547" s="11"/>
      <c r="AH547" s="8"/>
      <c r="AI547" s="20"/>
      <c r="AJ547" s="20"/>
      <c r="AK547" s="31"/>
      <c r="AL547" s="31"/>
    </row>
    <row r="548" spans="1:38" ht="36" hidden="1" x14ac:dyDescent="0.25">
      <c r="A548" s="14" t="s">
        <v>7201</v>
      </c>
      <c r="B548" s="7" t="s">
        <v>5877</v>
      </c>
      <c r="C548" s="7" t="s">
        <v>4706</v>
      </c>
      <c r="D548" s="7" t="s">
        <v>5978</v>
      </c>
      <c r="E548" s="7" t="s">
        <v>5978</v>
      </c>
      <c r="F548" s="7" t="s">
        <v>5978</v>
      </c>
      <c r="G548" s="7"/>
      <c r="H548" s="7"/>
      <c r="I548" s="7"/>
      <c r="J548" s="20" t="e">
        <f>VLOOKUP(V548,Table_to_BRG!A:D,3,FALSE)</f>
        <v>#N/A</v>
      </c>
      <c r="K548" s="20" t="e">
        <f>VLOOKUP(V548,Table_to_BRG!A:D,2,FALSE)</f>
        <v>#N/A</v>
      </c>
      <c r="L548" s="20"/>
      <c r="M548" s="20"/>
      <c r="N548" s="9" t="s">
        <v>6465</v>
      </c>
      <c r="O548" s="54" t="s">
        <v>7812</v>
      </c>
      <c r="P548" s="7" t="s">
        <v>4613</v>
      </c>
      <c r="Q548" s="11" t="str">
        <f>RIGHT("00"&amp;Table362[[#This Row],[Rule '#]],3)&amp;"_"&amp;IF(Table362[[#This Row],[Entity]]="Material","MATL",LEFT(UPPER(Table362[[#This Row],[Entity]]),4))&amp;"_"&amp;MID(SUBSTITUTE(Table362[[#This Row],[Rule Name]],"_","|",3),SEARCH("|",SUBSTITUTE(Table362[[#This Row],[Rule Name]],"_","|",3))+1,LEN(Table362[[#This Row],[Rule Name]]))</f>
        <v>171_HR_IT0021_FAMILY_TYPE_UNIQUE</v>
      </c>
      <c r="R548" s="8" t="s">
        <v>4614</v>
      </c>
      <c r="S548" s="7" t="s">
        <v>4135</v>
      </c>
      <c r="T548" s="7"/>
      <c r="U548" s="7"/>
      <c r="V548" s="7" t="s">
        <v>4665</v>
      </c>
      <c r="W548" s="7" t="s">
        <v>4666</v>
      </c>
      <c r="X548" s="8"/>
      <c r="Y548" s="7"/>
      <c r="Z548" s="7"/>
      <c r="AA548" s="11" t="s">
        <v>4667</v>
      </c>
      <c r="AB548" s="11"/>
      <c r="AC548" s="11"/>
      <c r="AD548" s="11"/>
      <c r="AH548" s="8"/>
      <c r="AI548" s="20"/>
      <c r="AJ548" s="20"/>
      <c r="AK548" s="31"/>
      <c r="AL548" s="31"/>
    </row>
    <row r="549" spans="1:38" ht="48" hidden="1" x14ac:dyDescent="0.25">
      <c r="A549" s="14" t="s">
        <v>7202</v>
      </c>
      <c r="B549" s="7" t="s">
        <v>5877</v>
      </c>
      <c r="C549" s="7" t="s">
        <v>4706</v>
      </c>
      <c r="D549" s="7" t="s">
        <v>5978</v>
      </c>
      <c r="E549" s="7" t="s">
        <v>5978</v>
      </c>
      <c r="F549" s="7" t="s">
        <v>5978</v>
      </c>
      <c r="G549" s="7"/>
      <c r="H549" s="7"/>
      <c r="I549" s="7"/>
      <c r="J549" s="20" t="e">
        <f>VLOOKUP(V549,Table_to_BRG!A:D,3,FALSE)</f>
        <v>#N/A</v>
      </c>
      <c r="K549" s="20" t="e">
        <f>VLOOKUP(V549,Table_to_BRG!A:D,2,FALSE)</f>
        <v>#N/A</v>
      </c>
      <c r="L549" s="20"/>
      <c r="M549" s="20"/>
      <c r="N549" s="9" t="s">
        <v>6465</v>
      </c>
      <c r="O549" s="54" t="s">
        <v>7812</v>
      </c>
      <c r="P549" s="7" t="s">
        <v>4308</v>
      </c>
      <c r="Q549" s="11" t="str">
        <f>RIGHT("00"&amp;Table362[[#This Row],[Rule '#]],3)&amp;"_"&amp;IF(Table362[[#This Row],[Entity]]="Material","MATL",LEFT(UPPER(Table362[[#This Row],[Entity]]),4))&amp;"_"&amp;MID(SUBSTITUTE(Table362[[#This Row],[Rule Name]],"_","|",3),SEARCH("|",SUBSTITUTE(Table362[[#This Row],[Rule Name]],"_","|",3))+1,LEN(Table362[[#This Row],[Rule Name]]))</f>
        <v>172_HR_IS_MANDATORY</v>
      </c>
      <c r="R549" s="8" t="s">
        <v>4309</v>
      </c>
      <c r="S549" s="7" t="s">
        <v>21</v>
      </c>
      <c r="T549" s="7"/>
      <c r="U549" s="7"/>
      <c r="V549" s="7"/>
      <c r="W549" s="7" t="s">
        <v>4461</v>
      </c>
      <c r="X549" s="8"/>
      <c r="Y549" s="7"/>
      <c r="Z549" s="7"/>
      <c r="AA549" s="11" t="s">
        <v>4462</v>
      </c>
      <c r="AB549" s="11"/>
      <c r="AC549" s="11" t="s">
        <v>6664</v>
      </c>
      <c r="AD549" s="11"/>
      <c r="AH549" s="8"/>
      <c r="AI549" s="20"/>
      <c r="AJ549" s="20"/>
      <c r="AK549" s="31"/>
      <c r="AL549" s="31"/>
    </row>
    <row r="550" spans="1:38" ht="36" hidden="1" x14ac:dyDescent="0.25">
      <c r="A550" s="14" t="s">
        <v>7203</v>
      </c>
      <c r="B550" s="7" t="s">
        <v>5877</v>
      </c>
      <c r="C550" s="7" t="s">
        <v>4706</v>
      </c>
      <c r="D550" s="7" t="s">
        <v>5978</v>
      </c>
      <c r="E550" s="7" t="s">
        <v>5978</v>
      </c>
      <c r="F550" s="7" t="s">
        <v>5978</v>
      </c>
      <c r="G550" s="7"/>
      <c r="H550" s="7"/>
      <c r="I550" s="7"/>
      <c r="J550" s="20" t="e">
        <f>VLOOKUP(V550,Table_to_BRG!A:D,3,FALSE)</f>
        <v>#N/A</v>
      </c>
      <c r="K550" s="20" t="e">
        <f>VLOOKUP(V550,Table_to_BRG!A:D,2,FALSE)</f>
        <v>#N/A</v>
      </c>
      <c r="L550" s="20"/>
      <c r="M550" s="20"/>
      <c r="N550" s="9" t="s">
        <v>6465</v>
      </c>
      <c r="O550" s="54" t="s">
        <v>7812</v>
      </c>
      <c r="P550" s="7" t="s">
        <v>4615</v>
      </c>
      <c r="Q550" s="11" t="str">
        <f>RIGHT("00"&amp;Table362[[#This Row],[Rule '#]],3)&amp;"_"&amp;IF(Table362[[#This Row],[Entity]]="Material","MATL",LEFT(UPPER(Table362[[#This Row],[Entity]]),4))&amp;"_"&amp;MID(SUBSTITUTE(Table362[[#This Row],[Rule Name]],"_","|",3),SEARCH("|",SUBSTITUTE(Table362[[#This Row],[Rule Name]],"_","|",3))+1,LEN(Table362[[#This Row],[Rule Name]]))</f>
        <v>173_HR_IT0023_START_DATE_UNIQUE</v>
      </c>
      <c r="R550" s="8" t="s">
        <v>4616</v>
      </c>
      <c r="S550" s="7" t="s">
        <v>4135</v>
      </c>
      <c r="T550" s="7"/>
      <c r="U550" s="7"/>
      <c r="V550" s="7" t="s">
        <v>4668</v>
      </c>
      <c r="W550" s="7" t="s">
        <v>4669</v>
      </c>
      <c r="X550" s="8"/>
      <c r="Y550" s="7"/>
      <c r="Z550" s="7"/>
      <c r="AA550" s="11" t="s">
        <v>4670</v>
      </c>
      <c r="AB550" s="11"/>
      <c r="AC550" s="11"/>
      <c r="AD550" s="11"/>
      <c r="AH550" s="8"/>
      <c r="AI550" s="20"/>
      <c r="AJ550" s="20"/>
      <c r="AK550" s="31"/>
      <c r="AL550" s="31"/>
    </row>
    <row r="551" spans="1:38" ht="36" hidden="1" x14ac:dyDescent="0.25">
      <c r="A551" s="14" t="s">
        <v>7204</v>
      </c>
      <c r="B551" s="7" t="s">
        <v>5877</v>
      </c>
      <c r="C551" s="7" t="s">
        <v>4706</v>
      </c>
      <c r="D551" s="7" t="s">
        <v>5978</v>
      </c>
      <c r="E551" s="7" t="s">
        <v>5978</v>
      </c>
      <c r="F551" s="7" t="s">
        <v>5978</v>
      </c>
      <c r="G551" s="7"/>
      <c r="H551" s="7"/>
      <c r="I551" s="7"/>
      <c r="J551" s="20" t="e">
        <f>VLOOKUP(V551,Table_to_BRG!A:D,3,FALSE)</f>
        <v>#N/A</v>
      </c>
      <c r="K551" s="20" t="e">
        <f>VLOOKUP(V551,Table_to_BRG!A:D,2,FALSE)</f>
        <v>#N/A</v>
      </c>
      <c r="L551" s="20"/>
      <c r="M551" s="20"/>
      <c r="N551" s="9" t="s">
        <v>6465</v>
      </c>
      <c r="O551" s="54" t="s">
        <v>7812</v>
      </c>
      <c r="P551" s="7" t="s">
        <v>4617</v>
      </c>
      <c r="Q551" s="11" t="str">
        <f>RIGHT("00"&amp;Table362[[#This Row],[Rule '#]],3)&amp;"_"&amp;IF(Table362[[#This Row],[Entity]]="Material","MATL",LEFT(UPPER(Table362[[#This Row],[Entity]]),4))&amp;"_"&amp;MID(SUBSTITUTE(Table362[[#This Row],[Rule Name]],"_","|",3),SEARCH("|",SUBSTITUTE(Table362[[#This Row],[Rule Name]],"_","|",3))+1,LEN(Table362[[#This Row],[Rule Name]]))</f>
        <v>174_HR_ENDDA_99991231</v>
      </c>
      <c r="R551" s="8" t="s">
        <v>4618</v>
      </c>
      <c r="S551" s="7" t="s">
        <v>4136</v>
      </c>
      <c r="T551" s="7"/>
      <c r="U551" s="7"/>
      <c r="V551" s="7"/>
      <c r="W551" s="7" t="s">
        <v>4151</v>
      </c>
      <c r="X551" s="8"/>
      <c r="Y551" s="7"/>
      <c r="Z551" s="7"/>
      <c r="AA551" s="11" t="s">
        <v>4671</v>
      </c>
      <c r="AB551" s="11"/>
      <c r="AC551" s="11" t="s">
        <v>6809</v>
      </c>
      <c r="AD551" s="11"/>
      <c r="AH551" s="8"/>
      <c r="AI551" s="20"/>
      <c r="AJ551" s="20"/>
      <c r="AK551" s="31"/>
      <c r="AL551" s="31"/>
    </row>
    <row r="552" spans="1:38" ht="120" hidden="1" x14ac:dyDescent="0.25">
      <c r="A552" s="14" t="s">
        <v>7205</v>
      </c>
      <c r="B552" s="7" t="s">
        <v>5877</v>
      </c>
      <c r="C552" s="7" t="s">
        <v>4706</v>
      </c>
      <c r="D552" s="7" t="s">
        <v>5978</v>
      </c>
      <c r="E552" s="7" t="s">
        <v>5978</v>
      </c>
      <c r="F552" s="7" t="s">
        <v>5978</v>
      </c>
      <c r="G552" s="7"/>
      <c r="H552" s="7"/>
      <c r="I552" s="7"/>
      <c r="J552" s="20" t="e">
        <f>VLOOKUP(V552,Table_to_BRG!A:D,3,FALSE)</f>
        <v>#N/A</v>
      </c>
      <c r="K552" s="20" t="e">
        <f>VLOOKUP(V552,Table_to_BRG!A:D,2,FALSE)</f>
        <v>#N/A</v>
      </c>
      <c r="L552" s="20"/>
      <c r="M552" s="20"/>
      <c r="N552" s="9" t="s">
        <v>6465</v>
      </c>
      <c r="O552" s="54" t="s">
        <v>7812</v>
      </c>
      <c r="P552" s="7" t="s">
        <v>4619</v>
      </c>
      <c r="Q552" s="11" t="str">
        <f>RIGHT("00"&amp;Table362[[#This Row],[Rule '#]],3)&amp;"_"&amp;IF(Table362[[#This Row],[Entity]]="Material","MATL",LEFT(UPPER(Table362[[#This Row],[Entity]]),4))&amp;"_"&amp;MID(SUBSTITUTE(Table362[[#This Row],[Rule Name]],"_","|",3),SEARCH("|",SUBSTITUTE(Table362[[#This Row],[Rule Name]],"_","|",3))+1,LEN(Table362[[#This Row],[Rule Name]]))</f>
        <v>175_HR_FIRST_CHAR_CAPITALIZATION</v>
      </c>
      <c r="R552" s="8" t="s">
        <v>4620</v>
      </c>
      <c r="S552" s="7" t="s">
        <v>2</v>
      </c>
      <c r="T552" s="7"/>
      <c r="U552" s="7"/>
      <c r="V552" s="7"/>
      <c r="W552" s="7" t="s">
        <v>4151</v>
      </c>
      <c r="X552" s="8"/>
      <c r="Y552" s="7"/>
      <c r="Z552" s="7"/>
      <c r="AA552" s="11" t="s">
        <v>5900</v>
      </c>
      <c r="AB552" s="11"/>
      <c r="AC552" s="11"/>
      <c r="AD552" s="11"/>
      <c r="AH552" s="10" t="s">
        <v>5901</v>
      </c>
      <c r="AI552" s="20"/>
      <c r="AJ552" s="20"/>
      <c r="AK552" s="31"/>
      <c r="AL552" s="31"/>
    </row>
    <row r="553" spans="1:38" ht="60" hidden="1" x14ac:dyDescent="0.25">
      <c r="A553" s="14" t="s">
        <v>7206</v>
      </c>
      <c r="B553" s="7" t="s">
        <v>5877</v>
      </c>
      <c r="C553" s="7" t="s">
        <v>4706</v>
      </c>
      <c r="D553" s="7" t="s">
        <v>5978</v>
      </c>
      <c r="E553" s="7" t="s">
        <v>5978</v>
      </c>
      <c r="F553" s="7" t="s">
        <v>5978</v>
      </c>
      <c r="G553" s="7"/>
      <c r="H553" s="7"/>
      <c r="I553" s="7"/>
      <c r="J553" s="20" t="e">
        <f>VLOOKUP(V553,Table_to_BRG!A:D,3,FALSE)</f>
        <v>#N/A</v>
      </c>
      <c r="K553" s="20" t="e">
        <f>VLOOKUP(V553,Table_to_BRG!A:D,2,FALSE)</f>
        <v>#N/A</v>
      </c>
      <c r="L553" s="20"/>
      <c r="M553" s="20"/>
      <c r="N553" s="9" t="s">
        <v>6465</v>
      </c>
      <c r="O553" s="54" t="s">
        <v>7812</v>
      </c>
      <c r="P553" s="7" t="s">
        <v>4621</v>
      </c>
      <c r="Q553" s="11" t="str">
        <f>RIGHT("00"&amp;Table362[[#This Row],[Rule '#]],3)&amp;"_"&amp;IF(Table362[[#This Row],[Entity]]="Material","MATL",LEFT(UPPER(Table362[[#This Row],[Entity]]),4))&amp;"_"&amp;MID(SUBSTITUTE(Table362[[#This Row],[Rule Name]],"_","|",3),SEARCH("|",SUBSTITUTE(Table362[[#This Row],[Rule Name]],"_","|",3))+1,LEN(Table362[[#This Row],[Rule Name]]))</f>
        <v>176_HR_OM_OBJECT_1001_TYPE</v>
      </c>
      <c r="R553" s="8" t="s">
        <v>4622</v>
      </c>
      <c r="S553" s="7" t="s">
        <v>4136</v>
      </c>
      <c r="T553" s="7"/>
      <c r="U553" s="7"/>
      <c r="V553" s="7"/>
      <c r="W553" s="7" t="s">
        <v>4672</v>
      </c>
      <c r="X553" s="8"/>
      <c r="Y553" s="7"/>
      <c r="Z553" s="7"/>
      <c r="AA553" s="11" t="s">
        <v>4673</v>
      </c>
      <c r="AB553" s="11"/>
      <c r="AC553" s="11" t="s">
        <v>6809</v>
      </c>
      <c r="AD553" s="11"/>
      <c r="AH553" s="8"/>
      <c r="AI553" s="20"/>
      <c r="AJ553" s="20"/>
      <c r="AK553" s="31"/>
      <c r="AL553" s="31"/>
    </row>
    <row r="554" spans="1:38" ht="60" hidden="1" x14ac:dyDescent="0.25">
      <c r="A554" s="14" t="s">
        <v>7207</v>
      </c>
      <c r="B554" s="7" t="s">
        <v>5877</v>
      </c>
      <c r="C554" s="7" t="s">
        <v>4706</v>
      </c>
      <c r="D554" s="7" t="s">
        <v>5978</v>
      </c>
      <c r="E554" s="7" t="s">
        <v>5978</v>
      </c>
      <c r="F554" s="7" t="s">
        <v>5978</v>
      </c>
      <c r="G554" s="7"/>
      <c r="H554" s="7"/>
      <c r="I554" s="7"/>
      <c r="J554" s="20" t="e">
        <f>VLOOKUP(V554,Table_to_BRG!A:D,3,FALSE)</f>
        <v>#N/A</v>
      </c>
      <c r="K554" s="20" t="e">
        <f>VLOOKUP(V554,Table_to_BRG!A:D,2,FALSE)</f>
        <v>#N/A</v>
      </c>
      <c r="L554" s="20"/>
      <c r="M554" s="20"/>
      <c r="N554" s="9" t="s">
        <v>6465</v>
      </c>
      <c r="O554" s="54" t="s">
        <v>7812</v>
      </c>
      <c r="P554" s="7" t="s">
        <v>4317</v>
      </c>
      <c r="Q554" s="11" t="str">
        <f>RIGHT("00"&amp;Table362[[#This Row],[Rule '#]],3)&amp;"_"&amp;IF(Table362[[#This Row],[Entity]]="Material","MATL",LEFT(UPPER(Table362[[#This Row],[Entity]]),4))&amp;"_"&amp;MID(SUBSTITUTE(Table362[[#This Row],[Rule Name]],"_","|",3),SEARCH("|",SUBSTITUTE(Table362[[#This Row],[Rule Name]],"_","|",3))+1,LEN(Table362[[#This Row],[Rule Name]]))</f>
        <v>177_HR_IS_EN</v>
      </c>
      <c r="R554" s="8" t="s">
        <v>4318</v>
      </c>
      <c r="S554" s="7" t="s">
        <v>4135</v>
      </c>
      <c r="T554" s="7"/>
      <c r="U554" s="7"/>
      <c r="V554" s="7"/>
      <c r="W554" s="7" t="s">
        <v>4471</v>
      </c>
      <c r="X554" s="8"/>
      <c r="Y554" s="7" t="s">
        <v>4188</v>
      </c>
      <c r="Z554" s="7" t="s">
        <v>1534</v>
      </c>
      <c r="AA554" s="11" t="s">
        <v>4472</v>
      </c>
      <c r="AB554" s="11"/>
      <c r="AC554" s="11"/>
      <c r="AD554" s="11"/>
      <c r="AH554" s="8"/>
      <c r="AI554" s="20"/>
      <c r="AJ554" s="20"/>
      <c r="AK554" s="31"/>
      <c r="AL554" s="31"/>
    </row>
    <row r="555" spans="1:38" ht="36" hidden="1" x14ac:dyDescent="0.25">
      <c r="A555" s="14" t="s">
        <v>7208</v>
      </c>
      <c r="B555" s="7" t="s">
        <v>5877</v>
      </c>
      <c r="C555" s="7" t="s">
        <v>4706</v>
      </c>
      <c r="D555" s="7" t="s">
        <v>5978</v>
      </c>
      <c r="E555" s="7" t="s">
        <v>5978</v>
      </c>
      <c r="F555" s="7" t="s">
        <v>5978</v>
      </c>
      <c r="G555" s="7"/>
      <c r="H555" s="7"/>
      <c r="I555" s="7"/>
      <c r="J555" s="20" t="e">
        <f>VLOOKUP(V555,Table_to_BRG!A:D,3,FALSE)</f>
        <v>#N/A</v>
      </c>
      <c r="K555" s="20" t="e">
        <f>VLOOKUP(V555,Table_to_BRG!A:D,2,FALSE)</f>
        <v>#N/A</v>
      </c>
      <c r="L555" s="20"/>
      <c r="M555" s="20"/>
      <c r="N555" s="9" t="s">
        <v>6465</v>
      </c>
      <c r="O555" s="54" t="s">
        <v>7812</v>
      </c>
      <c r="P555" s="7" t="s">
        <v>4623</v>
      </c>
      <c r="Q555" s="11" t="str">
        <f>RIGHT("00"&amp;Table362[[#This Row],[Rule '#]],3)&amp;"_"&amp;IF(Table362[[#This Row],[Entity]]="Material","MATL",LEFT(UPPER(Table362[[#This Row],[Entity]]),4))&amp;"_"&amp;MID(SUBSTITUTE(Table362[[#This Row],[Rule Name]],"_","|",3),SEARCH("|",SUBSTITUTE(Table362[[#This Row],[Rule Name]],"_","|",3))+1,LEN(Table362[[#This Row],[Rule Name]]))</f>
        <v>178_HR_OM_OBJECT_1002_TYPE</v>
      </c>
      <c r="R555" s="8" t="s">
        <v>4624</v>
      </c>
      <c r="S555" s="7" t="s">
        <v>4136</v>
      </c>
      <c r="T555" s="7"/>
      <c r="U555" s="7"/>
      <c r="V555" s="7"/>
      <c r="W555" s="7" t="s">
        <v>4672</v>
      </c>
      <c r="X555" s="8"/>
      <c r="Y555" s="7"/>
      <c r="Z555" s="7"/>
      <c r="AA555" s="11" t="s">
        <v>4674</v>
      </c>
      <c r="AB555" s="11"/>
      <c r="AC555" s="11" t="s">
        <v>6809</v>
      </c>
      <c r="AD555" s="11"/>
      <c r="AH555" s="8"/>
      <c r="AI555" s="20"/>
      <c r="AJ555" s="20"/>
      <c r="AK555" s="31"/>
      <c r="AL555" s="31"/>
    </row>
    <row r="556" spans="1:38" ht="48" hidden="1" x14ac:dyDescent="0.25">
      <c r="A556" s="14" t="s">
        <v>7209</v>
      </c>
      <c r="B556" s="7" t="s">
        <v>5877</v>
      </c>
      <c r="C556" s="7" t="s">
        <v>4706</v>
      </c>
      <c r="D556" s="7" t="s">
        <v>5978</v>
      </c>
      <c r="E556" s="7" t="s">
        <v>5978</v>
      </c>
      <c r="F556" s="7" t="s">
        <v>5978</v>
      </c>
      <c r="G556" s="7"/>
      <c r="H556" s="7"/>
      <c r="I556" s="7"/>
      <c r="J556" s="20" t="e">
        <f>VLOOKUP(V556,Table_to_BRG!A:D,3,FALSE)</f>
        <v>#N/A</v>
      </c>
      <c r="K556" s="20" t="e">
        <f>VLOOKUP(V556,Table_to_BRG!A:D,2,FALSE)</f>
        <v>#N/A</v>
      </c>
      <c r="L556" s="20"/>
      <c r="M556" s="20"/>
      <c r="N556" s="9" t="s">
        <v>6465</v>
      </c>
      <c r="O556" s="54" t="s">
        <v>7812</v>
      </c>
      <c r="P556" s="7" t="s">
        <v>4625</v>
      </c>
      <c r="Q556" s="11" t="str">
        <f>RIGHT("00"&amp;Table362[[#This Row],[Rule '#]],3)&amp;"_"&amp;IF(Table362[[#This Row],[Entity]]="Material","MATL",LEFT(UPPER(Table362[[#This Row],[Entity]]),4))&amp;"_"&amp;MID(SUBSTITUTE(Table362[[#This Row],[Rule Name]],"_","|",3),SEARCH("|",SUBSTITUTE(Table362[[#This Row],[Rule Name]],"_","|",3))+1,LEN(Table362[[#This Row],[Rule Name]]))</f>
        <v>179_HR_IT0009_ZLSCH_CHECK</v>
      </c>
      <c r="R556" s="8" t="s">
        <v>4626</v>
      </c>
      <c r="S556" s="7" t="s">
        <v>4136</v>
      </c>
      <c r="T556" s="7"/>
      <c r="U556" s="7"/>
      <c r="V556" s="7" t="s">
        <v>4675</v>
      </c>
      <c r="W556" s="7" t="s">
        <v>4151</v>
      </c>
      <c r="X556" s="8"/>
      <c r="Y556" s="7"/>
      <c r="Z556" s="7"/>
      <c r="AA556" s="11" t="s">
        <v>4676</v>
      </c>
      <c r="AB556" s="11"/>
      <c r="AC556" s="11" t="s">
        <v>6809</v>
      </c>
      <c r="AD556" s="11"/>
      <c r="AH556" s="8"/>
      <c r="AI556" s="20"/>
      <c r="AJ556" s="20"/>
      <c r="AK556" s="31"/>
      <c r="AL556" s="31"/>
    </row>
    <row r="557" spans="1:38" ht="36" hidden="1" x14ac:dyDescent="0.25">
      <c r="A557" s="14" t="s">
        <v>7210</v>
      </c>
      <c r="B557" s="7" t="s">
        <v>5877</v>
      </c>
      <c r="C557" s="7" t="s">
        <v>4706</v>
      </c>
      <c r="D557" s="7" t="s">
        <v>5978</v>
      </c>
      <c r="E557" s="7" t="s">
        <v>5978</v>
      </c>
      <c r="F557" s="7" t="s">
        <v>5978</v>
      </c>
      <c r="G557" s="7"/>
      <c r="H557" s="7"/>
      <c r="I557" s="7"/>
      <c r="J557" s="20" t="e">
        <f>VLOOKUP(V557,Table_to_BRG!A:D,3,FALSE)</f>
        <v>#N/A</v>
      </c>
      <c r="K557" s="20" t="e">
        <f>VLOOKUP(V557,Table_to_BRG!A:D,2,FALSE)</f>
        <v>#N/A</v>
      </c>
      <c r="L557" s="20"/>
      <c r="M557" s="20"/>
      <c r="N557" s="9" t="s">
        <v>6465</v>
      </c>
      <c r="O557" s="54" t="s">
        <v>7812</v>
      </c>
      <c r="P557" s="7" t="s">
        <v>4627</v>
      </c>
      <c r="Q557" s="11" t="str">
        <f>RIGHT("00"&amp;Table362[[#This Row],[Rule '#]],3)&amp;"_"&amp;IF(Table362[[#This Row],[Entity]]="Material","MATL",LEFT(UPPER(Table362[[#This Row],[Entity]]),4))&amp;"_"&amp;MID(SUBSTITUTE(Table362[[#This Row],[Rule Name]],"_","|",3),SEARCH("|",SUBSTITUTE(Table362[[#This Row],[Rule Name]],"_","|",3))+1,LEN(Table362[[#This Row],[Rule Name]]))</f>
        <v>180_HR_IT0008_TRFGB_CHECK_01</v>
      </c>
      <c r="R557" s="8" t="s">
        <v>4628</v>
      </c>
      <c r="S557" s="7" t="s">
        <v>4136</v>
      </c>
      <c r="T557" s="7"/>
      <c r="U557" s="7"/>
      <c r="V557" s="7" t="s">
        <v>4677</v>
      </c>
      <c r="W557" s="7" t="s">
        <v>4151</v>
      </c>
      <c r="X557" s="8"/>
      <c r="Y557" s="7"/>
      <c r="Z557" s="7"/>
      <c r="AA557" s="11" t="s">
        <v>4678</v>
      </c>
      <c r="AB557" s="11"/>
      <c r="AC557" s="11" t="s">
        <v>6809</v>
      </c>
      <c r="AD557" s="11"/>
      <c r="AH557" s="8"/>
      <c r="AI557" s="20"/>
      <c r="AJ557" s="20"/>
      <c r="AK557" s="31"/>
      <c r="AL557" s="31"/>
    </row>
    <row r="558" spans="1:38" ht="36" hidden="1" x14ac:dyDescent="0.25">
      <c r="A558" s="14" t="s">
        <v>7211</v>
      </c>
      <c r="B558" s="7" t="s">
        <v>5877</v>
      </c>
      <c r="C558" s="7" t="s">
        <v>4706</v>
      </c>
      <c r="D558" s="7" t="s">
        <v>5978</v>
      </c>
      <c r="E558" s="7" t="s">
        <v>5978</v>
      </c>
      <c r="F558" s="7" t="s">
        <v>5978</v>
      </c>
      <c r="G558" s="7"/>
      <c r="H558" s="7"/>
      <c r="I558" s="7"/>
      <c r="J558" s="20" t="e">
        <f>VLOOKUP(V558,Table_to_BRG!A:D,3,FALSE)</f>
        <v>#N/A</v>
      </c>
      <c r="K558" s="20" t="e">
        <f>VLOOKUP(V558,Table_to_BRG!A:D,2,FALSE)</f>
        <v>#N/A</v>
      </c>
      <c r="L558" s="20"/>
      <c r="M558" s="20"/>
      <c r="N558" s="9" t="s">
        <v>6465</v>
      </c>
      <c r="O558" s="54" t="s">
        <v>7812</v>
      </c>
      <c r="P558" s="7" t="s">
        <v>4629</v>
      </c>
      <c r="Q558" s="11" t="str">
        <f>RIGHT("00"&amp;Table362[[#This Row],[Rule '#]],3)&amp;"_"&amp;IF(Table362[[#This Row],[Entity]]="Material","MATL",LEFT(UPPER(Table362[[#This Row],[Entity]]),4))&amp;"_"&amp;MID(SUBSTITUTE(Table362[[#This Row],[Rule Name]],"_","|",3),SEARCH("|",SUBSTITUTE(Table362[[#This Row],[Rule Name]],"_","|",3))+1,LEN(Table362[[#This Row],[Rule Name]]))</f>
        <v>181_HR_IT0001_EMPLOYEE_GROUP_CHECK</v>
      </c>
      <c r="R558" s="8" t="s">
        <v>4630</v>
      </c>
      <c r="S558" s="7" t="s">
        <v>4135</v>
      </c>
      <c r="T558" s="7"/>
      <c r="U558" s="7"/>
      <c r="V558" s="7" t="s">
        <v>4679</v>
      </c>
      <c r="W558" s="7" t="s">
        <v>4151</v>
      </c>
      <c r="X558" s="8"/>
      <c r="Y558" s="7"/>
      <c r="Z558" s="7"/>
      <c r="AA558" s="11" t="s">
        <v>4680</v>
      </c>
      <c r="AB558" s="11"/>
      <c r="AC558" s="11" t="s">
        <v>6814</v>
      </c>
      <c r="AD558" s="11"/>
      <c r="AH558" s="8"/>
      <c r="AI558" s="20"/>
      <c r="AJ558" s="20"/>
      <c r="AK558" s="31"/>
      <c r="AL558" s="31"/>
    </row>
    <row r="559" spans="1:38" ht="36" hidden="1" x14ac:dyDescent="0.25">
      <c r="A559" s="14" t="s">
        <v>7212</v>
      </c>
      <c r="B559" s="7" t="s">
        <v>5877</v>
      </c>
      <c r="C559" s="7" t="s">
        <v>4706</v>
      </c>
      <c r="D559" s="7" t="s">
        <v>5978</v>
      </c>
      <c r="E559" s="7" t="s">
        <v>5978</v>
      </c>
      <c r="F559" s="7" t="s">
        <v>5978</v>
      </c>
      <c r="G559" s="7"/>
      <c r="H559" s="7"/>
      <c r="I559" s="7"/>
      <c r="J559" s="20" t="e">
        <f>VLOOKUP(V559,Table_to_BRG!A:D,3,FALSE)</f>
        <v>#N/A</v>
      </c>
      <c r="K559" s="20" t="e">
        <f>VLOOKUP(V559,Table_to_BRG!A:D,2,FALSE)</f>
        <v>#N/A</v>
      </c>
      <c r="L559" s="20"/>
      <c r="M559" s="20"/>
      <c r="N559" s="9" t="s">
        <v>6465</v>
      </c>
      <c r="O559" s="54" t="s">
        <v>7812</v>
      </c>
      <c r="P559" s="7" t="s">
        <v>4631</v>
      </c>
      <c r="Q559" s="11" t="str">
        <f>RIGHT("00"&amp;Table362[[#This Row],[Rule '#]],3)&amp;"_"&amp;IF(Table362[[#This Row],[Entity]]="Material","MATL",LEFT(UPPER(Table362[[#This Row],[Entity]]),4))&amp;"_"&amp;MID(SUBSTITUTE(Table362[[#This Row],[Rule Name]],"_","|",3),SEARCH("|",SUBSTITUTE(Table362[[#This Row],[Rule Name]],"_","|",3))+1,LEN(Table362[[#This Row],[Rule Name]]))</f>
        <v>182_HR_IT0009_IBAN_CHECK_EP</v>
      </c>
      <c r="R559" s="8" t="s">
        <v>4632</v>
      </c>
      <c r="S559" s="7" t="s">
        <v>4136</v>
      </c>
      <c r="T559" s="7"/>
      <c r="U559" s="7"/>
      <c r="V559" s="7" t="s">
        <v>4675</v>
      </c>
      <c r="W559" s="7" t="s">
        <v>4151</v>
      </c>
      <c r="X559" s="8"/>
      <c r="Y559" s="7"/>
      <c r="Z559" s="7"/>
      <c r="AA559" s="11" t="s">
        <v>4681</v>
      </c>
      <c r="AB559" s="11"/>
      <c r="AC559" s="11" t="s">
        <v>6813</v>
      </c>
      <c r="AD559" s="11"/>
      <c r="AH559" s="8"/>
      <c r="AI559" s="20"/>
      <c r="AJ559" s="20"/>
      <c r="AK559" s="31"/>
      <c r="AL559" s="31"/>
    </row>
    <row r="560" spans="1:38" ht="156" hidden="1" x14ac:dyDescent="0.25">
      <c r="A560" s="14" t="s">
        <v>7213</v>
      </c>
      <c r="B560" s="7" t="s">
        <v>5877</v>
      </c>
      <c r="C560" s="7" t="s">
        <v>4706</v>
      </c>
      <c r="D560" s="7" t="s">
        <v>5978</v>
      </c>
      <c r="E560" s="7" t="s">
        <v>5978</v>
      </c>
      <c r="F560" s="7" t="s">
        <v>5978</v>
      </c>
      <c r="G560" s="7"/>
      <c r="H560" s="7"/>
      <c r="I560" s="7"/>
      <c r="J560" s="20" t="e">
        <f>VLOOKUP(V560,Table_to_BRG!A:D,3,FALSE)</f>
        <v>#N/A</v>
      </c>
      <c r="K560" s="20" t="e">
        <f>VLOOKUP(V560,Table_to_BRG!A:D,2,FALSE)</f>
        <v>#N/A</v>
      </c>
      <c r="L560" s="20"/>
      <c r="M560" s="20"/>
      <c r="N560" s="9" t="s">
        <v>6465</v>
      </c>
      <c r="O560" s="54" t="s">
        <v>7812</v>
      </c>
      <c r="P560" s="7" t="s">
        <v>4633</v>
      </c>
      <c r="Q560" s="11" t="str">
        <f>RIGHT("00"&amp;Table362[[#This Row],[Rule '#]],3)&amp;"_"&amp;IF(Table362[[#This Row],[Entity]]="Material","MATL",LEFT(UPPER(Table362[[#This Row],[Entity]]),4))&amp;"_"&amp;MID(SUBSTITUTE(Table362[[#This Row],[Rule Name]],"_","|",3),SEARCH("|",SUBSTITUTE(Table362[[#This Row],[Rule Name]],"_","|",3))+1,LEN(Table362[[#This Row],[Rule Name]]))</f>
        <v>183_HR_IT0006_ADDRESS_TYPE_UNIQUE</v>
      </c>
      <c r="R560" s="8" t="s">
        <v>4634</v>
      </c>
      <c r="S560" s="7" t="s">
        <v>4135</v>
      </c>
      <c r="T560" s="7"/>
      <c r="U560" s="7"/>
      <c r="V560" s="7" t="s">
        <v>4682</v>
      </c>
      <c r="W560" s="7" t="s">
        <v>4683</v>
      </c>
      <c r="X560" s="8"/>
      <c r="Y560" s="7"/>
      <c r="Z560" s="7"/>
      <c r="AA560" s="11" t="s">
        <v>4684</v>
      </c>
      <c r="AB560" s="11"/>
      <c r="AC560" s="11"/>
      <c r="AD560" s="11"/>
      <c r="AH560" s="8"/>
      <c r="AI560" s="20" t="s">
        <v>7669</v>
      </c>
      <c r="AJ560" s="20"/>
      <c r="AK560" s="31"/>
      <c r="AL560" s="31"/>
    </row>
    <row r="561" spans="1:38" ht="144" hidden="1" x14ac:dyDescent="0.25">
      <c r="A561" s="14" t="s">
        <v>7214</v>
      </c>
      <c r="B561" s="7" t="s">
        <v>5877</v>
      </c>
      <c r="C561" s="7" t="s">
        <v>4706</v>
      </c>
      <c r="D561" s="7" t="s">
        <v>5978</v>
      </c>
      <c r="E561" s="7" t="s">
        <v>5978</v>
      </c>
      <c r="F561" s="7" t="s">
        <v>5978</v>
      </c>
      <c r="G561" s="7"/>
      <c r="H561" s="7"/>
      <c r="I561" s="7"/>
      <c r="J561" s="20" t="e">
        <f>VLOOKUP(V561,Table_to_BRG!A:D,3,FALSE)</f>
        <v>#N/A</v>
      </c>
      <c r="K561" s="20" t="e">
        <f>VLOOKUP(V561,Table_to_BRG!A:D,2,FALSE)</f>
        <v>#N/A</v>
      </c>
      <c r="L561" s="20"/>
      <c r="M561" s="20"/>
      <c r="N561" s="9" t="s">
        <v>6465</v>
      </c>
      <c r="O561" s="54" t="s">
        <v>7812</v>
      </c>
      <c r="P561" s="7" t="s">
        <v>4635</v>
      </c>
      <c r="Q561" s="11" t="str">
        <f>RIGHT("00"&amp;Table362[[#This Row],[Rule '#]],3)&amp;"_"&amp;IF(Table362[[#This Row],[Entity]]="Material","MATL",LEFT(UPPER(Table362[[#This Row],[Entity]]),4))&amp;"_"&amp;MID(SUBSTITUTE(Table362[[#This Row],[Rule Name]],"_","|",3),SEARCH("|",SUBSTITUTE(Table362[[#This Row],[Rule Name]],"_","|",3))+1,LEN(Table362[[#This Row],[Rule Name]]))</f>
        <v>184_HR_IT0009_BANKL_CHECK</v>
      </c>
      <c r="R561" s="8" t="s">
        <v>4636</v>
      </c>
      <c r="S561" s="7" t="s">
        <v>4136</v>
      </c>
      <c r="T561" s="7"/>
      <c r="U561" s="7"/>
      <c r="V561" s="7" t="s">
        <v>4675</v>
      </c>
      <c r="W561" s="7" t="s">
        <v>4151</v>
      </c>
      <c r="X561" s="8"/>
      <c r="Y561" s="7"/>
      <c r="Z561" s="7"/>
      <c r="AA561" s="11" t="s">
        <v>4685</v>
      </c>
      <c r="AB561" s="11"/>
      <c r="AC561" s="11"/>
      <c r="AD561" s="11"/>
      <c r="AH561" s="8"/>
      <c r="AI561" s="20"/>
      <c r="AJ561" s="20"/>
      <c r="AK561" s="31"/>
      <c r="AL561" s="31"/>
    </row>
    <row r="562" spans="1:38" ht="36" hidden="1" x14ac:dyDescent="0.25">
      <c r="A562" s="14" t="s">
        <v>7215</v>
      </c>
      <c r="B562" s="7" t="s">
        <v>5877</v>
      </c>
      <c r="C562" s="7" t="s">
        <v>4706</v>
      </c>
      <c r="D562" s="7" t="s">
        <v>5978</v>
      </c>
      <c r="E562" s="7" t="s">
        <v>5978</v>
      </c>
      <c r="F562" s="7" t="s">
        <v>5978</v>
      </c>
      <c r="G562" s="7"/>
      <c r="H562" s="7"/>
      <c r="I562" s="7"/>
      <c r="J562" s="20" t="e">
        <f>VLOOKUP(V562,Table_to_BRG!A:D,3,FALSE)</f>
        <v>#N/A</v>
      </c>
      <c r="K562" s="20" t="e">
        <f>VLOOKUP(V562,Table_to_BRG!A:D,2,FALSE)</f>
        <v>#N/A</v>
      </c>
      <c r="L562" s="20"/>
      <c r="M562" s="20"/>
      <c r="N562" s="9" t="s">
        <v>6465</v>
      </c>
      <c r="O562" s="54" t="s">
        <v>7812</v>
      </c>
      <c r="P562" s="7" t="s">
        <v>4637</v>
      </c>
      <c r="Q562" s="11" t="str">
        <f>RIGHT("00"&amp;Table362[[#This Row],[Rule '#]],3)&amp;"_"&amp;IF(Table362[[#This Row],[Entity]]="Material","MATL",LEFT(UPPER(Table362[[#This Row],[Entity]]),4))&amp;"_"&amp;MID(SUBSTITUTE(Table362[[#This Row],[Rule Name]],"_","|",3),SEARCH("|",SUBSTITUTE(Table362[[#This Row],[Rule Name]],"_","|",3))+1,LEN(Table362[[#This Row],[Rule Name]]))</f>
        <v>185_HR_OM_OBJECT_1050_TYPE</v>
      </c>
      <c r="R562" s="8" t="s">
        <v>4638</v>
      </c>
      <c r="S562" s="7" t="s">
        <v>4136</v>
      </c>
      <c r="T562" s="7"/>
      <c r="U562" s="7"/>
      <c r="V562" s="7"/>
      <c r="W562" s="7" t="s">
        <v>4672</v>
      </c>
      <c r="X562" s="8"/>
      <c r="Y562" s="7"/>
      <c r="Z562" s="7"/>
      <c r="AA562" s="11" t="s">
        <v>4686</v>
      </c>
      <c r="AB562" s="11"/>
      <c r="AC562" s="11"/>
      <c r="AD562" s="11"/>
      <c r="AH562" s="8"/>
      <c r="AI562" s="20"/>
      <c r="AJ562" s="20"/>
      <c r="AK562" s="31"/>
      <c r="AL562" s="31"/>
    </row>
    <row r="563" spans="1:38" ht="36" hidden="1" x14ac:dyDescent="0.25">
      <c r="A563" s="14" t="s">
        <v>7216</v>
      </c>
      <c r="B563" s="7" t="s">
        <v>5877</v>
      </c>
      <c r="C563" s="7" t="s">
        <v>4706</v>
      </c>
      <c r="D563" s="7" t="s">
        <v>5978</v>
      </c>
      <c r="E563" s="7" t="s">
        <v>5978</v>
      </c>
      <c r="F563" s="7" t="s">
        <v>5978</v>
      </c>
      <c r="G563" s="7"/>
      <c r="H563" s="7"/>
      <c r="I563" s="7"/>
      <c r="J563" s="20" t="e">
        <f>VLOOKUP(V563,Table_to_BRG!A:D,3,FALSE)</f>
        <v>#N/A</v>
      </c>
      <c r="K563" s="20" t="e">
        <f>VLOOKUP(V563,Table_to_BRG!A:D,2,FALSE)</f>
        <v>#N/A</v>
      </c>
      <c r="L563" s="20"/>
      <c r="M563" s="20"/>
      <c r="N563" s="9" t="s">
        <v>6465</v>
      </c>
      <c r="O563" s="54" t="s">
        <v>7812</v>
      </c>
      <c r="P563" s="7" t="s">
        <v>4639</v>
      </c>
      <c r="Q563" s="11" t="str">
        <f>RIGHT("00"&amp;Table362[[#This Row],[Rule '#]],3)&amp;"_"&amp;IF(Table362[[#This Row],[Entity]]="Material","MATL",LEFT(UPPER(Table362[[#This Row],[Entity]]),4))&amp;"_"&amp;MID(SUBSTITUTE(Table362[[#This Row],[Rule Name]],"_","|",3),SEARCH("|",SUBSTITUTE(Table362[[#This Row],[Rule Name]],"_","|",3))+1,LEN(Table362[[#This Row],[Rule Name]]))</f>
        <v>186_HR_IT0008_ENDDATE</v>
      </c>
      <c r="R563" s="8"/>
      <c r="S563" s="7" t="s">
        <v>4135</v>
      </c>
      <c r="T563" s="7"/>
      <c r="U563" s="7"/>
      <c r="V563" s="7" t="s">
        <v>4677</v>
      </c>
      <c r="W563" s="7" t="s">
        <v>4687</v>
      </c>
      <c r="X563" s="8"/>
      <c r="Y563" s="7"/>
      <c r="Z563" s="7"/>
      <c r="AA563" s="11" t="s">
        <v>4688</v>
      </c>
      <c r="AB563" s="11"/>
      <c r="AC563" s="11" t="s">
        <v>6809</v>
      </c>
      <c r="AD563" s="11"/>
      <c r="AH563" s="8"/>
      <c r="AI563" s="20"/>
      <c r="AJ563" s="20"/>
      <c r="AK563" s="31"/>
      <c r="AL563" s="31"/>
    </row>
    <row r="564" spans="1:38" ht="48" hidden="1" x14ac:dyDescent="0.25">
      <c r="A564" s="14" t="s">
        <v>7217</v>
      </c>
      <c r="B564" s="7" t="s">
        <v>5877</v>
      </c>
      <c r="C564" s="7" t="s">
        <v>4706</v>
      </c>
      <c r="D564" s="7" t="s">
        <v>5978</v>
      </c>
      <c r="E564" s="7" t="s">
        <v>5978</v>
      </c>
      <c r="F564" s="7" t="s">
        <v>5978</v>
      </c>
      <c r="G564" s="7"/>
      <c r="H564" s="7"/>
      <c r="I564" s="7"/>
      <c r="J564" s="20" t="e">
        <f>VLOOKUP(V564,Table_to_BRG!A:D,3,FALSE)</f>
        <v>#N/A</v>
      </c>
      <c r="K564" s="20" t="e">
        <f>VLOOKUP(V564,Table_to_BRG!A:D,2,FALSE)</f>
        <v>#N/A</v>
      </c>
      <c r="L564" s="20"/>
      <c r="M564" s="20"/>
      <c r="N564" s="9" t="s">
        <v>6465</v>
      </c>
      <c r="O564" s="54" t="s">
        <v>7812</v>
      </c>
      <c r="P564" s="7" t="s">
        <v>4640</v>
      </c>
      <c r="Q564" s="11" t="str">
        <f>RIGHT("00"&amp;Table362[[#This Row],[Rule '#]],3)&amp;"_"&amp;IF(Table362[[#This Row],[Entity]]="Material","MATL",LEFT(UPPER(Table362[[#This Row],[Entity]]),4))&amp;"_"&amp;MID(SUBSTITUTE(Table362[[#This Row],[Rule Name]],"_","|",3),SEARCH("|",SUBSTITUTE(Table362[[#This Row],[Rule Name]],"_","|",3))+1,LEN(Table362[[#This Row],[Rule Name]]))</f>
        <v>187_HR_IT0078_MAX_LOANS</v>
      </c>
      <c r="R564" s="8" t="s">
        <v>4641</v>
      </c>
      <c r="S564" s="7" t="s">
        <v>4135</v>
      </c>
      <c r="T564" s="7"/>
      <c r="U564" s="7"/>
      <c r="V564" s="7" t="s">
        <v>4662</v>
      </c>
      <c r="W564" s="7" t="s">
        <v>4689</v>
      </c>
      <c r="X564" s="8"/>
      <c r="Y564" s="7"/>
      <c r="Z564" s="7"/>
      <c r="AA564" s="11" t="s">
        <v>4690</v>
      </c>
      <c r="AB564" s="11"/>
      <c r="AC564" s="11"/>
      <c r="AD564" s="11"/>
      <c r="AH564" s="8"/>
      <c r="AI564" s="20"/>
      <c r="AJ564" s="20"/>
      <c r="AK564" s="31"/>
      <c r="AL564" s="31"/>
    </row>
    <row r="565" spans="1:38" ht="60" hidden="1" x14ac:dyDescent="0.25">
      <c r="A565" s="14" t="s">
        <v>7218</v>
      </c>
      <c r="B565" s="7" t="s">
        <v>5877</v>
      </c>
      <c r="C565" s="7" t="s">
        <v>4706</v>
      </c>
      <c r="D565" s="7" t="s">
        <v>5978</v>
      </c>
      <c r="E565" s="7" t="s">
        <v>5978</v>
      </c>
      <c r="F565" s="7" t="s">
        <v>5978</v>
      </c>
      <c r="G565" s="7"/>
      <c r="H565" s="7"/>
      <c r="I565" s="7"/>
      <c r="J565" s="20" t="e">
        <f>VLOOKUP(V565,Table_to_BRG!A:D,3,FALSE)</f>
        <v>#N/A</v>
      </c>
      <c r="K565" s="20" t="e">
        <f>VLOOKUP(V565,Table_to_BRG!A:D,2,FALSE)</f>
        <v>#N/A</v>
      </c>
      <c r="L565" s="20"/>
      <c r="M565" s="20"/>
      <c r="N565" s="9" t="s">
        <v>6465</v>
      </c>
      <c r="O565" s="54" t="s">
        <v>7812</v>
      </c>
      <c r="P565" s="7" t="s">
        <v>4642</v>
      </c>
      <c r="Q565" s="11" t="str">
        <f>RIGHT("00"&amp;Table362[[#This Row],[Rule '#]],3)&amp;"_"&amp;IF(Table362[[#This Row],[Entity]]="Material","MATL",LEFT(UPPER(Table362[[#This Row],[Entity]]),4))&amp;"_"&amp;MID(SUBSTITUTE(Table362[[#This Row],[Rule Name]],"_","|",3),SEARCH("|",SUBSTITUTE(Table362[[#This Row],[Rule Name]],"_","|",3))+1,LEN(Table362[[#This Row],[Rule Name]]))</f>
        <v>188_HR_OM_OBJECT_1001_RELAT</v>
      </c>
      <c r="R565" s="8" t="s">
        <v>4643</v>
      </c>
      <c r="S565" s="7" t="s">
        <v>4136</v>
      </c>
      <c r="T565" s="7"/>
      <c r="U565" s="7"/>
      <c r="V565" s="7"/>
      <c r="W565" s="7" t="s">
        <v>4691</v>
      </c>
      <c r="X565" s="8"/>
      <c r="Y565" s="7"/>
      <c r="Z565" s="7"/>
      <c r="AA565" s="11" t="s">
        <v>4692</v>
      </c>
      <c r="AB565" s="11"/>
      <c r="AC565" s="11" t="s">
        <v>6809</v>
      </c>
      <c r="AD565" s="11"/>
      <c r="AH565" s="10" t="s">
        <v>5902</v>
      </c>
      <c r="AI565" s="20"/>
      <c r="AJ565" s="20"/>
      <c r="AK565" s="31"/>
      <c r="AL565" s="31"/>
    </row>
    <row r="566" spans="1:38" ht="36" hidden="1" x14ac:dyDescent="0.25">
      <c r="A566" s="14" t="s">
        <v>7219</v>
      </c>
      <c r="B566" s="7" t="s">
        <v>5877</v>
      </c>
      <c r="C566" s="7" t="s">
        <v>4706</v>
      </c>
      <c r="D566" s="7" t="s">
        <v>5978</v>
      </c>
      <c r="E566" s="7" t="s">
        <v>5978</v>
      </c>
      <c r="F566" s="7" t="s">
        <v>5978</v>
      </c>
      <c r="G566" s="7"/>
      <c r="H566" s="7"/>
      <c r="I566" s="7"/>
      <c r="J566" s="20" t="e">
        <f>VLOOKUP(V566,Table_to_BRG!A:D,3,FALSE)</f>
        <v>#N/A</v>
      </c>
      <c r="K566" s="20" t="e">
        <f>VLOOKUP(V566,Table_to_BRG!A:D,2,FALSE)</f>
        <v>#N/A</v>
      </c>
      <c r="L566" s="20"/>
      <c r="M566" s="20"/>
      <c r="N566" s="9" t="s">
        <v>6465</v>
      </c>
      <c r="O566" s="54" t="s">
        <v>7812</v>
      </c>
      <c r="P566" s="7" t="s">
        <v>4644</v>
      </c>
      <c r="Q566" s="11" t="str">
        <f>RIGHT("00"&amp;Table362[[#This Row],[Rule '#]],3)&amp;"_"&amp;IF(Table362[[#This Row],[Entity]]="Material","MATL",LEFT(UPPER(Table362[[#This Row],[Entity]]),4))&amp;"_"&amp;MID(SUBSTITUTE(Table362[[#This Row],[Rule Name]],"_","|",3),SEARCH("|",SUBSTITUTE(Table362[[#This Row],[Rule Name]],"_","|",3))+1,LEN(Table362[[#This Row],[Rule Name]]))</f>
        <v>189_HR_IT0009_IBAN_CHECK</v>
      </c>
      <c r="R566" s="8" t="s">
        <v>4632</v>
      </c>
      <c r="S566" s="7" t="s">
        <v>4136</v>
      </c>
      <c r="T566" s="7"/>
      <c r="U566" s="7"/>
      <c r="V566" s="7" t="s">
        <v>4675</v>
      </c>
      <c r="W566" s="7" t="s">
        <v>4151</v>
      </c>
      <c r="X566" s="8"/>
      <c r="Y566" s="7"/>
      <c r="Z566" s="7"/>
      <c r="AA566" s="11" t="s">
        <v>4681</v>
      </c>
      <c r="AB566" s="11"/>
      <c r="AC566" s="11" t="s">
        <v>6813</v>
      </c>
      <c r="AD566" s="11"/>
      <c r="AH566" s="8"/>
      <c r="AI566" s="20"/>
      <c r="AJ566" s="20"/>
      <c r="AK566" s="31"/>
      <c r="AL566" s="31"/>
    </row>
    <row r="567" spans="1:38" ht="144" hidden="1" x14ac:dyDescent="0.25">
      <c r="A567" s="14" t="s">
        <v>7220</v>
      </c>
      <c r="B567" s="7" t="s">
        <v>5877</v>
      </c>
      <c r="C567" s="7" t="s">
        <v>4706</v>
      </c>
      <c r="D567" s="7" t="s">
        <v>5978</v>
      </c>
      <c r="E567" s="7" t="s">
        <v>5978</v>
      </c>
      <c r="F567" s="7" t="s">
        <v>5978</v>
      </c>
      <c r="G567" s="7"/>
      <c r="H567" s="7"/>
      <c r="I567" s="7"/>
      <c r="J567" s="20" t="e">
        <f>VLOOKUP(V567,Table_to_BRG!A:D,3,FALSE)</f>
        <v>#N/A</v>
      </c>
      <c r="K567" s="20" t="e">
        <f>VLOOKUP(V567,Table_to_BRG!A:D,2,FALSE)</f>
        <v>#N/A</v>
      </c>
      <c r="L567" s="20"/>
      <c r="M567" s="20"/>
      <c r="N567" s="9" t="s">
        <v>6465</v>
      </c>
      <c r="O567" s="54" t="s">
        <v>7812</v>
      </c>
      <c r="P567" s="7" t="s">
        <v>4645</v>
      </c>
      <c r="Q567" s="11" t="str">
        <f>RIGHT("00"&amp;Table362[[#This Row],[Rule '#]],3)&amp;"_"&amp;IF(Table362[[#This Row],[Entity]]="Material","MATL",LEFT(UPPER(Table362[[#This Row],[Entity]]),4))&amp;"_"&amp;MID(SUBSTITUTE(Table362[[#This Row],[Rule Name]],"_","|",3),SEARCH("|",SUBSTITUTE(Table362[[#This Row],[Rule Name]],"_","|",3))+1,LEN(Table362[[#This Row],[Rule Name]]))</f>
        <v>190_HR_IT0001_PLANS_FIELD_NOT_99999999</v>
      </c>
      <c r="R567" s="8" t="s">
        <v>4646</v>
      </c>
      <c r="S567" s="7" t="s">
        <v>4135</v>
      </c>
      <c r="T567" s="7"/>
      <c r="U567" s="7"/>
      <c r="V567" s="7" t="s">
        <v>4679</v>
      </c>
      <c r="W567" s="7" t="s">
        <v>4151</v>
      </c>
      <c r="X567" s="8"/>
      <c r="Y567" s="7"/>
      <c r="Z567" s="7"/>
      <c r="AA567" s="11" t="s">
        <v>4693</v>
      </c>
      <c r="AB567" s="11"/>
      <c r="AC567" s="11"/>
      <c r="AD567" s="11"/>
      <c r="AH567" s="8"/>
      <c r="AI567" s="20"/>
      <c r="AJ567" s="20"/>
      <c r="AK567" s="31"/>
      <c r="AL567" s="31"/>
    </row>
    <row r="568" spans="1:38" ht="36" hidden="1" x14ac:dyDescent="0.25">
      <c r="A568" s="14" t="s">
        <v>7221</v>
      </c>
      <c r="B568" s="7" t="s">
        <v>5877</v>
      </c>
      <c r="C568" s="7" t="s">
        <v>4706</v>
      </c>
      <c r="D568" s="7" t="s">
        <v>5978</v>
      </c>
      <c r="E568" s="7" t="s">
        <v>5978</v>
      </c>
      <c r="F568" s="7" t="s">
        <v>5978</v>
      </c>
      <c r="G568" s="7"/>
      <c r="H568" s="7"/>
      <c r="I568" s="7"/>
      <c r="J568" s="20" t="e">
        <f>VLOOKUP(V568,Table_to_BRG!A:D,3,FALSE)</f>
        <v>#N/A</v>
      </c>
      <c r="K568" s="20" t="e">
        <f>VLOOKUP(V568,Table_to_BRG!A:D,2,FALSE)</f>
        <v>#N/A</v>
      </c>
      <c r="L568" s="20"/>
      <c r="M568" s="20"/>
      <c r="N568" s="9" t="s">
        <v>6465</v>
      </c>
      <c r="O568" s="54" t="s">
        <v>7812</v>
      </c>
      <c r="P568" s="7" t="s">
        <v>4647</v>
      </c>
      <c r="Q568" s="11" t="str">
        <f>RIGHT("00"&amp;Table362[[#This Row],[Rule '#]],3)&amp;"_"&amp;IF(Table362[[#This Row],[Entity]]="Material","MATL",LEFT(UPPER(Table362[[#This Row],[Entity]]),4))&amp;"_"&amp;MID(SUBSTITUTE(Table362[[#This Row],[Rule Name]],"_","|",3),SEARCH("|",SUBSTITUTE(Table362[[#This Row],[Rule Name]],"_","|",3))+1,LEN(Table362[[#This Row],[Rule Name]]))</f>
        <v>191_HR_GENDER_CHECK</v>
      </c>
      <c r="R568" s="8" t="s">
        <v>4648</v>
      </c>
      <c r="S568" s="7" t="s">
        <v>4135</v>
      </c>
      <c r="T568" s="7"/>
      <c r="U568" s="7"/>
      <c r="V568" s="7"/>
      <c r="W568" s="7" t="s">
        <v>4151</v>
      </c>
      <c r="X568" s="8"/>
      <c r="Y568" s="7"/>
      <c r="Z568" s="7"/>
      <c r="AA568" s="11" t="s">
        <v>4694</v>
      </c>
      <c r="AB568" s="11"/>
      <c r="AC568" s="11" t="s">
        <v>6809</v>
      </c>
      <c r="AD568" s="11"/>
      <c r="AH568" s="8"/>
      <c r="AI568" s="20"/>
      <c r="AJ568" s="20"/>
      <c r="AK568" s="31"/>
      <c r="AL568" s="31"/>
    </row>
    <row r="569" spans="1:38" ht="36" hidden="1" x14ac:dyDescent="0.25">
      <c r="A569" s="14" t="s">
        <v>7222</v>
      </c>
      <c r="B569" s="7" t="s">
        <v>5877</v>
      </c>
      <c r="C569" s="7" t="s">
        <v>4706</v>
      </c>
      <c r="D569" s="7" t="s">
        <v>5978</v>
      </c>
      <c r="E569" s="7" t="s">
        <v>5978</v>
      </c>
      <c r="F569" s="7" t="s">
        <v>5978</v>
      </c>
      <c r="G569" s="7"/>
      <c r="H569" s="7"/>
      <c r="I569" s="7"/>
      <c r="J569" s="20" t="e">
        <f>VLOOKUP(V569,Table_to_BRG!A:D,3,FALSE)</f>
        <v>#N/A</v>
      </c>
      <c r="K569" s="20" t="e">
        <f>VLOOKUP(V569,Table_to_BRG!A:D,2,FALSE)</f>
        <v>#N/A</v>
      </c>
      <c r="L569" s="20"/>
      <c r="M569" s="20"/>
      <c r="N569" s="9" t="s">
        <v>6465</v>
      </c>
      <c r="O569" s="54" t="s">
        <v>7812</v>
      </c>
      <c r="P569" s="7" t="s">
        <v>4398</v>
      </c>
      <c r="Q569" s="11" t="str">
        <f>RIGHT("00"&amp;Table362[[#This Row],[Rule '#]],3)&amp;"_"&amp;IF(Table362[[#This Row],[Entity]]="Material","MATL",LEFT(UPPER(Table362[[#This Row],[Entity]]),4))&amp;"_"&amp;MID(SUBSTITUTE(Table362[[#This Row],[Rule Name]],"_","|",3),SEARCH("|",SUBSTITUTE(Table362[[#This Row],[Rule Name]],"_","|",3))+1,LEN(Table362[[#This Row],[Rule Name]]))</f>
        <v>192_HR_EXIST</v>
      </c>
      <c r="R569" s="8" t="s">
        <v>4399</v>
      </c>
      <c r="S569" s="7" t="s">
        <v>4135</v>
      </c>
      <c r="T569" s="7"/>
      <c r="U569" s="7"/>
      <c r="V569" s="7"/>
      <c r="W569" s="7" t="s">
        <v>4461</v>
      </c>
      <c r="X569" s="8"/>
      <c r="Y569" s="7" t="s">
        <v>4152</v>
      </c>
      <c r="Z569" s="7" t="s">
        <v>2958</v>
      </c>
      <c r="AA569" s="11" t="str">
        <f>"BEGIN
     RETURN exists('DS_IS_RDS', '"&amp;Table362[[#This Row],[Lookup Table]]&amp;"', '"&amp;Table362[[#This Row],[Lookup Field]]&amp;"', "&amp;Table362[[#This Row],[IS Parameter]]&amp;");
END"</f>
        <v>BEGIN
     RETURN exists('DS_IS_RDS', 'T005', 'LAND1', );
END</v>
      </c>
      <c r="AB569" s="11"/>
      <c r="AC569" s="11"/>
      <c r="AD569" s="11"/>
      <c r="AH569" s="8"/>
      <c r="AI569" s="20"/>
      <c r="AJ569" s="20"/>
      <c r="AK569" s="31"/>
      <c r="AL569" s="31"/>
    </row>
    <row r="570" spans="1:38" ht="48" hidden="1" x14ac:dyDescent="0.25">
      <c r="A570" s="14" t="s">
        <v>7223</v>
      </c>
      <c r="B570" s="7" t="s">
        <v>5877</v>
      </c>
      <c r="C570" s="7" t="s">
        <v>4706</v>
      </c>
      <c r="D570" s="7" t="s">
        <v>5978</v>
      </c>
      <c r="E570" s="7" t="s">
        <v>5978</v>
      </c>
      <c r="F570" s="7" t="s">
        <v>5978</v>
      </c>
      <c r="G570" s="7"/>
      <c r="H570" s="7"/>
      <c r="I570" s="7"/>
      <c r="J570" s="20" t="e">
        <f>VLOOKUP(V570,Table_to_BRG!A:D,3,FALSE)</f>
        <v>#N/A</v>
      </c>
      <c r="K570" s="20" t="e">
        <f>VLOOKUP(V570,Table_to_BRG!A:D,2,FALSE)</f>
        <v>#N/A</v>
      </c>
      <c r="L570" s="20"/>
      <c r="M570" s="20"/>
      <c r="N570" s="9" t="s">
        <v>6465</v>
      </c>
      <c r="O570" s="54" t="s">
        <v>7812</v>
      </c>
      <c r="P570" s="7" t="s">
        <v>4649</v>
      </c>
      <c r="Q570" s="11" t="str">
        <f>RIGHT("00"&amp;Table362[[#This Row],[Rule '#]],3)&amp;"_"&amp;IF(Table362[[#This Row],[Entity]]="Material","MATL",LEFT(UPPER(Table362[[#This Row],[Entity]]),4))&amp;"_"&amp;MID(SUBSTITUTE(Table362[[#This Row],[Rule Name]],"_","|",3),SEARCH("|",SUBSTITUTE(Table362[[#This Row],[Rule Name]],"_","|",3))+1,LEN(Table362[[#This Row],[Rule Name]]))</f>
        <v>193_HR_OM_POSITION_EXIST</v>
      </c>
      <c r="R570" s="8" t="s">
        <v>4650</v>
      </c>
      <c r="S570" s="7" t="s">
        <v>4135</v>
      </c>
      <c r="T570" s="7"/>
      <c r="U570" s="7"/>
      <c r="V570" s="7"/>
      <c r="W570" s="7" t="s">
        <v>4695</v>
      </c>
      <c r="X570" s="8"/>
      <c r="Y570" s="7" t="s">
        <v>4696</v>
      </c>
      <c r="Z570" s="7" t="s">
        <v>4697</v>
      </c>
      <c r="AA570" s="11" t="s">
        <v>4698</v>
      </c>
      <c r="AB570" s="11"/>
      <c r="AC570" s="11"/>
      <c r="AD570" s="11"/>
      <c r="AH570" s="8"/>
      <c r="AI570" s="20"/>
      <c r="AJ570" s="20"/>
      <c r="AK570" s="31"/>
      <c r="AL570" s="31"/>
    </row>
    <row r="571" spans="1:38" ht="36" hidden="1" x14ac:dyDescent="0.25">
      <c r="A571" s="14" t="s">
        <v>7224</v>
      </c>
      <c r="B571" s="7" t="s">
        <v>5877</v>
      </c>
      <c r="C571" s="7" t="s">
        <v>4706</v>
      </c>
      <c r="D571" s="7" t="s">
        <v>5978</v>
      </c>
      <c r="E571" s="7" t="s">
        <v>5978</v>
      </c>
      <c r="F571" s="7" t="s">
        <v>5978</v>
      </c>
      <c r="G571" s="7"/>
      <c r="H571" s="7"/>
      <c r="I571" s="7"/>
      <c r="J571" s="20" t="e">
        <f>VLOOKUP(V571,Table_to_BRG!A:D,3,FALSE)</f>
        <v>#N/A</v>
      </c>
      <c r="K571" s="20" t="e">
        <f>VLOOKUP(V571,Table_to_BRG!A:D,2,FALSE)</f>
        <v>#N/A</v>
      </c>
      <c r="L571" s="20"/>
      <c r="M571" s="20"/>
      <c r="N571" s="9" t="s">
        <v>6465</v>
      </c>
      <c r="O571" s="54" t="s">
        <v>7812</v>
      </c>
      <c r="P571" s="7" t="s">
        <v>4651</v>
      </c>
      <c r="Q571" s="11" t="str">
        <f>RIGHT("00"&amp;Table362[[#This Row],[Rule '#]],3)&amp;"_"&amp;IF(Table362[[#This Row],[Entity]]="Material","MATL",LEFT(UPPER(Table362[[#This Row],[Entity]]),4))&amp;"_"&amp;MID(SUBSTITUTE(Table362[[#This Row],[Rule Name]],"_","|",3),SEARCH("|",SUBSTITUTE(Table362[[#This Row],[Rule Name]],"_","|",3))+1,LEN(Table362[[#This Row],[Rule Name]]))</f>
        <v>194_HR_IT0008_PAYSCALE</v>
      </c>
      <c r="R571" s="8"/>
      <c r="S571" s="7" t="s">
        <v>4135</v>
      </c>
      <c r="T571" s="7"/>
      <c r="U571" s="7"/>
      <c r="V571" s="7" t="s">
        <v>4677</v>
      </c>
      <c r="W571" s="7" t="s">
        <v>4699</v>
      </c>
      <c r="X571" s="8"/>
      <c r="Y571" s="7"/>
      <c r="Z571" s="7"/>
      <c r="AA571" s="11" t="s">
        <v>4700</v>
      </c>
      <c r="AB571" s="11"/>
      <c r="AC571" s="11"/>
      <c r="AD571" s="11"/>
      <c r="AH571" s="8"/>
      <c r="AI571" s="20"/>
      <c r="AJ571" s="20"/>
      <c r="AK571" s="31"/>
      <c r="AL571" s="31"/>
    </row>
    <row r="572" spans="1:38" ht="48" hidden="1" x14ac:dyDescent="0.25">
      <c r="A572" s="14" t="s">
        <v>7225</v>
      </c>
      <c r="B572" s="7" t="s">
        <v>5877</v>
      </c>
      <c r="C572" s="7" t="s">
        <v>4706</v>
      </c>
      <c r="D572" s="7" t="s">
        <v>5978</v>
      </c>
      <c r="E572" s="7" t="s">
        <v>5978</v>
      </c>
      <c r="F572" s="7" t="s">
        <v>5978</v>
      </c>
      <c r="G572" s="7"/>
      <c r="H572" s="7"/>
      <c r="I572" s="7"/>
      <c r="J572" s="20" t="e">
        <f>VLOOKUP(V572,Table_to_BRG!A:D,3,FALSE)</f>
        <v>#N/A</v>
      </c>
      <c r="K572" s="20" t="e">
        <f>VLOOKUP(V572,Table_to_BRG!A:D,2,FALSE)</f>
        <v>#N/A</v>
      </c>
      <c r="L572" s="20"/>
      <c r="M572" s="20"/>
      <c r="N572" s="9" t="s">
        <v>6465</v>
      </c>
      <c r="O572" s="54" t="s">
        <v>7812</v>
      </c>
      <c r="P572" s="7" t="s">
        <v>4652</v>
      </c>
      <c r="Q572" s="11" t="str">
        <f>RIGHT("00"&amp;Table362[[#This Row],[Rule '#]],3)&amp;"_"&amp;IF(Table362[[#This Row],[Entity]]="Material","MATL",LEFT(UPPER(Table362[[#This Row],[Entity]]),4))&amp;"_"&amp;MID(SUBSTITUTE(Table362[[#This Row],[Rule Name]],"_","|",3),SEARCH("|",SUBSTITUTE(Table362[[#This Row],[Rule Name]],"_","|",3))+1,LEN(Table362[[#This Row],[Rule Name]]))</f>
        <v>195_HR_OM_ORG_EXIST</v>
      </c>
      <c r="R572" s="8" t="s">
        <v>4653</v>
      </c>
      <c r="S572" s="7" t="s">
        <v>4135</v>
      </c>
      <c r="T572" s="7"/>
      <c r="U572" s="7"/>
      <c r="V572" s="7"/>
      <c r="W572" s="7" t="s">
        <v>4695</v>
      </c>
      <c r="X572" s="8"/>
      <c r="Y572" s="7" t="s">
        <v>4696</v>
      </c>
      <c r="Z572" s="7" t="s">
        <v>4697</v>
      </c>
      <c r="AA572" s="11" t="s">
        <v>4701</v>
      </c>
      <c r="AB572" s="11"/>
      <c r="AC572" s="11"/>
      <c r="AD572" s="11"/>
      <c r="AH572" s="8"/>
      <c r="AI572" s="20"/>
      <c r="AJ572" s="20"/>
      <c r="AK572" s="31"/>
      <c r="AL572" s="31"/>
    </row>
    <row r="573" spans="1:38" ht="36" hidden="1" x14ac:dyDescent="0.25">
      <c r="A573" s="14" t="s">
        <v>7226</v>
      </c>
      <c r="B573" s="7" t="s">
        <v>5877</v>
      </c>
      <c r="C573" s="7" t="s">
        <v>4706</v>
      </c>
      <c r="D573" s="7" t="s">
        <v>5978</v>
      </c>
      <c r="E573" s="7" t="s">
        <v>5978</v>
      </c>
      <c r="F573" s="7" t="s">
        <v>5978</v>
      </c>
      <c r="G573" s="7"/>
      <c r="H573" s="7"/>
      <c r="I573" s="7"/>
      <c r="J573" s="20" t="e">
        <f>VLOOKUP(V573,Table_to_BRG!A:D,3,FALSE)</f>
        <v>#N/A</v>
      </c>
      <c r="K573" s="20" t="e">
        <f>VLOOKUP(V573,Table_to_BRG!A:D,2,FALSE)</f>
        <v>#N/A</v>
      </c>
      <c r="L573" s="20"/>
      <c r="M573" s="20"/>
      <c r="N573" s="9" t="s">
        <v>6465</v>
      </c>
      <c r="O573" s="54" t="s">
        <v>7812</v>
      </c>
      <c r="P573" s="7" t="s">
        <v>4654</v>
      </c>
      <c r="Q573" s="11" t="str">
        <f>RIGHT("00"&amp;Table362[[#This Row],[Rule '#]],3)&amp;"_"&amp;IF(Table362[[#This Row],[Entity]]="Material","MATL",LEFT(UPPER(Table362[[#This Row],[Entity]]),4))&amp;"_"&amp;MID(SUBSTITUTE(Table362[[#This Row],[Rule Name]],"_","|",3),SEARCH("|",SUBSTITUTE(Table362[[#This Row],[Rule Name]],"_","|",3))+1,LEN(Table362[[#This Row],[Rule Name]]))</f>
        <v>196_HR_COUNTRY_CHECK</v>
      </c>
      <c r="R573" s="8" t="s">
        <v>4655</v>
      </c>
      <c r="S573" s="7" t="s">
        <v>4136</v>
      </c>
      <c r="T573" s="7"/>
      <c r="U573" s="7"/>
      <c r="V573" s="7"/>
      <c r="W573" s="7" t="s">
        <v>4151</v>
      </c>
      <c r="X573" s="8"/>
      <c r="Y573" s="7"/>
      <c r="Z573" s="7"/>
      <c r="AA573" s="11" t="s">
        <v>4597</v>
      </c>
      <c r="AB573" s="11"/>
      <c r="AC573" s="11" t="s">
        <v>6813</v>
      </c>
      <c r="AD573" s="11"/>
      <c r="AH573" s="8"/>
      <c r="AI573" s="20"/>
      <c r="AJ573" s="20"/>
      <c r="AK573" s="31"/>
      <c r="AL573" s="31"/>
    </row>
    <row r="574" spans="1:38" ht="36" hidden="1" x14ac:dyDescent="0.25">
      <c r="A574" s="14" t="s">
        <v>7227</v>
      </c>
      <c r="B574" s="7" t="s">
        <v>5877</v>
      </c>
      <c r="C574" s="7" t="s">
        <v>4706</v>
      </c>
      <c r="D574" s="7" t="s">
        <v>5978</v>
      </c>
      <c r="E574" s="7" t="s">
        <v>5978</v>
      </c>
      <c r="F574" s="7" t="s">
        <v>5978</v>
      </c>
      <c r="G574" s="7"/>
      <c r="H574" s="7"/>
      <c r="I574" s="7"/>
      <c r="J574" s="20" t="e">
        <f>VLOOKUP(V574,Table_to_BRG!A:D,3,FALSE)</f>
        <v>#N/A</v>
      </c>
      <c r="K574" s="20" t="e">
        <f>VLOOKUP(V574,Table_to_BRG!A:D,2,FALSE)</f>
        <v>#N/A</v>
      </c>
      <c r="L574" s="20"/>
      <c r="M574" s="20"/>
      <c r="N574" s="9" t="s">
        <v>6465</v>
      </c>
      <c r="O574" s="54" t="s">
        <v>7812</v>
      </c>
      <c r="P574" s="7" t="s">
        <v>4656</v>
      </c>
      <c r="Q574" s="11" t="str">
        <f>RIGHT("00"&amp;Table362[[#This Row],[Rule '#]],3)&amp;"_"&amp;IF(Table362[[#This Row],[Entity]]="Material","MATL",LEFT(UPPER(Table362[[#This Row],[Entity]]),4))&amp;"_"&amp;MID(SUBSTITUTE(Table362[[#This Row],[Rule Name]],"_","|",3),SEARCH("|",SUBSTITUTE(Table362[[#This Row],[Rule Name]],"_","|",3))+1,LEN(Table362[[#This Row],[Rule Name]]))</f>
        <v>197_HR_COMAPRE</v>
      </c>
      <c r="R574" s="8" t="s">
        <v>4657</v>
      </c>
      <c r="S574" s="7" t="s">
        <v>4135</v>
      </c>
      <c r="T574" s="7"/>
      <c r="U574" s="7"/>
      <c r="V574" s="7"/>
      <c r="W574" s="7" t="s">
        <v>4702</v>
      </c>
      <c r="X574" s="8"/>
      <c r="Y574" s="7"/>
      <c r="Z574" s="7"/>
      <c r="AA574" s="11" t="s">
        <v>4703</v>
      </c>
      <c r="AB574" s="11"/>
      <c r="AC574" s="11"/>
      <c r="AD574" s="11"/>
      <c r="AH574" s="8"/>
      <c r="AI574" s="20"/>
      <c r="AJ574" s="20"/>
      <c r="AK574" s="31"/>
      <c r="AL574" s="31"/>
    </row>
    <row r="575" spans="1:38" ht="36" hidden="1" x14ac:dyDescent="0.25">
      <c r="A575" s="14" t="s">
        <v>7228</v>
      </c>
      <c r="B575" s="7" t="s">
        <v>5877</v>
      </c>
      <c r="C575" s="7" t="s">
        <v>4706</v>
      </c>
      <c r="D575" s="7" t="s">
        <v>5978</v>
      </c>
      <c r="E575" s="7" t="s">
        <v>5978</v>
      </c>
      <c r="F575" s="7" t="s">
        <v>5978</v>
      </c>
      <c r="G575" s="7"/>
      <c r="H575" s="7"/>
      <c r="I575" s="7"/>
      <c r="J575" s="20" t="e">
        <f>VLOOKUP(V575,Table_to_BRG!A:D,3,FALSE)</f>
        <v>#N/A</v>
      </c>
      <c r="K575" s="20" t="e">
        <f>VLOOKUP(V575,Table_to_BRG!A:D,2,FALSE)</f>
        <v>#N/A</v>
      </c>
      <c r="L575" s="20"/>
      <c r="M575" s="20"/>
      <c r="N575" s="9" t="s">
        <v>6465</v>
      </c>
      <c r="O575" s="54" t="s">
        <v>7812</v>
      </c>
      <c r="P575" s="7" t="s">
        <v>4658</v>
      </c>
      <c r="Q575" s="11" t="str">
        <f>RIGHT("00"&amp;Table362[[#This Row],[Rule '#]],3)&amp;"_"&amp;IF(Table362[[#This Row],[Entity]]="Material","MATL",LEFT(UPPER(Table362[[#This Row],[Entity]]),4))&amp;"_"&amp;MID(SUBSTITUTE(Table362[[#This Row],[Rule Name]],"_","|",3),SEARCH("|",SUBSTITUTE(Table362[[#This Row],[Rule Name]],"_","|",3))+1,LEN(Table362[[#This Row],[Rule Name]]))</f>
        <v>198_HR_OBJECT_LENGTH</v>
      </c>
      <c r="R575" s="8" t="s">
        <v>4659</v>
      </c>
      <c r="S575" s="7" t="s">
        <v>4136</v>
      </c>
      <c r="T575" s="7"/>
      <c r="U575" s="7"/>
      <c r="V575" s="7"/>
      <c r="W575" s="7" t="s">
        <v>4695</v>
      </c>
      <c r="X575" s="8"/>
      <c r="Y575" s="7"/>
      <c r="Z575" s="7"/>
      <c r="AA575" s="11" t="s">
        <v>4704</v>
      </c>
      <c r="AB575" s="11"/>
      <c r="AC575" s="11" t="s">
        <v>6815</v>
      </c>
      <c r="AD575" s="11"/>
      <c r="AH575" s="8"/>
      <c r="AI575" s="20"/>
      <c r="AJ575" s="20"/>
      <c r="AK575" s="31"/>
      <c r="AL575" s="31"/>
    </row>
    <row r="576" spans="1:38" ht="48" hidden="1" x14ac:dyDescent="0.25">
      <c r="A576" s="14" t="s">
        <v>7229</v>
      </c>
      <c r="B576" s="7" t="s">
        <v>5877</v>
      </c>
      <c r="C576" s="7" t="s">
        <v>4706</v>
      </c>
      <c r="D576" s="7" t="s">
        <v>5978</v>
      </c>
      <c r="E576" s="7" t="s">
        <v>5978</v>
      </c>
      <c r="F576" s="7" t="s">
        <v>5978</v>
      </c>
      <c r="G576" s="7"/>
      <c r="H576" s="7"/>
      <c r="I576" s="7"/>
      <c r="J576" s="20" t="e">
        <f>VLOOKUP(V576,Table_to_BRG!A:D,3,FALSE)</f>
        <v>#N/A</v>
      </c>
      <c r="K576" s="20" t="e">
        <f>VLOOKUP(V576,Table_to_BRG!A:D,2,FALSE)</f>
        <v>#N/A</v>
      </c>
      <c r="L576" s="20"/>
      <c r="M576" s="20"/>
      <c r="N576" s="9" t="s">
        <v>6465</v>
      </c>
      <c r="O576" s="54" t="s">
        <v>7812</v>
      </c>
      <c r="P576" s="7" t="s">
        <v>4660</v>
      </c>
      <c r="Q576" s="11" t="str">
        <f>RIGHT("00"&amp;Table362[[#This Row],[Rule '#]],3)&amp;"_"&amp;IF(Table362[[#This Row],[Entity]]="Material","MATL",LEFT(UPPER(Table362[[#This Row],[Entity]]),4))&amp;"_"&amp;MID(SUBSTITUTE(Table362[[#This Row],[Rule Name]],"_","|",3),SEARCH("|",SUBSTITUTE(Table362[[#This Row],[Rule Name]],"_","|",3))+1,LEN(Table362[[#This Row],[Rule Name]]))</f>
        <v>199_HR_OM_JOB_EXIST</v>
      </c>
      <c r="R576" s="8" t="s">
        <v>4661</v>
      </c>
      <c r="S576" s="7" t="s">
        <v>4135</v>
      </c>
      <c r="T576" s="7"/>
      <c r="U576" s="7"/>
      <c r="V576" s="7"/>
      <c r="W576" s="7" t="s">
        <v>4695</v>
      </c>
      <c r="X576" s="8"/>
      <c r="Y576" s="7" t="s">
        <v>4696</v>
      </c>
      <c r="Z576" s="7" t="s">
        <v>4697</v>
      </c>
      <c r="AA576" s="11" t="s">
        <v>4705</v>
      </c>
      <c r="AB576" s="11"/>
      <c r="AC576" s="11"/>
      <c r="AD576" s="11"/>
      <c r="AH576" s="8"/>
      <c r="AI576" s="20"/>
      <c r="AJ576" s="20"/>
      <c r="AK576" s="31"/>
      <c r="AL576" s="31"/>
    </row>
    <row r="577" spans="1:38" ht="60" hidden="1" x14ac:dyDescent="0.25">
      <c r="A577" s="14" t="s">
        <v>7230</v>
      </c>
      <c r="B577" s="7" t="s">
        <v>5877</v>
      </c>
      <c r="C577" s="7" t="s">
        <v>4833</v>
      </c>
      <c r="D577" s="7" t="s">
        <v>5978</v>
      </c>
      <c r="E577" s="7" t="s">
        <v>5978</v>
      </c>
      <c r="F577" s="7" t="s">
        <v>5978</v>
      </c>
      <c r="G577" s="7"/>
      <c r="H577" s="7"/>
      <c r="I577" s="7"/>
      <c r="J577" s="20" t="e">
        <f>VLOOKUP(V577,Table_to_BRG!A:D,3,FALSE)</f>
        <v>#N/A</v>
      </c>
      <c r="K577" s="20" t="e">
        <f>VLOOKUP(V577,Table_to_BRG!A:D,2,FALSE)</f>
        <v>#N/A</v>
      </c>
      <c r="L577" s="20"/>
      <c r="M577" s="20"/>
      <c r="N577" s="9" t="s">
        <v>6465</v>
      </c>
      <c r="O577" s="54" t="s">
        <v>7812</v>
      </c>
      <c r="P577" s="7" t="s">
        <v>4707</v>
      </c>
      <c r="Q577" s="11" t="str">
        <f>RIGHT("00"&amp;Table362[[#This Row],[Rule '#]],3)&amp;"_"&amp;IF(Table362[[#This Row],[Entity]]="Material","MATL",LEFT(UPPER(Table362[[#This Row],[Entity]]),4))&amp;"_"&amp;MID(SUBSTITUTE(Table362[[#This Row],[Rule Name]],"_","|",3),SEARCH("|",SUBSTITUTE(Table362[[#This Row],[Rule Name]],"_","|",3))+1,LEN(Table362[[#This Row],[Rule Name]]))</f>
        <v>200_APO_DP_Geo_Code_Grouping2</v>
      </c>
      <c r="R577" s="8" t="s">
        <v>4708</v>
      </c>
      <c r="S577" s="7" t="s">
        <v>4135</v>
      </c>
      <c r="T577" s="7"/>
      <c r="U577" s="7"/>
      <c r="V577" s="7"/>
      <c r="W577" s="7" t="s">
        <v>4780</v>
      </c>
      <c r="X577" s="8"/>
      <c r="Y577" s="7"/>
      <c r="Z577" s="7"/>
      <c r="AA577" s="11" t="s">
        <v>4781</v>
      </c>
      <c r="AB577" s="11"/>
      <c r="AC577" s="11"/>
      <c r="AD577" s="11"/>
      <c r="AH577" s="8"/>
      <c r="AI577" s="20"/>
      <c r="AJ577" s="20"/>
      <c r="AK577" s="31"/>
      <c r="AL577" s="31"/>
    </row>
    <row r="578" spans="1:38" ht="120" hidden="1" x14ac:dyDescent="0.25">
      <c r="A578" s="14" t="s">
        <v>7231</v>
      </c>
      <c r="B578" s="7" t="s">
        <v>5877</v>
      </c>
      <c r="C578" s="7" t="s">
        <v>4833</v>
      </c>
      <c r="D578" s="7" t="s">
        <v>5978</v>
      </c>
      <c r="E578" s="7" t="s">
        <v>5978</v>
      </c>
      <c r="F578" s="7" t="s">
        <v>5978</v>
      </c>
      <c r="G578" s="7"/>
      <c r="H578" s="7"/>
      <c r="I578" s="7"/>
      <c r="J578" s="20" t="e">
        <f>VLOOKUP(V578,Table_to_BRG!A:D,3,FALSE)</f>
        <v>#N/A</v>
      </c>
      <c r="K578" s="20" t="e">
        <f>VLOOKUP(V578,Table_to_BRG!A:D,2,FALSE)</f>
        <v>#N/A</v>
      </c>
      <c r="L578" s="20"/>
      <c r="M578" s="20"/>
      <c r="N578" s="9" t="s">
        <v>6465</v>
      </c>
      <c r="O578" s="54" t="s">
        <v>7812</v>
      </c>
      <c r="P578" s="7" t="s">
        <v>4709</v>
      </c>
      <c r="Q578" s="11" t="str">
        <f>RIGHT("00"&amp;Table362[[#This Row],[Rule '#]],3)&amp;"_"&amp;IF(Table362[[#This Row],[Entity]]="Material","MATL",LEFT(UPPER(Table362[[#This Row],[Entity]]),4))&amp;"_"&amp;MID(SUBSTITUTE(Table362[[#This Row],[Rule Name]],"_","|",3),SEARCH("|",SUBSTITUTE(Table362[[#This Row],[Rule Name]],"_","|",3))+1,LEN(Table362[[#This Row],[Rule Name]]))</f>
        <v>201_APO_DP_DFP_PRODUCT_GROUP_Country_Level</v>
      </c>
      <c r="R578" s="8" t="s">
        <v>4710</v>
      </c>
      <c r="S578" s="7" t="s">
        <v>4135</v>
      </c>
      <c r="T578" s="7"/>
      <c r="U578" s="7"/>
      <c r="V578" s="7"/>
      <c r="W578" s="7" t="s">
        <v>4782</v>
      </c>
      <c r="X578" s="8"/>
      <c r="Y578" s="7"/>
      <c r="Z578" s="7"/>
      <c r="AA578" s="11" t="s">
        <v>4783</v>
      </c>
      <c r="AB578" s="11"/>
      <c r="AC578" s="11"/>
      <c r="AD578" s="11"/>
      <c r="AH578" s="8"/>
      <c r="AI578" s="20" t="s">
        <v>7716</v>
      </c>
      <c r="AJ578" s="20"/>
      <c r="AK578" s="31"/>
      <c r="AL578" s="31"/>
    </row>
    <row r="579" spans="1:38" ht="108" hidden="1" x14ac:dyDescent="0.25">
      <c r="A579" s="14" t="s">
        <v>7232</v>
      </c>
      <c r="B579" s="7" t="s">
        <v>5877</v>
      </c>
      <c r="C579" s="7" t="s">
        <v>4833</v>
      </c>
      <c r="D579" s="7" t="s">
        <v>5978</v>
      </c>
      <c r="E579" s="7" t="s">
        <v>5978</v>
      </c>
      <c r="F579" s="7" t="s">
        <v>5978</v>
      </c>
      <c r="G579" s="7"/>
      <c r="H579" s="7"/>
      <c r="I579" s="7"/>
      <c r="J579" s="20" t="e">
        <f>VLOOKUP(V579,Table_to_BRG!A:D,3,FALSE)</f>
        <v>#N/A</v>
      </c>
      <c r="K579" s="20" t="e">
        <f>VLOOKUP(V579,Table_to_BRG!A:D,2,FALSE)</f>
        <v>#N/A</v>
      </c>
      <c r="L579" s="20"/>
      <c r="M579" s="20"/>
      <c r="N579" s="9" t="s">
        <v>6465</v>
      </c>
      <c r="O579" s="54" t="s">
        <v>7812</v>
      </c>
      <c r="P579" s="7" t="s">
        <v>4711</v>
      </c>
      <c r="Q579" s="11" t="str">
        <f>RIGHT("00"&amp;Table362[[#This Row],[Rule '#]],3)&amp;"_"&amp;IF(Table362[[#This Row],[Entity]]="Material","MATL",LEFT(UPPER(Table362[[#This Row],[Entity]]),4))&amp;"_"&amp;MID(SUBSTITUTE(Table362[[#This Row],[Rule Name]],"_","|",3),SEARCH("|",SUBSTITUTE(Table362[[#This Row],[Rule Name]],"_","|",3))+1,LEN(Table362[[#This Row],[Rule Name]]))</f>
        <v>202_APO_DP_DFP_Grade_Country_Level</v>
      </c>
      <c r="R579" s="8" t="s">
        <v>4712</v>
      </c>
      <c r="S579" s="7" t="s">
        <v>4135</v>
      </c>
      <c r="T579" s="7"/>
      <c r="U579" s="7"/>
      <c r="V579" s="7"/>
      <c r="W579" s="7" t="s">
        <v>4784</v>
      </c>
      <c r="X579" s="8"/>
      <c r="Y579" s="7"/>
      <c r="Z579" s="7"/>
      <c r="AA579" s="11" t="s">
        <v>4785</v>
      </c>
      <c r="AB579" s="11"/>
      <c r="AC579" s="11"/>
      <c r="AD579" s="11"/>
      <c r="AH579" s="8"/>
      <c r="AI579" s="20"/>
      <c r="AJ579" s="20"/>
      <c r="AK579" s="31"/>
      <c r="AL579" s="31"/>
    </row>
    <row r="580" spans="1:38" ht="108" hidden="1" x14ac:dyDescent="0.25">
      <c r="A580" s="14" t="s">
        <v>7233</v>
      </c>
      <c r="B580" s="7" t="s">
        <v>5877</v>
      </c>
      <c r="C580" s="7" t="s">
        <v>4833</v>
      </c>
      <c r="D580" s="7" t="s">
        <v>5978</v>
      </c>
      <c r="E580" s="7" t="s">
        <v>5978</v>
      </c>
      <c r="F580" s="7" t="s">
        <v>5978</v>
      </c>
      <c r="G580" s="7"/>
      <c r="H580" s="7"/>
      <c r="I580" s="7"/>
      <c r="J580" s="20" t="e">
        <f>VLOOKUP(V580,Table_to_BRG!A:D,3,FALSE)</f>
        <v>#N/A</v>
      </c>
      <c r="K580" s="20" t="e">
        <f>VLOOKUP(V580,Table_to_BRG!A:D,2,FALSE)</f>
        <v>#N/A</v>
      </c>
      <c r="L580" s="20"/>
      <c r="M580" s="20"/>
      <c r="N580" s="9" t="s">
        <v>6465</v>
      </c>
      <c r="O580" s="54" t="s">
        <v>7812</v>
      </c>
      <c r="P580" s="7" t="s">
        <v>4713</v>
      </c>
      <c r="Q580" s="11" t="str">
        <f>RIGHT("00"&amp;Table362[[#This Row],[Rule '#]],3)&amp;"_"&amp;IF(Table362[[#This Row],[Entity]]="Material","MATL",LEFT(UPPER(Table362[[#This Row],[Entity]]),4))&amp;"_"&amp;MID(SUBSTITUTE(Table362[[#This Row],[Rule Name]],"_","|",3),SEARCH("|",SUBSTITUTE(Table362[[#This Row],[Rule Name]],"_","|",3))+1,LEN(Table362[[#This Row],[Rule Name]]))</f>
        <v>203_APO_DP_DFP_SKU_Group_TZone_Level</v>
      </c>
      <c r="R580" s="8" t="s">
        <v>4714</v>
      </c>
      <c r="S580" s="7" t="s">
        <v>4135</v>
      </c>
      <c r="T580" s="7"/>
      <c r="U580" s="7"/>
      <c r="V580" s="7"/>
      <c r="W580" s="7" t="s">
        <v>4167</v>
      </c>
      <c r="X580" s="8"/>
      <c r="Y580" s="7"/>
      <c r="Z580" s="7"/>
      <c r="AA580" s="11" t="s">
        <v>4786</v>
      </c>
      <c r="AB580" s="11"/>
      <c r="AC580" s="11"/>
      <c r="AD580" s="11"/>
      <c r="AH580" s="8"/>
      <c r="AI580" s="20"/>
      <c r="AJ580" s="20"/>
      <c r="AK580" s="31"/>
      <c r="AL580" s="31"/>
    </row>
    <row r="581" spans="1:38" ht="60" hidden="1" x14ac:dyDescent="0.25">
      <c r="A581" s="14" t="s">
        <v>7234</v>
      </c>
      <c r="B581" s="7" t="s">
        <v>5877</v>
      </c>
      <c r="C581" s="7" t="s">
        <v>4833</v>
      </c>
      <c r="D581" s="7" t="s">
        <v>5978</v>
      </c>
      <c r="E581" s="7" t="s">
        <v>5978</v>
      </c>
      <c r="F581" s="7" t="s">
        <v>5978</v>
      </c>
      <c r="G581" s="7"/>
      <c r="H581" s="7"/>
      <c r="I581" s="7"/>
      <c r="J581" s="20" t="e">
        <f>VLOOKUP(V581,Table_to_BRG!A:D,3,FALSE)</f>
        <v>#N/A</v>
      </c>
      <c r="K581" s="20" t="e">
        <f>VLOOKUP(V581,Table_to_BRG!A:D,2,FALSE)</f>
        <v>#N/A</v>
      </c>
      <c r="L581" s="20"/>
      <c r="M581" s="20"/>
      <c r="N581" s="9" t="s">
        <v>6465</v>
      </c>
      <c r="O581" s="54" t="s">
        <v>7812</v>
      </c>
      <c r="P581" s="7" t="s">
        <v>4715</v>
      </c>
      <c r="Q581" s="11" t="str">
        <f>RIGHT("00"&amp;Table362[[#This Row],[Rule '#]],3)&amp;"_"&amp;IF(Table362[[#This Row],[Entity]]="Material","MATL",LEFT(UPPER(Table362[[#This Row],[Entity]]),4))&amp;"_"&amp;MID(SUBSTITUTE(Table362[[#This Row],[Rule Name]],"_","|",3),SEARCH("|",SUBSTITUTE(Table362[[#This Row],[Rule Name]],"_","|",3))+1,LEN(Table362[[#This Row],[Rule Name]]))</f>
        <v>204_APO_SNP_SAPAPO_LOCIO Chemicals Transp_Zone</v>
      </c>
      <c r="R581" s="8" t="s">
        <v>4716</v>
      </c>
      <c r="S581" s="7" t="s">
        <v>4135</v>
      </c>
      <c r="T581" s="7"/>
      <c r="U581" s="7"/>
      <c r="V581" s="7"/>
      <c r="W581" s="7" t="s">
        <v>4787</v>
      </c>
      <c r="X581" s="8"/>
      <c r="Y581" s="7"/>
      <c r="Z581" s="7"/>
      <c r="AA581" s="11" t="s">
        <v>4788</v>
      </c>
      <c r="AB581" s="11"/>
      <c r="AC581" s="11"/>
      <c r="AD581" s="11"/>
      <c r="AH581" s="8"/>
      <c r="AI581" s="20" t="s">
        <v>7707</v>
      </c>
      <c r="AJ581" s="20"/>
      <c r="AK581" s="31"/>
      <c r="AL581" s="31"/>
    </row>
    <row r="582" spans="1:38" ht="36" hidden="1" x14ac:dyDescent="0.25">
      <c r="A582" s="14" t="s">
        <v>7235</v>
      </c>
      <c r="B582" s="7" t="s">
        <v>5877</v>
      </c>
      <c r="C582" s="7" t="s">
        <v>4833</v>
      </c>
      <c r="D582" s="7" t="s">
        <v>5978</v>
      </c>
      <c r="E582" s="7" t="s">
        <v>5978</v>
      </c>
      <c r="F582" s="7" t="s">
        <v>5978</v>
      </c>
      <c r="G582" s="7"/>
      <c r="H582" s="7"/>
      <c r="I582" s="7"/>
      <c r="J582" s="20" t="e">
        <f>VLOOKUP(V582,Table_to_BRG!A:D,3,FALSE)</f>
        <v>#N/A</v>
      </c>
      <c r="K582" s="20" t="e">
        <f>VLOOKUP(V582,Table_to_BRG!A:D,2,FALSE)</f>
        <v>#N/A</v>
      </c>
      <c r="L582" s="20"/>
      <c r="M582" s="20"/>
      <c r="N582" s="9" t="s">
        <v>6465</v>
      </c>
      <c r="O582" s="54" t="s">
        <v>7812</v>
      </c>
      <c r="P582" s="7" t="s">
        <v>4717</v>
      </c>
      <c r="Q582" s="11" t="str">
        <f>RIGHT("00"&amp;Table362[[#This Row],[Rule '#]],3)&amp;"_"&amp;IF(Table362[[#This Row],[Entity]]="Material","MATL",LEFT(UPPER(Table362[[#This Row],[Entity]]),4))&amp;"_"&amp;MID(SUBSTITUTE(Table362[[#This Row],[Rule Name]],"_","|",3),SEARCH("|",SUBSTITUTE(Table362[[#This Row],[Rule Name]],"_","|",3))+1,LEN(Table362[[#This Row],[Rule Name]]))</f>
        <v>205_APO_DP_Sales_Office</v>
      </c>
      <c r="R582" s="8" t="s">
        <v>4718</v>
      </c>
      <c r="S582" s="7" t="s">
        <v>4135</v>
      </c>
      <c r="T582" s="7"/>
      <c r="U582" s="7"/>
      <c r="V582" s="7"/>
      <c r="W582" s="7" t="s">
        <v>4789</v>
      </c>
      <c r="X582" s="8"/>
      <c r="Y582" s="7"/>
      <c r="Z582" s="7"/>
      <c r="AA582" s="11" t="s">
        <v>4790</v>
      </c>
      <c r="AB582" s="11"/>
      <c r="AC582" s="11"/>
      <c r="AD582" s="11"/>
      <c r="AH582" s="8"/>
      <c r="AI582" s="20" t="s">
        <v>7725</v>
      </c>
      <c r="AJ582" s="20"/>
      <c r="AK582" s="31"/>
      <c r="AL582" s="31"/>
    </row>
    <row r="583" spans="1:38" ht="120" hidden="1" x14ac:dyDescent="0.25">
      <c r="A583" s="14" t="s">
        <v>7236</v>
      </c>
      <c r="B583" s="7" t="s">
        <v>5877</v>
      </c>
      <c r="C583" s="7" t="s">
        <v>4833</v>
      </c>
      <c r="D583" s="7" t="s">
        <v>5978</v>
      </c>
      <c r="E583" s="7" t="s">
        <v>5978</v>
      </c>
      <c r="F583" s="7" t="s">
        <v>5978</v>
      </c>
      <c r="G583" s="7"/>
      <c r="H583" s="7"/>
      <c r="I583" s="7"/>
      <c r="J583" s="20" t="e">
        <f>VLOOKUP(V583,Table_to_BRG!A:D,3,FALSE)</f>
        <v>#N/A</v>
      </c>
      <c r="K583" s="20" t="e">
        <f>VLOOKUP(V583,Table_to_BRG!A:D,2,FALSE)</f>
        <v>#N/A</v>
      </c>
      <c r="L583" s="20"/>
      <c r="M583" s="20"/>
      <c r="N583" s="9" t="s">
        <v>6465</v>
      </c>
      <c r="O583" s="54" t="s">
        <v>7812</v>
      </c>
      <c r="P583" s="7" t="s">
        <v>4719</v>
      </c>
      <c r="Q583" s="11" t="str">
        <f>RIGHT("00"&amp;Table362[[#This Row],[Rule '#]],3)&amp;"_"&amp;IF(Table362[[#This Row],[Entity]]="Material","MATL",LEFT(UPPER(Table362[[#This Row],[Entity]]),4))&amp;"_"&amp;MID(SUBSTITUTE(Table362[[#This Row],[Rule Name]],"_","|",3),SEARCH("|",SUBSTITUTE(Table362[[#This Row],[Rule Name]],"_","|",3))+1,LEN(Table362[[#This Row],[Rule Name]]))</f>
        <v>206_APO_DP_DFP_Application_SHIP_TO_Level</v>
      </c>
      <c r="R583" s="8" t="s">
        <v>4720</v>
      </c>
      <c r="S583" s="7" t="s">
        <v>4135</v>
      </c>
      <c r="T583" s="7"/>
      <c r="U583" s="7"/>
      <c r="V583" s="7"/>
      <c r="W583" s="7" t="s">
        <v>4791</v>
      </c>
      <c r="X583" s="8"/>
      <c r="Y583" s="7"/>
      <c r="Z583" s="7"/>
      <c r="AA583" s="11" t="s">
        <v>4792</v>
      </c>
      <c r="AB583" s="11"/>
      <c r="AC583" s="11"/>
      <c r="AD583" s="11"/>
      <c r="AH583" s="8"/>
      <c r="AI583" s="20"/>
      <c r="AJ583" s="20"/>
      <c r="AK583" s="31"/>
      <c r="AL583" s="31"/>
    </row>
    <row r="584" spans="1:38" ht="120" hidden="1" x14ac:dyDescent="0.25">
      <c r="A584" s="14" t="s">
        <v>7237</v>
      </c>
      <c r="B584" s="7" t="s">
        <v>5877</v>
      </c>
      <c r="C584" s="7" t="s">
        <v>4833</v>
      </c>
      <c r="D584" s="7" t="s">
        <v>5978</v>
      </c>
      <c r="E584" s="7" t="s">
        <v>5978</v>
      </c>
      <c r="F584" s="7" t="s">
        <v>5978</v>
      </c>
      <c r="G584" s="7"/>
      <c r="H584" s="7"/>
      <c r="I584" s="7"/>
      <c r="J584" s="20" t="e">
        <f>VLOOKUP(V584,Table_to_BRG!A:D,3,FALSE)</f>
        <v>#N/A</v>
      </c>
      <c r="K584" s="20" t="e">
        <f>VLOOKUP(V584,Table_to_BRG!A:D,2,FALSE)</f>
        <v>#N/A</v>
      </c>
      <c r="L584" s="20"/>
      <c r="M584" s="20"/>
      <c r="N584" s="9" t="s">
        <v>6465</v>
      </c>
      <c r="O584" s="54" t="s">
        <v>7812</v>
      </c>
      <c r="P584" s="7" t="s">
        <v>4721</v>
      </c>
      <c r="Q584" s="11" t="str">
        <f>RIGHT("00"&amp;Table362[[#This Row],[Rule '#]],3)&amp;"_"&amp;IF(Table362[[#This Row],[Entity]]="Material","MATL",LEFT(UPPER(Table362[[#This Row],[Entity]]),4))&amp;"_"&amp;MID(SUBSTITUTE(Table362[[#This Row],[Rule Name]],"_","|",3),SEARCH("|",SUBSTITUTE(Table362[[#This Row],[Rule Name]],"_","|",3))+1,LEN(Table362[[#This Row],[Rule Name]]))</f>
        <v>207_APO_DP_Product_Status_PlanProdGroup_Level</v>
      </c>
      <c r="R584" s="8" t="s">
        <v>4722</v>
      </c>
      <c r="S584" s="7" t="s">
        <v>4135</v>
      </c>
      <c r="T584" s="7"/>
      <c r="U584" s="7"/>
      <c r="V584" s="7"/>
      <c r="W584" s="7" t="s">
        <v>4793</v>
      </c>
      <c r="X584" s="8"/>
      <c r="Y584" s="7"/>
      <c r="Z584" s="7"/>
      <c r="AA584" s="11" t="s">
        <v>4794</v>
      </c>
      <c r="AB584" s="11"/>
      <c r="AC584" s="11"/>
      <c r="AD584" s="11"/>
      <c r="AH584" s="8"/>
      <c r="AI584" s="20" t="s">
        <v>7717</v>
      </c>
      <c r="AJ584" s="20"/>
      <c r="AK584" s="31"/>
      <c r="AL584" s="31"/>
    </row>
    <row r="585" spans="1:38" ht="120" hidden="1" x14ac:dyDescent="0.25">
      <c r="A585" s="14" t="s">
        <v>7238</v>
      </c>
      <c r="B585" s="7" t="s">
        <v>5877</v>
      </c>
      <c r="C585" s="7" t="s">
        <v>4833</v>
      </c>
      <c r="D585" s="7" t="s">
        <v>5978</v>
      </c>
      <c r="E585" s="7" t="s">
        <v>5978</v>
      </c>
      <c r="F585" s="7" t="s">
        <v>5978</v>
      </c>
      <c r="G585" s="7"/>
      <c r="H585" s="7"/>
      <c r="I585" s="7"/>
      <c r="J585" s="20" t="e">
        <f>VLOOKUP(V585,Table_to_BRG!A:D,3,FALSE)</f>
        <v>#N/A</v>
      </c>
      <c r="K585" s="20" t="e">
        <f>VLOOKUP(V585,Table_to_BRG!A:D,2,FALSE)</f>
        <v>#N/A</v>
      </c>
      <c r="L585" s="20"/>
      <c r="M585" s="20"/>
      <c r="N585" s="9" t="s">
        <v>6465</v>
      </c>
      <c r="O585" s="54" t="s">
        <v>7812</v>
      </c>
      <c r="P585" s="7" t="s">
        <v>4723</v>
      </c>
      <c r="Q585" s="11" t="str">
        <f>RIGHT("00"&amp;Table362[[#This Row],[Rule '#]],3)&amp;"_"&amp;IF(Table362[[#This Row],[Entity]]="Material","MATL",LEFT(UPPER(Table362[[#This Row],[Entity]]),4))&amp;"_"&amp;MID(SUBSTITUTE(Table362[[#This Row],[Rule Name]],"_","|",3),SEARCH("|",SUBSTITUTE(Table362[[#This Row],[Rule Name]],"_","|",3))+1,LEN(Table362[[#This Row],[Rule Name]]))</f>
        <v>208_APO_DP_DFP_SKU_Group_Country_Level</v>
      </c>
      <c r="R585" s="8" t="s">
        <v>4724</v>
      </c>
      <c r="S585" s="7" t="s">
        <v>4135</v>
      </c>
      <c r="T585" s="7"/>
      <c r="U585" s="7"/>
      <c r="V585" s="7"/>
      <c r="W585" s="7" t="s">
        <v>4167</v>
      </c>
      <c r="X585" s="8"/>
      <c r="Y585" s="7"/>
      <c r="Z585" s="7"/>
      <c r="AA585" s="11" t="s">
        <v>4795</v>
      </c>
      <c r="AB585" s="11"/>
      <c r="AC585" s="11"/>
      <c r="AD585" s="11"/>
      <c r="AH585" s="8"/>
      <c r="AI585" s="20"/>
      <c r="AJ585" s="20"/>
      <c r="AK585" s="31"/>
      <c r="AL585" s="31"/>
    </row>
    <row r="586" spans="1:38" ht="108" hidden="1" x14ac:dyDescent="0.25">
      <c r="A586" s="14" t="s">
        <v>7239</v>
      </c>
      <c r="B586" s="7" t="s">
        <v>5877</v>
      </c>
      <c r="C586" s="7" t="s">
        <v>4833</v>
      </c>
      <c r="D586" s="7" t="s">
        <v>5978</v>
      </c>
      <c r="E586" s="7" t="s">
        <v>5978</v>
      </c>
      <c r="F586" s="7" t="s">
        <v>5978</v>
      </c>
      <c r="G586" s="7"/>
      <c r="H586" s="7"/>
      <c r="I586" s="7"/>
      <c r="J586" s="20" t="e">
        <f>VLOOKUP(V586,Table_to_BRG!A:D,3,FALSE)</f>
        <v>#N/A</v>
      </c>
      <c r="K586" s="20" t="e">
        <f>VLOOKUP(V586,Table_to_BRG!A:D,2,FALSE)</f>
        <v>#N/A</v>
      </c>
      <c r="L586" s="20"/>
      <c r="M586" s="20"/>
      <c r="N586" s="9" t="s">
        <v>6465</v>
      </c>
      <c r="O586" s="54" t="s">
        <v>7812</v>
      </c>
      <c r="P586" s="7" t="s">
        <v>4725</v>
      </c>
      <c r="Q586" s="11" t="str">
        <f>RIGHT("00"&amp;Table362[[#This Row],[Rule '#]],3)&amp;"_"&amp;IF(Table362[[#This Row],[Entity]]="Material","MATL",LEFT(UPPER(Table362[[#This Row],[Entity]]),4))&amp;"_"&amp;MID(SUBSTITUTE(Table362[[#This Row],[Rule Name]],"_","|",3),SEARCH("|",SUBSTITUTE(Table362[[#This Row],[Rule Name]],"_","|",3))+1,LEN(Table362[[#This Row],[Rule Name]]))</f>
        <v>209_APO_DP_DFP_SKU_SHIP_TO_Level</v>
      </c>
      <c r="R586" s="8" t="s">
        <v>4726</v>
      </c>
      <c r="S586" s="7" t="s">
        <v>4135</v>
      </c>
      <c r="T586" s="7"/>
      <c r="U586" s="7"/>
      <c r="V586" s="7"/>
      <c r="W586" s="7" t="s">
        <v>4167</v>
      </c>
      <c r="X586" s="8"/>
      <c r="Y586" s="7"/>
      <c r="Z586" s="7"/>
      <c r="AA586" s="11" t="s">
        <v>4796</v>
      </c>
      <c r="AB586" s="11"/>
      <c r="AC586" s="11"/>
      <c r="AD586" s="11"/>
      <c r="AH586" s="8"/>
      <c r="AI586" s="20"/>
      <c r="AJ586" s="20"/>
      <c r="AK586" s="31"/>
      <c r="AL586" s="31"/>
    </row>
    <row r="587" spans="1:38" ht="240" hidden="1" x14ac:dyDescent="0.25">
      <c r="A587" s="14" t="s">
        <v>7240</v>
      </c>
      <c r="B587" s="7" t="s">
        <v>5877</v>
      </c>
      <c r="C587" s="7" t="s">
        <v>4833</v>
      </c>
      <c r="D587" s="7" t="s">
        <v>5978</v>
      </c>
      <c r="E587" s="7" t="s">
        <v>5978</v>
      </c>
      <c r="F587" s="7" t="s">
        <v>5978</v>
      </c>
      <c r="G587" s="7"/>
      <c r="H587" s="7"/>
      <c r="I587" s="7"/>
      <c r="J587" s="20" t="e">
        <f>VLOOKUP(V587,Table_to_BRG!A:D,3,FALSE)</f>
        <v>#N/A</v>
      </c>
      <c r="K587" s="20" t="e">
        <f>VLOOKUP(V587,Table_to_BRG!A:D,2,FALSE)</f>
        <v>#N/A</v>
      </c>
      <c r="L587" s="20"/>
      <c r="M587" s="20"/>
      <c r="N587" s="9" t="s">
        <v>6465</v>
      </c>
      <c r="O587" s="54" t="s">
        <v>7812</v>
      </c>
      <c r="P587" s="7" t="s">
        <v>4727</v>
      </c>
      <c r="Q587" s="11" t="str">
        <f>RIGHT("00"&amp;Table362[[#This Row],[Rule '#]],3)&amp;"_"&amp;IF(Table362[[#This Row],[Entity]]="Material","MATL",LEFT(UPPER(Table362[[#This Row],[Entity]]),4))&amp;"_"&amp;MID(SUBSTITUTE(Table362[[#This Row],[Rule Name]],"_","|",3),SEARCH("|",SUBSTITUTE(Table362[[#This Row],[Rule Name]],"_","|",3))+1,LEN(Table362[[#This Row],[Rule Name]]))</f>
        <v>210_APO_SNP_SAPAPO_MATIO  Chemls Location Prod</v>
      </c>
      <c r="R587" s="8" t="s">
        <v>4728</v>
      </c>
      <c r="S587" s="7" t="s">
        <v>4135</v>
      </c>
      <c r="T587" s="7"/>
      <c r="U587" s="7"/>
      <c r="V587" s="7"/>
      <c r="W587" s="7" t="s">
        <v>4787</v>
      </c>
      <c r="X587" s="8"/>
      <c r="Y587" s="7"/>
      <c r="Z587" s="7"/>
      <c r="AA587" s="11" t="s">
        <v>4797</v>
      </c>
      <c r="AB587" s="11"/>
      <c r="AC587" s="11"/>
      <c r="AD587" s="11"/>
      <c r="AH587" s="8"/>
      <c r="AI587" s="20"/>
      <c r="AJ587" s="20"/>
      <c r="AK587" s="31"/>
      <c r="AL587" s="31"/>
    </row>
    <row r="588" spans="1:38" ht="96" hidden="1" x14ac:dyDescent="0.25">
      <c r="A588" s="14" t="s">
        <v>7241</v>
      </c>
      <c r="B588" s="7" t="s">
        <v>5877</v>
      </c>
      <c r="C588" s="7" t="s">
        <v>4833</v>
      </c>
      <c r="D588" s="7" t="s">
        <v>5978</v>
      </c>
      <c r="E588" s="7" t="s">
        <v>5978</v>
      </c>
      <c r="F588" s="7" t="s">
        <v>5978</v>
      </c>
      <c r="G588" s="7"/>
      <c r="H588" s="7"/>
      <c r="I588" s="7"/>
      <c r="J588" s="20" t="e">
        <f>VLOOKUP(V588,Table_to_BRG!A:D,3,FALSE)</f>
        <v>#N/A</v>
      </c>
      <c r="K588" s="20" t="e">
        <f>VLOOKUP(V588,Table_to_BRG!A:D,2,FALSE)</f>
        <v>#N/A</v>
      </c>
      <c r="L588" s="20"/>
      <c r="M588" s="20"/>
      <c r="N588" s="9" t="s">
        <v>6465</v>
      </c>
      <c r="O588" s="54" t="s">
        <v>7812</v>
      </c>
      <c r="P588" s="7" t="s">
        <v>4729</v>
      </c>
      <c r="Q588" s="11" t="str">
        <f>RIGHT("00"&amp;Table362[[#This Row],[Rule '#]],3)&amp;"_"&amp;IF(Table362[[#This Row],[Entity]]="Material","MATL",LEFT(UPPER(Table362[[#This Row],[Entity]]),4))&amp;"_"&amp;MID(SUBSTITUTE(Table362[[#This Row],[Rule Name]],"_","|",3),SEARCH("|",SUBSTITUTE(Table362[[#This Row],[Rule Name]],"_","|",3))+1,LEN(Table362[[#This Row],[Rule Name]]))</f>
        <v>211_APO_SNP_Quota_Arrangement</v>
      </c>
      <c r="R588" s="8" t="s">
        <v>4730</v>
      </c>
      <c r="S588" s="7" t="s">
        <v>4135</v>
      </c>
      <c r="T588" s="7"/>
      <c r="U588" s="7"/>
      <c r="V588" s="7"/>
      <c r="W588" s="7" t="s">
        <v>4787</v>
      </c>
      <c r="X588" s="8"/>
      <c r="Y588" s="7"/>
      <c r="Z588" s="7"/>
      <c r="AA588" s="11" t="s">
        <v>4798</v>
      </c>
      <c r="AB588" s="11"/>
      <c r="AC588" s="11"/>
      <c r="AD588" s="11"/>
      <c r="AH588" s="8"/>
      <c r="AI588" s="20"/>
      <c r="AJ588" s="20"/>
      <c r="AK588" s="31"/>
      <c r="AL588" s="31"/>
    </row>
    <row r="589" spans="1:38" ht="120" hidden="1" x14ac:dyDescent="0.25">
      <c r="A589" s="14" t="s">
        <v>7242</v>
      </c>
      <c r="B589" s="7" t="s">
        <v>5877</v>
      </c>
      <c r="C589" s="7" t="s">
        <v>4833</v>
      </c>
      <c r="D589" s="7" t="s">
        <v>5978</v>
      </c>
      <c r="E589" s="7" t="s">
        <v>5978</v>
      </c>
      <c r="F589" s="7" t="s">
        <v>5978</v>
      </c>
      <c r="G589" s="7"/>
      <c r="H589" s="7"/>
      <c r="I589" s="7"/>
      <c r="J589" s="20" t="e">
        <f>VLOOKUP(V589,Table_to_BRG!A:D,3,FALSE)</f>
        <v>#N/A</v>
      </c>
      <c r="K589" s="20" t="e">
        <f>VLOOKUP(V589,Table_to_BRG!A:D,2,FALSE)</f>
        <v>#N/A</v>
      </c>
      <c r="L589" s="20"/>
      <c r="M589" s="20"/>
      <c r="N589" s="9" t="s">
        <v>6465</v>
      </c>
      <c r="O589" s="54" t="s">
        <v>7812</v>
      </c>
      <c r="P589" s="7" t="s">
        <v>4731</v>
      </c>
      <c r="Q589" s="11" t="str">
        <f>RIGHT("00"&amp;Table362[[#This Row],[Rule '#]],3)&amp;"_"&amp;IF(Table362[[#This Row],[Entity]]="Material","MATL",LEFT(UPPER(Table362[[#This Row],[Entity]]),4))&amp;"_"&amp;MID(SUBSTITUTE(Table362[[#This Row],[Rule Name]],"_","|",3),SEARCH("|",SUBSTITUTE(Table362[[#This Row],[Rule Name]],"_","|",3))+1,LEN(Table362[[#This Row],[Rule Name]]))</f>
        <v>212_APO_DP_Product_Status_SKU_Level</v>
      </c>
      <c r="R589" s="8" t="s">
        <v>4732</v>
      </c>
      <c r="S589" s="7" t="s">
        <v>4135</v>
      </c>
      <c r="T589" s="7"/>
      <c r="U589" s="7"/>
      <c r="V589" s="7"/>
      <c r="W589" s="7" t="s">
        <v>4799</v>
      </c>
      <c r="X589" s="8"/>
      <c r="Y589" s="7"/>
      <c r="Z589" s="7"/>
      <c r="AA589" s="11" t="s">
        <v>4800</v>
      </c>
      <c r="AB589" s="11"/>
      <c r="AC589" s="11"/>
      <c r="AD589" s="11"/>
      <c r="AH589" s="8"/>
      <c r="AI589" s="20" t="s">
        <v>7717</v>
      </c>
      <c r="AJ589" s="20"/>
      <c r="AK589" s="31"/>
      <c r="AL589" s="31"/>
    </row>
    <row r="590" spans="1:38" ht="120" hidden="1" x14ac:dyDescent="0.25">
      <c r="A590" s="14" t="s">
        <v>7243</v>
      </c>
      <c r="B590" s="7" t="s">
        <v>5877</v>
      </c>
      <c r="C590" s="7" t="s">
        <v>4833</v>
      </c>
      <c r="D590" s="7" t="s">
        <v>5978</v>
      </c>
      <c r="E590" s="7" t="s">
        <v>5978</v>
      </c>
      <c r="F590" s="7" t="s">
        <v>5978</v>
      </c>
      <c r="G590" s="7"/>
      <c r="H590" s="7"/>
      <c r="I590" s="7"/>
      <c r="J590" s="20" t="e">
        <f>VLOOKUP(V590,Table_to_BRG!A:D,3,FALSE)</f>
        <v>#N/A</v>
      </c>
      <c r="K590" s="20" t="e">
        <f>VLOOKUP(V590,Table_to_BRG!A:D,2,FALSE)</f>
        <v>#N/A</v>
      </c>
      <c r="L590" s="20"/>
      <c r="M590" s="20"/>
      <c r="N590" s="9" t="s">
        <v>6465</v>
      </c>
      <c r="O590" s="54" t="s">
        <v>7812</v>
      </c>
      <c r="P590" s="7" t="s">
        <v>4733</v>
      </c>
      <c r="Q590" s="11" t="str">
        <f>RIGHT("00"&amp;Table362[[#This Row],[Rule '#]],3)&amp;"_"&amp;IF(Table362[[#This Row],[Entity]]="Material","MATL",LEFT(UPPER(Table362[[#This Row],[Entity]]),4))&amp;"_"&amp;MID(SUBSTITUTE(Table362[[#This Row],[Rule Name]],"_","|",3),SEARCH("|",SUBSTITUTE(Table362[[#This Row],[Rule Name]],"_","|",3))+1,LEN(Table362[[#This Row],[Rule Name]]))</f>
        <v>213_APO_DP_DFP_Application_Group_Country_Level</v>
      </c>
      <c r="R590" s="8" t="s">
        <v>4734</v>
      </c>
      <c r="S590" s="7" t="s">
        <v>4135</v>
      </c>
      <c r="T590" s="7"/>
      <c r="U590" s="7"/>
      <c r="V590" s="7"/>
      <c r="W590" s="7" t="s">
        <v>4791</v>
      </c>
      <c r="X590" s="8"/>
      <c r="Y590" s="7"/>
      <c r="Z590" s="7"/>
      <c r="AA590" s="11" t="s">
        <v>4801</v>
      </c>
      <c r="AB590" s="11"/>
      <c r="AC590" s="11"/>
      <c r="AD590" s="11"/>
      <c r="AH590" s="8"/>
      <c r="AI590" s="20"/>
      <c r="AJ590" s="20"/>
      <c r="AK590" s="31"/>
      <c r="AL590" s="31"/>
    </row>
    <row r="591" spans="1:38" ht="120" hidden="1" x14ac:dyDescent="0.25">
      <c r="A591" s="14" t="s">
        <v>7244</v>
      </c>
      <c r="B591" s="7" t="s">
        <v>5877</v>
      </c>
      <c r="C591" s="7" t="s">
        <v>4833</v>
      </c>
      <c r="D591" s="7" t="s">
        <v>5978</v>
      </c>
      <c r="E591" s="7" t="s">
        <v>5978</v>
      </c>
      <c r="F591" s="7" t="s">
        <v>5978</v>
      </c>
      <c r="G591" s="7"/>
      <c r="H591" s="7"/>
      <c r="I591" s="7"/>
      <c r="J591" s="20" t="e">
        <f>VLOOKUP(V591,Table_to_BRG!A:D,3,FALSE)</f>
        <v>#N/A</v>
      </c>
      <c r="K591" s="20" t="e">
        <f>VLOOKUP(V591,Table_to_BRG!A:D,2,FALSE)</f>
        <v>#N/A</v>
      </c>
      <c r="L591" s="20"/>
      <c r="M591" s="20"/>
      <c r="N591" s="9" t="s">
        <v>6465</v>
      </c>
      <c r="O591" s="54" t="s">
        <v>7812</v>
      </c>
      <c r="P591" s="7" t="s">
        <v>4735</v>
      </c>
      <c r="Q591" s="11" t="str">
        <f>RIGHT("00"&amp;Table362[[#This Row],[Rule '#]],3)&amp;"_"&amp;IF(Table362[[#This Row],[Entity]]="Material","MATL",LEFT(UPPER(Table362[[#This Row],[Entity]]),4))&amp;"_"&amp;MID(SUBSTITUTE(Table362[[#This Row],[Rule Name]],"_","|",3),SEARCH("|",SUBSTITUTE(Table362[[#This Row],[Rule Name]],"_","|",3))+1,LEN(Table362[[#This Row],[Rule Name]]))</f>
        <v>214_APO_DP_DFP_Product_Group_SHIP_TO_Level</v>
      </c>
      <c r="R591" s="8" t="s">
        <v>4736</v>
      </c>
      <c r="S591" s="7" t="s">
        <v>4135</v>
      </c>
      <c r="T591" s="7"/>
      <c r="U591" s="7"/>
      <c r="V591" s="7"/>
      <c r="W591" s="7" t="s">
        <v>4782</v>
      </c>
      <c r="X591" s="8"/>
      <c r="Y591" s="7"/>
      <c r="Z591" s="7"/>
      <c r="AA591" s="11" t="s">
        <v>4802</v>
      </c>
      <c r="AB591" s="11"/>
      <c r="AC591" s="11"/>
      <c r="AD591" s="11"/>
      <c r="AH591" s="8"/>
      <c r="AI591" s="20" t="s">
        <v>7716</v>
      </c>
      <c r="AJ591" s="20"/>
      <c r="AK591" s="31"/>
      <c r="AL591" s="31"/>
    </row>
    <row r="592" spans="1:38" ht="108" hidden="1" x14ac:dyDescent="0.25">
      <c r="A592" s="14" t="s">
        <v>7245</v>
      </c>
      <c r="B592" s="7" t="s">
        <v>5877</v>
      </c>
      <c r="C592" s="7" t="s">
        <v>4833</v>
      </c>
      <c r="D592" s="7" t="s">
        <v>5978</v>
      </c>
      <c r="E592" s="7" t="s">
        <v>5978</v>
      </c>
      <c r="F592" s="7" t="s">
        <v>5978</v>
      </c>
      <c r="G592" s="7"/>
      <c r="H592" s="7"/>
      <c r="I592" s="7"/>
      <c r="J592" s="20" t="e">
        <f>VLOOKUP(V592,Table_to_BRG!A:D,3,FALSE)</f>
        <v>#N/A</v>
      </c>
      <c r="K592" s="20" t="e">
        <f>VLOOKUP(V592,Table_to_BRG!A:D,2,FALSE)</f>
        <v>#N/A</v>
      </c>
      <c r="L592" s="20"/>
      <c r="M592" s="20"/>
      <c r="N592" s="9" t="s">
        <v>6465</v>
      </c>
      <c r="O592" s="54" t="s">
        <v>7812</v>
      </c>
      <c r="P592" s="7" t="s">
        <v>4737</v>
      </c>
      <c r="Q592" s="11" t="str">
        <f>RIGHT("00"&amp;Table362[[#This Row],[Rule '#]],3)&amp;"_"&amp;IF(Table362[[#This Row],[Entity]]="Material","MATL",LEFT(UPPER(Table362[[#This Row],[Entity]]),4))&amp;"_"&amp;MID(SUBSTITUTE(Table362[[#This Row],[Rule Name]],"_","|",3),SEARCH("|",SUBSTITUTE(Table362[[#This Row],[Rule Name]],"_","|",3))+1,LEN(Table362[[#This Row],[Rule Name]]))</f>
        <v>215_APO_DP_DFP_Grade_SHIP_TO_Level</v>
      </c>
      <c r="R592" s="8" t="s">
        <v>4738</v>
      </c>
      <c r="S592" s="7" t="s">
        <v>4135</v>
      </c>
      <c r="T592" s="7"/>
      <c r="U592" s="7"/>
      <c r="V592" s="7"/>
      <c r="W592" s="7" t="s">
        <v>4784</v>
      </c>
      <c r="X592" s="8"/>
      <c r="Y592" s="7"/>
      <c r="Z592" s="7"/>
      <c r="AA592" s="11" t="s">
        <v>4803</v>
      </c>
      <c r="AB592" s="11"/>
      <c r="AC592" s="11"/>
      <c r="AD592" s="11"/>
      <c r="AH592" s="8"/>
      <c r="AI592" s="20"/>
      <c r="AJ592" s="20"/>
      <c r="AK592" s="31"/>
      <c r="AL592" s="31"/>
    </row>
    <row r="593" spans="1:38" ht="108" hidden="1" x14ac:dyDescent="0.25">
      <c r="A593" s="14" t="s">
        <v>7246</v>
      </c>
      <c r="B593" s="7" t="s">
        <v>5877</v>
      </c>
      <c r="C593" s="7" t="s">
        <v>4833</v>
      </c>
      <c r="D593" s="7" t="s">
        <v>5978</v>
      </c>
      <c r="E593" s="7" t="s">
        <v>5978</v>
      </c>
      <c r="F593" s="7" t="s">
        <v>5978</v>
      </c>
      <c r="G593" s="7"/>
      <c r="H593" s="7"/>
      <c r="I593" s="7"/>
      <c r="J593" s="20" t="e">
        <f>VLOOKUP(V593,Table_to_BRG!A:D,3,FALSE)</f>
        <v>#N/A</v>
      </c>
      <c r="K593" s="20" t="e">
        <f>VLOOKUP(V593,Table_to_BRG!A:D,2,FALSE)</f>
        <v>#N/A</v>
      </c>
      <c r="L593" s="20"/>
      <c r="M593" s="20"/>
      <c r="N593" s="9" t="s">
        <v>6465</v>
      </c>
      <c r="O593" s="54" t="s">
        <v>7812</v>
      </c>
      <c r="P593" s="7" t="s">
        <v>4739</v>
      </c>
      <c r="Q593" s="11" t="str">
        <f>RIGHT("00"&amp;Table362[[#This Row],[Rule '#]],3)&amp;"_"&amp;IF(Table362[[#This Row],[Entity]]="Material","MATL",LEFT(UPPER(Table362[[#This Row],[Entity]]),4))&amp;"_"&amp;MID(SUBSTITUTE(Table362[[#This Row],[Rule Name]],"_","|",3),SEARCH("|",SUBSTITUTE(Table362[[#This Row],[Rule Name]],"_","|",3))+1,LEN(Table362[[#This Row],[Rule Name]]))</f>
        <v>216_APO_DP_DFP_SKU_Country_Level</v>
      </c>
      <c r="R593" s="8" t="s">
        <v>4740</v>
      </c>
      <c r="S593" s="7" t="s">
        <v>4135</v>
      </c>
      <c r="T593" s="7"/>
      <c r="U593" s="7"/>
      <c r="V593" s="7"/>
      <c r="W593" s="7" t="s">
        <v>4167</v>
      </c>
      <c r="X593" s="8"/>
      <c r="Y593" s="7"/>
      <c r="Z593" s="7"/>
      <c r="AA593" s="11" t="s">
        <v>4804</v>
      </c>
      <c r="AB593" s="11"/>
      <c r="AC593" s="11"/>
      <c r="AD593" s="11"/>
      <c r="AH593" s="8"/>
      <c r="AI593" s="20"/>
      <c r="AJ593" s="20"/>
      <c r="AK593" s="31"/>
      <c r="AL593" s="31"/>
    </row>
    <row r="594" spans="1:38" ht="84" hidden="1" x14ac:dyDescent="0.25">
      <c r="A594" s="14" t="s">
        <v>7247</v>
      </c>
      <c r="B594" s="7" t="s">
        <v>5877</v>
      </c>
      <c r="C594" s="7" t="s">
        <v>4833</v>
      </c>
      <c r="D594" s="7" t="s">
        <v>5978</v>
      </c>
      <c r="E594" s="7" t="s">
        <v>5978</v>
      </c>
      <c r="F594" s="7" t="s">
        <v>5978</v>
      </c>
      <c r="G594" s="7"/>
      <c r="H594" s="7"/>
      <c r="I594" s="7"/>
      <c r="J594" s="20" t="e">
        <f>VLOOKUP(V594,Table_to_BRG!A:D,3,FALSE)</f>
        <v>#N/A</v>
      </c>
      <c r="K594" s="20" t="e">
        <f>VLOOKUP(V594,Table_to_BRG!A:D,2,FALSE)</f>
        <v>#N/A</v>
      </c>
      <c r="L594" s="20"/>
      <c r="M594" s="20"/>
      <c r="N594" s="9" t="s">
        <v>6465</v>
      </c>
      <c r="O594" s="54" t="s">
        <v>7812</v>
      </c>
      <c r="P594" s="7" t="s">
        <v>4741</v>
      </c>
      <c r="Q594" s="11" t="str">
        <f>RIGHT("00"&amp;Table362[[#This Row],[Rule '#]],3)&amp;"_"&amp;IF(Table362[[#This Row],[Entity]]="Material","MATL",LEFT(UPPER(Table362[[#This Row],[Entity]]),4))&amp;"_"&amp;MID(SUBSTITUTE(Table362[[#This Row],[Rule Name]],"_","|",3),SEARCH("|",SUBSTITUTE(Table362[[#This Row],[Rule Name]],"_","|",3))+1,LEN(Table362[[#This Row],[Rule Name]]))</f>
        <v>217_APO_DP_Customer_Status_Sold_To_Level</v>
      </c>
      <c r="R594" s="8" t="s">
        <v>4742</v>
      </c>
      <c r="S594" s="7" t="s">
        <v>4135</v>
      </c>
      <c r="T594" s="7"/>
      <c r="U594" s="7"/>
      <c r="V594" s="7"/>
      <c r="W594" s="7" t="s">
        <v>4805</v>
      </c>
      <c r="X594" s="8"/>
      <c r="Y594" s="7"/>
      <c r="Z594" s="7"/>
      <c r="AA594" s="11" t="s">
        <v>4806</v>
      </c>
      <c r="AB594" s="11"/>
      <c r="AC594" s="11"/>
      <c r="AD594" s="11"/>
      <c r="AH594" s="8"/>
      <c r="AI594" s="20"/>
      <c r="AJ594" s="20"/>
      <c r="AK594" s="31"/>
      <c r="AL594" s="31"/>
    </row>
    <row r="595" spans="1:38" ht="75" hidden="1" x14ac:dyDescent="0.25">
      <c r="A595" s="14" t="s">
        <v>7248</v>
      </c>
      <c r="B595" s="7" t="s">
        <v>5877</v>
      </c>
      <c r="C595" s="7" t="s">
        <v>4833</v>
      </c>
      <c r="D595" s="7" t="s">
        <v>5978</v>
      </c>
      <c r="E595" s="7" t="s">
        <v>5978</v>
      </c>
      <c r="F595" s="7" t="s">
        <v>5978</v>
      </c>
      <c r="G595" s="7"/>
      <c r="H595" s="7"/>
      <c r="I595" s="7"/>
      <c r="J595" s="20" t="e">
        <f>VLOOKUP(V595,Table_to_BRG!A:D,3,FALSE)</f>
        <v>#N/A</v>
      </c>
      <c r="K595" s="20" t="e">
        <f>VLOOKUP(V595,Table_to_BRG!A:D,2,FALSE)</f>
        <v>#N/A</v>
      </c>
      <c r="L595" s="20"/>
      <c r="M595" s="20"/>
      <c r="N595" s="9" t="s">
        <v>6465</v>
      </c>
      <c r="O595" s="54" t="s">
        <v>7812</v>
      </c>
      <c r="P595" s="7" t="s">
        <v>4743</v>
      </c>
      <c r="Q595" s="11" t="str">
        <f>RIGHT("00"&amp;Table362[[#This Row],[Rule '#]],3)&amp;"_"&amp;IF(Table362[[#This Row],[Entity]]="Material","MATL",LEFT(UPPER(Table362[[#This Row],[Entity]]),4))&amp;"_"&amp;MID(SUBSTITUTE(Table362[[#This Row],[Rule Name]],"_","|",3),SEARCH("|",SUBSTITUTE(Table362[[#This Row],[Rule Name]],"_","|",3))+1,LEN(Table362[[#This Row],[Rule Name]]))</f>
        <v>218_APO_SNP_Resource</v>
      </c>
      <c r="R595" s="8" t="s">
        <v>4744</v>
      </c>
      <c r="S595" s="7" t="s">
        <v>4135</v>
      </c>
      <c r="T595" s="7"/>
      <c r="U595" s="7"/>
      <c r="V595" s="7"/>
      <c r="W595" s="7" t="s">
        <v>4807</v>
      </c>
      <c r="X595" s="8"/>
      <c r="Y595" s="7"/>
      <c r="Z595" s="7"/>
      <c r="AA595" s="11" t="s">
        <v>4808</v>
      </c>
      <c r="AB595" s="11"/>
      <c r="AC595" s="11"/>
      <c r="AD595" s="11"/>
      <c r="AH595" s="8"/>
      <c r="AI595" s="20"/>
      <c r="AJ595" s="20"/>
      <c r="AK595" s="31"/>
      <c r="AL595" s="31"/>
    </row>
    <row r="596" spans="1:38" ht="36" hidden="1" x14ac:dyDescent="0.25">
      <c r="A596" s="14" t="s">
        <v>7249</v>
      </c>
      <c r="B596" s="7" t="s">
        <v>5877</v>
      </c>
      <c r="C596" s="7" t="s">
        <v>4833</v>
      </c>
      <c r="D596" s="7" t="s">
        <v>5978</v>
      </c>
      <c r="E596" s="7" t="s">
        <v>5978</v>
      </c>
      <c r="F596" s="7" t="s">
        <v>5978</v>
      </c>
      <c r="G596" s="7"/>
      <c r="H596" s="7"/>
      <c r="I596" s="7"/>
      <c r="J596" s="20" t="e">
        <f>VLOOKUP(V596,Table_to_BRG!A:D,3,FALSE)</f>
        <v>#N/A</v>
      </c>
      <c r="K596" s="20" t="e">
        <f>VLOOKUP(V596,Table_to_BRG!A:D,2,FALSE)</f>
        <v>#N/A</v>
      </c>
      <c r="L596" s="20"/>
      <c r="M596" s="20"/>
      <c r="N596" s="9" t="s">
        <v>6465</v>
      </c>
      <c r="O596" s="54" t="s">
        <v>7812</v>
      </c>
      <c r="P596" s="7" t="s">
        <v>4745</v>
      </c>
      <c r="Q596" s="11" t="str">
        <f>RIGHT("00"&amp;Table362[[#This Row],[Rule '#]],3)&amp;"_"&amp;IF(Table362[[#This Row],[Entity]]="Material","MATL",LEFT(UPPER(Table362[[#This Row],[Entity]]),4))&amp;"_"&amp;MID(SUBSTITUTE(Table362[[#This Row],[Rule Name]],"_","|",3),SEARCH("|",SUBSTITUTE(Table362[[#This Row],[Rule Name]],"_","|",3))+1,LEN(Table362[[#This Row],[Rule Name]]))</f>
        <v>219_APO_DP_Delivery_Model</v>
      </c>
      <c r="R596" s="8" t="s">
        <v>4746</v>
      </c>
      <c r="S596" s="7" t="s">
        <v>4135</v>
      </c>
      <c r="T596" s="7"/>
      <c r="U596" s="7"/>
      <c r="V596" s="7"/>
      <c r="W596" s="7" t="s">
        <v>4809</v>
      </c>
      <c r="X596" s="8"/>
      <c r="Y596" s="7"/>
      <c r="Z596" s="7"/>
      <c r="AA596" s="11" t="s">
        <v>4810</v>
      </c>
      <c r="AB596" s="11"/>
      <c r="AC596" s="11"/>
      <c r="AD596" s="11"/>
      <c r="AH596" s="8"/>
      <c r="AI596" s="20"/>
      <c r="AJ596" s="20"/>
      <c r="AK596" s="31"/>
      <c r="AL596" s="31"/>
    </row>
    <row r="597" spans="1:38" ht="120" hidden="1" x14ac:dyDescent="0.25">
      <c r="A597" s="14" t="s">
        <v>7250</v>
      </c>
      <c r="B597" s="7" t="s">
        <v>5877</v>
      </c>
      <c r="C597" s="7" t="s">
        <v>4833</v>
      </c>
      <c r="D597" s="7" t="s">
        <v>5978</v>
      </c>
      <c r="E597" s="7" t="s">
        <v>5978</v>
      </c>
      <c r="F597" s="7" t="s">
        <v>5978</v>
      </c>
      <c r="G597" s="7"/>
      <c r="H597" s="7"/>
      <c r="I597" s="7"/>
      <c r="J597" s="20" t="e">
        <f>VLOOKUP(V597,Table_to_BRG!A:D,3,FALSE)</f>
        <v>#N/A</v>
      </c>
      <c r="K597" s="20" t="e">
        <f>VLOOKUP(V597,Table_to_BRG!A:D,2,FALSE)</f>
        <v>#N/A</v>
      </c>
      <c r="L597" s="20"/>
      <c r="M597" s="20"/>
      <c r="N597" s="9" t="s">
        <v>6465</v>
      </c>
      <c r="O597" s="54" t="s">
        <v>7812</v>
      </c>
      <c r="P597" s="7" t="s">
        <v>4747</v>
      </c>
      <c r="Q597" s="11" t="str">
        <f>RIGHT("00"&amp;Table362[[#This Row],[Rule '#]],3)&amp;"_"&amp;IF(Table362[[#This Row],[Entity]]="Material","MATL",LEFT(UPPER(Table362[[#This Row],[Entity]]),4))&amp;"_"&amp;MID(SUBSTITUTE(Table362[[#This Row],[Rule Name]],"_","|",3),SEARCH("|",SUBSTITUTE(Table362[[#This Row],[Rule Name]],"_","|",3))+1,LEN(Table362[[#This Row],[Rule Name]]))</f>
        <v>220_APO_DP_DFP_Application_Country_Level</v>
      </c>
      <c r="R597" s="8" t="s">
        <v>4748</v>
      </c>
      <c r="S597" s="7" t="s">
        <v>4135</v>
      </c>
      <c r="T597" s="7"/>
      <c r="U597" s="7"/>
      <c r="V597" s="7"/>
      <c r="W597" s="7" t="s">
        <v>4791</v>
      </c>
      <c r="X597" s="8"/>
      <c r="Y597" s="7"/>
      <c r="Z597" s="7"/>
      <c r="AA597" s="11" t="s">
        <v>4811</v>
      </c>
      <c r="AB597" s="11"/>
      <c r="AC597" s="11"/>
      <c r="AD597" s="11"/>
      <c r="AH597" s="8"/>
      <c r="AI597" s="20"/>
      <c r="AJ597" s="20"/>
      <c r="AK597" s="31"/>
      <c r="AL597" s="31"/>
    </row>
    <row r="598" spans="1:38" ht="168" hidden="1" x14ac:dyDescent="0.25">
      <c r="A598" s="14" t="s">
        <v>7251</v>
      </c>
      <c r="B598" s="7" t="s">
        <v>5877</v>
      </c>
      <c r="C598" s="7" t="s">
        <v>4833</v>
      </c>
      <c r="D598" s="7" t="s">
        <v>5978</v>
      </c>
      <c r="E598" s="7" t="s">
        <v>5978</v>
      </c>
      <c r="F598" s="7" t="s">
        <v>5978</v>
      </c>
      <c r="G598" s="7"/>
      <c r="H598" s="7"/>
      <c r="I598" s="7"/>
      <c r="J598" s="20" t="e">
        <f>VLOOKUP(V598,Table_to_BRG!A:D,3,FALSE)</f>
        <v>#N/A</v>
      </c>
      <c r="K598" s="20" t="e">
        <f>VLOOKUP(V598,Table_to_BRG!A:D,2,FALSE)</f>
        <v>#N/A</v>
      </c>
      <c r="L598" s="20"/>
      <c r="M598" s="20"/>
      <c r="N598" s="9" t="s">
        <v>6465</v>
      </c>
      <c r="O598" s="54" t="s">
        <v>7812</v>
      </c>
      <c r="P598" s="7" t="s">
        <v>4749</v>
      </c>
      <c r="Q598" s="11" t="str">
        <f>RIGHT("00"&amp;Table362[[#This Row],[Rule '#]],3)&amp;"_"&amp;IF(Table362[[#This Row],[Entity]]="Material","MATL",LEFT(UPPER(Table362[[#This Row],[Entity]]),4))&amp;"_"&amp;MID(SUBSTITUTE(Table362[[#This Row],[Rule Name]],"_","|",3),SEARCH("|",SUBSTITUTE(Table362[[#This Row],[Rule Name]],"_","|",3))+1,LEN(Table362[[#This Row],[Rule Name]]))</f>
        <v>221_APO_SNP_Transportation_Lane</v>
      </c>
      <c r="R598" s="8" t="s">
        <v>4750</v>
      </c>
      <c r="S598" s="7" t="s">
        <v>4135</v>
      </c>
      <c r="T598" s="7"/>
      <c r="U598" s="7"/>
      <c r="V598" s="7"/>
      <c r="W598" s="7" t="s">
        <v>4812</v>
      </c>
      <c r="X598" s="8"/>
      <c r="Y598" s="7"/>
      <c r="Z598" s="7"/>
      <c r="AA598" s="11" t="s">
        <v>4813</v>
      </c>
      <c r="AB598" s="11"/>
      <c r="AC598" s="11"/>
      <c r="AD598" s="11"/>
      <c r="AH598" s="8"/>
      <c r="AI598" s="20" t="s">
        <v>7709</v>
      </c>
      <c r="AJ598" s="20"/>
      <c r="AK598" s="31"/>
      <c r="AL598" s="31"/>
    </row>
    <row r="599" spans="1:38" ht="60" hidden="1" x14ac:dyDescent="0.25">
      <c r="A599" s="14" t="s">
        <v>7252</v>
      </c>
      <c r="B599" s="7" t="s">
        <v>5877</v>
      </c>
      <c r="C599" s="7" t="s">
        <v>4833</v>
      </c>
      <c r="D599" s="7" t="s">
        <v>5978</v>
      </c>
      <c r="E599" s="7" t="s">
        <v>5978</v>
      </c>
      <c r="F599" s="7" t="s">
        <v>5978</v>
      </c>
      <c r="G599" s="7"/>
      <c r="H599" s="7"/>
      <c r="I599" s="7"/>
      <c r="J599" s="20" t="e">
        <f>VLOOKUP(V599,Table_to_BRG!A:D,3,FALSE)</f>
        <v>#N/A</v>
      </c>
      <c r="K599" s="20" t="e">
        <f>VLOOKUP(V599,Table_to_BRG!A:D,2,FALSE)</f>
        <v>#N/A</v>
      </c>
      <c r="L599" s="20"/>
      <c r="M599" s="20"/>
      <c r="N599" s="9" t="s">
        <v>6465</v>
      </c>
      <c r="O599" s="54" t="s">
        <v>7812</v>
      </c>
      <c r="P599" s="7" t="s">
        <v>4751</v>
      </c>
      <c r="Q599" s="11" t="str">
        <f>RIGHT("00"&amp;Table362[[#This Row],[Rule '#]],3)&amp;"_"&amp;IF(Table362[[#This Row],[Entity]]="Material","MATL",LEFT(UPPER(Table362[[#This Row],[Entity]]),4))&amp;"_"&amp;MID(SUBSTITUTE(Table362[[#This Row],[Rule Name]],"_","|",3),SEARCH("|",SUBSTITUTE(Table362[[#This Row],[Rule Name]],"_","|",3))+1,LEN(Table362[[#This Row],[Rule Name]]))</f>
        <v>222_APO_SNP_SAPAPO_LOCIO Polymers Transp_Zone</v>
      </c>
      <c r="R599" s="8" t="s">
        <v>4752</v>
      </c>
      <c r="S599" s="7" t="s">
        <v>4135</v>
      </c>
      <c r="T599" s="7"/>
      <c r="U599" s="7"/>
      <c r="V599" s="7"/>
      <c r="W599" s="7" t="s">
        <v>4787</v>
      </c>
      <c r="X599" s="8"/>
      <c r="Y599" s="7"/>
      <c r="Z599" s="7"/>
      <c r="AA599" s="11" t="s">
        <v>4814</v>
      </c>
      <c r="AB599" s="11"/>
      <c r="AC599" s="11"/>
      <c r="AD599" s="11"/>
      <c r="AH599" s="8"/>
      <c r="AI599" s="20" t="s">
        <v>7710</v>
      </c>
      <c r="AJ599" s="20"/>
      <c r="AK599" s="31"/>
      <c r="AL599" s="31"/>
    </row>
    <row r="600" spans="1:38" ht="120" hidden="1" x14ac:dyDescent="0.25">
      <c r="A600" s="14" t="s">
        <v>7253</v>
      </c>
      <c r="B600" s="7" t="s">
        <v>5877</v>
      </c>
      <c r="C600" s="7" t="s">
        <v>4833</v>
      </c>
      <c r="D600" s="7" t="s">
        <v>5978</v>
      </c>
      <c r="E600" s="7" t="s">
        <v>5978</v>
      </c>
      <c r="F600" s="7" t="s">
        <v>5978</v>
      </c>
      <c r="G600" s="7"/>
      <c r="H600" s="7"/>
      <c r="I600" s="7"/>
      <c r="J600" s="20" t="e">
        <f>VLOOKUP(V600,Table_to_BRG!A:D,3,FALSE)</f>
        <v>#N/A</v>
      </c>
      <c r="K600" s="20" t="e">
        <f>VLOOKUP(V600,Table_to_BRG!A:D,2,FALSE)</f>
        <v>#N/A</v>
      </c>
      <c r="L600" s="20"/>
      <c r="M600" s="20"/>
      <c r="N600" s="9" t="s">
        <v>6465</v>
      </c>
      <c r="O600" s="54" t="s">
        <v>7812</v>
      </c>
      <c r="P600" s="7" t="s">
        <v>4753</v>
      </c>
      <c r="Q600" s="11" t="str">
        <f>RIGHT("00"&amp;Table362[[#This Row],[Rule '#]],3)&amp;"_"&amp;IF(Table362[[#This Row],[Entity]]="Material","MATL",LEFT(UPPER(Table362[[#This Row],[Entity]]),4))&amp;"_"&amp;MID(SUBSTITUTE(Table362[[#This Row],[Rule Name]],"_","|",3),SEARCH("|",SUBSTITUTE(Table362[[#This Row],[Rule Name]],"_","|",3))+1,LEN(Table362[[#This Row],[Rule Name]]))</f>
        <v>223_APO_DP_Product_Status_Grade_Level</v>
      </c>
      <c r="R600" s="8" t="s">
        <v>4754</v>
      </c>
      <c r="S600" s="7" t="s">
        <v>4135</v>
      </c>
      <c r="T600" s="7"/>
      <c r="U600" s="7"/>
      <c r="V600" s="7"/>
      <c r="W600" s="7" t="s">
        <v>4815</v>
      </c>
      <c r="X600" s="8"/>
      <c r="Y600" s="7"/>
      <c r="Z600" s="7"/>
      <c r="AA600" s="11" t="s">
        <v>4816</v>
      </c>
      <c r="AB600" s="11"/>
      <c r="AC600" s="11"/>
      <c r="AD600" s="11"/>
      <c r="AH600" s="8"/>
      <c r="AI600" s="20" t="s">
        <v>7717</v>
      </c>
      <c r="AJ600" s="20"/>
      <c r="AK600" s="31"/>
      <c r="AL600" s="31"/>
    </row>
    <row r="601" spans="1:38" ht="36" hidden="1" x14ac:dyDescent="0.25">
      <c r="A601" s="14" t="s">
        <v>7254</v>
      </c>
      <c r="B601" s="7" t="s">
        <v>5877</v>
      </c>
      <c r="C601" s="7" t="s">
        <v>4833</v>
      </c>
      <c r="D601" s="7" t="s">
        <v>5978</v>
      </c>
      <c r="E601" s="7" t="s">
        <v>5978</v>
      </c>
      <c r="F601" s="7" t="s">
        <v>5978</v>
      </c>
      <c r="G601" s="7"/>
      <c r="H601" s="7"/>
      <c r="I601" s="7"/>
      <c r="J601" s="20" t="e">
        <f>VLOOKUP(V601,Table_to_BRG!A:D,3,FALSE)</f>
        <v>#N/A</v>
      </c>
      <c r="K601" s="20" t="e">
        <f>VLOOKUP(V601,Table_to_BRG!A:D,2,FALSE)</f>
        <v>#N/A</v>
      </c>
      <c r="L601" s="20"/>
      <c r="M601" s="20"/>
      <c r="N601" s="9" t="s">
        <v>6465</v>
      </c>
      <c r="O601" s="54" t="s">
        <v>7812</v>
      </c>
      <c r="P601" s="7" t="s">
        <v>4755</v>
      </c>
      <c r="Q601" s="11" t="str">
        <f>RIGHT("00"&amp;Table362[[#This Row],[Rule '#]],3)&amp;"_"&amp;IF(Table362[[#This Row],[Entity]]="Material","MATL",LEFT(UPPER(Table362[[#This Row],[Entity]]),4))&amp;"_"&amp;MID(SUBSTITUTE(Table362[[#This Row],[Rule Name]],"_","|",3),SEARCH("|",SUBSTITUTE(Table362[[#This Row],[Rule Name]],"_","|",3))+1,LEN(Table362[[#This Row],[Rule Name]]))</f>
        <v>224_APO_DP_Sales_Office_Assign_To_Territory</v>
      </c>
      <c r="R601" s="8" t="s">
        <v>4756</v>
      </c>
      <c r="S601" s="7" t="s">
        <v>4135</v>
      </c>
      <c r="T601" s="7"/>
      <c r="U601" s="7"/>
      <c r="V601" s="7"/>
      <c r="W601" s="7" t="s">
        <v>4817</v>
      </c>
      <c r="X601" s="8"/>
      <c r="Y601" s="7"/>
      <c r="Z601" s="7"/>
      <c r="AA601" s="11" t="s">
        <v>4818</v>
      </c>
      <c r="AB601" s="11"/>
      <c r="AC601" s="11"/>
      <c r="AD601" s="11"/>
      <c r="AH601" s="8"/>
      <c r="AI601" s="20" t="s">
        <v>7725</v>
      </c>
      <c r="AJ601" s="20"/>
      <c r="AK601" s="31"/>
      <c r="AL601" s="31"/>
    </row>
    <row r="602" spans="1:38" ht="84" hidden="1" x14ac:dyDescent="0.25">
      <c r="A602" s="14" t="s">
        <v>7255</v>
      </c>
      <c r="B602" s="7" t="s">
        <v>5877</v>
      </c>
      <c r="C602" s="7" t="s">
        <v>4833</v>
      </c>
      <c r="D602" s="7" t="s">
        <v>5978</v>
      </c>
      <c r="E602" s="7" t="s">
        <v>5978</v>
      </c>
      <c r="F602" s="7" t="s">
        <v>5978</v>
      </c>
      <c r="G602" s="7"/>
      <c r="H602" s="7"/>
      <c r="I602" s="7"/>
      <c r="J602" s="20" t="e">
        <f>VLOOKUP(V602,Table_to_BRG!A:D,3,FALSE)</f>
        <v>#N/A</v>
      </c>
      <c r="K602" s="20" t="e">
        <f>VLOOKUP(V602,Table_to_BRG!A:D,2,FALSE)</f>
        <v>#N/A</v>
      </c>
      <c r="L602" s="20"/>
      <c r="M602" s="20"/>
      <c r="N602" s="9" t="s">
        <v>6465</v>
      </c>
      <c r="O602" s="54" t="s">
        <v>7812</v>
      </c>
      <c r="P602" s="7" t="s">
        <v>4757</v>
      </c>
      <c r="Q602" s="11" t="str">
        <f>RIGHT("00"&amp;Table362[[#This Row],[Rule '#]],3)&amp;"_"&amp;IF(Table362[[#This Row],[Entity]]="Material","MATL",LEFT(UPPER(Table362[[#This Row],[Entity]]),4))&amp;"_"&amp;MID(SUBSTITUTE(Table362[[#This Row],[Rule Name]],"_","|",3),SEARCH("|",SUBSTITUTE(Table362[[#This Row],[Rule Name]],"_","|",3))+1,LEN(Table362[[#This Row],[Rule Name]]))</f>
        <v>225_APO_DP_Customer_Status_Pln_Territory_Level</v>
      </c>
      <c r="R602" s="8" t="s">
        <v>4758</v>
      </c>
      <c r="S602" s="7" t="s">
        <v>4135</v>
      </c>
      <c r="T602" s="7"/>
      <c r="U602" s="7"/>
      <c r="V602" s="7"/>
      <c r="W602" s="7" t="s">
        <v>4817</v>
      </c>
      <c r="X602" s="8"/>
      <c r="Y602" s="7"/>
      <c r="Z602" s="7"/>
      <c r="AA602" s="11" t="s">
        <v>4819</v>
      </c>
      <c r="AB602" s="11"/>
      <c r="AC602" s="11"/>
      <c r="AD602" s="11"/>
      <c r="AH602" s="8"/>
      <c r="AI602" s="20"/>
      <c r="AJ602" s="20"/>
      <c r="AK602" s="31"/>
      <c r="AL602" s="31"/>
    </row>
    <row r="603" spans="1:38" ht="45" hidden="1" x14ac:dyDescent="0.25">
      <c r="A603" s="14" t="s">
        <v>7256</v>
      </c>
      <c r="B603" s="7" t="s">
        <v>5877</v>
      </c>
      <c r="C603" s="7" t="s">
        <v>4833</v>
      </c>
      <c r="D603" s="7" t="s">
        <v>5978</v>
      </c>
      <c r="E603" s="7" t="s">
        <v>5978</v>
      </c>
      <c r="F603" s="7" t="s">
        <v>5978</v>
      </c>
      <c r="G603" s="7"/>
      <c r="H603" s="7"/>
      <c r="I603" s="7"/>
      <c r="J603" s="20" t="e">
        <f>VLOOKUP(V603,Table_to_BRG!A:D,3,FALSE)</f>
        <v>#N/A</v>
      </c>
      <c r="K603" s="20" t="e">
        <f>VLOOKUP(V603,Table_to_BRG!A:D,2,FALSE)</f>
        <v>#N/A</v>
      </c>
      <c r="L603" s="20"/>
      <c r="M603" s="20"/>
      <c r="N603" s="9" t="s">
        <v>6465</v>
      </c>
      <c r="O603" s="54" t="s">
        <v>7812</v>
      </c>
      <c r="P603" s="7" t="s">
        <v>4759</v>
      </c>
      <c r="Q603" s="11" t="str">
        <f>RIGHT("00"&amp;Table362[[#This Row],[Rule '#]],3)&amp;"_"&amp;IF(Table362[[#This Row],[Entity]]="Material","MATL",LEFT(UPPER(Table362[[#This Row],[Entity]]),4))&amp;"_"&amp;MID(SUBSTITUTE(Table362[[#This Row],[Rule Name]],"_","|",3),SEARCH("|",SUBSTITUTE(Table362[[#This Row],[Rule Name]],"_","|",3))+1,LEN(Table362[[#This Row],[Rule Name]]))</f>
        <v>226_APO_DP_Geo_Code_Grouping1</v>
      </c>
      <c r="R603" s="8" t="s">
        <v>4760</v>
      </c>
      <c r="S603" s="7" t="s">
        <v>4135</v>
      </c>
      <c r="T603" s="7"/>
      <c r="U603" s="7"/>
      <c r="V603" s="7"/>
      <c r="W603" s="7" t="s">
        <v>4780</v>
      </c>
      <c r="X603" s="8"/>
      <c r="Y603" s="7"/>
      <c r="Z603" s="7"/>
      <c r="AA603" s="11" t="s">
        <v>4820</v>
      </c>
      <c r="AB603" s="11"/>
      <c r="AC603" s="11"/>
      <c r="AD603" s="11"/>
      <c r="AH603" s="8"/>
      <c r="AI603" s="20"/>
      <c r="AJ603" s="20"/>
      <c r="AK603" s="31"/>
      <c r="AL603" s="31"/>
    </row>
    <row r="604" spans="1:38" ht="108" hidden="1" x14ac:dyDescent="0.25">
      <c r="A604" s="14" t="s">
        <v>7257</v>
      </c>
      <c r="B604" s="7" t="s">
        <v>5877</v>
      </c>
      <c r="C604" s="7" t="s">
        <v>4833</v>
      </c>
      <c r="D604" s="7" t="s">
        <v>5978</v>
      </c>
      <c r="E604" s="7" t="s">
        <v>5978</v>
      </c>
      <c r="F604" s="7" t="s">
        <v>5978</v>
      </c>
      <c r="G604" s="7"/>
      <c r="H604" s="7"/>
      <c r="I604" s="7"/>
      <c r="J604" s="20" t="e">
        <f>VLOOKUP(V604,Table_to_BRG!A:D,3,FALSE)</f>
        <v>#N/A</v>
      </c>
      <c r="K604" s="20" t="e">
        <f>VLOOKUP(V604,Table_to_BRG!A:D,2,FALSE)</f>
        <v>#N/A</v>
      </c>
      <c r="L604" s="20"/>
      <c r="M604" s="20"/>
      <c r="N604" s="9" t="s">
        <v>6465</v>
      </c>
      <c r="O604" s="54" t="s">
        <v>7812</v>
      </c>
      <c r="P604" s="7" t="s">
        <v>4761</v>
      </c>
      <c r="Q604" s="11" t="str">
        <f>RIGHT("00"&amp;Table362[[#This Row],[Rule '#]],3)&amp;"_"&amp;IF(Table362[[#This Row],[Entity]]="Material","MATL",LEFT(UPPER(Table362[[#This Row],[Entity]]),4))&amp;"_"&amp;MID(SUBSTITUTE(Table362[[#This Row],[Rule Name]],"_","|",3),SEARCH("|",SUBSTITUTE(Table362[[#This Row],[Rule Name]],"_","|",3))+1,LEN(Table362[[#This Row],[Rule Name]]))</f>
        <v>227_APO_DP_DFP_Grade_Group_TZone _Level</v>
      </c>
      <c r="R604" s="8" t="s">
        <v>4762</v>
      </c>
      <c r="S604" s="7" t="s">
        <v>4135</v>
      </c>
      <c r="T604" s="7"/>
      <c r="U604" s="7"/>
      <c r="V604" s="7"/>
      <c r="W604" s="7" t="s">
        <v>4784</v>
      </c>
      <c r="X604" s="8"/>
      <c r="Y604" s="7"/>
      <c r="Z604" s="7"/>
      <c r="AA604" s="11" t="s">
        <v>4821</v>
      </c>
      <c r="AB604" s="11"/>
      <c r="AC604" s="11"/>
      <c r="AD604" s="11"/>
      <c r="AH604" s="8"/>
      <c r="AI604" s="20"/>
      <c r="AJ604" s="20"/>
      <c r="AK604" s="31"/>
      <c r="AL604" s="31"/>
    </row>
    <row r="605" spans="1:38" ht="240" hidden="1" x14ac:dyDescent="0.25">
      <c r="A605" s="14" t="s">
        <v>7258</v>
      </c>
      <c r="B605" s="7" t="s">
        <v>5877</v>
      </c>
      <c r="C605" s="7" t="s">
        <v>4833</v>
      </c>
      <c r="D605" s="7" t="s">
        <v>5978</v>
      </c>
      <c r="E605" s="7" t="s">
        <v>5978</v>
      </c>
      <c r="F605" s="7" t="s">
        <v>5978</v>
      </c>
      <c r="G605" s="7"/>
      <c r="H605" s="7"/>
      <c r="I605" s="7"/>
      <c r="J605" s="20" t="e">
        <f>VLOOKUP(V605,Table_to_BRG!A:D,3,FALSE)</f>
        <v>#N/A</v>
      </c>
      <c r="K605" s="20" t="e">
        <f>VLOOKUP(V605,Table_to_BRG!A:D,2,FALSE)</f>
        <v>#N/A</v>
      </c>
      <c r="L605" s="20"/>
      <c r="M605" s="20"/>
      <c r="N605" s="9" t="s">
        <v>6465</v>
      </c>
      <c r="O605" s="54" t="s">
        <v>7812</v>
      </c>
      <c r="P605" s="7" t="s">
        <v>4763</v>
      </c>
      <c r="Q605" s="11" t="str">
        <f>RIGHT("00"&amp;Table362[[#This Row],[Rule '#]],3)&amp;"_"&amp;IF(Table362[[#This Row],[Entity]]="Material","MATL",LEFT(UPPER(Table362[[#This Row],[Entity]]),4))&amp;"_"&amp;MID(SUBSTITUTE(Table362[[#This Row],[Rule Name]],"_","|",3),SEARCH("|",SUBSTITUTE(Table362[[#This Row],[Rule Name]],"_","|",3))+1,LEN(Table362[[#This Row],[Rule Name]]))</f>
        <v>228_APO_SNP_SAPAPO_MATIO Polymer Location Prod</v>
      </c>
      <c r="R605" s="8" t="s">
        <v>4728</v>
      </c>
      <c r="S605" s="7" t="s">
        <v>4135</v>
      </c>
      <c r="T605" s="7"/>
      <c r="U605" s="7"/>
      <c r="V605" s="7"/>
      <c r="W605" s="7" t="s">
        <v>4787</v>
      </c>
      <c r="X605" s="8"/>
      <c r="Y605" s="7"/>
      <c r="Z605" s="7"/>
      <c r="AA605" s="11" t="s">
        <v>4822</v>
      </c>
      <c r="AB605" s="11"/>
      <c r="AC605" s="11"/>
      <c r="AD605" s="11"/>
      <c r="AH605" s="8"/>
      <c r="AI605" s="20"/>
      <c r="AJ605" s="20"/>
      <c r="AK605" s="31"/>
      <c r="AL605" s="31"/>
    </row>
    <row r="606" spans="1:38" ht="45" hidden="1" x14ac:dyDescent="0.25">
      <c r="A606" s="14" t="s">
        <v>7259</v>
      </c>
      <c r="B606" s="7" t="s">
        <v>5877</v>
      </c>
      <c r="C606" s="7" t="s">
        <v>4833</v>
      </c>
      <c r="D606" s="7" t="s">
        <v>5978</v>
      </c>
      <c r="E606" s="7" t="s">
        <v>5978</v>
      </c>
      <c r="F606" s="7" t="s">
        <v>5978</v>
      </c>
      <c r="G606" s="7"/>
      <c r="H606" s="7"/>
      <c r="I606" s="7"/>
      <c r="J606" s="20" t="e">
        <f>VLOOKUP(V606,Table_to_BRG!A:D,3,FALSE)</f>
        <v>#N/A</v>
      </c>
      <c r="K606" s="20" t="e">
        <f>VLOOKUP(V606,Table_to_BRG!A:D,2,FALSE)</f>
        <v>#N/A</v>
      </c>
      <c r="L606" s="20"/>
      <c r="M606" s="20"/>
      <c r="N606" s="9" t="s">
        <v>6465</v>
      </c>
      <c r="O606" s="54" t="s">
        <v>7812</v>
      </c>
      <c r="P606" s="7" t="s">
        <v>4764</v>
      </c>
      <c r="Q606" s="11" t="str">
        <f>RIGHT("00"&amp;Table362[[#This Row],[Rule '#]],3)&amp;"_"&amp;IF(Table362[[#This Row],[Entity]]="Material","MATL",LEFT(UPPER(Table362[[#This Row],[Entity]]),4))&amp;"_"&amp;MID(SUBSTITUTE(Table362[[#This Row],[Rule Name]],"_","|",3),SEARCH("|",SUBSTITUTE(Table362[[#This Row],[Rule Name]],"_","|",3))+1,LEN(Table362[[#This Row],[Rule Name]]))</f>
        <v>229_APO_DP_Planning_Territory</v>
      </c>
      <c r="R606" s="8" t="s">
        <v>4765</v>
      </c>
      <c r="S606" s="7" t="s">
        <v>4135</v>
      </c>
      <c r="T606" s="7"/>
      <c r="U606" s="7"/>
      <c r="V606" s="7"/>
      <c r="W606" s="7" t="s">
        <v>4780</v>
      </c>
      <c r="X606" s="8"/>
      <c r="Y606" s="7"/>
      <c r="Z606" s="7"/>
      <c r="AA606" s="11" t="s">
        <v>4823</v>
      </c>
      <c r="AB606" s="11"/>
      <c r="AC606" s="11"/>
      <c r="AD606" s="11"/>
      <c r="AH606" s="8"/>
      <c r="AI606" s="20"/>
      <c r="AJ606" s="20"/>
      <c r="AK606" s="31"/>
      <c r="AL606" s="31"/>
    </row>
    <row r="607" spans="1:38" ht="120" hidden="1" x14ac:dyDescent="0.25">
      <c r="A607" s="14" t="s">
        <v>7260</v>
      </c>
      <c r="B607" s="7" t="s">
        <v>5877</v>
      </c>
      <c r="C607" s="7" t="s">
        <v>4833</v>
      </c>
      <c r="D607" s="7" t="s">
        <v>5978</v>
      </c>
      <c r="E607" s="7" t="s">
        <v>5978</v>
      </c>
      <c r="F607" s="7" t="s">
        <v>5978</v>
      </c>
      <c r="G607" s="7"/>
      <c r="H607" s="7"/>
      <c r="I607" s="7"/>
      <c r="J607" s="20" t="e">
        <f>VLOOKUP(V607,Table_to_BRG!A:D,3,FALSE)</f>
        <v>#N/A</v>
      </c>
      <c r="K607" s="20" t="e">
        <f>VLOOKUP(V607,Table_to_BRG!A:D,2,FALSE)</f>
        <v>#N/A</v>
      </c>
      <c r="L607" s="20"/>
      <c r="M607" s="20"/>
      <c r="N607" s="9" t="s">
        <v>6465</v>
      </c>
      <c r="O607" s="54" t="s">
        <v>7812</v>
      </c>
      <c r="P607" s="7" t="s">
        <v>4766</v>
      </c>
      <c r="Q607" s="11" t="str">
        <f>RIGHT("00"&amp;Table362[[#This Row],[Rule '#]],3)&amp;"_"&amp;IF(Table362[[#This Row],[Entity]]="Material","MATL",LEFT(UPPER(Table362[[#This Row],[Entity]]),4))&amp;"_"&amp;MID(SUBSTITUTE(Table362[[#This Row],[Rule Name]],"_","|",3),SEARCH("|",SUBSTITUTE(Table362[[#This Row],[Rule Name]],"_","|",3))+1,LEN(Table362[[#This Row],[Rule Name]]))</f>
        <v>230_APO_DP_DFP_Product_Group_Group_TZone_Level</v>
      </c>
      <c r="R607" s="8" t="s">
        <v>4767</v>
      </c>
      <c r="S607" s="7" t="s">
        <v>4135</v>
      </c>
      <c r="T607" s="7"/>
      <c r="U607" s="7"/>
      <c r="V607" s="7"/>
      <c r="W607" s="7" t="s">
        <v>4782</v>
      </c>
      <c r="X607" s="8"/>
      <c r="Y607" s="7"/>
      <c r="Z607" s="7"/>
      <c r="AA607" s="11" t="s">
        <v>4824</v>
      </c>
      <c r="AB607" s="11"/>
      <c r="AC607" s="11"/>
      <c r="AD607" s="11"/>
      <c r="AH607" s="8"/>
      <c r="AI607" s="20" t="s">
        <v>7716</v>
      </c>
      <c r="AJ607" s="20"/>
      <c r="AK607" s="31"/>
      <c r="AL607" s="31"/>
    </row>
    <row r="608" spans="1:38" ht="84" hidden="1" x14ac:dyDescent="0.25">
      <c r="A608" s="14" t="s">
        <v>7261</v>
      </c>
      <c r="B608" s="7" t="s">
        <v>5877</v>
      </c>
      <c r="C608" s="7" t="s">
        <v>4833</v>
      </c>
      <c r="D608" s="7" t="s">
        <v>5978</v>
      </c>
      <c r="E608" s="7" t="s">
        <v>5978</v>
      </c>
      <c r="F608" s="7" t="s">
        <v>5978</v>
      </c>
      <c r="G608" s="7"/>
      <c r="H608" s="7"/>
      <c r="I608" s="7"/>
      <c r="J608" s="20" t="e">
        <f>VLOOKUP(V608,Table_to_BRG!A:D,3,FALSE)</f>
        <v>#N/A</v>
      </c>
      <c r="K608" s="20" t="e">
        <f>VLOOKUP(V608,Table_to_BRG!A:D,2,FALSE)</f>
        <v>#N/A</v>
      </c>
      <c r="L608" s="20"/>
      <c r="M608" s="20"/>
      <c r="N608" s="9" t="s">
        <v>6465</v>
      </c>
      <c r="O608" s="54" t="s">
        <v>7812</v>
      </c>
      <c r="P608" s="7" t="s">
        <v>4768</v>
      </c>
      <c r="Q608" s="11" t="str">
        <f>RIGHT("00"&amp;Table362[[#This Row],[Rule '#]],3)&amp;"_"&amp;IF(Table362[[#This Row],[Entity]]="Material","MATL",LEFT(UPPER(Table362[[#This Row],[Entity]]),4))&amp;"_"&amp;MID(SUBSTITUTE(Table362[[#This Row],[Rule Name]],"_","|",3),SEARCH("|",SUBSTITUTE(Table362[[#This Row],[Rule Name]],"_","|",3))+1,LEN(Table362[[#This Row],[Rule Name]]))</f>
        <v>231_APO_DP_Customer_Status_Planing_Group_Level</v>
      </c>
      <c r="R608" s="8" t="s">
        <v>4769</v>
      </c>
      <c r="S608" s="7" t="s">
        <v>4135</v>
      </c>
      <c r="T608" s="7"/>
      <c r="U608" s="7"/>
      <c r="V608" s="7"/>
      <c r="W608" s="7" t="s">
        <v>4825</v>
      </c>
      <c r="X608" s="8"/>
      <c r="Y608" s="7"/>
      <c r="Z608" s="7"/>
      <c r="AA608" s="11" t="s">
        <v>4826</v>
      </c>
      <c r="AB608" s="11"/>
      <c r="AC608" s="11"/>
      <c r="AD608" s="11"/>
      <c r="AH608" s="8"/>
      <c r="AI608" s="20"/>
      <c r="AJ608" s="20"/>
      <c r="AK608" s="31"/>
      <c r="AL608" s="31"/>
    </row>
    <row r="609" spans="1:38" ht="120" hidden="1" x14ac:dyDescent="0.25">
      <c r="A609" s="14" t="s">
        <v>7262</v>
      </c>
      <c r="B609" s="7" t="s">
        <v>5877</v>
      </c>
      <c r="C609" s="7" t="s">
        <v>4833</v>
      </c>
      <c r="D609" s="7" t="s">
        <v>5978</v>
      </c>
      <c r="E609" s="7" t="s">
        <v>5978</v>
      </c>
      <c r="F609" s="7" t="s">
        <v>5978</v>
      </c>
      <c r="G609" s="7"/>
      <c r="H609" s="7"/>
      <c r="I609" s="7"/>
      <c r="J609" s="20" t="e">
        <f>VLOOKUP(V609,Table_to_BRG!A:D,3,FALSE)</f>
        <v>#N/A</v>
      </c>
      <c r="K609" s="20" t="e">
        <f>VLOOKUP(V609,Table_to_BRG!A:D,2,FALSE)</f>
        <v>#N/A</v>
      </c>
      <c r="L609" s="20"/>
      <c r="M609" s="20"/>
      <c r="N609" s="9" t="s">
        <v>6465</v>
      </c>
      <c r="O609" s="54" t="s">
        <v>7812</v>
      </c>
      <c r="P609" s="7" t="s">
        <v>4770</v>
      </c>
      <c r="Q609" s="11" t="str">
        <f>RIGHT("00"&amp;Table362[[#This Row],[Rule '#]],3)&amp;"_"&amp;IF(Table362[[#This Row],[Entity]]="Material","MATL",LEFT(UPPER(Table362[[#This Row],[Entity]]),4))&amp;"_"&amp;MID(SUBSTITUTE(Table362[[#This Row],[Rule Name]],"_","|",3),SEARCH("|",SUBSTITUTE(Table362[[#This Row],[Rule Name]],"_","|",3))+1,LEN(Table362[[#This Row],[Rule Name]]))</f>
        <v>232_APO_DP_DFP_Grade_Group_Country_Level</v>
      </c>
      <c r="R609" s="8" t="s">
        <v>4771</v>
      </c>
      <c r="S609" s="7" t="s">
        <v>4135</v>
      </c>
      <c r="T609" s="7"/>
      <c r="U609" s="7"/>
      <c r="V609" s="7"/>
      <c r="W609" s="7" t="s">
        <v>4784</v>
      </c>
      <c r="X609" s="8"/>
      <c r="Y609" s="7"/>
      <c r="Z609" s="7"/>
      <c r="AA609" s="11" t="s">
        <v>4827</v>
      </c>
      <c r="AB609" s="11"/>
      <c r="AC609" s="11"/>
      <c r="AD609" s="11"/>
      <c r="AH609" s="8"/>
      <c r="AI609" s="20"/>
      <c r="AJ609" s="20"/>
      <c r="AK609" s="31"/>
      <c r="AL609" s="31"/>
    </row>
    <row r="610" spans="1:38" ht="48" hidden="1" x14ac:dyDescent="0.25">
      <c r="A610" s="14" t="s">
        <v>7263</v>
      </c>
      <c r="B610" s="7" t="s">
        <v>5877</v>
      </c>
      <c r="C610" s="7" t="s">
        <v>4833</v>
      </c>
      <c r="D610" s="7" t="s">
        <v>5978</v>
      </c>
      <c r="E610" s="7" t="s">
        <v>5978</v>
      </c>
      <c r="F610" s="7" t="s">
        <v>5978</v>
      </c>
      <c r="G610" s="7"/>
      <c r="H610" s="7"/>
      <c r="I610" s="7"/>
      <c r="J610" s="20" t="e">
        <f>VLOOKUP(V610,Table_to_BRG!A:D,3,FALSE)</f>
        <v>#N/A</v>
      </c>
      <c r="K610" s="20" t="e">
        <f>VLOOKUP(V610,Table_to_BRG!A:D,2,FALSE)</f>
        <v>#N/A</v>
      </c>
      <c r="L610" s="20"/>
      <c r="M610" s="20"/>
      <c r="N610" s="9" t="s">
        <v>6465</v>
      </c>
      <c r="O610" s="54" t="s">
        <v>7812</v>
      </c>
      <c r="P610" s="7" t="s">
        <v>4772</v>
      </c>
      <c r="Q610" s="11" t="str">
        <f>RIGHT("00"&amp;Table362[[#This Row],[Rule '#]],3)&amp;"_"&amp;IF(Table362[[#This Row],[Entity]]="Material","MATL",LEFT(UPPER(Table362[[#This Row],[Entity]]),4))&amp;"_"&amp;MID(SUBSTITUTE(Table362[[#This Row],[Rule Name]],"_","|",3),SEARCH("|",SUBSTITUTE(Table362[[#This Row],[Rule Name]],"_","|",3))+1,LEN(Table362[[#This Row],[Rule Name]]))</f>
        <v>233_APO_DP_Geo_Code_Grouping3</v>
      </c>
      <c r="R610" s="8" t="s">
        <v>4773</v>
      </c>
      <c r="S610" s="7" t="s">
        <v>4135</v>
      </c>
      <c r="T610" s="7"/>
      <c r="U610" s="7"/>
      <c r="V610" s="7"/>
      <c r="W610" s="7" t="s">
        <v>4780</v>
      </c>
      <c r="X610" s="8"/>
      <c r="Y610" s="7"/>
      <c r="Z610" s="7"/>
      <c r="AA610" s="11" t="s">
        <v>4828</v>
      </c>
      <c r="AB610" s="11"/>
      <c r="AC610" s="11"/>
      <c r="AD610" s="11"/>
      <c r="AH610" s="8"/>
      <c r="AI610" s="20"/>
      <c r="AJ610" s="20"/>
      <c r="AK610" s="31"/>
      <c r="AL610" s="31"/>
    </row>
    <row r="611" spans="1:38" ht="120" hidden="1" x14ac:dyDescent="0.25">
      <c r="A611" s="14" t="s">
        <v>7264</v>
      </c>
      <c r="B611" s="7" t="s">
        <v>5877</v>
      </c>
      <c r="C611" s="7" t="s">
        <v>4833</v>
      </c>
      <c r="D611" s="7" t="s">
        <v>5978</v>
      </c>
      <c r="E611" s="7" t="s">
        <v>5978</v>
      </c>
      <c r="F611" s="7" t="s">
        <v>5978</v>
      </c>
      <c r="G611" s="7"/>
      <c r="H611" s="7"/>
      <c r="I611" s="7"/>
      <c r="J611" s="20" t="e">
        <f>VLOOKUP(V611,Table_to_BRG!A:D,3,FALSE)</f>
        <v>#N/A</v>
      </c>
      <c r="K611" s="20" t="e">
        <f>VLOOKUP(V611,Table_to_BRG!A:D,2,FALSE)</f>
        <v>#N/A</v>
      </c>
      <c r="L611" s="20"/>
      <c r="M611" s="20"/>
      <c r="N611" s="9" t="s">
        <v>6465</v>
      </c>
      <c r="O611" s="54" t="s">
        <v>7812</v>
      </c>
      <c r="P611" s="7" t="s">
        <v>4774</v>
      </c>
      <c r="Q611" s="11" t="str">
        <f>RIGHT("00"&amp;Table362[[#This Row],[Rule '#]],3)&amp;"_"&amp;IF(Table362[[#This Row],[Entity]]="Material","MATL",LEFT(UPPER(Table362[[#This Row],[Entity]]),4))&amp;"_"&amp;MID(SUBSTITUTE(Table362[[#This Row],[Rule Name]],"_","|",3),SEARCH("|",SUBSTITUTE(Table362[[#This Row],[Rule Name]],"_","|",3))+1,LEN(Table362[[#This Row],[Rule Name]]))</f>
        <v>234_APO_DP_DFP_Application_Group_TZone_Level</v>
      </c>
      <c r="R611" s="8" t="s">
        <v>4775</v>
      </c>
      <c r="S611" s="7" t="s">
        <v>4135</v>
      </c>
      <c r="T611" s="7"/>
      <c r="U611" s="7"/>
      <c r="V611" s="7"/>
      <c r="W611" s="7" t="s">
        <v>4791</v>
      </c>
      <c r="X611" s="8"/>
      <c r="Y611" s="7"/>
      <c r="Z611" s="7"/>
      <c r="AA611" s="11" t="s">
        <v>4829</v>
      </c>
      <c r="AB611" s="11"/>
      <c r="AC611" s="11"/>
      <c r="AD611" s="11"/>
      <c r="AH611" s="8"/>
      <c r="AI611" s="20"/>
      <c r="AJ611" s="20"/>
      <c r="AK611" s="31"/>
      <c r="AL611" s="31"/>
    </row>
    <row r="612" spans="1:38" ht="120" hidden="1" x14ac:dyDescent="0.25">
      <c r="A612" s="14" t="s">
        <v>7265</v>
      </c>
      <c r="B612" s="7" t="s">
        <v>5877</v>
      </c>
      <c r="C612" s="7" t="s">
        <v>4833</v>
      </c>
      <c r="D612" s="7" t="s">
        <v>5978</v>
      </c>
      <c r="E612" s="7" t="s">
        <v>5978</v>
      </c>
      <c r="F612" s="7" t="s">
        <v>5978</v>
      </c>
      <c r="G612" s="7"/>
      <c r="H612" s="7"/>
      <c r="I612" s="7"/>
      <c r="J612" s="20" t="e">
        <f>VLOOKUP(V612,Table_to_BRG!A:D,3,FALSE)</f>
        <v>#N/A</v>
      </c>
      <c r="K612" s="20" t="e">
        <f>VLOOKUP(V612,Table_to_BRG!A:D,2,FALSE)</f>
        <v>#N/A</v>
      </c>
      <c r="L612" s="20"/>
      <c r="M612" s="20"/>
      <c r="N612" s="9" t="s">
        <v>6465</v>
      </c>
      <c r="O612" s="54" t="s">
        <v>7812</v>
      </c>
      <c r="P612" s="7" t="s">
        <v>4776</v>
      </c>
      <c r="Q612" s="11" t="str">
        <f>RIGHT("00"&amp;Table362[[#This Row],[Rule '#]],3)&amp;"_"&amp;IF(Table362[[#This Row],[Entity]]="Material","MATL",LEFT(UPPER(Table362[[#This Row],[Entity]]),4))&amp;"_"&amp;MID(SUBSTITUTE(Table362[[#This Row],[Rule Name]],"_","|",3),SEARCH("|",SUBSTITUTE(Table362[[#This Row],[Rule Name]],"_","|",3))+1,LEN(Table362[[#This Row],[Rule Name]]))</f>
        <v>235_APO_DP_DFP_ProdGroup_Group_Country_Level</v>
      </c>
      <c r="R612" s="8" t="s">
        <v>4777</v>
      </c>
      <c r="S612" s="7" t="s">
        <v>4135</v>
      </c>
      <c r="T612" s="7"/>
      <c r="U612" s="7"/>
      <c r="V612" s="7"/>
      <c r="W612" s="7" t="s">
        <v>4782</v>
      </c>
      <c r="X612" s="8"/>
      <c r="Y612" s="7"/>
      <c r="Z612" s="7"/>
      <c r="AA612" s="11" t="s">
        <v>4830</v>
      </c>
      <c r="AB612" s="11"/>
      <c r="AC612" s="11"/>
      <c r="AD612" s="11"/>
      <c r="AH612" s="8"/>
      <c r="AI612" s="20"/>
      <c r="AJ612" s="20"/>
      <c r="AK612" s="31"/>
      <c r="AL612" s="31"/>
    </row>
    <row r="613" spans="1:38" ht="90" hidden="1" x14ac:dyDescent="0.25">
      <c r="A613" s="14" t="s">
        <v>7266</v>
      </c>
      <c r="B613" s="7" t="s">
        <v>5877</v>
      </c>
      <c r="C613" s="7" t="s">
        <v>4833</v>
      </c>
      <c r="D613" s="7" t="s">
        <v>5978</v>
      </c>
      <c r="E613" s="7" t="s">
        <v>5978</v>
      </c>
      <c r="F613" s="7" t="s">
        <v>5978</v>
      </c>
      <c r="G613" s="7"/>
      <c r="H613" s="7"/>
      <c r="I613" s="7"/>
      <c r="J613" s="20" t="e">
        <f>VLOOKUP(V613,Table_to_BRG!A:D,3,FALSE)</f>
        <v>#N/A</v>
      </c>
      <c r="K613" s="20" t="e">
        <f>VLOOKUP(V613,Table_to_BRG!A:D,2,FALSE)</f>
        <v>#N/A</v>
      </c>
      <c r="L613" s="20"/>
      <c r="M613" s="20"/>
      <c r="N613" s="9" t="s">
        <v>6465</v>
      </c>
      <c r="O613" s="54" t="s">
        <v>7812</v>
      </c>
      <c r="P613" s="7" t="s">
        <v>4778</v>
      </c>
      <c r="Q613" s="11" t="str">
        <f>RIGHT("00"&amp;Table362[[#This Row],[Rule '#]],3)&amp;"_"&amp;IF(Table362[[#This Row],[Entity]]="Material","MATL",LEFT(UPPER(Table362[[#This Row],[Entity]]),4))&amp;"_"&amp;MID(SUBSTITUTE(Table362[[#This Row],[Rule Name]],"_","|",3),SEARCH("|",SUBSTITUTE(Table362[[#This Row],[Rule Name]],"_","|",3))+1,LEN(Table362[[#This Row],[Rule Name]]))</f>
        <v>236_APO_DP_CVC</v>
      </c>
      <c r="R613" s="8" t="s">
        <v>4779</v>
      </c>
      <c r="S613" s="7" t="s">
        <v>4135</v>
      </c>
      <c r="T613" s="7"/>
      <c r="U613" s="7"/>
      <c r="V613" s="7"/>
      <c r="W613" s="7" t="s">
        <v>4831</v>
      </c>
      <c r="X613" s="8"/>
      <c r="Y613" s="7"/>
      <c r="Z613" s="7"/>
      <c r="AA613" s="11" t="s">
        <v>4832</v>
      </c>
      <c r="AB613" s="11"/>
      <c r="AC613" s="11"/>
      <c r="AD613" s="11"/>
      <c r="AH613" s="8"/>
      <c r="AI613" s="20"/>
      <c r="AJ613" s="20"/>
      <c r="AK613" s="31"/>
      <c r="AL613" s="31"/>
    </row>
    <row r="614" spans="1:38" ht="36" hidden="1" x14ac:dyDescent="0.25">
      <c r="A614" s="14" t="s">
        <v>7267</v>
      </c>
      <c r="B614" s="7" t="s">
        <v>5877</v>
      </c>
      <c r="C614" s="7" t="s">
        <v>4918</v>
      </c>
      <c r="D614" s="7" t="s">
        <v>5978</v>
      </c>
      <c r="E614" s="7" t="s">
        <v>5978</v>
      </c>
      <c r="F614" s="7" t="s">
        <v>5978</v>
      </c>
      <c r="G614" s="7"/>
      <c r="H614" s="7"/>
      <c r="I614" s="7"/>
      <c r="J614" s="20" t="e">
        <f>VLOOKUP(V614,Table_to_BRG!A:D,3,FALSE)</f>
        <v>#N/A</v>
      </c>
      <c r="K614" s="20" t="e">
        <f>VLOOKUP(V614,Table_to_BRG!A:D,2,FALSE)</f>
        <v>#N/A</v>
      </c>
      <c r="L614" s="20"/>
      <c r="M614" s="20"/>
      <c r="N614" s="9" t="s">
        <v>6465</v>
      </c>
      <c r="O614" s="54" t="s">
        <v>7812</v>
      </c>
      <c r="P614" s="7" t="s">
        <v>4834</v>
      </c>
      <c r="Q614" s="11" t="str">
        <f>RIGHT("00"&amp;Table362[[#This Row],[Rule '#]],3)&amp;"_"&amp;IF(Table362[[#This Row],[Entity]]="Material","MATL",LEFT(UPPER(Table362[[#This Row],[Entity]]),4))&amp;"_"&amp;MID(SUBSTITUTE(Table362[[#This Row],[Rule Name]],"_","|",3),SEARCH("|",SUBSTITUTE(Table362[[#This Row],[Rule Name]],"_","|",3))+1,LEN(Table362[[#This Row],[Rule Name]]))</f>
        <v>237_PSIM_PROJ_VBUKR_WBS</v>
      </c>
      <c r="R614" s="8" t="s">
        <v>4835</v>
      </c>
      <c r="S614" s="7" t="s">
        <v>4135</v>
      </c>
      <c r="T614" s="7"/>
      <c r="U614" s="7"/>
      <c r="V614" s="7" t="s">
        <v>4919</v>
      </c>
      <c r="W614" s="7" t="s">
        <v>4920</v>
      </c>
      <c r="X614" s="8"/>
      <c r="Y614" s="7" t="s">
        <v>2739</v>
      </c>
      <c r="Z614" s="7" t="s">
        <v>2706</v>
      </c>
      <c r="AA614" s="11" t="str">
        <f>"BEGIN
     RETURN exists('DS_IS_RDS', '"&amp;Table362[[#This Row],[Lookup Table]]&amp;"', '"&amp;Table362[[#This Row],[Lookup Field]]&amp;"', "&amp;Table362[[#This Row],[IS Parameter]]&amp;");
END"</f>
        <v>BEGIN
     RETURN exists('DS_IS_RDS', 'T001', 'BUKRS', );
END</v>
      </c>
      <c r="AB614" s="11"/>
      <c r="AC614" s="11"/>
      <c r="AD614" s="11"/>
      <c r="AH614" s="8"/>
      <c r="AI614" s="20"/>
      <c r="AJ614" s="20"/>
      <c r="AK614" s="31"/>
      <c r="AL614" s="31"/>
    </row>
    <row r="615" spans="1:38" ht="36" hidden="1" x14ac:dyDescent="0.25">
      <c r="A615" s="14" t="s">
        <v>7268</v>
      </c>
      <c r="B615" s="7" t="s">
        <v>5877</v>
      </c>
      <c r="C615" s="7" t="s">
        <v>4918</v>
      </c>
      <c r="D615" s="7" t="s">
        <v>5978</v>
      </c>
      <c r="E615" s="7" t="s">
        <v>5978</v>
      </c>
      <c r="F615" s="7" t="s">
        <v>5978</v>
      </c>
      <c r="G615" s="7"/>
      <c r="H615" s="7"/>
      <c r="I615" s="7"/>
      <c r="J615" s="20" t="e">
        <f>VLOOKUP(V615,Table_to_BRG!A:D,3,FALSE)</f>
        <v>#N/A</v>
      </c>
      <c r="K615" s="20" t="e">
        <f>VLOOKUP(V615,Table_to_BRG!A:D,2,FALSE)</f>
        <v>#N/A</v>
      </c>
      <c r="L615" s="20"/>
      <c r="M615" s="20"/>
      <c r="N615" s="9" t="s">
        <v>6465</v>
      </c>
      <c r="O615" s="54" t="s">
        <v>7812</v>
      </c>
      <c r="P615" s="7" t="s">
        <v>4836</v>
      </c>
      <c r="Q615" s="11" t="str">
        <f>RIGHT("00"&amp;Table362[[#This Row],[Rule '#]],3)&amp;"_"&amp;IF(Table362[[#This Row],[Entity]]="Material","MATL",LEFT(UPPER(Table362[[#This Row],[Entity]]),4))&amp;"_"&amp;MID(SUBSTITUTE(Table362[[#This Row],[Rule Name]],"_","|",3),SEARCH("|",SUBSTITUTE(Table362[[#This Row],[Rule Name]],"_","|",3))+1,LEN(Table362[[#This Row],[Rule Name]]))</f>
        <v>238_PSIM_PROJ_IMPRF_WBS</v>
      </c>
      <c r="R615" s="8" t="s">
        <v>4837</v>
      </c>
      <c r="S615" s="7" t="s">
        <v>4135</v>
      </c>
      <c r="T615" s="7"/>
      <c r="U615" s="7"/>
      <c r="V615" s="7" t="s">
        <v>4919</v>
      </c>
      <c r="W615" s="7" t="s">
        <v>4921</v>
      </c>
      <c r="X615" s="8"/>
      <c r="Y615" s="7" t="s">
        <v>4922</v>
      </c>
      <c r="Z615" s="7" t="s">
        <v>4923</v>
      </c>
      <c r="AA615" s="11" t="str">
        <f>"BEGIN
     RETURN exists('DS_IS_RDS', '"&amp;Table362[[#This Row],[Lookup Table]]&amp;"', '"&amp;Table362[[#This Row],[Lookup Field]]&amp;"', "&amp;Table362[[#This Row],[IS Parameter]]&amp;");
END"</f>
        <v>BEGIN
     RETURN exists('DS_IS_RDS', 'TAPRF', 'IVPRO', );
END</v>
      </c>
      <c r="AB615" s="11"/>
      <c r="AC615" s="11"/>
      <c r="AD615" s="11"/>
      <c r="AH615" s="8"/>
      <c r="AI615" s="20"/>
      <c r="AJ615" s="20"/>
      <c r="AK615" s="31"/>
      <c r="AL615" s="31"/>
    </row>
    <row r="616" spans="1:38" ht="36" hidden="1" x14ac:dyDescent="0.25">
      <c r="A616" s="14" t="s">
        <v>7269</v>
      </c>
      <c r="B616" s="7" t="s">
        <v>5877</v>
      </c>
      <c r="C616" s="7" t="s">
        <v>4918</v>
      </c>
      <c r="D616" s="7" t="s">
        <v>5978</v>
      </c>
      <c r="E616" s="7" t="s">
        <v>5978</v>
      </c>
      <c r="F616" s="7" t="s">
        <v>5978</v>
      </c>
      <c r="G616" s="7"/>
      <c r="H616" s="7"/>
      <c r="I616" s="7"/>
      <c r="J616" s="20" t="e">
        <f>VLOOKUP(V616,Table_to_BRG!A:D,3,FALSE)</f>
        <v>#N/A</v>
      </c>
      <c r="K616" s="20" t="e">
        <f>VLOOKUP(V616,Table_to_BRG!A:D,2,FALSE)</f>
        <v>#N/A</v>
      </c>
      <c r="L616" s="20"/>
      <c r="M616" s="20"/>
      <c r="N616" s="9" t="s">
        <v>6465</v>
      </c>
      <c r="O616" s="54" t="s">
        <v>7812</v>
      </c>
      <c r="P616" s="7" t="s">
        <v>4838</v>
      </c>
      <c r="Q616" s="11" t="str">
        <f>RIGHT("00"&amp;Table362[[#This Row],[Rule '#]],3)&amp;"_"&amp;IF(Table362[[#This Row],[Entity]]="Material","MATL",LEFT(UPPER(Table362[[#This Row],[Entity]]),4))&amp;"_"&amp;MID(SUBSTITUTE(Table362[[#This Row],[Rule Name]],"_","|",3),SEARCH("|",SUBSTITUTE(Table362[[#This Row],[Rule Name]],"_","|",3))+1,LEN(Table362[[#This Row],[Rule Name]]))</f>
        <v>239_PSIM_IS_X</v>
      </c>
      <c r="R616" s="8" t="s">
        <v>4839</v>
      </c>
      <c r="S616" s="7" t="s">
        <v>4135</v>
      </c>
      <c r="T616" s="7"/>
      <c r="U616" s="7"/>
      <c r="V616" s="7"/>
      <c r="W616" s="7" t="s">
        <v>4461</v>
      </c>
      <c r="X616" s="8"/>
      <c r="Y616" s="7"/>
      <c r="Z616" s="7"/>
      <c r="AA616" s="11" t="s">
        <v>4924</v>
      </c>
      <c r="AB616" s="11"/>
      <c r="AC616" s="11"/>
      <c r="AD616" s="11"/>
      <c r="AH616" s="8"/>
      <c r="AI616" s="20"/>
      <c r="AJ616" s="20"/>
      <c r="AK616" s="31"/>
      <c r="AL616" s="31"/>
    </row>
    <row r="617" spans="1:38" ht="36" hidden="1" x14ac:dyDescent="0.25">
      <c r="A617" s="14" t="s">
        <v>7270</v>
      </c>
      <c r="B617" s="7" t="s">
        <v>5877</v>
      </c>
      <c r="C617" s="7" t="s">
        <v>4918</v>
      </c>
      <c r="D617" s="7" t="s">
        <v>5978</v>
      </c>
      <c r="E617" s="7" t="s">
        <v>5978</v>
      </c>
      <c r="F617" s="7" t="s">
        <v>5978</v>
      </c>
      <c r="G617" s="7"/>
      <c r="H617" s="7"/>
      <c r="I617" s="7"/>
      <c r="J617" s="20" t="e">
        <f>VLOOKUP(V617,Table_to_BRG!A:D,3,FALSE)</f>
        <v>#N/A</v>
      </c>
      <c r="K617" s="20" t="e">
        <f>VLOOKUP(V617,Table_to_BRG!A:D,2,FALSE)</f>
        <v>#N/A</v>
      </c>
      <c r="L617" s="20"/>
      <c r="M617" s="20"/>
      <c r="N617" s="9" t="s">
        <v>6465</v>
      </c>
      <c r="O617" s="54" t="s">
        <v>7812</v>
      </c>
      <c r="P617" s="7" t="s">
        <v>4840</v>
      </c>
      <c r="Q617" s="11" t="str">
        <f>RIGHT("00"&amp;Table362[[#This Row],[Rule '#]],3)&amp;"_"&amp;IF(Table362[[#This Row],[Entity]]="Material","MATL",LEFT(UPPER(Table362[[#This Row],[Entity]]),4))&amp;"_"&amp;MID(SUBSTITUTE(Table362[[#This Row],[Rule Name]],"_","|",3),SEARCH("|",SUBSTITUTE(Table362[[#This Row],[Rule Name]],"_","|",3))+1,LEN(Table362[[#This Row],[Rule Name]]))</f>
        <v>240_PSIM_PRHI_UP_WBS</v>
      </c>
      <c r="R617" s="8" t="s">
        <v>4841</v>
      </c>
      <c r="S617" s="7" t="s">
        <v>4135</v>
      </c>
      <c r="T617" s="7"/>
      <c r="U617" s="7"/>
      <c r="V617" s="7" t="s">
        <v>4925</v>
      </c>
      <c r="W617" s="7" t="s">
        <v>4926</v>
      </c>
      <c r="X617" s="8"/>
      <c r="Y617" s="7" t="s">
        <v>4927</v>
      </c>
      <c r="Z617" s="7" t="s">
        <v>4928</v>
      </c>
      <c r="AA617" s="11" t="str">
        <f>"BEGIN
     RETURN exists('DS_IS_RDS', '"&amp;Table362[[#This Row],[Lookup Table]]&amp;"', '"&amp;Table362[[#This Row],[Lookup Field]]&amp;"', "&amp;Table362[[#This Row],[IS Parameter]]&amp;");
END"</f>
        <v>BEGIN
     RETURN exists('DS_IS_RDS', 'PRPS', 'PSPNR', );
END</v>
      </c>
      <c r="AB617" s="11"/>
      <c r="AC617" s="11"/>
      <c r="AD617" s="11"/>
      <c r="AH617" s="8"/>
      <c r="AI617" s="20"/>
      <c r="AJ617" s="20"/>
      <c r="AK617" s="31"/>
      <c r="AL617" s="31"/>
    </row>
    <row r="618" spans="1:38" ht="48" hidden="1" x14ac:dyDescent="0.25">
      <c r="A618" s="14" t="s">
        <v>7271</v>
      </c>
      <c r="B618" s="7" t="s">
        <v>5877</v>
      </c>
      <c r="C618" s="7" t="s">
        <v>4918</v>
      </c>
      <c r="D618" s="7" t="s">
        <v>5978</v>
      </c>
      <c r="E618" s="7" t="s">
        <v>5978</v>
      </c>
      <c r="F618" s="7" t="s">
        <v>5978</v>
      </c>
      <c r="G618" s="7"/>
      <c r="H618" s="7"/>
      <c r="I618" s="7"/>
      <c r="J618" s="20" t="e">
        <f>VLOOKUP(V618,Table_to_BRG!A:D,3,FALSE)</f>
        <v>#N/A</v>
      </c>
      <c r="K618" s="20" t="e">
        <f>VLOOKUP(V618,Table_to_BRG!A:D,2,FALSE)</f>
        <v>#N/A</v>
      </c>
      <c r="L618" s="20"/>
      <c r="M618" s="20"/>
      <c r="N618" s="9" t="s">
        <v>6465</v>
      </c>
      <c r="O618" s="54" t="s">
        <v>7812</v>
      </c>
      <c r="P618" s="7" t="s">
        <v>4308</v>
      </c>
      <c r="Q618" s="11" t="str">
        <f>RIGHT("00"&amp;Table362[[#This Row],[Rule '#]],3)&amp;"_"&amp;IF(Table362[[#This Row],[Entity]]="Material","MATL",LEFT(UPPER(Table362[[#This Row],[Entity]]),4))&amp;"_"&amp;MID(SUBSTITUTE(Table362[[#This Row],[Rule Name]],"_","|",3),SEARCH("|",SUBSTITUTE(Table362[[#This Row],[Rule Name]],"_","|",3))+1,LEN(Table362[[#This Row],[Rule Name]]))</f>
        <v>241_PSIM_IS_MANDATORY</v>
      </c>
      <c r="R618" s="8" t="s">
        <v>4309</v>
      </c>
      <c r="S618" s="7" t="s">
        <v>21</v>
      </c>
      <c r="T618" s="7"/>
      <c r="U618" s="7"/>
      <c r="V618" s="7"/>
      <c r="W618" s="7" t="s">
        <v>4461</v>
      </c>
      <c r="X618" s="8"/>
      <c r="Y618" s="7"/>
      <c r="Z618" s="7"/>
      <c r="AA618" s="11" t="s">
        <v>4462</v>
      </c>
      <c r="AB618" s="11"/>
      <c r="AC618" s="11"/>
      <c r="AD618" s="11"/>
      <c r="AH618" s="8"/>
      <c r="AI618" s="20"/>
      <c r="AJ618" s="20"/>
      <c r="AK618" s="31"/>
      <c r="AL618" s="31"/>
    </row>
    <row r="619" spans="1:38" ht="192" hidden="1" x14ac:dyDescent="0.25">
      <c r="A619" s="14" t="s">
        <v>7272</v>
      </c>
      <c r="B619" s="7" t="s">
        <v>5877</v>
      </c>
      <c r="C619" s="7" t="s">
        <v>4918</v>
      </c>
      <c r="D619" s="7" t="s">
        <v>5978</v>
      </c>
      <c r="E619" s="7" t="s">
        <v>5978</v>
      </c>
      <c r="F619" s="7" t="s">
        <v>5978</v>
      </c>
      <c r="G619" s="7"/>
      <c r="H619" s="7"/>
      <c r="I619" s="7"/>
      <c r="J619" s="20" t="e">
        <f>VLOOKUP(V619,Table_to_BRG!A:D,3,FALSE)</f>
        <v>#N/A</v>
      </c>
      <c r="K619" s="20" t="e">
        <f>VLOOKUP(V619,Table_to_BRG!A:D,2,FALSE)</f>
        <v>#N/A</v>
      </c>
      <c r="L619" s="20"/>
      <c r="M619" s="20"/>
      <c r="N619" s="9" t="s">
        <v>6465</v>
      </c>
      <c r="O619" s="54" t="s">
        <v>7812</v>
      </c>
      <c r="P619" s="7" t="s">
        <v>4842</v>
      </c>
      <c r="Q619" s="11" t="str">
        <f>RIGHT("00"&amp;Table362[[#This Row],[Rule '#]],3)&amp;"_"&amp;IF(Table362[[#This Row],[Entity]]="Material","MATL",LEFT(UPPER(Table362[[#This Row],[Entity]]),4))&amp;"_"&amp;MID(SUBSTITUTE(Table362[[#This Row],[Rule Name]],"_","|",3),SEARCH("|",SUBSTITUTE(Table362[[#This Row],[Rule Name]],"_","|",3))+1,LEN(Table362[[#This Row],[Rule Name]]))</f>
        <v>242_PSIM_PROJ_PSPID_WBS</v>
      </c>
      <c r="R619" s="8" t="s">
        <v>4843</v>
      </c>
      <c r="S619" s="7" t="s">
        <v>4135</v>
      </c>
      <c r="T619" s="7"/>
      <c r="U619" s="7"/>
      <c r="V619" s="7" t="s">
        <v>4919</v>
      </c>
      <c r="W619" s="7" t="s">
        <v>4929</v>
      </c>
      <c r="X619" s="8"/>
      <c r="Y619" s="7"/>
      <c r="Z619" s="7"/>
      <c r="AA619" s="11" t="s">
        <v>4930</v>
      </c>
      <c r="AB619" s="11"/>
      <c r="AC619" s="11"/>
      <c r="AD619" s="11"/>
      <c r="AH619" s="8" t="s">
        <v>5903</v>
      </c>
      <c r="AI619" s="20"/>
      <c r="AJ619" s="20"/>
      <c r="AK619" s="31"/>
      <c r="AL619" s="31"/>
    </row>
    <row r="620" spans="1:38" ht="36" hidden="1" x14ac:dyDescent="0.25">
      <c r="A620" s="14" t="s">
        <v>7273</v>
      </c>
      <c r="B620" s="7" t="s">
        <v>5877</v>
      </c>
      <c r="C620" s="7" t="s">
        <v>4918</v>
      </c>
      <c r="D620" s="7" t="s">
        <v>5978</v>
      </c>
      <c r="E620" s="7" t="s">
        <v>5978</v>
      </c>
      <c r="F620" s="7" t="s">
        <v>5978</v>
      </c>
      <c r="G620" s="7"/>
      <c r="H620" s="7"/>
      <c r="I620" s="7"/>
      <c r="J620" s="20" t="e">
        <f>VLOOKUP(V620,Table_to_BRG!A:D,3,FALSE)</f>
        <v>#N/A</v>
      </c>
      <c r="K620" s="20" t="e">
        <f>VLOOKUP(V620,Table_to_BRG!A:D,2,FALSE)</f>
        <v>#N/A</v>
      </c>
      <c r="L620" s="20"/>
      <c r="M620" s="20"/>
      <c r="N620" s="9" t="s">
        <v>6465</v>
      </c>
      <c r="O620" s="54" t="s">
        <v>7812</v>
      </c>
      <c r="P620" s="7" t="s">
        <v>4844</v>
      </c>
      <c r="Q620" s="11" t="str">
        <f>RIGHT("00"&amp;Table362[[#This Row],[Rule '#]],3)&amp;"_"&amp;IF(Table362[[#This Row],[Entity]]="Material","MATL",LEFT(UPPER(Table362[[#This Row],[Entity]]),4))&amp;"_"&amp;MID(SUBSTITUTE(Table362[[#This Row],[Rule Name]],"_","|",3),SEARCH("|",SUBSTITUTE(Table362[[#This Row],[Rule Name]],"_","|",3))+1,LEN(Table362[[#This Row],[Rule Name]]))</f>
        <v>243_PSIM_PROJ_SCOPE_WBS</v>
      </c>
      <c r="R620" s="8" t="s">
        <v>4845</v>
      </c>
      <c r="S620" s="7" t="s">
        <v>4135</v>
      </c>
      <c r="T620" s="7"/>
      <c r="U620" s="7"/>
      <c r="V620" s="7" t="s">
        <v>4919</v>
      </c>
      <c r="W620" s="7" t="s">
        <v>4931</v>
      </c>
      <c r="X620" s="8"/>
      <c r="Y620" s="7"/>
      <c r="Z620" s="7"/>
      <c r="AA620" s="11" t="s">
        <v>4932</v>
      </c>
      <c r="AB620" s="11"/>
      <c r="AC620" s="11"/>
      <c r="AD620" s="11"/>
      <c r="AH620" s="8"/>
      <c r="AI620" s="20"/>
      <c r="AJ620" s="20"/>
      <c r="AK620" s="31"/>
      <c r="AL620" s="31"/>
    </row>
    <row r="621" spans="1:38" ht="36" hidden="1" x14ac:dyDescent="0.25">
      <c r="A621" s="14" t="s">
        <v>7274</v>
      </c>
      <c r="B621" s="7" t="s">
        <v>5877</v>
      </c>
      <c r="C621" s="7" t="s">
        <v>4918</v>
      </c>
      <c r="D621" s="7" t="s">
        <v>5978</v>
      </c>
      <c r="E621" s="7" t="s">
        <v>5978</v>
      </c>
      <c r="F621" s="7" t="s">
        <v>5978</v>
      </c>
      <c r="G621" s="7"/>
      <c r="H621" s="7"/>
      <c r="I621" s="7"/>
      <c r="J621" s="20" t="e">
        <f>VLOOKUP(V621,Table_to_BRG!A:D,3,FALSE)</f>
        <v>#N/A</v>
      </c>
      <c r="K621" s="20" t="e">
        <f>VLOOKUP(V621,Table_to_BRG!A:D,2,FALSE)</f>
        <v>#N/A</v>
      </c>
      <c r="L621" s="20"/>
      <c r="M621" s="20"/>
      <c r="N621" s="9" t="s">
        <v>6465</v>
      </c>
      <c r="O621" s="54" t="s">
        <v>7812</v>
      </c>
      <c r="P621" s="7" t="s">
        <v>4846</v>
      </c>
      <c r="Q621" s="11" t="str">
        <f>RIGHT("00"&amp;Table362[[#This Row],[Rule '#]],3)&amp;"_"&amp;IF(Table362[[#This Row],[Entity]]="Material","MATL",LEFT(UPPER(Table362[[#This Row],[Entity]]),4))&amp;"_"&amp;MID(SUBSTITUTE(Table362[[#This Row],[Rule Name]],"_","|",3),SEARCH("|",SUBSTITUTE(Table362[[#This Row],[Rule Name]],"_","|",3))+1,LEN(Table362[[#This Row],[Rule Name]]))</f>
        <v>244_PSIM_PROJ_VPROF_WBS</v>
      </c>
      <c r="R621" s="8" t="s">
        <v>4847</v>
      </c>
      <c r="S621" s="7" t="s">
        <v>4135</v>
      </c>
      <c r="T621" s="7"/>
      <c r="U621" s="7"/>
      <c r="V621" s="7" t="s">
        <v>4919</v>
      </c>
      <c r="W621" s="7" t="s">
        <v>4933</v>
      </c>
      <c r="X621" s="8"/>
      <c r="Y621" s="7" t="s">
        <v>4934</v>
      </c>
      <c r="Z621" s="7" t="s">
        <v>4935</v>
      </c>
      <c r="AA621" s="11" t="str">
        <f>"BEGIN
     RETURN exists('DS_IS_RDS', '"&amp;Table362[[#This Row],[Lookup Table]]&amp;"', '"&amp;Table362[[#This Row],[Lookup Field]]&amp;"', "&amp;Table362[[#This Row],[IS Parameter]]&amp;");
END"</f>
        <v>BEGIN
     RETURN exists('DS_IS_RDS', 'TCN41', 'PROFIDNETZ', );
END</v>
      </c>
      <c r="AB621" s="11"/>
      <c r="AC621" s="11"/>
      <c r="AD621" s="11"/>
      <c r="AH621" s="8"/>
      <c r="AI621" s="20"/>
      <c r="AJ621" s="20"/>
      <c r="AK621" s="31"/>
      <c r="AL621" s="31"/>
    </row>
    <row r="622" spans="1:38" ht="156" hidden="1" x14ac:dyDescent="0.25">
      <c r="A622" s="14" t="s">
        <v>7275</v>
      </c>
      <c r="B622" s="7" t="s">
        <v>5877</v>
      </c>
      <c r="C622" s="7" t="s">
        <v>4918</v>
      </c>
      <c r="D622" s="7" t="s">
        <v>5978</v>
      </c>
      <c r="E622" s="7" t="s">
        <v>5978</v>
      </c>
      <c r="F622" s="7" t="s">
        <v>5978</v>
      </c>
      <c r="G622" s="7"/>
      <c r="H622" s="7"/>
      <c r="I622" s="7"/>
      <c r="J622" s="20" t="e">
        <f>VLOOKUP(V622,Table_to_BRG!A:D,3,FALSE)</f>
        <v>#N/A</v>
      </c>
      <c r="K622" s="20" t="e">
        <f>VLOOKUP(V622,Table_to_BRG!A:D,2,FALSE)</f>
        <v>#N/A</v>
      </c>
      <c r="L622" s="20"/>
      <c r="M622" s="20"/>
      <c r="N622" s="9" t="s">
        <v>6465</v>
      </c>
      <c r="O622" s="54" t="s">
        <v>7812</v>
      </c>
      <c r="P622" s="7" t="s">
        <v>4848</v>
      </c>
      <c r="Q622" s="11" t="str">
        <f>RIGHT("00"&amp;Table362[[#This Row],[Rule '#]],3)&amp;"_"&amp;IF(Table362[[#This Row],[Entity]]="Material","MATL",LEFT(UPPER(Table362[[#This Row],[Entity]]),4))&amp;"_"&amp;MID(SUBSTITUTE(Table362[[#This Row],[Rule Name]],"_","|",3),SEARCH("|",SUBSTITUTE(Table362[[#This Row],[Rule Name]],"_","|",3))+1,LEN(Table362[[#This Row],[Rule Name]]))</f>
        <v>245_PSIM_PRPS_POSID_WBS</v>
      </c>
      <c r="R622" s="8" t="s">
        <v>4849</v>
      </c>
      <c r="S622" s="7" t="s">
        <v>4135</v>
      </c>
      <c r="T622" s="7"/>
      <c r="U622" s="7"/>
      <c r="V622" s="7" t="s">
        <v>4936</v>
      </c>
      <c r="W622" s="7" t="s">
        <v>4937</v>
      </c>
      <c r="X622" s="8"/>
      <c r="Y622" s="7"/>
      <c r="Z622" s="7"/>
      <c r="AA622" s="11" t="s">
        <v>4938</v>
      </c>
      <c r="AB622" s="11"/>
      <c r="AC622" s="11"/>
      <c r="AD622" s="11"/>
      <c r="AH622" s="8"/>
      <c r="AI622" s="20"/>
      <c r="AJ622" s="20"/>
      <c r="AK622" s="31"/>
      <c r="AL622" s="31"/>
    </row>
    <row r="623" spans="1:38" ht="48" hidden="1" x14ac:dyDescent="0.25">
      <c r="A623" s="14" t="s">
        <v>7276</v>
      </c>
      <c r="B623" s="7" t="s">
        <v>5877</v>
      </c>
      <c r="C623" s="7" t="s">
        <v>4918</v>
      </c>
      <c r="D623" s="7" t="s">
        <v>5978</v>
      </c>
      <c r="E623" s="7" t="s">
        <v>5978</v>
      </c>
      <c r="F623" s="7" t="s">
        <v>5978</v>
      </c>
      <c r="G623" s="7"/>
      <c r="H623" s="7"/>
      <c r="I623" s="7"/>
      <c r="J623" s="20" t="e">
        <f>VLOOKUP(V623,Table_to_BRG!A:D,3,FALSE)</f>
        <v>#N/A</v>
      </c>
      <c r="K623" s="20" t="e">
        <f>VLOOKUP(V623,Table_to_BRG!A:D,2,FALSE)</f>
        <v>#N/A</v>
      </c>
      <c r="L623" s="20"/>
      <c r="M623" s="20"/>
      <c r="N623" s="9" t="s">
        <v>6465</v>
      </c>
      <c r="O623" s="54" t="s">
        <v>7812</v>
      </c>
      <c r="P623" s="7" t="s">
        <v>4065</v>
      </c>
      <c r="Q623" s="11" t="e">
        <f>RIGHT("00"&amp;Table362[[#This Row],[Rule '#]],3)&amp;"_"&amp;IF(Table362[[#This Row],[Entity]]="Material","MATL",LEFT(UPPER(Table362[[#This Row],[Entity]]),4))&amp;"_"&amp;MID(SUBSTITUTE(Table362[[#This Row],[Rule Name]],"_","|",3),SEARCH("|",SUBSTITUTE(Table362[[#This Row],[Rule Name]],"_","|",3))+1,LEN(Table362[[#This Row],[Rule Name]]))</f>
        <v>#VALUE!</v>
      </c>
      <c r="R623" s="8"/>
      <c r="S623" s="7" t="s">
        <v>4135</v>
      </c>
      <c r="T623" s="7"/>
      <c r="U623" s="7"/>
      <c r="V623" s="7"/>
      <c r="W623" s="7" t="s">
        <v>4151</v>
      </c>
      <c r="X623" s="8"/>
      <c r="Y623" s="7"/>
      <c r="Z623" s="7"/>
      <c r="AA623" s="11" t="s">
        <v>4178</v>
      </c>
      <c r="AB623" s="11"/>
      <c r="AC623" s="11"/>
      <c r="AD623" s="11"/>
      <c r="AH623" s="8"/>
      <c r="AI623" s="20"/>
      <c r="AJ623" s="20"/>
      <c r="AK623" s="31"/>
      <c r="AL623" s="31"/>
    </row>
    <row r="624" spans="1:38" ht="36" hidden="1" x14ac:dyDescent="0.25">
      <c r="A624" s="14" t="s">
        <v>7277</v>
      </c>
      <c r="B624" s="7" t="s">
        <v>5877</v>
      </c>
      <c r="C624" s="7" t="s">
        <v>4918</v>
      </c>
      <c r="D624" s="7" t="s">
        <v>5978</v>
      </c>
      <c r="E624" s="7" t="s">
        <v>5978</v>
      </c>
      <c r="F624" s="7" t="s">
        <v>5978</v>
      </c>
      <c r="G624" s="7"/>
      <c r="H624" s="7"/>
      <c r="I624" s="7"/>
      <c r="J624" s="20" t="e">
        <f>VLOOKUP(V624,Table_to_BRG!A:D,3,FALSE)</f>
        <v>#N/A</v>
      </c>
      <c r="K624" s="20" t="e">
        <f>VLOOKUP(V624,Table_to_BRG!A:D,2,FALSE)</f>
        <v>#N/A</v>
      </c>
      <c r="L624" s="20"/>
      <c r="M624" s="20"/>
      <c r="N624" s="9" t="s">
        <v>6465</v>
      </c>
      <c r="O624" s="54" t="s">
        <v>7812</v>
      </c>
      <c r="P624" s="7" t="s">
        <v>4850</v>
      </c>
      <c r="Q624" s="11" t="str">
        <f>RIGHT("00"&amp;Table362[[#This Row],[Rule '#]],3)&amp;"_"&amp;IF(Table362[[#This Row],[Entity]]="Material","MATL",LEFT(UPPER(Table362[[#This Row],[Entity]]),4))&amp;"_"&amp;MID(SUBSTITUTE(Table362[[#This Row],[Rule Name]],"_","|",3),SEARCH("|",SUBSTITUTE(Table362[[#This Row],[Rule Name]],"_","|",3))+1,LEN(Table362[[#This Row],[Rule Name]]))</f>
        <v>247_PSIM_CRHD_VGARB_WC</v>
      </c>
      <c r="R624" s="8" t="s">
        <v>4851</v>
      </c>
      <c r="S624" s="7" t="s">
        <v>4135</v>
      </c>
      <c r="T624" s="7"/>
      <c r="U624" s="7"/>
      <c r="V624" s="7" t="s">
        <v>4939</v>
      </c>
      <c r="W624" s="7" t="s">
        <v>4940</v>
      </c>
      <c r="X624" s="8"/>
      <c r="Y624" s="7" t="s">
        <v>4192</v>
      </c>
      <c r="Z624" s="7" t="s">
        <v>4143</v>
      </c>
      <c r="AA624" s="11" t="str">
        <f>"BEGIN
     RETURN exists('DS_IS_RDS', '"&amp;Table362[[#This Row],[Lookup Table]]&amp;"', '"&amp;Table362[[#This Row],[Lookup Field]]&amp;"', "&amp;Table362[[#This Row],[IS Parameter]]&amp;");
END"</f>
        <v>BEGIN
     RETURN exists('DS_IS_RDS', 'T006', 'MSEHI', );
END</v>
      </c>
      <c r="AB624" s="11"/>
      <c r="AC624" s="11"/>
      <c r="AD624" s="11"/>
      <c r="AH624" s="8"/>
      <c r="AI624" s="20"/>
      <c r="AJ624" s="20"/>
      <c r="AK624" s="31"/>
      <c r="AL624" s="31"/>
    </row>
    <row r="625" spans="1:38" ht="36" hidden="1" x14ac:dyDescent="0.25">
      <c r="A625" s="14" t="s">
        <v>7278</v>
      </c>
      <c r="B625" s="7" t="s">
        <v>5877</v>
      </c>
      <c r="C625" s="7" t="s">
        <v>4918</v>
      </c>
      <c r="D625" s="7" t="s">
        <v>5978</v>
      </c>
      <c r="E625" s="7" t="s">
        <v>5978</v>
      </c>
      <c r="F625" s="7" t="s">
        <v>5978</v>
      </c>
      <c r="G625" s="7"/>
      <c r="H625" s="7"/>
      <c r="I625" s="7"/>
      <c r="J625" s="20" t="e">
        <f>VLOOKUP(V625,Table_to_BRG!A:D,3,FALSE)</f>
        <v>#N/A</v>
      </c>
      <c r="K625" s="20" t="e">
        <f>VLOOKUP(V625,Table_to_BRG!A:D,2,FALSE)</f>
        <v>#N/A</v>
      </c>
      <c r="L625" s="20"/>
      <c r="M625" s="20"/>
      <c r="N625" s="9" t="s">
        <v>6465</v>
      </c>
      <c r="O625" s="54" t="s">
        <v>7812</v>
      </c>
      <c r="P625" s="7" t="s">
        <v>4852</v>
      </c>
      <c r="Q625" s="11" t="str">
        <f>RIGHT("00"&amp;Table362[[#This Row],[Rule '#]],3)&amp;"_"&amp;IF(Table362[[#This Row],[Entity]]="Material","MATL",LEFT(UPPER(Table362[[#This Row],[Entity]]),4))&amp;"_"&amp;MID(SUBSTITUTE(Table362[[#This Row],[Rule Name]],"_","|",3),SEARCH("|",SUBSTITUTE(Table362[[#This Row],[Rule Name]],"_","|",3))+1,LEN(Table362[[#This Row],[Rule Name]]))</f>
        <v>248_PSIM_PROJ_PROFL_WBS</v>
      </c>
      <c r="R625" s="8" t="s">
        <v>4853</v>
      </c>
      <c r="S625" s="7" t="s">
        <v>4135</v>
      </c>
      <c r="T625" s="7"/>
      <c r="U625" s="7"/>
      <c r="V625" s="7" t="s">
        <v>4919</v>
      </c>
      <c r="W625" s="7" t="s">
        <v>4941</v>
      </c>
      <c r="X625" s="8"/>
      <c r="Y625" s="7" t="s">
        <v>4942</v>
      </c>
      <c r="Z625" s="7" t="s">
        <v>4943</v>
      </c>
      <c r="AA625" s="11" t="str">
        <f>"BEGIN
     RETURN exists('DS_IS_RDS', '"&amp;Table362[[#This Row],[Lookup Table]]&amp;"', '"&amp;Table362[[#This Row],[Lookup Field]]&amp;"', "&amp;Table362[[#This Row],[IS Parameter]]&amp;");
END"</f>
        <v>BEGIN
     RETURN exists('DS_IS_RDS', 'TCJ41', 'PROFIDPROJ', );
END</v>
      </c>
      <c r="AB625" s="11"/>
      <c r="AC625" s="11"/>
      <c r="AD625" s="11"/>
      <c r="AH625" s="8"/>
      <c r="AI625" s="20"/>
      <c r="AJ625" s="20"/>
      <c r="AK625" s="31"/>
      <c r="AL625" s="31"/>
    </row>
    <row r="626" spans="1:38" ht="36" hidden="1" x14ac:dyDescent="0.25">
      <c r="A626" s="14" t="s">
        <v>7279</v>
      </c>
      <c r="B626" s="7" t="s">
        <v>5877</v>
      </c>
      <c r="C626" s="7" t="s">
        <v>4918</v>
      </c>
      <c r="D626" s="7" t="s">
        <v>5978</v>
      </c>
      <c r="E626" s="7" t="s">
        <v>5978</v>
      </c>
      <c r="F626" s="7" t="s">
        <v>5978</v>
      </c>
      <c r="G626" s="7"/>
      <c r="H626" s="7"/>
      <c r="I626" s="7"/>
      <c r="J626" s="20" t="e">
        <f>VLOOKUP(V626,Table_to_BRG!A:D,3,FALSE)</f>
        <v>#N/A</v>
      </c>
      <c r="K626" s="20" t="e">
        <f>VLOOKUP(V626,Table_to_BRG!A:D,2,FALSE)</f>
        <v>#N/A</v>
      </c>
      <c r="L626" s="20"/>
      <c r="M626" s="20"/>
      <c r="N626" s="9" t="s">
        <v>6465</v>
      </c>
      <c r="O626" s="54" t="s">
        <v>7812</v>
      </c>
      <c r="P626" s="7" t="s">
        <v>4854</v>
      </c>
      <c r="Q626" s="11" t="str">
        <f>RIGHT("00"&amp;Table362[[#This Row],[Rule '#]],3)&amp;"_"&amp;IF(Table362[[#This Row],[Entity]]="Material","MATL",LEFT(UPPER(Table362[[#This Row],[Entity]]),4))&amp;"_"&amp;MID(SUBSTITUTE(Table362[[#This Row],[Rule Name]],"_","|",3),SEARCH("|",SUBSTITUTE(Table362[[#This Row],[Rule Name]],"_","|",3))+1,LEN(Table362[[#This Row],[Rule Name]]))</f>
        <v>249_PSIM_PROJ_VERNR_WBS</v>
      </c>
      <c r="R626" s="8" t="s">
        <v>4855</v>
      </c>
      <c r="S626" s="7" t="s">
        <v>4135</v>
      </c>
      <c r="T626" s="7"/>
      <c r="U626" s="7"/>
      <c r="V626" s="7" t="s">
        <v>4919</v>
      </c>
      <c r="W626" s="7" t="s">
        <v>4944</v>
      </c>
      <c r="X626" s="8"/>
      <c r="Y626" s="7" t="s">
        <v>4945</v>
      </c>
      <c r="Z626" s="7" t="s">
        <v>4946</v>
      </c>
      <c r="AA626" s="11" t="str">
        <f>"BEGIN
     RETURN exists('DS_IS_RDS', '"&amp;Table362[[#This Row],[Lookup Table]]&amp;"', '"&amp;Table362[[#This Row],[Lookup Field]]&amp;"', "&amp;Table362[[#This Row],[IS Parameter]]&amp;");
END"</f>
        <v>BEGIN
     RETURN exists('DS_IS_RDS', 'TCJ04', 'VERNR', );
END</v>
      </c>
      <c r="AB626" s="11"/>
      <c r="AC626" s="11"/>
      <c r="AD626" s="11"/>
      <c r="AH626" s="8"/>
      <c r="AI626" s="20"/>
      <c r="AJ626" s="20"/>
      <c r="AK626" s="31"/>
      <c r="AL626" s="31"/>
    </row>
    <row r="627" spans="1:38" ht="36" hidden="1" x14ac:dyDescent="0.25">
      <c r="A627" s="14" t="s">
        <v>7280</v>
      </c>
      <c r="B627" s="7" t="s">
        <v>5877</v>
      </c>
      <c r="C627" s="7" t="s">
        <v>4918</v>
      </c>
      <c r="D627" s="7" t="s">
        <v>5978</v>
      </c>
      <c r="E627" s="7" t="s">
        <v>5978</v>
      </c>
      <c r="F627" s="7" t="s">
        <v>5978</v>
      </c>
      <c r="G627" s="7"/>
      <c r="H627" s="7"/>
      <c r="I627" s="7"/>
      <c r="J627" s="20" t="e">
        <f>VLOOKUP(V627,Table_to_BRG!A:D,3,FALSE)</f>
        <v>#N/A</v>
      </c>
      <c r="K627" s="20" t="e">
        <f>VLOOKUP(V627,Table_to_BRG!A:D,2,FALSE)</f>
        <v>#N/A</v>
      </c>
      <c r="L627" s="20"/>
      <c r="M627" s="20"/>
      <c r="N627" s="9" t="s">
        <v>6465</v>
      </c>
      <c r="O627" s="54" t="s">
        <v>7812</v>
      </c>
      <c r="P627" s="7" t="s">
        <v>4856</v>
      </c>
      <c r="Q627" s="11" t="str">
        <f>RIGHT("00"&amp;Table362[[#This Row],[Rule '#]],3)&amp;"_"&amp;IF(Table362[[#This Row],[Entity]]="Material","MATL",LEFT(UPPER(Table362[[#This Row],[Entity]]),4))&amp;"_"&amp;MID(SUBSTITUTE(Table362[[#This Row],[Rule Name]],"_","|",3),SEARCH("|",SUBSTITUTE(Table362[[#This Row],[Rule Name]],"_","|",3))+1,LEN(Table362[[#This Row],[Rule Name]]))</f>
        <v>250_PSIM_PROJ_SCPRF_WBS</v>
      </c>
      <c r="R627" s="8" t="s">
        <v>4857</v>
      </c>
      <c r="S627" s="7" t="s">
        <v>4135</v>
      </c>
      <c r="T627" s="7"/>
      <c r="U627" s="7"/>
      <c r="V627" s="7" t="s">
        <v>4919</v>
      </c>
      <c r="W627" s="7" t="s">
        <v>4947</v>
      </c>
      <c r="X627" s="8"/>
      <c r="Y627" s="7" t="s">
        <v>4948</v>
      </c>
      <c r="Z627" s="7" t="s">
        <v>4949</v>
      </c>
      <c r="AA627" s="11" t="str">
        <f>"BEGIN
     RETURN exists('DS_IS_RDS', '"&amp;Table362[[#This Row],[Lookup Table]]&amp;"', '"&amp;Table362[[#This Row],[Lookup Field]]&amp;"', "&amp;Table362[[#This Row],[IS Parameter]]&amp;");
END"</f>
        <v>BEGIN
     RETURN exists('DS_IS_RDS', 'TCXPS', 'PROFIL', );
END</v>
      </c>
      <c r="AB627" s="11"/>
      <c r="AC627" s="11"/>
      <c r="AD627" s="11"/>
      <c r="AH627" s="8"/>
      <c r="AI627" s="20"/>
      <c r="AJ627" s="20"/>
      <c r="AK627" s="31"/>
      <c r="AL627" s="31"/>
    </row>
    <row r="628" spans="1:38" ht="36" hidden="1" x14ac:dyDescent="0.25">
      <c r="A628" s="14" t="s">
        <v>7281</v>
      </c>
      <c r="B628" s="7" t="s">
        <v>5877</v>
      </c>
      <c r="C628" s="7" t="s">
        <v>4918</v>
      </c>
      <c r="D628" s="7" t="s">
        <v>5978</v>
      </c>
      <c r="E628" s="7" t="s">
        <v>5978</v>
      </c>
      <c r="F628" s="7" t="s">
        <v>5978</v>
      </c>
      <c r="G628" s="7"/>
      <c r="H628" s="7"/>
      <c r="I628" s="7"/>
      <c r="J628" s="20" t="e">
        <f>VLOOKUP(V628,Table_to_BRG!A:D,3,FALSE)</f>
        <v>#N/A</v>
      </c>
      <c r="K628" s="20" t="e">
        <f>VLOOKUP(V628,Table_to_BRG!A:D,2,FALSE)</f>
        <v>#N/A</v>
      </c>
      <c r="L628" s="20"/>
      <c r="M628" s="20"/>
      <c r="N628" s="9" t="s">
        <v>6465</v>
      </c>
      <c r="O628" s="54" t="s">
        <v>7812</v>
      </c>
      <c r="P628" s="7" t="s">
        <v>4858</v>
      </c>
      <c r="Q628" s="11" t="str">
        <f>RIGHT("00"&amp;Table362[[#This Row],[Rule '#]],3)&amp;"_"&amp;IF(Table362[[#This Row],[Entity]]="Material","MATL",LEFT(UPPER(Table362[[#This Row],[Entity]]),4))&amp;"_"&amp;MID(SUBSTITUTE(Table362[[#This Row],[Rule Name]],"_","|",3),SEARCH("|",SUBSTITUTE(Table362[[#This Row],[Rule Name]],"_","|",3))+1,LEN(Table362[[#This Row],[Rule Name]]))</f>
        <v>251_PSIM_CRCO_KOSTL_WC</v>
      </c>
      <c r="R628" s="8" t="s">
        <v>4859</v>
      </c>
      <c r="S628" s="7" t="s">
        <v>4135</v>
      </c>
      <c r="T628" s="7"/>
      <c r="U628" s="7"/>
      <c r="V628" s="7" t="s">
        <v>4950</v>
      </c>
      <c r="W628" s="7" t="s">
        <v>4521</v>
      </c>
      <c r="X628" s="8"/>
      <c r="Y628" s="7" t="s">
        <v>4444</v>
      </c>
      <c r="Z628" s="7" t="s">
        <v>4445</v>
      </c>
      <c r="AA628" s="11" t="str">
        <f>"BEGIN
     RETURN exists('DS_IS_RDS', '"&amp;Table362[[#This Row],[Lookup Table]]&amp;"', '"&amp;Table362[[#This Row],[Lookup Field]]&amp;"', "&amp;Table362[[#This Row],[IS Parameter]]&amp;");
END"</f>
        <v>BEGIN
     RETURN exists('DS_IS_RDS', 'CSKS', 'KOSTL', );
END</v>
      </c>
      <c r="AB628" s="11"/>
      <c r="AC628" s="11"/>
      <c r="AD628" s="11"/>
      <c r="AH628" s="8"/>
      <c r="AI628" s="20"/>
      <c r="AJ628" s="20"/>
      <c r="AK628" s="31"/>
      <c r="AL628" s="31"/>
    </row>
    <row r="629" spans="1:38" ht="36" hidden="1" x14ac:dyDescent="0.25">
      <c r="A629" s="14" t="s">
        <v>7282</v>
      </c>
      <c r="B629" s="7" t="s">
        <v>5877</v>
      </c>
      <c r="C629" s="7" t="s">
        <v>4918</v>
      </c>
      <c r="D629" s="7" t="s">
        <v>5978</v>
      </c>
      <c r="E629" s="7" t="s">
        <v>5978</v>
      </c>
      <c r="F629" s="7" t="s">
        <v>5978</v>
      </c>
      <c r="G629" s="7"/>
      <c r="H629" s="7"/>
      <c r="I629" s="7"/>
      <c r="J629" s="20" t="e">
        <f>VLOOKUP(V629,Table_to_BRG!A:D,3,FALSE)</f>
        <v>#N/A</v>
      </c>
      <c r="K629" s="20" t="e">
        <f>VLOOKUP(V629,Table_to_BRG!A:D,2,FALSE)</f>
        <v>#N/A</v>
      </c>
      <c r="L629" s="20"/>
      <c r="M629" s="20"/>
      <c r="N629" s="9" t="s">
        <v>6465</v>
      </c>
      <c r="O629" s="54" t="s">
        <v>7812</v>
      </c>
      <c r="P629" s="7" t="s">
        <v>4860</v>
      </c>
      <c r="Q629" s="11" t="str">
        <f>RIGHT("00"&amp;Table362[[#This Row],[Rule '#]],3)&amp;"_"&amp;IF(Table362[[#This Row],[Entity]]="Material","MATL",LEFT(UPPER(Table362[[#This Row],[Entity]]),4))&amp;"_"&amp;MID(SUBSTITUTE(Table362[[#This Row],[Rule Name]],"_","|",3),SEARCH("|",SUBSTITUTE(Table362[[#This Row],[Rule Name]],"_","|",3))+1,LEN(Table362[[#This Row],[Rule Name]]))</f>
        <v>252_PSIM_KAKO_PLANR_WC</v>
      </c>
      <c r="R629" s="8" t="s">
        <v>4861</v>
      </c>
      <c r="S629" s="7" t="s">
        <v>4135</v>
      </c>
      <c r="T629" s="7"/>
      <c r="U629" s="7"/>
      <c r="V629" s="7" t="s">
        <v>4951</v>
      </c>
      <c r="W629" s="7" t="s">
        <v>4952</v>
      </c>
      <c r="X629" s="8"/>
      <c r="Y629" s="7" t="s">
        <v>4953</v>
      </c>
      <c r="Z629" s="7" t="s">
        <v>4954</v>
      </c>
      <c r="AA629" s="11" t="str">
        <f>"BEGIN
     RETURN exists('DS_IS_RDS', '"&amp;Table362[[#This Row],[Lookup Table]]&amp;"', '"&amp;Table362[[#This Row],[Lookup Field]]&amp;"', upper("&amp;Table362[[#This Row],[IS Parameter]]&amp;");
END"</f>
        <v>BEGIN
     RETURN exists('DS_IS_RDS', 'TC27', 'PLANR', upper();
END</v>
      </c>
      <c r="AB629" s="11"/>
      <c r="AC629" s="11"/>
      <c r="AD629" s="11"/>
      <c r="AH629" s="8"/>
      <c r="AI629" s="20"/>
      <c r="AJ629" s="20"/>
      <c r="AK629" s="31"/>
      <c r="AL629" s="31"/>
    </row>
    <row r="630" spans="1:38" ht="36" hidden="1" x14ac:dyDescent="0.25">
      <c r="A630" s="14" t="s">
        <v>7283</v>
      </c>
      <c r="B630" s="7" t="s">
        <v>5877</v>
      </c>
      <c r="C630" s="7" t="s">
        <v>4918</v>
      </c>
      <c r="D630" s="7" t="s">
        <v>5978</v>
      </c>
      <c r="E630" s="7" t="s">
        <v>5978</v>
      </c>
      <c r="F630" s="7" t="s">
        <v>5978</v>
      </c>
      <c r="G630" s="7"/>
      <c r="H630" s="7"/>
      <c r="I630" s="7"/>
      <c r="J630" s="20" t="e">
        <f>VLOOKUP(V630,Table_to_BRG!A:D,3,FALSE)</f>
        <v>#N/A</v>
      </c>
      <c r="K630" s="20" t="e">
        <f>VLOOKUP(V630,Table_to_BRG!A:D,2,FALSE)</f>
        <v>#N/A</v>
      </c>
      <c r="L630" s="20"/>
      <c r="M630" s="20"/>
      <c r="N630" s="9" t="s">
        <v>6465</v>
      </c>
      <c r="O630" s="54" t="s">
        <v>7812</v>
      </c>
      <c r="P630" s="7" t="s">
        <v>4862</v>
      </c>
      <c r="Q630" s="11" t="str">
        <f>RIGHT("00"&amp;Table362[[#This Row],[Rule '#]],3)&amp;"_"&amp;IF(Table362[[#This Row],[Entity]]="Material","MATL",LEFT(UPPER(Table362[[#This Row],[Entity]]),4))&amp;"_"&amp;MID(SUBSTITUTE(Table362[[#This Row],[Rule Name]],"_","|",3),SEARCH("|",SUBSTITUTE(Table362[[#This Row],[Rule Name]],"_","|",3))+1,LEN(Table362[[#This Row],[Rule Name]]))</f>
        <v>253_PSIM_PROJ_KALID_WBS</v>
      </c>
      <c r="R630" s="8" t="s">
        <v>4863</v>
      </c>
      <c r="S630" s="7" t="s">
        <v>4135</v>
      </c>
      <c r="T630" s="7"/>
      <c r="U630" s="7"/>
      <c r="V630" s="7" t="s">
        <v>4919</v>
      </c>
      <c r="W630" s="7" t="s">
        <v>4955</v>
      </c>
      <c r="X630" s="8"/>
      <c r="Y630" s="7" t="s">
        <v>4956</v>
      </c>
      <c r="Z630" s="7" t="s">
        <v>4957</v>
      </c>
      <c r="AA630" s="11" t="str">
        <f>"BEGIN
     RETURN exists('DS_IS_RDS', '"&amp;Table362[[#This Row],[Lookup Table]]&amp;"', '"&amp;Table362[[#This Row],[Lookup Field]]&amp;"', "&amp;Table362[[#This Row],[IS Parameter]]&amp;");
END"</f>
        <v>BEGIN
     RETURN exists('DS_IS_RDS', 'TFACD', 'IDENT', );
END</v>
      </c>
      <c r="AB630" s="11"/>
      <c r="AC630" s="11"/>
      <c r="AD630" s="11"/>
      <c r="AH630" s="8"/>
      <c r="AI630" s="20"/>
      <c r="AJ630" s="20"/>
      <c r="AK630" s="31"/>
      <c r="AL630" s="31"/>
    </row>
    <row r="631" spans="1:38" ht="36" hidden="1" x14ac:dyDescent="0.25">
      <c r="A631" s="14" t="s">
        <v>7284</v>
      </c>
      <c r="B631" s="7" t="s">
        <v>5877</v>
      </c>
      <c r="C631" s="7" t="s">
        <v>4918</v>
      </c>
      <c r="D631" s="7" t="s">
        <v>5978</v>
      </c>
      <c r="E631" s="7" t="s">
        <v>5978</v>
      </c>
      <c r="F631" s="7" t="s">
        <v>5978</v>
      </c>
      <c r="G631" s="7"/>
      <c r="H631" s="7"/>
      <c r="I631" s="7"/>
      <c r="J631" s="20" t="e">
        <f>VLOOKUP(V631,Table_to_BRG!A:D,3,FALSE)</f>
        <v>#N/A</v>
      </c>
      <c r="K631" s="20" t="e">
        <f>VLOOKUP(V631,Table_to_BRG!A:D,2,FALSE)</f>
        <v>#N/A</v>
      </c>
      <c r="L631" s="20"/>
      <c r="M631" s="20"/>
      <c r="N631" s="9" t="s">
        <v>6465</v>
      </c>
      <c r="O631" s="54" t="s">
        <v>7812</v>
      </c>
      <c r="P631" s="7" t="s">
        <v>4864</v>
      </c>
      <c r="Q631" s="11" t="str">
        <f>RIGHT("00"&amp;Table362[[#This Row],[Rule '#]],3)&amp;"_"&amp;IF(Table362[[#This Row],[Entity]]="Material","MATL",LEFT(UPPER(Table362[[#This Row],[Entity]]),4))&amp;"_"&amp;MID(SUBSTITUTE(Table362[[#This Row],[Rule Name]],"_","|",3),SEARCH("|",SUBSTITUTE(Table362[[#This Row],[Rule Name]],"_","|",3))+1,LEN(Table362[[#This Row],[Rule Name]]))</f>
        <v>254_PSIM_PROJ_PPROF_WBS</v>
      </c>
      <c r="R631" s="8" t="s">
        <v>4865</v>
      </c>
      <c r="S631" s="7" t="s">
        <v>4135</v>
      </c>
      <c r="T631" s="7"/>
      <c r="U631" s="7"/>
      <c r="V631" s="7" t="s">
        <v>4919</v>
      </c>
      <c r="W631" s="7" t="s">
        <v>4958</v>
      </c>
      <c r="X631" s="8"/>
      <c r="Y631" s="7" t="s">
        <v>4959</v>
      </c>
      <c r="Z631" s="7" t="s">
        <v>4949</v>
      </c>
      <c r="AA631" s="11" t="str">
        <f>"BEGIN
     RETURN exists('DS_IS_RDS', '"&amp;Table362[[#This Row],[Lookup Table]]&amp;"', '"&amp;Table362[[#This Row],[Lookup Field]]&amp;"', "&amp;Table362[[#This Row],[IS Parameter]]&amp;");
END"</f>
        <v>BEGIN
     RETURN exists('DS_IS_RDS', 'TBP1C', 'PROFIL', );
END</v>
      </c>
      <c r="AB631" s="11"/>
      <c r="AC631" s="11"/>
      <c r="AD631" s="11"/>
      <c r="AH631" s="8"/>
      <c r="AI631" s="20"/>
      <c r="AJ631" s="20"/>
      <c r="AK631" s="31"/>
      <c r="AL631" s="31"/>
    </row>
    <row r="632" spans="1:38" ht="36" hidden="1" x14ac:dyDescent="0.25">
      <c r="A632" s="14" t="s">
        <v>7285</v>
      </c>
      <c r="B632" s="7" t="s">
        <v>5877</v>
      </c>
      <c r="C632" s="7" t="s">
        <v>4918</v>
      </c>
      <c r="D632" s="7" t="s">
        <v>5978</v>
      </c>
      <c r="E632" s="7" t="s">
        <v>5978</v>
      </c>
      <c r="F632" s="7" t="s">
        <v>5978</v>
      </c>
      <c r="G632" s="7"/>
      <c r="H632" s="7"/>
      <c r="I632" s="7"/>
      <c r="J632" s="20" t="e">
        <f>VLOOKUP(V632,Table_to_BRG!A:D,3,FALSE)</f>
        <v>#N/A</v>
      </c>
      <c r="K632" s="20" t="e">
        <f>VLOOKUP(V632,Table_to_BRG!A:D,2,FALSE)</f>
        <v>#N/A</v>
      </c>
      <c r="L632" s="20"/>
      <c r="M632" s="20"/>
      <c r="N632" s="9" t="s">
        <v>6465</v>
      </c>
      <c r="O632" s="54" t="s">
        <v>7812</v>
      </c>
      <c r="P632" s="7" t="s">
        <v>4866</v>
      </c>
      <c r="Q632" s="11" t="str">
        <f>RIGHT("00"&amp;Table362[[#This Row],[Rule '#]],3)&amp;"_"&amp;IF(Table362[[#This Row],[Entity]]="Material","MATL",LEFT(UPPER(Table362[[#This Row],[Entity]]),4))&amp;"_"&amp;MID(SUBSTITUTE(Table362[[#This Row],[Rule Name]],"_","|",3),SEARCH("|",SUBSTITUTE(Table362[[#This Row],[Rule Name]],"_","|",3))+1,LEN(Table362[[#This Row],[Rule Name]]))</f>
        <v>255_PSIM_PRHI_POSNR_WBS</v>
      </c>
      <c r="R632" s="8" t="s">
        <v>4867</v>
      </c>
      <c r="S632" s="7" t="s">
        <v>4135</v>
      </c>
      <c r="T632" s="7"/>
      <c r="U632" s="7"/>
      <c r="V632" s="7" t="s">
        <v>4925</v>
      </c>
      <c r="W632" s="7" t="s">
        <v>4960</v>
      </c>
      <c r="X632" s="8"/>
      <c r="Y632" s="7" t="s">
        <v>4927</v>
      </c>
      <c r="Z632" s="7" t="s">
        <v>4928</v>
      </c>
      <c r="AA632" s="11" t="str">
        <f>"BEGIN
     RETURN exists('DS_IS_RDS', '"&amp;Table362[[#This Row],[Lookup Table]]&amp;"', '"&amp;Table362[[#This Row],[Lookup Field]]&amp;"', "&amp;Table362[[#This Row],[IS Parameter]]&amp;");
END"</f>
        <v>BEGIN
     RETURN exists('DS_IS_RDS', 'PRPS', 'PSPNR', );
END</v>
      </c>
      <c r="AB632" s="11"/>
      <c r="AC632" s="11"/>
      <c r="AD632" s="11"/>
      <c r="AH632" s="8"/>
      <c r="AI632" s="20"/>
      <c r="AJ632" s="20"/>
      <c r="AK632" s="31"/>
      <c r="AL632" s="31"/>
    </row>
    <row r="633" spans="1:38" ht="36" hidden="1" x14ac:dyDescent="0.25">
      <c r="A633" s="14" t="s">
        <v>7286</v>
      </c>
      <c r="B633" s="7" t="s">
        <v>5877</v>
      </c>
      <c r="C633" s="7" t="s">
        <v>4918</v>
      </c>
      <c r="D633" s="7" t="s">
        <v>5978</v>
      </c>
      <c r="E633" s="7" t="s">
        <v>5978</v>
      </c>
      <c r="F633" s="7" t="s">
        <v>5978</v>
      </c>
      <c r="G633" s="7"/>
      <c r="H633" s="7"/>
      <c r="I633" s="7"/>
      <c r="J633" s="20" t="e">
        <f>VLOOKUP(V633,Table_to_BRG!A:D,3,FALSE)</f>
        <v>#N/A</v>
      </c>
      <c r="K633" s="20" t="e">
        <f>VLOOKUP(V633,Table_to_BRG!A:D,2,FALSE)</f>
        <v>#N/A</v>
      </c>
      <c r="L633" s="20"/>
      <c r="M633" s="20"/>
      <c r="N633" s="9" t="s">
        <v>6465</v>
      </c>
      <c r="O633" s="54" t="s">
        <v>7812</v>
      </c>
      <c r="P633" s="7" t="s">
        <v>4868</v>
      </c>
      <c r="Q633" s="11" t="str">
        <f>RIGHT("00"&amp;Table362[[#This Row],[Rule '#]],3)&amp;"_"&amp;IF(Table362[[#This Row],[Entity]]="Material","MATL",LEFT(UPPER(Table362[[#This Row],[Entity]]),4))&amp;"_"&amp;MID(SUBSTITUTE(Table362[[#This Row],[Rule Name]],"_","|",3),SEARCH("|",SUBSTITUTE(Table362[[#This Row],[Rule Name]],"_","|",3))+1,LEN(Table362[[#This Row],[Rule Name]]))</f>
        <v>256_PSIM_PROJ_ZTEHT_WBS</v>
      </c>
      <c r="R633" s="8" t="s">
        <v>4869</v>
      </c>
      <c r="S633" s="7" t="s">
        <v>4135</v>
      </c>
      <c r="T633" s="7"/>
      <c r="U633" s="7"/>
      <c r="V633" s="7" t="s">
        <v>4919</v>
      </c>
      <c r="W633" s="7" t="s">
        <v>4961</v>
      </c>
      <c r="X633" s="8"/>
      <c r="Y633" s="7" t="s">
        <v>4192</v>
      </c>
      <c r="Z633" s="7" t="s">
        <v>4143</v>
      </c>
      <c r="AA633" s="11" t="str">
        <f>"BEGIN
     RETURN exists('DS_IS_RDS', '"&amp;Table362[[#This Row],[Lookup Table]]&amp;"', '"&amp;Table362[[#This Row],[Lookup Field]]&amp;"', "&amp;Table362[[#This Row],[IS Parameter]]&amp;");
END"</f>
        <v>BEGIN
     RETURN exists('DS_IS_RDS', 'T006', 'MSEHI', );
END</v>
      </c>
      <c r="AB633" s="11"/>
      <c r="AC633" s="11"/>
      <c r="AD633" s="11"/>
      <c r="AH633" s="8"/>
      <c r="AI633" s="20"/>
      <c r="AJ633" s="20"/>
      <c r="AK633" s="31"/>
      <c r="AL633" s="31"/>
    </row>
    <row r="634" spans="1:38" ht="48" hidden="1" x14ac:dyDescent="0.25">
      <c r="A634" s="14" t="s">
        <v>7287</v>
      </c>
      <c r="B634" s="7" t="s">
        <v>5877</v>
      </c>
      <c r="C634" s="7" t="s">
        <v>4918</v>
      </c>
      <c r="D634" s="7" t="s">
        <v>5978</v>
      </c>
      <c r="E634" s="7" t="s">
        <v>5978</v>
      </c>
      <c r="F634" s="7" t="s">
        <v>5978</v>
      </c>
      <c r="G634" s="7"/>
      <c r="H634" s="7"/>
      <c r="I634" s="7"/>
      <c r="J634" s="20" t="e">
        <f>VLOOKUP(V634,Table_to_BRG!A:D,3,FALSE)</f>
        <v>#N/A</v>
      </c>
      <c r="K634" s="20" t="e">
        <f>VLOOKUP(V634,Table_to_BRG!A:D,2,FALSE)</f>
        <v>#N/A</v>
      </c>
      <c r="L634" s="20"/>
      <c r="M634" s="20"/>
      <c r="N634" s="9" t="s">
        <v>6465</v>
      </c>
      <c r="O634" s="54" t="s">
        <v>7812</v>
      </c>
      <c r="P634" s="7" t="s">
        <v>4870</v>
      </c>
      <c r="Q634" s="11" t="str">
        <f>RIGHT("00"&amp;Table362[[#This Row],[Rule '#]],3)&amp;"_"&amp;IF(Table362[[#This Row],[Entity]]="Material","MATL",LEFT(UPPER(Table362[[#This Row],[Entity]]),4))&amp;"_"&amp;MID(SUBSTITUTE(Table362[[#This Row],[Rule Name]],"_","|",3),SEARCH("|",SUBSTITUTE(Table362[[#This Row],[Rule Name]],"_","|",3))+1,LEN(Table362[[#This Row],[Rule Name]]))</f>
        <v>257_PSIM_IS_X_OR_NULL</v>
      </c>
      <c r="R634" s="8" t="s">
        <v>6437</v>
      </c>
      <c r="S634" s="7" t="s">
        <v>4135</v>
      </c>
      <c r="T634" s="7"/>
      <c r="U634" s="7"/>
      <c r="V634" s="7"/>
      <c r="W634" s="7" t="s">
        <v>4461</v>
      </c>
      <c r="X634" s="8"/>
      <c r="Y634" s="7"/>
      <c r="Z634" s="7"/>
      <c r="AA634" s="11" t="s">
        <v>4962</v>
      </c>
      <c r="AB634" s="11"/>
      <c r="AC634" s="11"/>
      <c r="AD634" s="11"/>
      <c r="AH634" s="8"/>
      <c r="AI634" s="20"/>
      <c r="AJ634" s="20"/>
      <c r="AK634" s="31"/>
      <c r="AL634" s="31"/>
    </row>
    <row r="635" spans="1:38" ht="216" hidden="1" x14ac:dyDescent="0.25">
      <c r="A635" s="14" t="s">
        <v>7288</v>
      </c>
      <c r="B635" s="7" t="s">
        <v>5877</v>
      </c>
      <c r="C635" s="7" t="s">
        <v>4918</v>
      </c>
      <c r="D635" s="7" t="s">
        <v>5978</v>
      </c>
      <c r="E635" s="7" t="s">
        <v>5978</v>
      </c>
      <c r="F635" s="7" t="s">
        <v>5978</v>
      </c>
      <c r="G635" s="7"/>
      <c r="H635" s="7"/>
      <c r="I635" s="7"/>
      <c r="J635" s="20" t="e">
        <f>VLOOKUP(V635,Table_to_BRG!A:D,3,FALSE)</f>
        <v>#N/A</v>
      </c>
      <c r="K635" s="20" t="e">
        <f>VLOOKUP(V635,Table_to_BRG!A:D,2,FALSE)</f>
        <v>#N/A</v>
      </c>
      <c r="L635" s="20"/>
      <c r="M635" s="20"/>
      <c r="N635" s="9" t="s">
        <v>6465</v>
      </c>
      <c r="O635" s="54" t="s">
        <v>7812</v>
      </c>
      <c r="P635" s="7" t="s">
        <v>4871</v>
      </c>
      <c r="Q635" s="11" t="str">
        <f>RIGHT("00"&amp;Table362[[#This Row],[Rule '#]],3)&amp;"_"&amp;IF(Table362[[#This Row],[Entity]]="Material","MATL",LEFT(UPPER(Table362[[#This Row],[Entity]]),4))&amp;"_"&amp;MID(SUBSTITUTE(Table362[[#This Row],[Rule Name]],"_","|",3),SEARCH("|",SUBSTITUTE(Table362[[#This Row],[Rule Name]],"_","|",3))+1,LEN(Table362[[#This Row],[Rule Name]]))</f>
        <v>258_PSIM_CRHD_ARBPL_WC</v>
      </c>
      <c r="R635" s="8" t="s">
        <v>4872</v>
      </c>
      <c r="S635" s="7" t="s">
        <v>4135</v>
      </c>
      <c r="T635" s="7"/>
      <c r="U635" s="7"/>
      <c r="V635" s="7" t="s">
        <v>4939</v>
      </c>
      <c r="W635" s="7" t="s">
        <v>4963</v>
      </c>
      <c r="X635" s="8"/>
      <c r="Y635" s="7"/>
      <c r="Z635" s="7"/>
      <c r="AA635" s="11" t="s">
        <v>4964</v>
      </c>
      <c r="AB635" s="11"/>
      <c r="AC635" s="11"/>
      <c r="AD635" s="11"/>
      <c r="AH635" s="8"/>
      <c r="AI635" s="20"/>
      <c r="AJ635" s="20"/>
      <c r="AK635" s="31"/>
      <c r="AL635" s="31"/>
    </row>
    <row r="636" spans="1:38" ht="48" hidden="1" x14ac:dyDescent="0.25">
      <c r="A636" s="14" t="s">
        <v>7289</v>
      </c>
      <c r="B636" s="7" t="s">
        <v>5877</v>
      </c>
      <c r="C636" s="7" t="s">
        <v>4918</v>
      </c>
      <c r="D636" s="7" t="s">
        <v>5978</v>
      </c>
      <c r="E636" s="7" t="s">
        <v>5978</v>
      </c>
      <c r="F636" s="7" t="s">
        <v>5978</v>
      </c>
      <c r="G636" s="7"/>
      <c r="H636" s="7"/>
      <c r="I636" s="7"/>
      <c r="J636" s="20" t="e">
        <f>VLOOKUP(V636,Table_to_BRG!A:D,3,FALSE)</f>
        <v>#N/A</v>
      </c>
      <c r="K636" s="20" t="e">
        <f>VLOOKUP(V636,Table_to_BRG!A:D,2,FALSE)</f>
        <v>#N/A</v>
      </c>
      <c r="L636" s="20"/>
      <c r="M636" s="20"/>
      <c r="N636" s="9" t="s">
        <v>6465</v>
      </c>
      <c r="O636" s="54" t="s">
        <v>7812</v>
      </c>
      <c r="P636" s="7" t="s">
        <v>4873</v>
      </c>
      <c r="Q636" s="11" t="str">
        <f>RIGHT("00"&amp;Table362[[#This Row],[Rule '#]],3)&amp;"_"&amp;IF(Table362[[#This Row],[Entity]]="Material","MATL",LEFT(UPPER(Table362[[#This Row],[Entity]]),4))&amp;"_"&amp;MID(SUBSTITUTE(Table362[[#This Row],[Rule Name]],"_","|",3),SEARCH("|",SUBSTITUTE(Table362[[#This Row],[Rule Name]],"_","|",3))+1,LEN(Table362[[#This Row],[Rule Name]]))</f>
        <v>259_PSIM_CRCA_FORKN_WC</v>
      </c>
      <c r="R636" s="8"/>
      <c r="S636" s="7" t="s">
        <v>4135</v>
      </c>
      <c r="T636" s="7"/>
      <c r="U636" s="7"/>
      <c r="V636" s="7"/>
      <c r="W636" s="7" t="s">
        <v>4965</v>
      </c>
      <c r="X636" s="8"/>
      <c r="Y636" s="7" t="s">
        <v>4966</v>
      </c>
      <c r="Z636" s="7" t="s">
        <v>4957</v>
      </c>
      <c r="AA636" s="11" t="s">
        <v>4967</v>
      </c>
      <c r="AB636" s="11"/>
      <c r="AC636" s="11"/>
      <c r="AD636" s="11"/>
      <c r="AH636" s="8"/>
      <c r="AI636" s="20"/>
      <c r="AJ636" s="20"/>
      <c r="AK636" s="31"/>
      <c r="AL636" s="31"/>
    </row>
    <row r="637" spans="1:38" ht="36" hidden="1" x14ac:dyDescent="0.25">
      <c r="A637" s="14" t="s">
        <v>7290</v>
      </c>
      <c r="B637" s="7" t="s">
        <v>5877</v>
      </c>
      <c r="C637" s="7" t="s">
        <v>4918</v>
      </c>
      <c r="D637" s="7" t="s">
        <v>5978</v>
      </c>
      <c r="E637" s="7" t="s">
        <v>5978</v>
      </c>
      <c r="F637" s="7" t="s">
        <v>5978</v>
      </c>
      <c r="G637" s="7"/>
      <c r="H637" s="7"/>
      <c r="I637" s="7"/>
      <c r="J637" s="20" t="e">
        <f>VLOOKUP(V637,Table_to_BRG!A:D,3,FALSE)</f>
        <v>#N/A</v>
      </c>
      <c r="K637" s="20" t="e">
        <f>VLOOKUP(V637,Table_to_BRG!A:D,2,FALSE)</f>
        <v>#N/A</v>
      </c>
      <c r="L637" s="20"/>
      <c r="M637" s="20"/>
      <c r="N637" s="9" t="s">
        <v>6465</v>
      </c>
      <c r="O637" s="54" t="s">
        <v>7812</v>
      </c>
      <c r="P637" s="7" t="s">
        <v>4874</v>
      </c>
      <c r="Q637" s="11" t="str">
        <f>RIGHT("00"&amp;Table362[[#This Row],[Rule '#]],3)&amp;"_"&amp;IF(Table362[[#This Row],[Entity]]="Material","MATL",LEFT(UPPER(Table362[[#This Row],[Entity]]),4))&amp;"_"&amp;MID(SUBSTITUTE(Table362[[#This Row],[Rule Name]],"_","|",3),SEARCH("|",SUBSTITUTE(Table362[[#This Row],[Rule Name]],"_","|",3))+1,LEN(Table362[[#This Row],[Rule Name]]))</f>
        <v>260_PSIM_PROJ_BPROF_WBS</v>
      </c>
      <c r="R637" s="8" t="s">
        <v>4875</v>
      </c>
      <c r="S637" s="7" t="s">
        <v>4135</v>
      </c>
      <c r="T637" s="7"/>
      <c r="U637" s="7"/>
      <c r="V637" s="7" t="s">
        <v>4919</v>
      </c>
      <c r="W637" s="7" t="s">
        <v>4968</v>
      </c>
      <c r="X637" s="8"/>
      <c r="Y637" s="7" t="s">
        <v>4959</v>
      </c>
      <c r="Z637" s="7" t="s">
        <v>4949</v>
      </c>
      <c r="AA637" s="11" t="str">
        <f>"BEGIN
     RETURN exists('DS_IS_RDS', '"&amp;Table362[[#This Row],[Lookup Table]]&amp;"', '"&amp;Table362[[#This Row],[Lookup Field]]&amp;"', "&amp;Table362[[#This Row],[IS Parameter]]&amp;");
END"</f>
        <v>BEGIN
     RETURN exists('DS_IS_RDS', 'TBP1C', 'PROFIL', );
END</v>
      </c>
      <c r="AB637" s="11"/>
      <c r="AC637" s="11"/>
      <c r="AD637" s="11"/>
      <c r="AH637" s="8"/>
      <c r="AI637" s="20"/>
      <c r="AJ637" s="20"/>
      <c r="AK637" s="31"/>
      <c r="AL637" s="31"/>
    </row>
    <row r="638" spans="1:38" ht="36" hidden="1" x14ac:dyDescent="0.25">
      <c r="A638" s="14" t="s">
        <v>7291</v>
      </c>
      <c r="B638" s="7" t="s">
        <v>5877</v>
      </c>
      <c r="C638" s="7" t="s">
        <v>4918</v>
      </c>
      <c r="D638" s="7" t="s">
        <v>5978</v>
      </c>
      <c r="E638" s="7" t="s">
        <v>5978</v>
      </c>
      <c r="F638" s="7" t="s">
        <v>5978</v>
      </c>
      <c r="G638" s="7"/>
      <c r="H638" s="7"/>
      <c r="I638" s="7"/>
      <c r="J638" s="20" t="e">
        <f>VLOOKUP(V638,Table_to_BRG!A:D,3,FALSE)</f>
        <v>#N/A</v>
      </c>
      <c r="K638" s="20" t="e">
        <f>VLOOKUP(V638,Table_to_BRG!A:D,2,FALSE)</f>
        <v>#N/A</v>
      </c>
      <c r="L638" s="20"/>
      <c r="M638" s="20"/>
      <c r="N638" s="9" t="s">
        <v>6465</v>
      </c>
      <c r="O638" s="54" t="s">
        <v>7812</v>
      </c>
      <c r="P638" s="7" t="s">
        <v>4876</v>
      </c>
      <c r="Q638" s="11" t="str">
        <f>RIGHT("00"&amp;Table362[[#This Row],[Rule '#]],3)&amp;"_"&amp;IF(Table362[[#This Row],[Entity]]="Material","MATL",LEFT(UPPER(Table362[[#This Row],[Entity]]),4))&amp;"_"&amp;MID(SUBSTITUTE(Table362[[#This Row],[Rule Name]],"_","|",3),SEARCH("|",SUBSTITUTE(Table362[[#This Row],[Rule Name]],"_","|",3))+1,LEN(Table362[[#This Row],[Rule Name]]))</f>
        <v>261_PSIM_Key For Task List Usage_WC</v>
      </c>
      <c r="R638" s="8" t="s">
        <v>4877</v>
      </c>
      <c r="S638" s="7" t="s">
        <v>4135</v>
      </c>
      <c r="T638" s="7"/>
      <c r="U638" s="7"/>
      <c r="V638" s="7" t="s">
        <v>4939</v>
      </c>
      <c r="W638" s="7" t="s">
        <v>4969</v>
      </c>
      <c r="X638" s="8"/>
      <c r="Y638" s="7" t="s">
        <v>4970</v>
      </c>
      <c r="Z638" s="7" t="s">
        <v>4971</v>
      </c>
      <c r="AA638" s="11" t="str">
        <f>"BEGIN
     RETURN exists('DS_IS_RDS', '"&amp;Table362[[#This Row],[Lookup Table]]&amp;"', '"&amp;Table362[[#This Row],[Lookup Field]]&amp;"', "&amp;Table362[[#This Row],[IS Parameter]]&amp;");
END"</f>
        <v>BEGIN
     RETURN exists('DS_IS_RDS', 'TC23', 'PLANV', );
END</v>
      </c>
      <c r="AB638" s="11"/>
      <c r="AC638" s="11"/>
      <c r="AD638" s="11"/>
      <c r="AH638" s="8"/>
      <c r="AI638" s="20" t="s">
        <v>7699</v>
      </c>
      <c r="AJ638" s="20"/>
      <c r="AK638" s="31"/>
      <c r="AL638" s="31"/>
    </row>
    <row r="639" spans="1:38" ht="36" hidden="1" x14ac:dyDescent="0.25">
      <c r="A639" s="14" t="s">
        <v>7292</v>
      </c>
      <c r="B639" s="7" t="s">
        <v>5877</v>
      </c>
      <c r="C639" s="7" t="s">
        <v>4918</v>
      </c>
      <c r="D639" s="7" t="s">
        <v>5978</v>
      </c>
      <c r="E639" s="7" t="s">
        <v>5978</v>
      </c>
      <c r="F639" s="7" t="s">
        <v>5978</v>
      </c>
      <c r="G639" s="7"/>
      <c r="H639" s="7"/>
      <c r="I639" s="7"/>
      <c r="J639" s="20" t="e">
        <f>VLOOKUP(V639,Table_to_BRG!A:D,3,FALSE)</f>
        <v>#N/A</v>
      </c>
      <c r="K639" s="20" t="e">
        <f>VLOOKUP(V639,Table_to_BRG!A:D,2,FALSE)</f>
        <v>#N/A</v>
      </c>
      <c r="L639" s="20"/>
      <c r="M639" s="20"/>
      <c r="N639" s="9" t="s">
        <v>6465</v>
      </c>
      <c r="O639" s="54" t="s">
        <v>7812</v>
      </c>
      <c r="P639" s="7" t="s">
        <v>4878</v>
      </c>
      <c r="Q639" s="11" t="str">
        <f>RIGHT("00"&amp;Table362[[#This Row],[Rule '#]],3)&amp;"_"&amp;IF(Table362[[#This Row],[Entity]]="Material","MATL",LEFT(UPPER(Table362[[#This Row],[Entity]]),4))&amp;"_"&amp;MID(SUBSTITUTE(Table362[[#This Row],[Rule Name]],"_","|",3),SEARCH("|",SUBSTITUTE(Table362[[#This Row],[Rule Name]],"_","|",3))+1,LEN(Table362[[#This Row],[Rule Name]]))</f>
        <v>262_PSIM_PRPS_PBUKR_WBS</v>
      </c>
      <c r="R639" s="8" t="s">
        <v>4879</v>
      </c>
      <c r="S639" s="7" t="s">
        <v>4135</v>
      </c>
      <c r="T639" s="7"/>
      <c r="U639" s="7"/>
      <c r="V639" s="7" t="s">
        <v>4936</v>
      </c>
      <c r="W639" s="7" t="s">
        <v>4972</v>
      </c>
      <c r="X639" s="8"/>
      <c r="Y639" s="7" t="s">
        <v>2739</v>
      </c>
      <c r="Z639" s="7" t="s">
        <v>2706</v>
      </c>
      <c r="AA639" s="11" t="str">
        <f>"BEGIN
     RETURN exists('DS_IS_RDS', '"&amp;Table362[[#This Row],[Lookup Table]]&amp;"', '"&amp;Table362[[#This Row],[Lookup Field]]&amp;"', "&amp;Table362[[#This Row],[IS Parameter]]&amp;");
END"</f>
        <v>BEGIN
     RETURN exists('DS_IS_RDS', 'T001', 'BUKRS', );
END</v>
      </c>
      <c r="AB639" s="11"/>
      <c r="AC639" s="11"/>
      <c r="AD639" s="11"/>
      <c r="AH639" s="8"/>
      <c r="AI639" s="20"/>
      <c r="AJ639" s="20"/>
      <c r="AK639" s="31"/>
      <c r="AL639" s="31"/>
    </row>
    <row r="640" spans="1:38" ht="36" hidden="1" x14ac:dyDescent="0.25">
      <c r="A640" s="14" t="s">
        <v>7293</v>
      </c>
      <c r="B640" s="7" t="s">
        <v>5877</v>
      </c>
      <c r="C640" s="7" t="s">
        <v>4918</v>
      </c>
      <c r="D640" s="7" t="s">
        <v>5978</v>
      </c>
      <c r="E640" s="7" t="s">
        <v>5978</v>
      </c>
      <c r="F640" s="7" t="s">
        <v>5978</v>
      </c>
      <c r="G640" s="7"/>
      <c r="H640" s="7"/>
      <c r="I640" s="7"/>
      <c r="J640" s="20" t="e">
        <f>VLOOKUP(V640,Table_to_BRG!A:D,3,FALSE)</f>
        <v>#N/A</v>
      </c>
      <c r="K640" s="20" t="e">
        <f>VLOOKUP(V640,Table_to_BRG!A:D,2,FALSE)</f>
        <v>#N/A</v>
      </c>
      <c r="L640" s="20"/>
      <c r="M640" s="20"/>
      <c r="N640" s="9" t="s">
        <v>6465</v>
      </c>
      <c r="O640" s="54" t="s">
        <v>7812</v>
      </c>
      <c r="P640" s="7" t="s">
        <v>4880</v>
      </c>
      <c r="Q640" s="11" t="str">
        <f>RIGHT("00"&amp;Table362[[#This Row],[Rule '#]],3)&amp;"_"&amp;IF(Table362[[#This Row],[Entity]]="Material","MATL",LEFT(UPPER(Table362[[#This Row],[Entity]]),4))&amp;"_"&amp;MID(SUBSTITUTE(Table362[[#This Row],[Rule Name]],"_","|",3),SEARCH("|",SUBSTITUTE(Table362[[#This Row],[Rule Name]],"_","|",3))+1,LEN(Table362[[#This Row],[Rule Name]]))</f>
        <v>263_PSIM_Person Responsible for WC_WC</v>
      </c>
      <c r="R640" s="8" t="s">
        <v>4881</v>
      </c>
      <c r="S640" s="7" t="s">
        <v>4135</v>
      </c>
      <c r="T640" s="7"/>
      <c r="U640" s="7"/>
      <c r="V640" s="7" t="s">
        <v>4939</v>
      </c>
      <c r="W640" s="7" t="s">
        <v>4973</v>
      </c>
      <c r="X640" s="8"/>
      <c r="Y640" s="7" t="s">
        <v>4974</v>
      </c>
      <c r="Z640" s="7" t="s">
        <v>4975</v>
      </c>
      <c r="AA640" s="11" t="str">
        <f>"BEGIN
     RETURN exists('DS_IS_RDS', '"&amp;Table362[[#This Row],[Lookup Table]]&amp;"', '"&amp;Table362[[#This Row],[Lookup Field]]&amp;"', "&amp;Table362[[#This Row],[IS Parameter]]&amp;");
END"</f>
        <v>BEGIN
     RETURN exists('DS_IS_RDS', 'TC24', 'VERAN', );
END</v>
      </c>
      <c r="AB640" s="11"/>
      <c r="AC640" s="11"/>
      <c r="AD640" s="11"/>
      <c r="AH640" s="8"/>
      <c r="AI640" s="20"/>
      <c r="AJ640" s="20"/>
      <c r="AK640" s="31"/>
      <c r="AL640" s="31"/>
    </row>
    <row r="641" spans="1:38" ht="180" hidden="1" x14ac:dyDescent="0.25">
      <c r="A641" s="14" t="s">
        <v>7294</v>
      </c>
      <c r="B641" s="7" t="s">
        <v>5877</v>
      </c>
      <c r="C641" s="7" t="s">
        <v>4918</v>
      </c>
      <c r="D641" s="7" t="s">
        <v>5978</v>
      </c>
      <c r="E641" s="7" t="s">
        <v>5978</v>
      </c>
      <c r="F641" s="7" t="s">
        <v>5978</v>
      </c>
      <c r="G641" s="7"/>
      <c r="H641" s="7"/>
      <c r="I641" s="7"/>
      <c r="J641" s="20" t="e">
        <f>VLOOKUP(V641,Table_to_BRG!A:D,3,FALSE)</f>
        <v>#N/A</v>
      </c>
      <c r="K641" s="20" t="e">
        <f>VLOOKUP(V641,Table_to_BRG!A:D,2,FALSE)</f>
        <v>#N/A</v>
      </c>
      <c r="L641" s="20"/>
      <c r="M641" s="20"/>
      <c r="N641" s="9" t="s">
        <v>6465</v>
      </c>
      <c r="O641" s="54" t="s">
        <v>7812</v>
      </c>
      <c r="P641" s="7" t="s">
        <v>4882</v>
      </c>
      <c r="Q641" s="11" t="str">
        <f>RIGHT("00"&amp;Table362[[#This Row],[Rule '#]],3)&amp;"_"&amp;IF(Table362[[#This Row],[Entity]]="Material","MATL",LEFT(UPPER(Table362[[#This Row],[Entity]]),4))&amp;"_"&amp;MID(SUBSTITUTE(Table362[[#This Row],[Rule Name]],"_","|",3),SEARCH("|",SUBSTITUTE(Table362[[#This Row],[Rule Name]],"_","|",3))+1,LEN(Table362[[#This Row],[Rule Name]]))</f>
        <v>264_PSIM_TCJ05_ASTNR_APP</v>
      </c>
      <c r="R641" s="8" t="s">
        <v>4883</v>
      </c>
      <c r="S641" s="7" t="s">
        <v>4135</v>
      </c>
      <c r="T641" s="7"/>
      <c r="U641" s="7"/>
      <c r="V641" s="7" t="s">
        <v>4945</v>
      </c>
      <c r="W641" s="7" t="s">
        <v>4976</v>
      </c>
      <c r="X641" s="8"/>
      <c r="Y641" s="7"/>
      <c r="Z641" s="7"/>
      <c r="AA641" s="11" t="s">
        <v>4977</v>
      </c>
      <c r="AB641" s="11"/>
      <c r="AC641" s="11"/>
      <c r="AD641" s="11"/>
      <c r="AH641" s="8"/>
      <c r="AI641" s="20"/>
      <c r="AJ641" s="20"/>
      <c r="AK641" s="31"/>
      <c r="AL641" s="31"/>
    </row>
    <row r="642" spans="1:38" ht="36" hidden="1" x14ac:dyDescent="0.25">
      <c r="A642" s="14" t="s">
        <v>7295</v>
      </c>
      <c r="B642" s="7" t="s">
        <v>5877</v>
      </c>
      <c r="C642" s="7" t="s">
        <v>4918</v>
      </c>
      <c r="D642" s="7" t="s">
        <v>5978</v>
      </c>
      <c r="E642" s="7" t="s">
        <v>5978</v>
      </c>
      <c r="F642" s="7" t="s">
        <v>5978</v>
      </c>
      <c r="G642" s="7"/>
      <c r="H642" s="7"/>
      <c r="I642" s="7"/>
      <c r="J642" s="20" t="e">
        <f>VLOOKUP(V642,Table_to_BRG!A:D,3,FALSE)</f>
        <v>#N/A</v>
      </c>
      <c r="K642" s="20" t="e">
        <f>VLOOKUP(V642,Table_to_BRG!A:D,2,FALSE)</f>
        <v>#N/A</v>
      </c>
      <c r="L642" s="20"/>
      <c r="M642" s="20"/>
      <c r="N642" s="9" t="s">
        <v>6465</v>
      </c>
      <c r="O642" s="54" t="s">
        <v>7812</v>
      </c>
      <c r="P642" s="7" t="s">
        <v>4884</v>
      </c>
      <c r="Q642" s="11" t="str">
        <f>RIGHT("00"&amp;Table362[[#This Row],[Rule '#]],3)&amp;"_"&amp;IF(Table362[[#This Row],[Entity]]="Material","MATL",LEFT(UPPER(Table362[[#This Row],[Entity]]),4))&amp;"_"&amp;MID(SUBSTITUTE(Table362[[#This Row],[Rule Name]],"_","|",3),SEARCH("|",SUBSTITUTE(Table362[[#This Row],[Rule Name]],"_","|",3))+1,LEN(Table362[[#This Row],[Rule Name]]))</f>
        <v>265_PSIM_CRCO_FORML_WC</v>
      </c>
      <c r="R642" s="8" t="s">
        <v>4885</v>
      </c>
      <c r="S642" s="7" t="s">
        <v>4135</v>
      </c>
      <c r="T642" s="7"/>
      <c r="U642" s="7"/>
      <c r="V642" s="7" t="s">
        <v>4950</v>
      </c>
      <c r="W642" s="7" t="s">
        <v>4978</v>
      </c>
      <c r="X642" s="8"/>
      <c r="Y642" s="7" t="s">
        <v>4966</v>
      </c>
      <c r="Z642" s="7" t="s">
        <v>4957</v>
      </c>
      <c r="AA642" s="11" t="str">
        <f>"BEGIN
     RETURN exists('DS_IS_RDS', '"&amp;Table362[[#This Row],[Lookup Table]]&amp;"', '"&amp;Table362[[#This Row],[Lookup Field]]&amp;"', "&amp;Table362[[#This Row],[IS Parameter]]&amp;");
END"</f>
        <v>BEGIN
     RETURN exists('DS_IS_RDS', 'TC25', 'IDENT', );
END</v>
      </c>
      <c r="AB642" s="11"/>
      <c r="AC642" s="11"/>
      <c r="AD642" s="11"/>
      <c r="AH642" s="8"/>
      <c r="AI642" s="20"/>
      <c r="AJ642" s="20"/>
      <c r="AK642" s="31"/>
      <c r="AL642" s="31"/>
    </row>
    <row r="643" spans="1:38" ht="36" hidden="1" x14ac:dyDescent="0.25">
      <c r="A643" s="14" t="s">
        <v>7296</v>
      </c>
      <c r="B643" s="7" t="s">
        <v>5877</v>
      </c>
      <c r="C643" s="7" t="s">
        <v>4918</v>
      </c>
      <c r="D643" s="7" t="s">
        <v>5978</v>
      </c>
      <c r="E643" s="7" t="s">
        <v>5978</v>
      </c>
      <c r="F643" s="7" t="s">
        <v>5978</v>
      </c>
      <c r="G643" s="7"/>
      <c r="H643" s="7"/>
      <c r="I643" s="7"/>
      <c r="J643" s="20" t="e">
        <f>VLOOKUP(V643,Table_to_BRG!A:D,3,FALSE)</f>
        <v>#N/A</v>
      </c>
      <c r="K643" s="20" t="e">
        <f>VLOOKUP(V643,Table_to_BRG!A:D,2,FALSE)</f>
        <v>#N/A</v>
      </c>
      <c r="L643" s="20"/>
      <c r="M643" s="20"/>
      <c r="N643" s="9" t="s">
        <v>6465</v>
      </c>
      <c r="O643" s="54" t="s">
        <v>7812</v>
      </c>
      <c r="P643" s="7" t="s">
        <v>4886</v>
      </c>
      <c r="Q643" s="11" t="str">
        <f>RIGHT("00"&amp;Table362[[#This Row],[Rule '#]],3)&amp;"_"&amp;IF(Table362[[#This Row],[Entity]]="Material","MATL",LEFT(UPPER(Table362[[#This Row],[Entity]]),4))&amp;"_"&amp;MID(SUBSTITUTE(Table362[[#This Row],[Rule Name]],"_","|",3),SEARCH("|",SUBSTITUTE(Table362[[#This Row],[Rule Name]],"_","|",3))+1,LEN(Table362[[#This Row],[Rule Name]]))</f>
        <v>266_PSIM_PRPS_KOSTL_WBS</v>
      </c>
      <c r="R643" s="8" t="s">
        <v>4887</v>
      </c>
      <c r="S643" s="7" t="s">
        <v>4135</v>
      </c>
      <c r="T643" s="7"/>
      <c r="U643" s="7"/>
      <c r="V643" s="7" t="s">
        <v>4936</v>
      </c>
      <c r="W643" s="7" t="s">
        <v>4521</v>
      </c>
      <c r="X643" s="8"/>
      <c r="Y643" s="7" t="s">
        <v>4444</v>
      </c>
      <c r="Z643" s="7" t="s">
        <v>4445</v>
      </c>
      <c r="AA643" s="11" t="str">
        <f>"BEGIN
     RETURN exists('DS_IS_RDS', '"&amp;Table362[[#This Row],[Lookup Table]]&amp;"', '"&amp;Table362[[#This Row],[Lookup Field]]&amp;"', "&amp;Table362[[#This Row],[IS Parameter]]&amp;");
END"</f>
        <v>BEGIN
     RETURN exists('DS_IS_RDS', 'CSKS', 'KOSTL', );
END</v>
      </c>
      <c r="AB643" s="11"/>
      <c r="AC643" s="11"/>
      <c r="AD643" s="11"/>
      <c r="AH643" s="8"/>
      <c r="AI643" s="20"/>
      <c r="AJ643" s="20"/>
      <c r="AK643" s="31"/>
      <c r="AL643" s="31"/>
    </row>
    <row r="644" spans="1:38" ht="36" hidden="1" x14ac:dyDescent="0.25">
      <c r="A644" s="14" t="s">
        <v>7297</v>
      </c>
      <c r="B644" s="7" t="s">
        <v>5877</v>
      </c>
      <c r="C644" s="7" t="s">
        <v>4918</v>
      </c>
      <c r="D644" s="7" t="s">
        <v>5978</v>
      </c>
      <c r="E644" s="7" t="s">
        <v>5978</v>
      </c>
      <c r="F644" s="7" t="s">
        <v>5978</v>
      </c>
      <c r="G644" s="7"/>
      <c r="H644" s="7"/>
      <c r="I644" s="7"/>
      <c r="J644" s="20" t="e">
        <f>VLOOKUP(V644,Table_to_BRG!A:D,3,FALSE)</f>
        <v>#N/A</v>
      </c>
      <c r="K644" s="20" t="e">
        <f>VLOOKUP(V644,Table_to_BRG!A:D,2,FALSE)</f>
        <v>#N/A</v>
      </c>
      <c r="L644" s="20"/>
      <c r="M644" s="20"/>
      <c r="N644" s="9" t="s">
        <v>6465</v>
      </c>
      <c r="O644" s="54" t="s">
        <v>7812</v>
      </c>
      <c r="P644" s="7" t="s">
        <v>4888</v>
      </c>
      <c r="Q644" s="11" t="str">
        <f>RIGHT("00"&amp;Table362[[#This Row],[Rule '#]],3)&amp;"_"&amp;IF(Table362[[#This Row],[Entity]]="Material","MATL",LEFT(UPPER(Table362[[#This Row],[Entity]]),4))&amp;"_"&amp;MID(SUBSTITUTE(Table362[[#This Row],[Rule Name]],"_","|",3),SEARCH("|",SUBSTITUTE(Table362[[#This Row],[Rule Name]],"_","|",3))+1,LEN(Table362[[#This Row],[Rule Name]]))</f>
        <v>267_PSIM_PROJ_ASTNR_WBS</v>
      </c>
      <c r="R644" s="8" t="s">
        <v>4889</v>
      </c>
      <c r="S644" s="7" t="s">
        <v>4135</v>
      </c>
      <c r="T644" s="7"/>
      <c r="U644" s="7"/>
      <c r="V644" s="7" t="s">
        <v>4919</v>
      </c>
      <c r="W644" s="7" t="s">
        <v>4979</v>
      </c>
      <c r="X644" s="8"/>
      <c r="Y644" s="7" t="s">
        <v>4980</v>
      </c>
      <c r="Z644" s="7" t="s">
        <v>4981</v>
      </c>
      <c r="AA644" s="11" t="str">
        <f>"BEGIN
     RETURN exists('DS_IS_RDS', '"&amp;Table362[[#This Row],[Lookup Table]]&amp;"', '"&amp;Table362[[#This Row],[Lookup Field]]&amp;"', "&amp;Table362[[#This Row],[IS Parameter]]&amp;");
END"</f>
        <v>BEGIN
     RETURN exists('DS_IS_RDS', 'TCJ05', 'ASTNR', );
END</v>
      </c>
      <c r="AB644" s="11"/>
      <c r="AC644" s="11"/>
      <c r="AD644" s="11"/>
      <c r="AH644" s="8"/>
      <c r="AI644" s="20"/>
      <c r="AJ644" s="20"/>
      <c r="AK644" s="31"/>
      <c r="AL644" s="31"/>
    </row>
    <row r="645" spans="1:38" ht="36" hidden="1" x14ac:dyDescent="0.25">
      <c r="A645" s="14" t="s">
        <v>7298</v>
      </c>
      <c r="B645" s="7" t="s">
        <v>5877</v>
      </c>
      <c r="C645" s="7" t="s">
        <v>4918</v>
      </c>
      <c r="D645" s="7" t="s">
        <v>5978</v>
      </c>
      <c r="E645" s="7" t="s">
        <v>5978</v>
      </c>
      <c r="F645" s="7" t="s">
        <v>5978</v>
      </c>
      <c r="G645" s="7"/>
      <c r="H645" s="7"/>
      <c r="I645" s="7"/>
      <c r="J645" s="20" t="e">
        <f>VLOOKUP(V645,Table_to_BRG!A:D,3,FALSE)</f>
        <v>#N/A</v>
      </c>
      <c r="K645" s="20" t="e">
        <f>VLOOKUP(V645,Table_to_BRG!A:D,2,FALSE)</f>
        <v>#N/A</v>
      </c>
      <c r="L645" s="20"/>
      <c r="M645" s="20"/>
      <c r="N645" s="9" t="s">
        <v>6465</v>
      </c>
      <c r="O645" s="54" t="s">
        <v>7812</v>
      </c>
      <c r="P645" s="7" t="s">
        <v>4890</v>
      </c>
      <c r="Q645" s="11" t="str">
        <f>RIGHT("00"&amp;Table362[[#This Row],[Rule '#]],3)&amp;"_"&amp;IF(Table362[[#This Row],[Entity]]="Material","MATL",LEFT(UPPER(Table362[[#This Row],[Entity]]),4))&amp;"_"&amp;MID(SUBSTITUTE(Table362[[#This Row],[Rule Name]],"_","|",3),SEARCH("|",SUBSTITUTE(Table362[[#This Row],[Rule Name]],"_","|",3))+1,LEN(Table362[[#This Row],[Rule Name]]))</f>
        <v>268_PSIM_PRPS_PSPRI_WBS</v>
      </c>
      <c r="R645" s="8" t="s">
        <v>4891</v>
      </c>
      <c r="S645" s="7" t="s">
        <v>4135</v>
      </c>
      <c r="T645" s="7"/>
      <c r="U645" s="7"/>
      <c r="V645" s="7" t="s">
        <v>4936</v>
      </c>
      <c r="W645" s="7" t="s">
        <v>4982</v>
      </c>
      <c r="X645" s="8"/>
      <c r="Y645" s="7" t="s">
        <v>4983</v>
      </c>
      <c r="Z645" s="7" t="s">
        <v>4984</v>
      </c>
      <c r="AA645" s="11" t="str">
        <f>"BEGIN
     RETURN exists('DS_IS_RDS', '"&amp;Table362[[#This Row],[Lookup Table]]&amp;"', '"&amp;Table362[[#This Row],[Lookup Field]]&amp;"', "&amp;Table362[[#This Row],[IS Parameter]]&amp;");
END"</f>
        <v>BEGIN
     RETURN exists('DS_IS_RDS', 'TCN07', 'NPRIO', );
END</v>
      </c>
      <c r="AB645" s="11"/>
      <c r="AC645" s="11"/>
      <c r="AD645" s="11"/>
      <c r="AH645" s="8"/>
      <c r="AI645" s="20"/>
      <c r="AJ645" s="20"/>
      <c r="AK645" s="31"/>
      <c r="AL645" s="31"/>
    </row>
    <row r="646" spans="1:38" ht="36" hidden="1" x14ac:dyDescent="0.25">
      <c r="A646" s="14" t="s">
        <v>7299</v>
      </c>
      <c r="B646" s="7" t="s">
        <v>5877</v>
      </c>
      <c r="C646" s="7" t="s">
        <v>4918</v>
      </c>
      <c r="D646" s="7" t="s">
        <v>5978</v>
      </c>
      <c r="E646" s="7" t="s">
        <v>5978</v>
      </c>
      <c r="F646" s="7" t="s">
        <v>5978</v>
      </c>
      <c r="G646" s="7"/>
      <c r="H646" s="7"/>
      <c r="I646" s="7"/>
      <c r="J646" s="20" t="e">
        <f>VLOOKUP(V646,Table_to_BRG!A:D,3,FALSE)</f>
        <v>#N/A</v>
      </c>
      <c r="K646" s="20" t="e">
        <f>VLOOKUP(V646,Table_to_BRG!A:D,2,FALSE)</f>
        <v>#N/A</v>
      </c>
      <c r="L646" s="20"/>
      <c r="M646" s="20"/>
      <c r="N646" s="9" t="s">
        <v>6465</v>
      </c>
      <c r="O646" s="54" t="s">
        <v>7812</v>
      </c>
      <c r="P646" s="7" t="s">
        <v>4892</v>
      </c>
      <c r="Q646" s="11" t="str">
        <f>RIGHT("00"&amp;Table362[[#This Row],[Rule '#]],3)&amp;"_"&amp;IF(Table362[[#This Row],[Entity]]="Material","MATL",LEFT(UPPER(Table362[[#This Row],[Entity]]),4))&amp;"_"&amp;MID(SUBSTITUTE(Table362[[#This Row],[Rule Name]],"_","|",3),SEARCH("|",SUBSTITUTE(Table362[[#This Row],[Rule Name]],"_","|",3))+1,LEN(Table362[[#This Row],[Rule Name]]))</f>
        <v>269_PSIM_CRCO_LSTAR_WC</v>
      </c>
      <c r="R646" s="8" t="s">
        <v>4893</v>
      </c>
      <c r="S646" s="7" t="s">
        <v>4135</v>
      </c>
      <c r="T646" s="7"/>
      <c r="U646" s="7"/>
      <c r="V646" s="7" t="s">
        <v>4950</v>
      </c>
      <c r="W646" s="7" t="s">
        <v>4473</v>
      </c>
      <c r="X646" s="8"/>
      <c r="Y646" s="7" t="s">
        <v>4535</v>
      </c>
      <c r="Z646" s="7" t="s">
        <v>4985</v>
      </c>
      <c r="AA646" s="11" t="str">
        <f>"BEGIN
     RETURN exists('DS_IS_RDS', '"&amp;Table362[[#This Row],[Lookup Table]]&amp;"', '"&amp;Table362[[#This Row],[Lookup Field]]&amp;"', "&amp;Table362[[#This Row],[IS Parameter]]&amp;");
END"</f>
        <v>BEGIN
     RETURN exists('DS_IS_RDS', 'CSLA', 'LSTAR', );
END</v>
      </c>
      <c r="AB646" s="11"/>
      <c r="AC646" s="11"/>
      <c r="AD646" s="11"/>
      <c r="AH646" s="8"/>
      <c r="AI646" s="20"/>
      <c r="AJ646" s="20"/>
      <c r="AK646" s="31"/>
      <c r="AL646" s="31"/>
    </row>
    <row r="647" spans="1:38" ht="36" hidden="1" x14ac:dyDescent="0.25">
      <c r="A647" s="14" t="s">
        <v>7300</v>
      </c>
      <c r="B647" s="7" t="s">
        <v>5877</v>
      </c>
      <c r="C647" s="7" t="s">
        <v>4918</v>
      </c>
      <c r="D647" s="7" t="s">
        <v>5978</v>
      </c>
      <c r="E647" s="7" t="s">
        <v>5978</v>
      </c>
      <c r="F647" s="7" t="s">
        <v>5978</v>
      </c>
      <c r="G647" s="7"/>
      <c r="H647" s="7"/>
      <c r="I647" s="7"/>
      <c r="J647" s="20" t="e">
        <f>VLOOKUP(V647,Table_to_BRG!A:D,3,FALSE)</f>
        <v>#N/A</v>
      </c>
      <c r="K647" s="20" t="e">
        <f>VLOOKUP(V647,Table_to_BRG!A:D,2,FALSE)</f>
        <v>#N/A</v>
      </c>
      <c r="L647" s="20"/>
      <c r="M647" s="20"/>
      <c r="N647" s="9" t="s">
        <v>6465</v>
      </c>
      <c r="O647" s="54" t="s">
        <v>7812</v>
      </c>
      <c r="P647" s="7" t="s">
        <v>4894</v>
      </c>
      <c r="Q647" s="11" t="str">
        <f>RIGHT("00"&amp;Table362[[#This Row],[Rule '#]],3)&amp;"_"&amp;IF(Table362[[#This Row],[Entity]]="Material","MATL",LEFT(UPPER(Table362[[#This Row],[Entity]]),4))&amp;"_"&amp;MID(SUBSTITUTE(Table362[[#This Row],[Rule Name]],"_","|",3),SEARCH("|",SUBSTITUTE(Table362[[#This Row],[Rule Name]],"_","|",3))+1,LEN(Table362[[#This Row],[Rule Name]]))</f>
        <v>270_PSIM_PRPS_FABKL_WBS</v>
      </c>
      <c r="R647" s="8" t="s">
        <v>4895</v>
      </c>
      <c r="S647" s="7" t="s">
        <v>4135</v>
      </c>
      <c r="T647" s="7"/>
      <c r="U647" s="7"/>
      <c r="V647" s="7" t="s">
        <v>4936</v>
      </c>
      <c r="W647" s="7" t="s">
        <v>4986</v>
      </c>
      <c r="X647" s="8"/>
      <c r="Y647" s="7" t="s">
        <v>4956</v>
      </c>
      <c r="Z647" s="7" t="s">
        <v>4957</v>
      </c>
      <c r="AA647" s="11" t="str">
        <f>"BEGIN
     RETURN exists('DS_IS_RDS', '"&amp;Table362[[#This Row],[Lookup Table]]&amp;"', '"&amp;Table362[[#This Row],[Lookup Field]]&amp;"', "&amp;Table362[[#This Row],[IS Parameter]]&amp;");
END"</f>
        <v>BEGIN
     RETURN exists('DS_IS_RDS', 'TFACD', 'IDENT', );
END</v>
      </c>
      <c r="AB647" s="11"/>
      <c r="AC647" s="11"/>
      <c r="AD647" s="11"/>
      <c r="AH647" s="8"/>
      <c r="AI647" s="20"/>
      <c r="AJ647" s="20"/>
      <c r="AK647" s="31"/>
      <c r="AL647" s="31"/>
    </row>
    <row r="648" spans="1:38" ht="36" hidden="1" x14ac:dyDescent="0.25">
      <c r="A648" s="14" t="s">
        <v>7301</v>
      </c>
      <c r="B648" s="7" t="s">
        <v>5877</v>
      </c>
      <c r="C648" s="7" t="s">
        <v>4918</v>
      </c>
      <c r="D648" s="7" t="s">
        <v>5978</v>
      </c>
      <c r="E648" s="7" t="s">
        <v>5978</v>
      </c>
      <c r="F648" s="7" t="s">
        <v>5978</v>
      </c>
      <c r="G648" s="7"/>
      <c r="H648" s="7"/>
      <c r="I648" s="7"/>
      <c r="J648" s="20" t="e">
        <f>VLOOKUP(V648,Table_to_BRG!A:D,3,FALSE)</f>
        <v>#N/A</v>
      </c>
      <c r="K648" s="20" t="e">
        <f>VLOOKUP(V648,Table_to_BRG!A:D,2,FALSE)</f>
        <v>#N/A</v>
      </c>
      <c r="L648" s="20"/>
      <c r="M648" s="20"/>
      <c r="N648" s="9" t="s">
        <v>6465</v>
      </c>
      <c r="O648" s="54" t="s">
        <v>7812</v>
      </c>
      <c r="P648" s="7" t="s">
        <v>4896</v>
      </c>
      <c r="Q648" s="11" t="str">
        <f>RIGHT("00"&amp;Table362[[#This Row],[Rule '#]],3)&amp;"_"&amp;IF(Table362[[#This Row],[Entity]]="Material","MATL",LEFT(UPPER(Table362[[#This Row],[Entity]]),4))&amp;"_"&amp;MID(SUBSTITUTE(Table362[[#This Row],[Rule Name]],"_","|",3),SEARCH("|",SUBSTITUTE(Table362[[#This Row],[Rule Name]],"_","|",3))+1,LEN(Table362[[#This Row],[Rule Name]]))</f>
        <v>271_PSIM_Dimension Of Work_WC</v>
      </c>
      <c r="R648" s="8" t="s">
        <v>4897</v>
      </c>
      <c r="S648" s="7" t="s">
        <v>4135</v>
      </c>
      <c r="T648" s="7"/>
      <c r="U648" s="7"/>
      <c r="V648" s="7" t="s">
        <v>4939</v>
      </c>
      <c r="W648" s="7" t="s">
        <v>4987</v>
      </c>
      <c r="X648" s="8"/>
      <c r="Y648" s="7" t="s">
        <v>4988</v>
      </c>
      <c r="Z648" s="7" t="s">
        <v>4989</v>
      </c>
      <c r="AA648" s="11" t="str">
        <f>"BEGIN
     RETURN exists('DS_IS_RDS', '"&amp;Table362[[#This Row],[Lookup Table]]&amp;"', '"&amp;Table362[[#This Row],[Lookup Field]]&amp;"', "&amp;Table362[[#This Row],[IS Parameter]]&amp;");
END"</f>
        <v>BEGIN
     RETURN exists('DS_IS_RDS', 'T006D', 'DIMID', );
END</v>
      </c>
      <c r="AB648" s="11"/>
      <c r="AC648" s="11"/>
      <c r="AD648" s="11"/>
      <c r="AH648" s="8"/>
      <c r="AI648" s="20"/>
      <c r="AJ648" s="20"/>
      <c r="AK648" s="31"/>
      <c r="AL648" s="31"/>
    </row>
    <row r="649" spans="1:38" ht="36" hidden="1" x14ac:dyDescent="0.25">
      <c r="A649" s="14" t="s">
        <v>7302</v>
      </c>
      <c r="B649" s="7" t="s">
        <v>5877</v>
      </c>
      <c r="C649" s="7" t="s">
        <v>4918</v>
      </c>
      <c r="D649" s="7" t="s">
        <v>5978</v>
      </c>
      <c r="E649" s="7" t="s">
        <v>5978</v>
      </c>
      <c r="F649" s="7" t="s">
        <v>5978</v>
      </c>
      <c r="G649" s="7"/>
      <c r="H649" s="7"/>
      <c r="I649" s="7"/>
      <c r="J649" s="20" t="e">
        <f>VLOOKUP(V649,Table_to_BRG!A:D,3,FALSE)</f>
        <v>#N/A</v>
      </c>
      <c r="K649" s="20" t="e">
        <f>VLOOKUP(V649,Table_to_BRG!A:D,2,FALSE)</f>
        <v>#N/A</v>
      </c>
      <c r="L649" s="20"/>
      <c r="M649" s="20"/>
      <c r="N649" s="9" t="s">
        <v>6465</v>
      </c>
      <c r="O649" s="54" t="s">
        <v>7812</v>
      </c>
      <c r="P649" s="7" t="s">
        <v>4898</v>
      </c>
      <c r="Q649" s="11" t="str">
        <f>RIGHT("00"&amp;Table362[[#This Row],[Rule '#]],3)&amp;"_"&amp;IF(Table362[[#This Row],[Entity]]="Material","MATL",LEFT(UPPER(Table362[[#This Row],[Entity]]),4))&amp;"_"&amp;MID(SUBSTITUTE(Table362[[#This Row],[Rule Name]],"_","|",3),SEARCH("|",SUBSTITUTE(Table362[[#This Row],[Rule Name]],"_","|",3))+1,LEN(Table362[[#This Row],[Rule Name]]))</f>
        <v>272_PSIM_PRHI_PSPID_WBS</v>
      </c>
      <c r="R649" s="8" t="s">
        <v>4899</v>
      </c>
      <c r="S649" s="7" t="s">
        <v>4135</v>
      </c>
      <c r="T649" s="7"/>
      <c r="U649" s="7"/>
      <c r="V649" s="7" t="s">
        <v>4925</v>
      </c>
      <c r="W649" s="7" t="s">
        <v>4929</v>
      </c>
      <c r="X649" s="8"/>
      <c r="Y649" s="7" t="s">
        <v>4919</v>
      </c>
      <c r="Z649" s="7" t="s">
        <v>4990</v>
      </c>
      <c r="AA649" s="11" t="str">
        <f>"BEGIN
     RETURN exists('DS_IS_RDS', '"&amp;Table362[[#This Row],[Lookup Table]]&amp;"', '"&amp;Table362[[#This Row],[Lookup Field]]&amp;"', "&amp;Table362[[#This Row],[IS Parameter]]&amp;");
END"</f>
        <v>BEGIN
     RETURN exists('DS_IS_RDS', 'PROJ', 'PSPID', );
END</v>
      </c>
      <c r="AB649" s="11"/>
      <c r="AC649" s="11"/>
      <c r="AD649" s="11"/>
      <c r="AH649" s="8"/>
      <c r="AI649" s="20"/>
      <c r="AJ649" s="20"/>
      <c r="AK649" s="31"/>
      <c r="AL649" s="31"/>
    </row>
    <row r="650" spans="1:38" ht="180" hidden="1" x14ac:dyDescent="0.25">
      <c r="A650" s="14" t="s">
        <v>7303</v>
      </c>
      <c r="B650" s="7" t="s">
        <v>5877</v>
      </c>
      <c r="C650" s="7" t="s">
        <v>4918</v>
      </c>
      <c r="D650" s="7" t="s">
        <v>5978</v>
      </c>
      <c r="E650" s="7" t="s">
        <v>5978</v>
      </c>
      <c r="F650" s="7" t="s">
        <v>5978</v>
      </c>
      <c r="G650" s="7"/>
      <c r="H650" s="7"/>
      <c r="I650" s="7"/>
      <c r="J650" s="20" t="e">
        <f>VLOOKUP(V650,Table_to_BRG!A:D,3,FALSE)</f>
        <v>#N/A</v>
      </c>
      <c r="K650" s="20" t="e">
        <f>VLOOKUP(V650,Table_to_BRG!A:D,2,FALSE)</f>
        <v>#N/A</v>
      </c>
      <c r="L650" s="20"/>
      <c r="M650" s="20"/>
      <c r="N650" s="9" t="s">
        <v>6465</v>
      </c>
      <c r="O650" s="54" t="s">
        <v>7812</v>
      </c>
      <c r="P650" s="7" t="s">
        <v>4900</v>
      </c>
      <c r="Q650" s="11" t="str">
        <f>RIGHT("00"&amp;Table362[[#This Row],[Rule '#]],3)&amp;"_"&amp;IF(Table362[[#This Row],[Entity]]="Material","MATL",LEFT(UPPER(Table362[[#This Row],[Entity]]),4))&amp;"_"&amp;MID(SUBSTITUTE(Table362[[#This Row],[Rule Name]],"_","|",3),SEARCH("|",SUBSTITUTE(Table362[[#This Row],[Rule Name]],"_","|",3))+1,LEN(Table362[[#This Row],[Rule Name]]))</f>
        <v>273_PSIM_TCJ04_VERNR_RP</v>
      </c>
      <c r="R650" s="8" t="s">
        <v>4883</v>
      </c>
      <c r="S650" s="7" t="s">
        <v>4135</v>
      </c>
      <c r="T650" s="7"/>
      <c r="U650" s="7"/>
      <c r="V650" s="7" t="s">
        <v>4945</v>
      </c>
      <c r="W650" s="7" t="s">
        <v>4944</v>
      </c>
      <c r="X650" s="8"/>
      <c r="Y650" s="7"/>
      <c r="Z650" s="7"/>
      <c r="AA650" s="11" t="s">
        <v>4991</v>
      </c>
      <c r="AB650" s="11"/>
      <c r="AC650" s="11"/>
      <c r="AD650" s="11"/>
      <c r="AH650" s="8"/>
      <c r="AI650" s="20"/>
      <c r="AJ650" s="20"/>
      <c r="AK650" s="31"/>
      <c r="AL650" s="31"/>
    </row>
    <row r="651" spans="1:38" ht="36" hidden="1" x14ac:dyDescent="0.25">
      <c r="A651" s="14" t="s">
        <v>7304</v>
      </c>
      <c r="B651" s="7" t="s">
        <v>5877</v>
      </c>
      <c r="C651" s="7" t="s">
        <v>4918</v>
      </c>
      <c r="D651" s="7" t="s">
        <v>5978</v>
      </c>
      <c r="E651" s="7" t="s">
        <v>5978</v>
      </c>
      <c r="F651" s="7" t="s">
        <v>5978</v>
      </c>
      <c r="G651" s="7"/>
      <c r="H651" s="7"/>
      <c r="I651" s="7"/>
      <c r="J651" s="20" t="e">
        <f>VLOOKUP(V651,Table_to_BRG!A:D,3,FALSE)</f>
        <v>#N/A</v>
      </c>
      <c r="K651" s="20" t="e">
        <f>VLOOKUP(V651,Table_to_BRG!A:D,2,FALSE)</f>
        <v>#N/A</v>
      </c>
      <c r="L651" s="20"/>
      <c r="M651" s="20"/>
      <c r="N651" s="9" t="s">
        <v>6465</v>
      </c>
      <c r="O651" s="54" t="s">
        <v>7812</v>
      </c>
      <c r="P651" s="7" t="s">
        <v>8234</v>
      </c>
      <c r="Q651" s="11" t="str">
        <f>RIGHT("00"&amp;Table362[[#This Row],[Rule '#]],3)&amp;"_"&amp;IF(Table362[[#This Row],[Entity]]="Material","MATL",LEFT(UPPER(Table362[[#This Row],[Entity]]),4))&amp;"_"&amp;MID(SUBSTITUTE(Table362[[#This Row],[Rule Name]],"_","|",3),SEARCH("|",SUBSTITUTE(Table362[[#This Row],[Rule Name]],"_","|",3))+1,LEN(Table362[[#This Row],[Rule Name]]))</f>
        <v>274_PSIM_Plant Populated_WC</v>
      </c>
      <c r="R651" s="8" t="s">
        <v>4901</v>
      </c>
      <c r="S651" s="7" t="s">
        <v>4135</v>
      </c>
      <c r="T651" s="7"/>
      <c r="U651" s="7"/>
      <c r="V651" s="7" t="s">
        <v>4939</v>
      </c>
      <c r="W651" s="7" t="s">
        <v>4144</v>
      </c>
      <c r="X651" s="8"/>
      <c r="Y651" s="7" t="s">
        <v>4145</v>
      </c>
      <c r="Z651" s="7" t="s">
        <v>1495</v>
      </c>
      <c r="AA651" s="11" t="str">
        <f>"BEGIN
     RETURN exists('DS_IS_RDS', '"&amp;Table362[[#This Row],[Lookup Table]]&amp;"', '"&amp;Table362[[#This Row],[Lookup Field]]&amp;"', "&amp;Table362[[#This Row],[IS Parameter]]&amp;");
END"</f>
        <v>BEGIN
     RETURN exists('DS_IS_RDS', 'T001W', 'WERKS', );
END</v>
      </c>
      <c r="AB651" s="11"/>
      <c r="AC651" s="11"/>
      <c r="AD651" s="11"/>
      <c r="AH651" s="8"/>
      <c r="AI651" s="20"/>
      <c r="AJ651" s="20"/>
      <c r="AK651" s="31"/>
      <c r="AL651" s="31"/>
    </row>
    <row r="652" spans="1:38" ht="36" hidden="1" x14ac:dyDescent="0.25">
      <c r="A652" s="14" t="s">
        <v>7305</v>
      </c>
      <c r="B652" s="7" t="s">
        <v>5877</v>
      </c>
      <c r="C652" s="7" t="s">
        <v>4918</v>
      </c>
      <c r="D652" s="7" t="s">
        <v>5978</v>
      </c>
      <c r="E652" s="7" t="s">
        <v>5978</v>
      </c>
      <c r="F652" s="7" t="s">
        <v>5978</v>
      </c>
      <c r="G652" s="7"/>
      <c r="H652" s="7"/>
      <c r="I652" s="7"/>
      <c r="J652" s="20" t="e">
        <f>VLOOKUP(V652,Table_to_BRG!A:D,3,FALSE)</f>
        <v>#N/A</v>
      </c>
      <c r="K652" s="20" t="e">
        <f>VLOOKUP(V652,Table_to_BRG!A:D,2,FALSE)</f>
        <v>#N/A</v>
      </c>
      <c r="L652" s="20"/>
      <c r="M652" s="20"/>
      <c r="N652" s="9" t="s">
        <v>6465</v>
      </c>
      <c r="O652" s="54" t="s">
        <v>7812</v>
      </c>
      <c r="P652" s="7" t="s">
        <v>4902</v>
      </c>
      <c r="Q652" s="11" t="str">
        <f>RIGHT("00"&amp;Table362[[#This Row],[Rule '#]],3)&amp;"_"&amp;IF(Table362[[#This Row],[Entity]]="Material","MATL",LEFT(UPPER(Table362[[#This Row],[Entity]]),4))&amp;"_"&amp;MID(SUBSTITUTE(Table362[[#This Row],[Rule Name]],"_","|",3),SEARCH("|",SUBSTITUTE(Table362[[#This Row],[Rule Name]],"_","|",3))+1,LEN(Table362[[#This Row],[Rule Name]]))</f>
        <v>275_PSIM_PROJ_WERKS_WBS</v>
      </c>
      <c r="R652" s="8" t="s">
        <v>4903</v>
      </c>
      <c r="S652" s="7" t="s">
        <v>4135</v>
      </c>
      <c r="T652" s="7"/>
      <c r="U652" s="7"/>
      <c r="V652" s="7" t="s">
        <v>4919</v>
      </c>
      <c r="W652" s="7" t="s">
        <v>4144</v>
      </c>
      <c r="X652" s="8"/>
      <c r="Y652" s="7" t="s">
        <v>4145</v>
      </c>
      <c r="Z652" s="7" t="s">
        <v>1495</v>
      </c>
      <c r="AA652" s="11" t="str">
        <f>"BEGIN
     RETURN exists('DS_IS_RDS', '"&amp;Table362[[#This Row],[Lookup Table]]&amp;"', '"&amp;Table362[[#This Row],[Lookup Field]]&amp;"', "&amp;Table362[[#This Row],[IS Parameter]]&amp;");
END"</f>
        <v>BEGIN
     RETURN exists('DS_IS_RDS', 'T001W', 'WERKS', );
END</v>
      </c>
      <c r="AB652" s="11"/>
      <c r="AC652" s="11"/>
      <c r="AD652" s="11"/>
      <c r="AH652" s="8"/>
      <c r="AI652" s="20"/>
      <c r="AJ652" s="20"/>
      <c r="AK652" s="31"/>
      <c r="AL652" s="31"/>
    </row>
    <row r="653" spans="1:38" ht="36" hidden="1" x14ac:dyDescent="0.25">
      <c r="A653" s="14" t="s">
        <v>7306</v>
      </c>
      <c r="B653" s="7" t="s">
        <v>5877</v>
      </c>
      <c r="C653" s="7" t="s">
        <v>4918</v>
      </c>
      <c r="D653" s="7" t="s">
        <v>5978</v>
      </c>
      <c r="E653" s="7" t="s">
        <v>5978</v>
      </c>
      <c r="F653" s="7" t="s">
        <v>5978</v>
      </c>
      <c r="G653" s="7"/>
      <c r="H653" s="7"/>
      <c r="I653" s="7"/>
      <c r="J653" s="20" t="e">
        <f>VLOOKUP(V653,Table_to_BRG!A:D,3,FALSE)</f>
        <v>#N/A</v>
      </c>
      <c r="K653" s="20" t="e">
        <f>VLOOKUP(V653,Table_to_BRG!A:D,2,FALSE)</f>
        <v>#N/A</v>
      </c>
      <c r="L653" s="20"/>
      <c r="M653" s="20"/>
      <c r="N653" s="9" t="s">
        <v>6465</v>
      </c>
      <c r="O653" s="54" t="s">
        <v>7812</v>
      </c>
      <c r="P653" s="7" t="s">
        <v>4904</v>
      </c>
      <c r="Q653" s="11" t="str">
        <f>RIGHT("00"&amp;Table362[[#This Row],[Rule '#]],3)&amp;"_"&amp;IF(Table362[[#This Row],[Entity]]="Material","MATL",LEFT(UPPER(Table362[[#This Row],[Entity]]),4))&amp;"_"&amp;MID(SUBSTITUTE(Table362[[#This Row],[Rule Name]],"_","|",3),SEARCH("|",SUBSTITUTE(Table362[[#This Row],[Rule Name]],"_","|",3))+1,LEN(Table362[[#This Row],[Rule Name]]))</f>
        <v>276_PSIM_PRPS_PRART_WBS</v>
      </c>
      <c r="R653" s="8" t="s">
        <v>4905</v>
      </c>
      <c r="S653" s="7" t="s">
        <v>4135</v>
      </c>
      <c r="T653" s="7"/>
      <c r="U653" s="7"/>
      <c r="V653" s="7" t="s">
        <v>4927</v>
      </c>
      <c r="W653" s="7" t="s">
        <v>4992</v>
      </c>
      <c r="X653" s="8"/>
      <c r="Y653" s="7" t="s">
        <v>4993</v>
      </c>
      <c r="Z653" s="7" t="s">
        <v>4994</v>
      </c>
      <c r="AA653" s="11" t="str">
        <f>"BEGIN
     RETURN exists('DS_IS_RDS', '"&amp;Table362[[#This Row],[Lookup Table]]&amp;"', '"&amp;Table362[[#This Row],[Lookup Field]]&amp;"', "&amp;Table362[[#This Row],[IS Parameter]]&amp;");
END"</f>
        <v>BEGIN
     RETURN exists('DS_IS_RDS', 'TCJ1', 'PRART', );
END</v>
      </c>
      <c r="AB653" s="11"/>
      <c r="AC653" s="11"/>
      <c r="AD653" s="11"/>
      <c r="AH653" s="8"/>
      <c r="AI653" s="20"/>
      <c r="AJ653" s="20"/>
      <c r="AK653" s="31"/>
      <c r="AL653" s="31"/>
    </row>
    <row r="654" spans="1:38" ht="36" hidden="1" x14ac:dyDescent="0.25">
      <c r="A654" s="14" t="s">
        <v>7307</v>
      </c>
      <c r="B654" s="7" t="s">
        <v>5877</v>
      </c>
      <c r="C654" s="7" t="s">
        <v>4918</v>
      </c>
      <c r="D654" s="7" t="s">
        <v>5978</v>
      </c>
      <c r="E654" s="7" t="s">
        <v>5978</v>
      </c>
      <c r="F654" s="7" t="s">
        <v>5978</v>
      </c>
      <c r="G654" s="7"/>
      <c r="H654" s="7"/>
      <c r="I654" s="7"/>
      <c r="J654" s="20" t="e">
        <f>VLOOKUP(V654,Table_to_BRG!A:D,3,FALSE)</f>
        <v>#N/A</v>
      </c>
      <c r="K654" s="20" t="e">
        <f>VLOOKUP(V654,Table_to_BRG!A:D,2,FALSE)</f>
        <v>#N/A</v>
      </c>
      <c r="L654" s="20"/>
      <c r="M654" s="20"/>
      <c r="N654" s="9" t="s">
        <v>6465</v>
      </c>
      <c r="O654" s="54" t="s">
        <v>7812</v>
      </c>
      <c r="P654" s="7" t="s">
        <v>4906</v>
      </c>
      <c r="Q654" s="11" t="str">
        <f>RIGHT("00"&amp;Table362[[#This Row],[Rule '#]],3)&amp;"_"&amp;IF(Table362[[#This Row],[Entity]]="Material","MATL",LEFT(UPPER(Table362[[#This Row],[Entity]]),4))&amp;"_"&amp;MID(SUBSTITUTE(Table362[[#This Row],[Rule Name]],"_","|",3),SEARCH("|",SUBSTITUTE(Table362[[#This Row],[Rule Name]],"_","|",3))+1,LEN(Table362[[#This Row],[Rule Name]]))</f>
        <v>277_PSIM_WS Category_WC</v>
      </c>
      <c r="R654" s="8" t="s">
        <v>4907</v>
      </c>
      <c r="S654" s="7" t="s">
        <v>4135</v>
      </c>
      <c r="T654" s="7"/>
      <c r="U654" s="7"/>
      <c r="V654" s="7" t="s">
        <v>4939</v>
      </c>
      <c r="W654" s="7" t="s">
        <v>4995</v>
      </c>
      <c r="X654" s="8"/>
      <c r="Y654" s="7" t="s">
        <v>4996</v>
      </c>
      <c r="Z654" s="7" t="s">
        <v>4997</v>
      </c>
      <c r="AA654" s="11" t="str">
        <f>"BEGIN
     RETURN exists('DS_IS_RDS', '"&amp;Table362[[#This Row],[Lookup Table]]&amp;"', '"&amp;Table362[[#This Row],[Lookup Field]]&amp;"', "&amp;Table362[[#This Row],[IS Parameter]]&amp;");
END"</f>
        <v>BEGIN
     RETURN exists('DS_IS_RDS', 'TC30', 'VERWE', );
END</v>
      </c>
      <c r="AB654" s="11"/>
      <c r="AC654" s="11"/>
      <c r="AD654" s="11"/>
      <c r="AH654" s="8"/>
      <c r="AI654" s="20"/>
      <c r="AJ654" s="20"/>
      <c r="AK654" s="31"/>
      <c r="AL654" s="31"/>
    </row>
    <row r="655" spans="1:38" ht="36" hidden="1" x14ac:dyDescent="0.25">
      <c r="A655" s="14" t="s">
        <v>7308</v>
      </c>
      <c r="B655" s="7" t="s">
        <v>5877</v>
      </c>
      <c r="C655" s="7" t="s">
        <v>4918</v>
      </c>
      <c r="D655" s="7" t="s">
        <v>5978</v>
      </c>
      <c r="E655" s="7" t="s">
        <v>5978</v>
      </c>
      <c r="F655" s="7" t="s">
        <v>5978</v>
      </c>
      <c r="G655" s="7"/>
      <c r="H655" s="7"/>
      <c r="I655" s="7"/>
      <c r="J655" s="20" t="e">
        <f>VLOOKUP(V655,Table_to_BRG!A:D,3,FALSE)</f>
        <v>#N/A</v>
      </c>
      <c r="K655" s="20" t="e">
        <f>VLOOKUP(V655,Table_to_BRG!A:D,2,FALSE)</f>
        <v>#N/A</v>
      </c>
      <c r="L655" s="20"/>
      <c r="M655" s="20"/>
      <c r="N655" s="9" t="s">
        <v>6465</v>
      </c>
      <c r="O655" s="54" t="s">
        <v>7812</v>
      </c>
      <c r="P655" s="7" t="s">
        <v>4908</v>
      </c>
      <c r="Q655" s="11" t="str">
        <f>RIGHT("00"&amp;Table362[[#This Row],[Rule '#]],3)&amp;"_"&amp;IF(Table362[[#This Row],[Entity]]="Material","MATL",LEFT(UPPER(Table362[[#This Row],[Entity]]),4))&amp;"_"&amp;MID(SUBSTITUTE(Table362[[#This Row],[Rule Name]],"_","|",3),SEARCH("|",SUBSTITUTE(Table362[[#This Row],[Rule Name]],"_","|",3))+1,LEN(Table362[[#This Row],[Rule Name]]))</f>
        <v>278_PSIM_PROJ_TXJCD_WBS</v>
      </c>
      <c r="R655" s="8" t="s">
        <v>4909</v>
      </c>
      <c r="S655" s="7" t="s">
        <v>4135</v>
      </c>
      <c r="T655" s="7"/>
      <c r="U655" s="7"/>
      <c r="V655" s="7" t="s">
        <v>4919</v>
      </c>
      <c r="W655" s="7" t="s">
        <v>4998</v>
      </c>
      <c r="X655" s="8"/>
      <c r="Y655" s="7" t="s">
        <v>4999</v>
      </c>
      <c r="Z655" s="7" t="s">
        <v>2962</v>
      </c>
      <c r="AA655" s="11" t="str">
        <f>"BEGIN
     RETURN exists('DS_IS_RDS', '"&amp;Table362[[#This Row],[Lookup Table]]&amp;"', '"&amp;Table362[[#This Row],[Lookup Field]]&amp;"', "&amp;Table362[[#This Row],[IS Parameter]]&amp;");
END"</f>
        <v>BEGIN
     RETURN exists('DS_IS_RDS', 'TTXJ', 'TXJCD', );
END</v>
      </c>
      <c r="AB655" s="11"/>
      <c r="AC655" s="11"/>
      <c r="AD655" s="11"/>
      <c r="AH655" s="8"/>
      <c r="AI655" s="20"/>
      <c r="AJ655" s="20"/>
      <c r="AK655" s="31"/>
      <c r="AL655" s="31"/>
    </row>
    <row r="656" spans="1:38" ht="36" hidden="1" x14ac:dyDescent="0.25">
      <c r="A656" s="14" t="s">
        <v>7309</v>
      </c>
      <c r="B656" s="7" t="s">
        <v>5877</v>
      </c>
      <c r="C656" s="7" t="s">
        <v>4918</v>
      </c>
      <c r="D656" s="7" t="s">
        <v>5978</v>
      </c>
      <c r="E656" s="7" t="s">
        <v>5978</v>
      </c>
      <c r="F656" s="7" t="s">
        <v>5978</v>
      </c>
      <c r="G656" s="7"/>
      <c r="H656" s="7"/>
      <c r="I656" s="7"/>
      <c r="J656" s="20" t="e">
        <f>VLOOKUP(V656,Table_to_BRG!A:D,3,FALSE)</f>
        <v>#N/A</v>
      </c>
      <c r="K656" s="20" t="e">
        <f>VLOOKUP(V656,Table_to_BRG!A:D,2,FALSE)</f>
        <v>#N/A</v>
      </c>
      <c r="L656" s="20"/>
      <c r="M656" s="20"/>
      <c r="N656" s="9" t="s">
        <v>6465</v>
      </c>
      <c r="O656" s="54" t="s">
        <v>7812</v>
      </c>
      <c r="P656" s="7" t="s">
        <v>4910</v>
      </c>
      <c r="Q656" s="11" t="str">
        <f>RIGHT("00"&amp;Table362[[#This Row],[Rule '#]],3)&amp;"_"&amp;IF(Table362[[#This Row],[Entity]]="Material","MATL",LEFT(UPPER(Table362[[#This Row],[Entity]]),4))&amp;"_"&amp;MID(SUBSTITUTE(Table362[[#This Row],[Rule Name]],"_","|",3),SEARCH("|",SUBSTITUTE(Table362[[#This Row],[Rule Name]],"_","|",3))+1,LEN(Table362[[#This Row],[Rule Name]]))</f>
        <v>279_PSIM_PROJ_FMPRF_WBS</v>
      </c>
      <c r="R656" s="8" t="s">
        <v>4911</v>
      </c>
      <c r="S656" s="7" t="s">
        <v>4135</v>
      </c>
      <c r="T656" s="7"/>
      <c r="U656" s="7"/>
      <c r="V656" s="7" t="s">
        <v>4919</v>
      </c>
      <c r="W656" s="7" t="s">
        <v>5000</v>
      </c>
      <c r="X656" s="8"/>
      <c r="Y656" s="7" t="s">
        <v>4959</v>
      </c>
      <c r="Z656" s="7" t="s">
        <v>4949</v>
      </c>
      <c r="AA656" s="11" t="str">
        <f>"BEGIN
     RETURN exists('DS_IS_RDS', '"&amp;Table362[[#This Row],[Lookup Table]]&amp;"', '"&amp;Table362[[#This Row],[Lookup Field]]&amp;"', "&amp;Table362[[#This Row],[IS Parameter]]&amp;");
END"</f>
        <v>BEGIN
     RETURN exists('DS_IS_RDS', 'TBP1C', 'PROFIL', );
END</v>
      </c>
      <c r="AB656" s="11"/>
      <c r="AC656" s="11"/>
      <c r="AD656" s="11"/>
      <c r="AH656" s="8"/>
      <c r="AI656" s="20"/>
      <c r="AJ656" s="20"/>
      <c r="AK656" s="31"/>
      <c r="AL656" s="31"/>
    </row>
    <row r="657" spans="1:38" ht="48" hidden="1" x14ac:dyDescent="0.25">
      <c r="A657" s="14" t="s">
        <v>7310</v>
      </c>
      <c r="B657" s="7" t="s">
        <v>5877</v>
      </c>
      <c r="C657" s="7" t="s">
        <v>4918</v>
      </c>
      <c r="D657" s="7" t="s">
        <v>5978</v>
      </c>
      <c r="E657" s="7" t="s">
        <v>5978</v>
      </c>
      <c r="F657" s="7" t="s">
        <v>5978</v>
      </c>
      <c r="G657" s="7"/>
      <c r="H657" s="7"/>
      <c r="I657" s="7"/>
      <c r="J657" s="20" t="e">
        <f>VLOOKUP(V657,Table_to_BRG!A:D,3,FALSE)</f>
        <v>#N/A</v>
      </c>
      <c r="K657" s="20" t="e">
        <f>VLOOKUP(V657,Table_to_BRG!A:D,2,FALSE)</f>
        <v>#N/A</v>
      </c>
      <c r="L657" s="20"/>
      <c r="M657" s="20"/>
      <c r="N657" s="9" t="s">
        <v>6465</v>
      </c>
      <c r="O657" s="54" t="s">
        <v>7812</v>
      </c>
      <c r="P657" s="7" t="s">
        <v>4912</v>
      </c>
      <c r="Q657" s="11" t="str">
        <f>RIGHT("00"&amp;Table362[[#This Row],[Rule '#]],3)&amp;"_"&amp;IF(Table362[[#This Row],[Entity]]="Material","MATL",LEFT(UPPER(Table362[[#This Row],[Entity]]),4))&amp;"_"&amp;MID(SUBSTITUTE(Table362[[#This Row],[Rule Name]],"_","|",3),SEARCH("|",SUBSTITUTE(Table362[[#This Row],[Rule Name]],"_","|",3))+1,LEN(Table362[[#This Row],[Rule Name]]))</f>
        <v>280_PSIM_PRPS_STUFE_WBS</v>
      </c>
      <c r="R657" s="8" t="s">
        <v>4913</v>
      </c>
      <c r="S657" s="7" t="s">
        <v>4135</v>
      </c>
      <c r="T657" s="7"/>
      <c r="U657" s="7"/>
      <c r="V657" s="7" t="s">
        <v>4927</v>
      </c>
      <c r="W657" s="7" t="s">
        <v>5001</v>
      </c>
      <c r="X657" s="8"/>
      <c r="Y657" s="7"/>
      <c r="Z657" s="7"/>
      <c r="AA657" s="11" t="s">
        <v>5002</v>
      </c>
      <c r="AB657" s="11"/>
      <c r="AC657" s="11"/>
      <c r="AD657" s="11"/>
      <c r="AH657" s="8"/>
      <c r="AI657" s="20"/>
      <c r="AJ657" s="20"/>
      <c r="AK657" s="31"/>
      <c r="AL657" s="31"/>
    </row>
    <row r="658" spans="1:38" ht="36" hidden="1" x14ac:dyDescent="0.25">
      <c r="A658" s="14" t="s">
        <v>7311</v>
      </c>
      <c r="B658" s="7" t="s">
        <v>5877</v>
      </c>
      <c r="C658" s="7" t="s">
        <v>4918</v>
      </c>
      <c r="D658" s="7" t="s">
        <v>5978</v>
      </c>
      <c r="E658" s="7" t="s">
        <v>5978</v>
      </c>
      <c r="F658" s="7" t="s">
        <v>5978</v>
      </c>
      <c r="G658" s="7"/>
      <c r="H658" s="7"/>
      <c r="I658" s="7"/>
      <c r="J658" s="20" t="e">
        <f>VLOOKUP(V658,Table_to_BRG!A:D,3,FALSE)</f>
        <v>#N/A</v>
      </c>
      <c r="K658" s="20" t="e">
        <f>VLOOKUP(V658,Table_to_BRG!A:D,2,FALSE)</f>
        <v>#N/A</v>
      </c>
      <c r="L658" s="20"/>
      <c r="M658" s="20"/>
      <c r="N658" s="9" t="s">
        <v>6465</v>
      </c>
      <c r="O658" s="54" t="s">
        <v>7812</v>
      </c>
      <c r="P658" s="7" t="s">
        <v>4914</v>
      </c>
      <c r="Q658" s="11" t="str">
        <f>RIGHT("00"&amp;Table362[[#This Row],[Rule '#]],3)&amp;"_"&amp;IF(Table362[[#This Row],[Entity]]="Material","MATL",LEFT(UPPER(Table362[[#This Row],[Entity]]),4))&amp;"_"&amp;MID(SUBSTITUTE(Table362[[#This Row],[Rule Name]],"_","|",3),SEARCH("|",SUBSTITUTE(Table362[[#This Row],[Rule Name]],"_","|",3))+1,LEN(Table362[[#This Row],[Rule Name]]))</f>
        <v>281_PSIM_KAKO_KAPAR_WC</v>
      </c>
      <c r="R658" s="8" t="s">
        <v>4915</v>
      </c>
      <c r="S658" s="7" t="s">
        <v>4135</v>
      </c>
      <c r="T658" s="7"/>
      <c r="U658" s="7"/>
      <c r="V658" s="7" t="s">
        <v>4951</v>
      </c>
      <c r="W658" s="7" t="s">
        <v>5003</v>
      </c>
      <c r="X658" s="8"/>
      <c r="Y658" s="7" t="s">
        <v>5004</v>
      </c>
      <c r="Z658" s="7" t="s">
        <v>5005</v>
      </c>
      <c r="AA658" s="11" t="str">
        <f>"BEGIN
     RETURN exists('DS_IS_RDS', '"&amp;Table362[[#This Row],[Lookup Table]]&amp;"', '"&amp;Table362[[#This Row],[Lookup Field]]&amp;"', upper("&amp;Table362[[#This Row],[IS Parameter]]&amp;");
END"</f>
        <v>BEGIN
     RETURN exists('DS_IS_RDS', 'TC26', 'KAPAR', upper();
END</v>
      </c>
      <c r="AB658" s="11"/>
      <c r="AC658" s="11"/>
      <c r="AD658" s="11"/>
      <c r="AH658" s="8"/>
      <c r="AI658" s="20"/>
      <c r="AJ658" s="20"/>
      <c r="AK658" s="31"/>
      <c r="AL658" s="31"/>
    </row>
    <row r="659" spans="1:38" ht="48" hidden="1" x14ac:dyDescent="0.25">
      <c r="A659" s="14" t="s">
        <v>7312</v>
      </c>
      <c r="B659" s="7" t="s">
        <v>5877</v>
      </c>
      <c r="C659" s="7" t="s">
        <v>4918</v>
      </c>
      <c r="D659" s="7" t="s">
        <v>5978</v>
      </c>
      <c r="E659" s="7" t="s">
        <v>5978</v>
      </c>
      <c r="F659" s="7" t="s">
        <v>5978</v>
      </c>
      <c r="G659" s="7"/>
      <c r="H659" s="7"/>
      <c r="I659" s="7"/>
      <c r="J659" s="20" t="e">
        <f>VLOOKUP(V659,Table_to_BRG!A:D,3,FALSE)</f>
        <v>#N/A</v>
      </c>
      <c r="K659" s="20" t="e">
        <f>VLOOKUP(V659,Table_to_BRG!A:D,2,FALSE)</f>
        <v>#N/A</v>
      </c>
      <c r="L659" s="20"/>
      <c r="M659" s="20"/>
      <c r="N659" s="9" t="s">
        <v>6465</v>
      </c>
      <c r="O659" s="54" t="s">
        <v>7812</v>
      </c>
      <c r="P659" s="7" t="s">
        <v>4916</v>
      </c>
      <c r="Q659" s="11" t="str">
        <f>RIGHT("00"&amp;Table362[[#This Row],[Rule '#]],3)&amp;"_"&amp;IF(Table362[[#This Row],[Entity]]="Material","MATL",LEFT(UPPER(Table362[[#This Row],[Entity]]),4))&amp;"_"&amp;MID(SUBSTITUTE(Table362[[#This Row],[Rule Name]],"_","|",3),SEARCH("|",SUBSTITUTE(Table362[[#This Row],[Rule Name]],"_","|",3))+1,LEN(Table362[[#This Row],[Rule Name]]))</f>
        <v>282_PSIM_CRCA_VETRN_WC</v>
      </c>
      <c r="R659" s="8" t="s">
        <v>4917</v>
      </c>
      <c r="S659" s="7" t="s">
        <v>4135</v>
      </c>
      <c r="T659" s="7"/>
      <c r="U659" s="7"/>
      <c r="V659" s="7" t="s">
        <v>5006</v>
      </c>
      <c r="W659" s="7" t="s">
        <v>5007</v>
      </c>
      <c r="X659" s="8"/>
      <c r="Y659" s="7" t="s">
        <v>5008</v>
      </c>
      <c r="Z659" s="7" t="s">
        <v>5009</v>
      </c>
      <c r="AA659" s="11" t="s">
        <v>5010</v>
      </c>
      <c r="AB659" s="11"/>
      <c r="AC659" s="11"/>
      <c r="AD659" s="11"/>
      <c r="AH659" s="8"/>
      <c r="AI659" s="20"/>
      <c r="AJ659" s="20"/>
      <c r="AK659" s="31"/>
      <c r="AL659" s="31"/>
    </row>
    <row r="660" spans="1:38" ht="36" hidden="1" x14ac:dyDescent="0.25">
      <c r="A660" s="14" t="s">
        <v>7313</v>
      </c>
      <c r="B660" s="7" t="s">
        <v>5877</v>
      </c>
      <c r="C660" s="7" t="s">
        <v>5011</v>
      </c>
      <c r="D660" s="7" t="s">
        <v>5978</v>
      </c>
      <c r="E660" s="7" t="s">
        <v>5978</v>
      </c>
      <c r="F660" s="7" t="s">
        <v>5978</v>
      </c>
      <c r="G660" s="7"/>
      <c r="H660" s="7"/>
      <c r="I660" s="7"/>
      <c r="J660" s="20" t="e">
        <f>VLOOKUP(V660,Table_to_BRG!A:D,3,FALSE)</f>
        <v>#N/A</v>
      </c>
      <c r="K660" s="20" t="e">
        <f>VLOOKUP(V660,Table_to_BRG!A:D,2,FALSE)</f>
        <v>#N/A</v>
      </c>
      <c r="L660" s="20"/>
      <c r="M660" s="20"/>
      <c r="N660" s="9" t="s">
        <v>6465</v>
      </c>
      <c r="O660" s="54" t="s">
        <v>7812</v>
      </c>
      <c r="P660" s="7" t="s">
        <v>5012</v>
      </c>
      <c r="Q660" s="11" t="str">
        <f>RIGHT("00"&amp;Table362[[#This Row],[Rule '#]],3)&amp;"_"&amp;IF(Table362[[#This Row],[Entity]]="Material","MATL",LEFT(UPPER(Table362[[#This Row],[Entity]]),4))&amp;"_"&amp;MID(SUBSTITUTE(Table362[[#This Row],[Rule Name]],"_","|",3),SEARCH("|",SUBSTITUTE(Table362[[#This Row],[Rule Name]],"_","|",3))+1,LEN(Table362[[#This Row],[Rule Name]]))</f>
        <v>283_PM_EQTYP_EQUIPMENT</v>
      </c>
      <c r="R660" s="8" t="s">
        <v>5013</v>
      </c>
      <c r="S660" s="7" t="s">
        <v>4135</v>
      </c>
      <c r="T660" s="7"/>
      <c r="U660" s="7"/>
      <c r="V660" s="7"/>
      <c r="W660" s="7" t="s">
        <v>5116</v>
      </c>
      <c r="X660" s="8"/>
      <c r="Y660" s="7" t="s">
        <v>5117</v>
      </c>
      <c r="Z660" s="7" t="s">
        <v>5118</v>
      </c>
      <c r="AA660" s="11" t="str">
        <f>"BEGIN
     RETURN exists('DS_IS_RDS', '"&amp;Table362[[#This Row],[Lookup Table]]&amp;"', '"&amp;Table362[[#This Row],[Lookup Field]]&amp;"', upper("&amp;Table362[[#This Row],[IS Parameter]]&amp;");
END"</f>
        <v>BEGIN
     RETURN exists('DS_IS_RDS', 'T370T', 'EQTYP', upper();
END</v>
      </c>
      <c r="AB660" s="11"/>
      <c r="AC660" s="11"/>
      <c r="AD660" s="11"/>
      <c r="AH660" s="8"/>
      <c r="AI660" s="20"/>
      <c r="AJ660" s="20"/>
      <c r="AK660" s="31"/>
      <c r="AL660" s="31"/>
    </row>
    <row r="661" spans="1:38" ht="36" hidden="1" x14ac:dyDescent="0.25">
      <c r="A661" s="14" t="s">
        <v>7314</v>
      </c>
      <c r="B661" s="7" t="s">
        <v>5877</v>
      </c>
      <c r="C661" s="7" t="s">
        <v>5011</v>
      </c>
      <c r="D661" s="7" t="s">
        <v>5978</v>
      </c>
      <c r="E661" s="7" t="s">
        <v>5978</v>
      </c>
      <c r="F661" s="7" t="s">
        <v>5978</v>
      </c>
      <c r="G661" s="7"/>
      <c r="H661" s="7"/>
      <c r="I661" s="7"/>
      <c r="J661" s="20" t="e">
        <f>VLOOKUP(V661,Table_to_BRG!A:D,3,FALSE)</f>
        <v>#N/A</v>
      </c>
      <c r="K661" s="20" t="e">
        <f>VLOOKUP(V661,Table_to_BRG!A:D,2,FALSE)</f>
        <v>#N/A</v>
      </c>
      <c r="L661" s="20"/>
      <c r="M661" s="20"/>
      <c r="N661" s="9" t="s">
        <v>6465</v>
      </c>
      <c r="O661" s="54" t="s">
        <v>7812</v>
      </c>
      <c r="P661" s="7" t="s">
        <v>5014</v>
      </c>
      <c r="Q661" s="11" t="str">
        <f>RIGHT("00"&amp;Table362[[#This Row],[Rule '#]],3)&amp;"_"&amp;IF(Table362[[#This Row],[Entity]]="Material","MATL",LEFT(UPPER(Table362[[#This Row],[Entity]]),4))&amp;"_"&amp;MID(SUBSTITUTE(Table362[[#This Row],[Rule Name]],"_","|",3),SEARCH("|",SUBSTITUTE(Table362[[#This Row],[Rule Name]],"_","|",3))+1,LEN(Table362[[#This Row],[Rule Name]]))</f>
        <v>284_PM_PLWP_PAKET_ETL</v>
      </c>
      <c r="R661" s="8" t="s">
        <v>5015</v>
      </c>
      <c r="S661" s="7" t="s">
        <v>4135</v>
      </c>
      <c r="T661" s="7"/>
      <c r="U661" s="7"/>
      <c r="V661" s="7" t="s">
        <v>5119</v>
      </c>
      <c r="W661" s="7" t="s">
        <v>5120</v>
      </c>
      <c r="X661" s="8"/>
      <c r="Y661" s="7"/>
      <c r="Z661" s="7"/>
      <c r="AA661" s="11" t="s">
        <v>5121</v>
      </c>
      <c r="AB661" s="11"/>
      <c r="AC661" s="11"/>
      <c r="AD661" s="11"/>
      <c r="AH661" s="8"/>
      <c r="AI661" s="20"/>
      <c r="AJ661" s="20"/>
      <c r="AK661" s="31"/>
      <c r="AL661" s="31"/>
    </row>
    <row r="662" spans="1:38" ht="60" hidden="1" x14ac:dyDescent="0.25">
      <c r="A662" s="14" t="s">
        <v>7315</v>
      </c>
      <c r="B662" s="7" t="s">
        <v>5877</v>
      </c>
      <c r="C662" s="7" t="s">
        <v>5011</v>
      </c>
      <c r="D662" s="7" t="s">
        <v>5978</v>
      </c>
      <c r="E662" s="7" t="s">
        <v>5978</v>
      </c>
      <c r="F662" s="7" t="s">
        <v>5978</v>
      </c>
      <c r="G662" s="7"/>
      <c r="H662" s="7"/>
      <c r="I662" s="7"/>
      <c r="J662" s="20" t="e">
        <f>VLOOKUP(V662,Table_to_BRG!A:D,3,FALSE)</f>
        <v>#N/A</v>
      </c>
      <c r="K662" s="20" t="e">
        <f>VLOOKUP(V662,Table_to_BRG!A:D,2,FALSE)</f>
        <v>#N/A</v>
      </c>
      <c r="L662" s="20"/>
      <c r="M662" s="20"/>
      <c r="N662" s="9" t="s">
        <v>6465</v>
      </c>
      <c r="O662" s="54" t="s">
        <v>7812</v>
      </c>
      <c r="P662" s="7" t="s">
        <v>5016</v>
      </c>
      <c r="Q662" s="11" t="str">
        <f>RIGHT("00"&amp;Table362[[#This Row],[Rule '#]],3)&amp;"_"&amp;IF(Table362[[#This Row],[Entity]]="Material","MATL",LEFT(UPPER(Table362[[#This Row],[Entity]]),4))&amp;"_"&amp;MID(SUBSTITUTE(Table362[[#This Row],[Rule Name]],"_","|",3),SEARCH("|",SUBSTITUTE(Table362[[#This Row],[Rule Name]],"_","|",3))+1,LEN(Table362[[#This Row],[Rule Name]]))</f>
        <v>285_PM_KOSTL_FL</v>
      </c>
      <c r="R662" s="8" t="s">
        <v>5017</v>
      </c>
      <c r="S662" s="7" t="s">
        <v>4135</v>
      </c>
      <c r="T662" s="7"/>
      <c r="U662" s="7"/>
      <c r="V662" s="7" t="s">
        <v>5122</v>
      </c>
      <c r="W662" s="7" t="s">
        <v>4521</v>
      </c>
      <c r="X662" s="8"/>
      <c r="Y662" s="7" t="s">
        <v>4444</v>
      </c>
      <c r="Z662" s="7" t="s">
        <v>4445</v>
      </c>
      <c r="AA662" s="11" t="s">
        <v>5123</v>
      </c>
      <c r="AB662" s="11"/>
      <c r="AC662" s="11"/>
      <c r="AD662" s="11"/>
      <c r="AH662" s="8"/>
      <c r="AI662" s="20"/>
      <c r="AJ662" s="20"/>
      <c r="AK662" s="31"/>
      <c r="AL662" s="31"/>
    </row>
    <row r="663" spans="1:38" ht="60" hidden="1" x14ac:dyDescent="0.25">
      <c r="A663" s="14" t="s">
        <v>7316</v>
      </c>
      <c r="B663" s="7" t="s">
        <v>5877</v>
      </c>
      <c r="C663" s="7" t="s">
        <v>5011</v>
      </c>
      <c r="D663" s="7" t="s">
        <v>5978</v>
      </c>
      <c r="E663" s="7" t="s">
        <v>5978</v>
      </c>
      <c r="F663" s="7" t="s">
        <v>5978</v>
      </c>
      <c r="G663" s="7"/>
      <c r="H663" s="7"/>
      <c r="I663" s="7"/>
      <c r="J663" s="20" t="e">
        <f>VLOOKUP(V663,Table_to_BRG!A:D,3,FALSE)</f>
        <v>#N/A</v>
      </c>
      <c r="K663" s="20" t="e">
        <f>VLOOKUP(V663,Table_to_BRG!A:D,2,FALSE)</f>
        <v>#N/A</v>
      </c>
      <c r="L663" s="20"/>
      <c r="M663" s="20"/>
      <c r="N663" s="9" t="s">
        <v>6465</v>
      </c>
      <c r="O663" s="54" t="s">
        <v>7812</v>
      </c>
      <c r="P663" s="7" t="s">
        <v>5018</v>
      </c>
      <c r="Q663" s="11" t="str">
        <f>RIGHT("00"&amp;Table362[[#This Row],[Rule '#]],3)&amp;"_"&amp;IF(Table362[[#This Row],[Entity]]="Material","MATL",LEFT(UPPER(Table362[[#This Row],[Entity]]),4))&amp;"_"&amp;MID(SUBSTITUTE(Table362[[#This Row],[Rule Name]],"_","|",3),SEARCH("|",SUBSTITUTE(Table362[[#This Row],[Rule Name]],"_","|",3))+1,LEN(Table362[[#This Row],[Rule Name]]))</f>
        <v>286_PM_HERLD_FL</v>
      </c>
      <c r="R663" s="8" t="s">
        <v>5019</v>
      </c>
      <c r="S663" s="7" t="s">
        <v>4135</v>
      </c>
      <c r="T663" s="7"/>
      <c r="U663" s="7"/>
      <c r="V663" s="7" t="s">
        <v>5124</v>
      </c>
      <c r="W663" s="7" t="s">
        <v>5125</v>
      </c>
      <c r="X663" s="8"/>
      <c r="Y663" s="7" t="s">
        <v>4152</v>
      </c>
      <c r="Z663" s="7" t="s">
        <v>2958</v>
      </c>
      <c r="AA663" s="11" t="s">
        <v>5126</v>
      </c>
      <c r="AB663" s="11"/>
      <c r="AC663" s="11"/>
      <c r="AD663" s="11"/>
      <c r="AH663" s="8"/>
      <c r="AI663" s="20"/>
      <c r="AJ663" s="20"/>
      <c r="AK663" s="31"/>
      <c r="AL663" s="31"/>
    </row>
    <row r="664" spans="1:38" ht="48" hidden="1" x14ac:dyDescent="0.25">
      <c r="A664" s="14" t="s">
        <v>7317</v>
      </c>
      <c r="B664" s="7" t="s">
        <v>5877</v>
      </c>
      <c r="C664" s="7" t="s">
        <v>5011</v>
      </c>
      <c r="D664" s="7" t="s">
        <v>5978</v>
      </c>
      <c r="E664" s="7" t="s">
        <v>5978</v>
      </c>
      <c r="F664" s="7" t="s">
        <v>5978</v>
      </c>
      <c r="G664" s="7"/>
      <c r="H664" s="7"/>
      <c r="I664" s="7"/>
      <c r="J664" s="20" t="e">
        <f>VLOOKUP(V664,Table_to_BRG!A:D,3,FALSE)</f>
        <v>#N/A</v>
      </c>
      <c r="K664" s="20" t="e">
        <f>VLOOKUP(V664,Table_to_BRG!A:D,2,FALSE)</f>
        <v>#N/A</v>
      </c>
      <c r="L664" s="20"/>
      <c r="M664" s="20"/>
      <c r="N664" s="9" t="s">
        <v>6465</v>
      </c>
      <c r="O664" s="54" t="s">
        <v>7812</v>
      </c>
      <c r="P664" s="7" t="s">
        <v>4308</v>
      </c>
      <c r="Q664" s="11" t="str">
        <f>RIGHT("00"&amp;Table362[[#This Row],[Rule '#]],3)&amp;"_"&amp;IF(Table362[[#This Row],[Entity]]="Material","MATL",LEFT(UPPER(Table362[[#This Row],[Entity]]),4))&amp;"_"&amp;MID(SUBSTITUTE(Table362[[#This Row],[Rule Name]],"_","|",3),SEARCH("|",SUBSTITUTE(Table362[[#This Row],[Rule Name]],"_","|",3))+1,LEN(Table362[[#This Row],[Rule Name]]))</f>
        <v>287_PM_IS_MANDATORY</v>
      </c>
      <c r="R664" s="8" t="s">
        <v>4309</v>
      </c>
      <c r="S664" s="7" t="s">
        <v>21</v>
      </c>
      <c r="T664" s="7"/>
      <c r="U664" s="7"/>
      <c r="V664" s="7"/>
      <c r="W664" s="7" t="s">
        <v>4461</v>
      </c>
      <c r="X664" s="8"/>
      <c r="Y664" s="7"/>
      <c r="Z664" s="7"/>
      <c r="AA664" s="11" t="s">
        <v>4462</v>
      </c>
      <c r="AB664" s="11"/>
      <c r="AC664" s="11"/>
      <c r="AD664" s="11"/>
      <c r="AH664" s="8"/>
      <c r="AI664" s="20"/>
      <c r="AJ664" s="20"/>
      <c r="AK664" s="31"/>
      <c r="AL664" s="31"/>
    </row>
    <row r="665" spans="1:38" ht="36" hidden="1" x14ac:dyDescent="0.25">
      <c r="A665" s="14" t="s">
        <v>7318</v>
      </c>
      <c r="B665" s="7" t="s">
        <v>5877</v>
      </c>
      <c r="C665" s="7" t="s">
        <v>5011</v>
      </c>
      <c r="D665" s="7" t="s">
        <v>5978</v>
      </c>
      <c r="E665" s="7" t="s">
        <v>5978</v>
      </c>
      <c r="F665" s="7" t="s">
        <v>5978</v>
      </c>
      <c r="G665" s="7"/>
      <c r="H665" s="7"/>
      <c r="I665" s="7"/>
      <c r="J665" s="20" t="e">
        <f>VLOOKUP(V665,Table_to_BRG!A:D,3,FALSE)</f>
        <v>#N/A</v>
      </c>
      <c r="K665" s="20" t="e">
        <f>VLOOKUP(V665,Table_to_BRG!A:D,2,FALSE)</f>
        <v>#N/A</v>
      </c>
      <c r="L665" s="20"/>
      <c r="M665" s="20"/>
      <c r="N665" s="9" t="s">
        <v>6465</v>
      </c>
      <c r="O665" s="54" t="s">
        <v>7812</v>
      </c>
      <c r="P665" s="7" t="s">
        <v>5020</v>
      </c>
      <c r="Q665" s="11" t="str">
        <f>RIGHT("00"&amp;Table362[[#This Row],[Rule '#]],3)&amp;"_"&amp;IF(Table362[[#This Row],[Entity]]="Material","MATL",LEFT(UPPER(Table362[[#This Row],[Entity]]),4))&amp;"_"&amp;MID(SUBSTITUTE(Table362[[#This Row],[Rule Name]],"_","|",3),SEARCH("|",SUBSTITUTE(Table362[[#This Row],[Rule Name]],"_","|",3))+1,LEN(Table362[[#This Row],[Rule Name]]))</f>
        <v>288_PM_SWERK_FL</v>
      </c>
      <c r="R665" s="8" t="s">
        <v>5021</v>
      </c>
      <c r="S665" s="7" t="s">
        <v>4135</v>
      </c>
      <c r="T665" s="7"/>
      <c r="U665" s="7"/>
      <c r="V665" s="7" t="s">
        <v>5122</v>
      </c>
      <c r="W665" s="7" t="s">
        <v>5127</v>
      </c>
      <c r="X665" s="8"/>
      <c r="Y665" s="7" t="s">
        <v>4145</v>
      </c>
      <c r="Z665" s="7" t="s">
        <v>1495</v>
      </c>
      <c r="AA665" s="11" t="str">
        <f>"BEGIN
     RETURN exists('DS_IS_RDS', '"&amp;Table362[[#This Row],[Lookup Table]]&amp;"', '"&amp;Table362[[#This Row],[Lookup Field]]&amp;"', upper("&amp;Table362[[#This Row],[IS Parameter]]&amp;");
END"</f>
        <v>BEGIN
     RETURN exists('DS_IS_RDS', 'T001W', 'WERKS', upper();
END</v>
      </c>
      <c r="AB665" s="11"/>
      <c r="AC665" s="11"/>
      <c r="AD665" s="11"/>
      <c r="AH665" s="8"/>
      <c r="AI665" s="20"/>
      <c r="AJ665" s="20"/>
      <c r="AK665" s="31"/>
      <c r="AL665" s="31"/>
    </row>
    <row r="666" spans="1:38" ht="60" hidden="1" x14ac:dyDescent="0.25">
      <c r="A666" s="14" t="s">
        <v>7319</v>
      </c>
      <c r="B666" s="7" t="s">
        <v>5877</v>
      </c>
      <c r="C666" s="7" t="s">
        <v>5011</v>
      </c>
      <c r="D666" s="7" t="s">
        <v>5978</v>
      </c>
      <c r="E666" s="7" t="s">
        <v>5978</v>
      </c>
      <c r="F666" s="7" t="s">
        <v>5978</v>
      </c>
      <c r="G666" s="7"/>
      <c r="H666" s="7"/>
      <c r="I666" s="7"/>
      <c r="J666" s="20" t="e">
        <f>VLOOKUP(V666,Table_to_BRG!A:D,3,FALSE)</f>
        <v>#N/A</v>
      </c>
      <c r="K666" s="20" t="e">
        <f>VLOOKUP(V666,Table_to_BRG!A:D,2,FALSE)</f>
        <v>#N/A</v>
      </c>
      <c r="L666" s="20"/>
      <c r="M666" s="20"/>
      <c r="N666" s="9" t="s">
        <v>6465</v>
      </c>
      <c r="O666" s="54" t="s">
        <v>7812</v>
      </c>
      <c r="P666" s="7" t="s">
        <v>5022</v>
      </c>
      <c r="Q666" s="11" t="str">
        <f>RIGHT("00"&amp;Table362[[#This Row],[Rule '#]],3)&amp;"_"&amp;IF(Table362[[#This Row],[Entity]]="Material","MATL",LEFT(UPPER(Table362[[#This Row],[Entity]]),4))&amp;"_"&amp;MID(SUBSTITUTE(Table362[[#This Row],[Rule Name]],"_","|",3),SEARCH("|",SUBSTITUTE(Table362[[#This Row],[Rule Name]],"_","|",3))+1,LEN(Table362[[#This Row],[Rule Name]]))</f>
        <v>289_PM_HEQUI_EQUIPMENT</v>
      </c>
      <c r="R666" s="8" t="s">
        <v>5023</v>
      </c>
      <c r="S666" s="7" t="s">
        <v>4135</v>
      </c>
      <c r="T666" s="7"/>
      <c r="U666" s="7"/>
      <c r="V666" s="7" t="s">
        <v>5128</v>
      </c>
      <c r="W666" s="7" t="s">
        <v>5129</v>
      </c>
      <c r="X666" s="8"/>
      <c r="Y666" s="7" t="s">
        <v>5124</v>
      </c>
      <c r="Z666" s="7" t="s">
        <v>5130</v>
      </c>
      <c r="AA666" s="11" t="s">
        <v>5131</v>
      </c>
      <c r="AB666" s="11"/>
      <c r="AC666" s="11"/>
      <c r="AD666" s="11"/>
      <c r="AH666" s="8"/>
      <c r="AI666" s="20"/>
      <c r="AJ666" s="20"/>
      <c r="AK666" s="31"/>
      <c r="AL666" s="31"/>
    </row>
    <row r="667" spans="1:38" ht="36" hidden="1" x14ac:dyDescent="0.25">
      <c r="A667" s="14" t="s">
        <v>7320</v>
      </c>
      <c r="B667" s="7" t="s">
        <v>5877</v>
      </c>
      <c r="C667" s="7" t="s">
        <v>5011</v>
      </c>
      <c r="D667" s="7" t="s">
        <v>5978</v>
      </c>
      <c r="E667" s="7" t="s">
        <v>5978</v>
      </c>
      <c r="F667" s="7" t="s">
        <v>5978</v>
      </c>
      <c r="G667" s="7"/>
      <c r="H667" s="7"/>
      <c r="I667" s="7"/>
      <c r="J667" s="20" t="e">
        <f>VLOOKUP(V667,Table_to_BRG!A:D,3,FALSE)</f>
        <v>#N/A</v>
      </c>
      <c r="K667" s="20" t="e">
        <f>VLOOKUP(V667,Table_to_BRG!A:D,2,FALSE)</f>
        <v>#N/A</v>
      </c>
      <c r="L667" s="20"/>
      <c r="M667" s="20"/>
      <c r="N667" s="9" t="s">
        <v>6465</v>
      </c>
      <c r="O667" s="54" t="s">
        <v>7812</v>
      </c>
      <c r="P667" s="7" t="s">
        <v>5024</v>
      </c>
      <c r="Q667" s="11" t="e">
        <f>RIGHT("00"&amp;Table362[[#This Row],[Rule '#]],3)&amp;"_"&amp;IF(Table362[[#This Row],[Entity]]="Material","MATL",LEFT(UPPER(Table362[[#This Row],[Entity]]),4))&amp;"_"&amp;MID(SUBSTITUTE(Table362[[#This Row],[Rule Name]],"_","|",3),SEARCH("|",SUBSTITUTE(Table362[[#This Row],[Rule Name]],"_","|",3))+1,LEN(Table362[[#This Row],[Rule Name]]))</f>
        <v>#VALUE!</v>
      </c>
      <c r="R667" s="8"/>
      <c r="S667" s="7" t="s">
        <v>4135</v>
      </c>
      <c r="T667" s="7"/>
      <c r="U667" s="7"/>
      <c r="V667" s="7"/>
      <c r="W667" s="7" t="s">
        <v>4151</v>
      </c>
      <c r="X667" s="8"/>
      <c r="Y667" s="7"/>
      <c r="Z667" s="7"/>
      <c r="AA667" s="11" t="s">
        <v>4597</v>
      </c>
      <c r="AB667" s="11"/>
      <c r="AC667" s="11" t="s">
        <v>6813</v>
      </c>
      <c r="AD667" s="11"/>
      <c r="AH667" s="8"/>
      <c r="AI667" s="20"/>
      <c r="AJ667" s="20"/>
      <c r="AK667" s="31"/>
      <c r="AL667" s="31"/>
    </row>
    <row r="668" spans="1:38" ht="36" hidden="1" x14ac:dyDescent="0.25">
      <c r="A668" s="14" t="s">
        <v>7321</v>
      </c>
      <c r="B668" s="7" t="s">
        <v>5877</v>
      </c>
      <c r="C668" s="7" t="s">
        <v>5011</v>
      </c>
      <c r="D668" s="7" t="s">
        <v>5978</v>
      </c>
      <c r="E668" s="7" t="s">
        <v>5978</v>
      </c>
      <c r="F668" s="7" t="s">
        <v>5978</v>
      </c>
      <c r="G668" s="7"/>
      <c r="H668" s="7"/>
      <c r="I668" s="7"/>
      <c r="J668" s="20" t="e">
        <f>VLOOKUP(V668,Table_to_BRG!A:D,3,FALSE)</f>
        <v>#N/A</v>
      </c>
      <c r="K668" s="20" t="e">
        <f>VLOOKUP(V668,Table_to_BRG!A:D,2,FALSE)</f>
        <v>#N/A</v>
      </c>
      <c r="L668" s="20"/>
      <c r="M668" s="20"/>
      <c r="N668" s="9" t="s">
        <v>6465</v>
      </c>
      <c r="O668" s="54" t="s">
        <v>7812</v>
      </c>
      <c r="P668" s="7" t="s">
        <v>5025</v>
      </c>
      <c r="Q668" s="11" t="str">
        <f>RIGHT("00"&amp;Table362[[#This Row],[Rule '#]],3)&amp;"_"&amp;IF(Table362[[#This Row],[Entity]]="Material","MATL",LEFT(UPPER(Table362[[#This Row],[Entity]]),4))&amp;"_"&amp;MID(SUBSTITUTE(Table362[[#This Row],[Rule Name]],"_","|",3),SEARCH("|",SUBSTITUTE(Table362[[#This Row],[Rule Name]],"_","|",3))+1,LEN(Table362[[#This Row],[Rule Name]]))</f>
        <v>291_PM_IWERK_TL</v>
      </c>
      <c r="R668" s="8" t="s">
        <v>5026</v>
      </c>
      <c r="S668" s="7" t="s">
        <v>4135</v>
      </c>
      <c r="T668" s="7"/>
      <c r="U668" s="7"/>
      <c r="V668" s="7" t="s">
        <v>5132</v>
      </c>
      <c r="W668" s="7" t="s">
        <v>5133</v>
      </c>
      <c r="X668" s="8"/>
      <c r="Y668" s="7" t="s">
        <v>4145</v>
      </c>
      <c r="Z668" s="7" t="s">
        <v>1495</v>
      </c>
      <c r="AA668" s="11" t="str">
        <f>"BEGIN
     RETURN exists('DS_IS_RDS', '"&amp;Table362[[#This Row],[Lookup Table]]&amp;"', '"&amp;Table362[[#This Row],[Lookup Field]]&amp;"', upper("&amp;Table362[[#This Row],[IS Parameter]]&amp;");
END"</f>
        <v>BEGIN
     RETURN exists('DS_IS_RDS', 'T001W', 'WERKS', upper();
END</v>
      </c>
      <c r="AB668" s="11"/>
      <c r="AC668" s="11"/>
      <c r="AD668" s="11"/>
      <c r="AH668" s="8"/>
      <c r="AI668" s="20"/>
      <c r="AJ668" s="20"/>
      <c r="AK668" s="31"/>
      <c r="AL668" s="31"/>
    </row>
    <row r="669" spans="1:38" ht="60" hidden="1" x14ac:dyDescent="0.25">
      <c r="A669" s="14" t="s">
        <v>7322</v>
      </c>
      <c r="B669" s="7" t="s">
        <v>5877</v>
      </c>
      <c r="C669" s="7" t="s">
        <v>5011</v>
      </c>
      <c r="D669" s="7" t="s">
        <v>5978</v>
      </c>
      <c r="E669" s="7" t="s">
        <v>5978</v>
      </c>
      <c r="F669" s="7" t="s">
        <v>5978</v>
      </c>
      <c r="G669" s="7"/>
      <c r="H669" s="7"/>
      <c r="I669" s="7"/>
      <c r="J669" s="20" t="e">
        <f>VLOOKUP(V669,Table_to_BRG!A:D,3,FALSE)</f>
        <v>#N/A</v>
      </c>
      <c r="K669" s="20" t="e">
        <f>VLOOKUP(V669,Table_to_BRG!A:D,2,FALSE)</f>
        <v>#N/A</v>
      </c>
      <c r="L669" s="20"/>
      <c r="M669" s="20"/>
      <c r="N669" s="9" t="s">
        <v>6465</v>
      </c>
      <c r="O669" s="54" t="s">
        <v>7812</v>
      </c>
      <c r="P669" s="7" t="s">
        <v>5027</v>
      </c>
      <c r="Q669" s="11" t="str">
        <f>RIGHT("00"&amp;Table362[[#This Row],[Rule '#]],3)&amp;"_"&amp;IF(Table362[[#This Row],[Entity]]="Material","MATL",LEFT(UPPER(Table362[[#This Row],[Entity]]),4))&amp;"_"&amp;MID(SUBSTITUTE(Table362[[#This Row],[Rule Name]],"_","|",3),SEARCH("|",SUBSTITUTE(Table362[[#This Row],[Rule Name]],"_","|",3))+1,LEN(Table362[[#This Row],[Rule Name]]))</f>
        <v>292_PM_INGRP_FL</v>
      </c>
      <c r="R669" s="8" t="s">
        <v>5021</v>
      </c>
      <c r="S669" s="7" t="s">
        <v>4135</v>
      </c>
      <c r="T669" s="7"/>
      <c r="U669" s="7"/>
      <c r="V669" s="7" t="s">
        <v>5122</v>
      </c>
      <c r="W669" s="7" t="s">
        <v>5134</v>
      </c>
      <c r="X669" s="8"/>
      <c r="Y669" s="7" t="s">
        <v>5135</v>
      </c>
      <c r="Z669" s="7" t="s">
        <v>5136</v>
      </c>
      <c r="AA669" s="11" t="s">
        <v>5137</v>
      </c>
      <c r="AB669" s="11"/>
      <c r="AC669" s="11"/>
      <c r="AD669" s="11"/>
      <c r="AH669" s="8"/>
      <c r="AI669" s="20"/>
      <c r="AJ669" s="20"/>
      <c r="AK669" s="31"/>
      <c r="AL669" s="31"/>
    </row>
    <row r="670" spans="1:38" ht="60" hidden="1" x14ac:dyDescent="0.25">
      <c r="A670" s="14" t="s">
        <v>7323</v>
      </c>
      <c r="B670" s="7" t="s">
        <v>5877</v>
      </c>
      <c r="C670" s="7" t="s">
        <v>5011</v>
      </c>
      <c r="D670" s="7" t="s">
        <v>5978</v>
      </c>
      <c r="E670" s="7" t="s">
        <v>5978</v>
      </c>
      <c r="F670" s="7" t="s">
        <v>5978</v>
      </c>
      <c r="G670" s="7"/>
      <c r="H670" s="7"/>
      <c r="I670" s="7"/>
      <c r="J670" s="20" t="e">
        <f>VLOOKUP(V670,Table_to_BRG!A:D,3,FALSE)</f>
        <v>#N/A</v>
      </c>
      <c r="K670" s="20" t="e">
        <f>VLOOKUP(V670,Table_to_BRG!A:D,2,FALSE)</f>
        <v>#N/A</v>
      </c>
      <c r="L670" s="20"/>
      <c r="M670" s="20"/>
      <c r="N670" s="9" t="s">
        <v>6465</v>
      </c>
      <c r="O670" s="54" t="s">
        <v>7812</v>
      </c>
      <c r="P670" s="7" t="s">
        <v>5028</v>
      </c>
      <c r="Q670" s="11" t="str">
        <f>RIGHT("00"&amp;Table362[[#This Row],[Rule '#]],3)&amp;"_"&amp;IF(Table362[[#This Row],[Entity]]="Material","MATL",LEFT(UPPER(Table362[[#This Row],[Entity]]),4))&amp;"_"&amp;MID(SUBSTITUTE(Table362[[#This Row],[Rule Name]],"_","|",3),SEARCH("|",SUBSTITUTE(Table362[[#This Row],[Rule Name]],"_","|",3))+1,LEN(Table362[[#This Row],[Rule Name]]))</f>
        <v>293_PM_PLAN_SORT_MP</v>
      </c>
      <c r="R670" s="8" t="s">
        <v>5029</v>
      </c>
      <c r="S670" s="7" t="s">
        <v>4135</v>
      </c>
      <c r="T670" s="7"/>
      <c r="U670" s="7"/>
      <c r="V670" s="7" t="s">
        <v>5138</v>
      </c>
      <c r="W670" s="7" t="s">
        <v>5139</v>
      </c>
      <c r="X670" s="8"/>
      <c r="Y670" s="7" t="s">
        <v>5140</v>
      </c>
      <c r="Z670" s="7" t="s">
        <v>5141</v>
      </c>
      <c r="AA670" s="11" t="s">
        <v>5142</v>
      </c>
      <c r="AB670" s="11"/>
      <c r="AC670" s="11"/>
      <c r="AD670" s="11"/>
      <c r="AH670" s="8"/>
      <c r="AI670" s="20"/>
      <c r="AJ670" s="20"/>
      <c r="AK670" s="31"/>
      <c r="AL670" s="31"/>
    </row>
    <row r="671" spans="1:38" ht="60" hidden="1" x14ac:dyDescent="0.25">
      <c r="A671" s="14" t="s">
        <v>7324</v>
      </c>
      <c r="B671" s="7" t="s">
        <v>5877</v>
      </c>
      <c r="C671" s="7" t="s">
        <v>5011</v>
      </c>
      <c r="D671" s="7" t="s">
        <v>5978</v>
      </c>
      <c r="E671" s="7" t="s">
        <v>5978</v>
      </c>
      <c r="F671" s="7" t="s">
        <v>5978</v>
      </c>
      <c r="G671" s="7"/>
      <c r="H671" s="7"/>
      <c r="I671" s="7"/>
      <c r="J671" s="20" t="e">
        <f>VLOOKUP(V671,Table_to_BRG!A:D,3,FALSE)</f>
        <v>#N/A</v>
      </c>
      <c r="K671" s="20" t="e">
        <f>VLOOKUP(V671,Table_to_BRG!A:D,2,FALSE)</f>
        <v>#N/A</v>
      </c>
      <c r="L671" s="20"/>
      <c r="M671" s="20"/>
      <c r="N671" s="9" t="s">
        <v>6465</v>
      </c>
      <c r="O671" s="54" t="s">
        <v>7812</v>
      </c>
      <c r="P671" s="7" t="s">
        <v>5030</v>
      </c>
      <c r="Q671" s="11" t="str">
        <f>RIGHT("00"&amp;Table362[[#This Row],[Rule '#]],3)&amp;"_"&amp;IF(Table362[[#This Row],[Entity]]="Material","MATL",LEFT(UPPER(Table362[[#This Row],[Entity]]),4))&amp;"_"&amp;MID(SUBSTITUTE(Table362[[#This Row],[Rule Name]],"_","|",3),SEARCH("|",SUBSTITUTE(Table362[[#This Row],[Rule Name]],"_","|",3))+1,LEN(Table362[[#This Row],[Rule Name]]))</f>
        <v>294_PM_GEWEI_EQUIPMENT</v>
      </c>
      <c r="R671" s="8" t="s">
        <v>5013</v>
      </c>
      <c r="S671" s="7" t="s">
        <v>4135</v>
      </c>
      <c r="T671" s="7"/>
      <c r="U671" s="7"/>
      <c r="V671" s="7" t="s">
        <v>5124</v>
      </c>
      <c r="W671" s="7" t="s">
        <v>5143</v>
      </c>
      <c r="X671" s="8"/>
      <c r="Y671" s="7" t="s">
        <v>4192</v>
      </c>
      <c r="Z671" s="7" t="s">
        <v>4143</v>
      </c>
      <c r="AA671" s="11" t="s">
        <v>5144</v>
      </c>
      <c r="AB671" s="11"/>
      <c r="AC671" s="11"/>
      <c r="AD671" s="11"/>
      <c r="AH671" s="8"/>
      <c r="AI671" s="20"/>
      <c r="AJ671" s="20"/>
      <c r="AK671" s="31"/>
      <c r="AL671" s="31"/>
    </row>
    <row r="672" spans="1:38" ht="36" hidden="1" x14ac:dyDescent="0.25">
      <c r="A672" s="14" t="s">
        <v>7325</v>
      </c>
      <c r="B672" s="7" t="s">
        <v>5877</v>
      </c>
      <c r="C672" s="7" t="s">
        <v>5011</v>
      </c>
      <c r="D672" s="7" t="s">
        <v>5978</v>
      </c>
      <c r="E672" s="7" t="s">
        <v>5978</v>
      </c>
      <c r="F672" s="7" t="s">
        <v>5978</v>
      </c>
      <c r="G672" s="7"/>
      <c r="H672" s="7"/>
      <c r="I672" s="7"/>
      <c r="J672" s="20" t="e">
        <f>VLOOKUP(V672,Table_to_BRG!A:D,3,FALSE)</f>
        <v>#N/A</v>
      </c>
      <c r="K672" s="20" t="e">
        <f>VLOOKUP(V672,Table_to_BRG!A:D,2,FALSE)</f>
        <v>#N/A</v>
      </c>
      <c r="L672" s="20"/>
      <c r="M672" s="20"/>
      <c r="N672" s="9" t="s">
        <v>6465</v>
      </c>
      <c r="O672" s="54" t="s">
        <v>7812</v>
      </c>
      <c r="P672" s="7" t="s">
        <v>5031</v>
      </c>
      <c r="Q672" s="11" t="str">
        <f>RIGHT("00"&amp;Table362[[#This Row],[Rule '#]],3)&amp;"_"&amp;IF(Table362[[#This Row],[Entity]]="Material","MATL",LEFT(UPPER(Table362[[#This Row],[Entity]]),4))&amp;"_"&amp;MID(SUBSTITUTE(Table362[[#This Row],[Rule Name]],"_","|",3),SEARCH("|",SUBSTITUTE(Table362[[#This Row],[Rule Name]],"_","|",3))+1,LEN(Table362[[#This Row],[Rule Name]]))</f>
        <v>295_PM_ABCKZ_FL</v>
      </c>
      <c r="R672" s="8" t="s">
        <v>5032</v>
      </c>
      <c r="S672" s="7" t="s">
        <v>4135</v>
      </c>
      <c r="T672" s="7"/>
      <c r="U672" s="7"/>
      <c r="V672" s="7" t="s">
        <v>5145</v>
      </c>
      <c r="W672" s="7" t="s">
        <v>5146</v>
      </c>
      <c r="X672" s="8"/>
      <c r="Y672" s="7"/>
      <c r="Z672" s="7"/>
      <c r="AA672" s="11" t="s">
        <v>5147</v>
      </c>
      <c r="AB672" s="11"/>
      <c r="AC672" s="11"/>
      <c r="AD672" s="11"/>
      <c r="AH672" s="8"/>
      <c r="AI672" s="20"/>
      <c r="AJ672" s="20"/>
      <c r="AK672" s="31"/>
      <c r="AL672" s="31"/>
    </row>
    <row r="673" spans="1:38" ht="60" hidden="1" x14ac:dyDescent="0.25">
      <c r="A673" s="14" t="s">
        <v>7326</v>
      </c>
      <c r="B673" s="7" t="s">
        <v>5877</v>
      </c>
      <c r="C673" s="7" t="s">
        <v>5011</v>
      </c>
      <c r="D673" s="7" t="s">
        <v>5978</v>
      </c>
      <c r="E673" s="7" t="s">
        <v>5978</v>
      </c>
      <c r="F673" s="7" t="s">
        <v>5978</v>
      </c>
      <c r="G673" s="7"/>
      <c r="H673" s="7"/>
      <c r="I673" s="7"/>
      <c r="J673" s="20" t="e">
        <f>VLOOKUP(V673,Table_to_BRG!A:D,3,FALSE)</f>
        <v>#N/A</v>
      </c>
      <c r="K673" s="20" t="e">
        <f>VLOOKUP(V673,Table_to_BRG!A:D,2,FALSE)</f>
        <v>#N/A</v>
      </c>
      <c r="L673" s="20"/>
      <c r="M673" s="20"/>
      <c r="N673" s="9" t="s">
        <v>6465</v>
      </c>
      <c r="O673" s="54" t="s">
        <v>7812</v>
      </c>
      <c r="P673" s="7" t="s">
        <v>5033</v>
      </c>
      <c r="Q673" s="11" t="str">
        <f>RIGHT("00"&amp;Table362[[#This Row],[Rule '#]],3)&amp;"_"&amp;IF(Table362[[#This Row],[Entity]]="Material","MATL",LEFT(UPPER(Table362[[#This Row],[Entity]]),4))&amp;"_"&amp;MID(SUBSTITUTE(Table362[[#This Row],[Rule Name]],"_","|",3),SEARCH("|",SUBSTITUTE(Table362[[#This Row],[Rule Name]],"_","|",3))+1,LEN(Table362[[#This Row],[Rule Name]]))</f>
        <v>296_PM_CRHD_ARBPL_WC</v>
      </c>
      <c r="R673" s="8" t="s">
        <v>5034</v>
      </c>
      <c r="S673" s="7" t="s">
        <v>4135</v>
      </c>
      <c r="T673" s="7"/>
      <c r="U673" s="7"/>
      <c r="V673" s="7" t="s">
        <v>5034</v>
      </c>
      <c r="W673" s="7" t="s">
        <v>4963</v>
      </c>
      <c r="X673" s="8"/>
      <c r="Y673" s="7"/>
      <c r="Z673" s="7"/>
      <c r="AA673" s="11" t="s">
        <v>5148</v>
      </c>
      <c r="AB673" s="11"/>
      <c r="AC673" s="11"/>
      <c r="AD673" s="11"/>
      <c r="AH673" s="8"/>
      <c r="AI673" s="20"/>
      <c r="AJ673" s="20"/>
      <c r="AK673" s="31"/>
      <c r="AL673" s="31"/>
    </row>
    <row r="674" spans="1:38" ht="36" hidden="1" x14ac:dyDescent="0.25">
      <c r="A674" s="14" t="s">
        <v>7327</v>
      </c>
      <c r="B674" s="7" t="s">
        <v>5877</v>
      </c>
      <c r="C674" s="7" t="s">
        <v>5011</v>
      </c>
      <c r="D674" s="7" t="s">
        <v>5978</v>
      </c>
      <c r="E674" s="7" t="s">
        <v>5978</v>
      </c>
      <c r="F674" s="7" t="s">
        <v>5978</v>
      </c>
      <c r="G674" s="7"/>
      <c r="H674" s="7"/>
      <c r="I674" s="7"/>
      <c r="J674" s="20" t="e">
        <f>VLOOKUP(V674,Table_to_BRG!A:D,3,FALSE)</f>
        <v>#N/A</v>
      </c>
      <c r="K674" s="20" t="e">
        <f>VLOOKUP(V674,Table_to_BRG!A:D,2,FALSE)</f>
        <v>#N/A</v>
      </c>
      <c r="L674" s="20"/>
      <c r="M674" s="20"/>
      <c r="N674" s="9" t="s">
        <v>6465</v>
      </c>
      <c r="O674" s="54" t="s">
        <v>7812</v>
      </c>
      <c r="P674" s="7" t="s">
        <v>5035</v>
      </c>
      <c r="Q674" s="11" t="str">
        <f>RIGHT("00"&amp;Table362[[#This Row],[Rule '#]],3)&amp;"_"&amp;IF(Table362[[#This Row],[Entity]]="Material","MATL",LEFT(UPPER(Table362[[#This Row],[Entity]]),4))&amp;"_"&amp;MID(SUBSTITUTE(Table362[[#This Row],[Rule Name]],"_","|",3),SEARCH("|",SUBSTITUTE(Table362[[#This Row],[Rule Name]],"_","|",3))+1,LEN(Table362[[#This Row],[Rule Name]]))</f>
        <v>297_PM_SWERK_EQUIPMENT</v>
      </c>
      <c r="R674" s="8" t="s">
        <v>5023</v>
      </c>
      <c r="S674" s="7" t="s">
        <v>4135</v>
      </c>
      <c r="T674" s="7"/>
      <c r="U674" s="7"/>
      <c r="V674" s="7" t="s">
        <v>5128</v>
      </c>
      <c r="W674" s="7" t="s">
        <v>5127</v>
      </c>
      <c r="X674" s="8"/>
      <c r="Y674" s="7" t="s">
        <v>4145</v>
      </c>
      <c r="Z674" s="7" t="s">
        <v>1495</v>
      </c>
      <c r="AA674" s="11" t="str">
        <f>"BEGIN
     RETURN exists('DS_IS_RDS', '"&amp;Table362[[#This Row],[Lookup Table]]&amp;"', '"&amp;Table362[[#This Row],[Lookup Field]]&amp;"', "&amp;Table362[[#This Row],[IS Parameter]]&amp;");
END"</f>
        <v>BEGIN
     RETURN exists('DS_IS_RDS', 'T001W', 'WERKS', );
END</v>
      </c>
      <c r="AB674" s="11"/>
      <c r="AC674" s="11"/>
      <c r="AD674" s="11"/>
      <c r="AH674" s="8"/>
      <c r="AI674" s="20"/>
      <c r="AJ674" s="20"/>
      <c r="AK674" s="31"/>
      <c r="AL674" s="31"/>
    </row>
    <row r="675" spans="1:38" ht="60" hidden="1" x14ac:dyDescent="0.25">
      <c r="A675" s="14" t="s">
        <v>7328</v>
      </c>
      <c r="B675" s="7" t="s">
        <v>5877</v>
      </c>
      <c r="C675" s="7" t="s">
        <v>5011</v>
      </c>
      <c r="D675" s="7" t="s">
        <v>5978</v>
      </c>
      <c r="E675" s="7" t="s">
        <v>5978</v>
      </c>
      <c r="F675" s="7" t="s">
        <v>5978</v>
      </c>
      <c r="G675" s="7"/>
      <c r="H675" s="7"/>
      <c r="I675" s="7"/>
      <c r="J675" s="20" t="e">
        <f>VLOOKUP(V675,Table_to_BRG!A:D,3,FALSE)</f>
        <v>#N/A</v>
      </c>
      <c r="K675" s="20" t="e">
        <f>VLOOKUP(V675,Table_to_BRG!A:D,2,FALSE)</f>
        <v>#N/A</v>
      </c>
      <c r="L675" s="20"/>
      <c r="M675" s="20"/>
      <c r="N675" s="9" t="s">
        <v>6465</v>
      </c>
      <c r="O675" s="54" t="s">
        <v>7812</v>
      </c>
      <c r="P675" s="7" t="s">
        <v>5036</v>
      </c>
      <c r="Q675" s="11" t="str">
        <f>RIGHT("00"&amp;Table362[[#This Row],[Rule '#]],3)&amp;"_"&amp;IF(Table362[[#This Row],[Entity]]="Material","MATL",LEFT(UPPER(Table362[[#This Row],[Entity]]),4))&amp;"_"&amp;MID(SUBSTITUTE(Table362[[#This Row],[Rule Name]],"_","|",3),SEARCH("|",SUBSTITUTE(Table362[[#This Row],[Rule Name]],"_","|",3))+1,LEN(Table362[[#This Row],[Rule Name]]))</f>
        <v>298_PM_KOSTL_EQUIPMENT</v>
      </c>
      <c r="R675" s="8" t="s">
        <v>5023</v>
      </c>
      <c r="S675" s="7" t="s">
        <v>4135</v>
      </c>
      <c r="T675" s="7"/>
      <c r="U675" s="7"/>
      <c r="V675" s="7" t="s">
        <v>5128</v>
      </c>
      <c r="W675" s="7" t="s">
        <v>4521</v>
      </c>
      <c r="X675" s="8"/>
      <c r="Y675" s="7" t="s">
        <v>4444</v>
      </c>
      <c r="Z675" s="7" t="s">
        <v>4445</v>
      </c>
      <c r="AA675" s="11" t="s">
        <v>5123</v>
      </c>
      <c r="AB675" s="11"/>
      <c r="AC675" s="11"/>
      <c r="AD675" s="11"/>
      <c r="AH675" s="8"/>
      <c r="AI675" s="20"/>
      <c r="AJ675" s="20"/>
      <c r="AK675" s="31"/>
      <c r="AL675" s="31"/>
    </row>
    <row r="676" spans="1:38" ht="60" hidden="1" x14ac:dyDescent="0.25">
      <c r="A676" s="14" t="s">
        <v>7329</v>
      </c>
      <c r="B676" s="7" t="s">
        <v>5877</v>
      </c>
      <c r="C676" s="7" t="s">
        <v>5011</v>
      </c>
      <c r="D676" s="7" t="s">
        <v>5978</v>
      </c>
      <c r="E676" s="7" t="s">
        <v>5978</v>
      </c>
      <c r="F676" s="7" t="s">
        <v>5978</v>
      </c>
      <c r="G676" s="7"/>
      <c r="H676" s="7"/>
      <c r="I676" s="7"/>
      <c r="J676" s="20" t="e">
        <f>VLOOKUP(V676,Table_to_BRG!A:D,3,FALSE)</f>
        <v>#N/A</v>
      </c>
      <c r="K676" s="20" t="e">
        <f>VLOOKUP(V676,Table_to_BRG!A:D,2,FALSE)</f>
        <v>#N/A</v>
      </c>
      <c r="L676" s="20"/>
      <c r="M676" s="20"/>
      <c r="N676" s="9" t="s">
        <v>6465</v>
      </c>
      <c r="O676" s="54" t="s">
        <v>7812</v>
      </c>
      <c r="P676" s="7" t="s">
        <v>5037</v>
      </c>
      <c r="Q676" s="11" t="str">
        <f>RIGHT("00"&amp;Table362[[#This Row],[Rule '#]],3)&amp;"_"&amp;IF(Table362[[#This Row],[Entity]]="Material","MATL",LEFT(UPPER(Table362[[#This Row],[Entity]]),4))&amp;"_"&amp;MID(SUBSTITUTE(Table362[[#This Row],[Rule Name]],"_","|",3),SEARCH("|",SUBSTITUTE(Table362[[#This Row],[Rule Name]],"_","|",3))+1,LEN(Table362[[#This Row],[Rule Name]]))</f>
        <v>299_PM_BUKRS_EQUIPMENT</v>
      </c>
      <c r="R676" s="8" t="s">
        <v>5023</v>
      </c>
      <c r="S676" s="7" t="s">
        <v>4135</v>
      </c>
      <c r="T676" s="7"/>
      <c r="U676" s="7"/>
      <c r="V676" s="7" t="s">
        <v>5128</v>
      </c>
      <c r="W676" s="7" t="s">
        <v>4592</v>
      </c>
      <c r="X676" s="8"/>
      <c r="Y676" s="7" t="s">
        <v>2739</v>
      </c>
      <c r="Z676" s="7" t="s">
        <v>2706</v>
      </c>
      <c r="AA676" s="11" t="s">
        <v>5149</v>
      </c>
      <c r="AB676" s="11"/>
      <c r="AC676" s="11"/>
      <c r="AD676" s="11"/>
      <c r="AH676" s="8"/>
      <c r="AI676" s="20"/>
      <c r="AJ676" s="20"/>
      <c r="AK676" s="31"/>
      <c r="AL676" s="31"/>
    </row>
    <row r="677" spans="1:38" ht="60" hidden="1" x14ac:dyDescent="0.25">
      <c r="A677" s="14" t="s">
        <v>7330</v>
      </c>
      <c r="B677" s="7" t="s">
        <v>5877</v>
      </c>
      <c r="C677" s="7" t="s">
        <v>5011</v>
      </c>
      <c r="D677" s="7" t="s">
        <v>5978</v>
      </c>
      <c r="E677" s="7" t="s">
        <v>5978</v>
      </c>
      <c r="F677" s="7" t="s">
        <v>5978</v>
      </c>
      <c r="G677" s="7"/>
      <c r="H677" s="7"/>
      <c r="I677" s="7"/>
      <c r="J677" s="20" t="e">
        <f>VLOOKUP(V677,Table_to_BRG!A:D,3,FALSE)</f>
        <v>#N/A</v>
      </c>
      <c r="K677" s="20" t="e">
        <f>VLOOKUP(V677,Table_to_BRG!A:D,2,FALSE)</f>
        <v>#N/A</v>
      </c>
      <c r="L677" s="20"/>
      <c r="M677" s="20"/>
      <c r="N677" s="9" t="s">
        <v>6465</v>
      </c>
      <c r="O677" s="54" t="s">
        <v>7812</v>
      </c>
      <c r="P677" s="7" t="s">
        <v>5038</v>
      </c>
      <c r="Q677" s="11" t="str">
        <f>RIGHT("00"&amp;Table362[[#This Row],[Rule '#]],3)&amp;"_"&amp;IF(Table362[[#This Row],[Entity]]="Material","MATL",LEFT(UPPER(Table362[[#This Row],[Entity]]),4))&amp;"_"&amp;MID(SUBSTITUTE(Table362[[#This Row],[Rule Name]],"_","|",3),SEARCH("|",SUBSTITUTE(Table362[[#This Row],[Rule Name]],"_","|",3))+1,LEN(Table362[[#This Row],[Rule Name]]))</f>
        <v>300_PM_PLANR_WC</v>
      </c>
      <c r="R677" s="8" t="s">
        <v>4951</v>
      </c>
      <c r="S677" s="7" t="s">
        <v>4135</v>
      </c>
      <c r="T677" s="7"/>
      <c r="U677" s="7"/>
      <c r="V677" s="7" t="s">
        <v>4951</v>
      </c>
      <c r="W677" s="7" t="s">
        <v>4952</v>
      </c>
      <c r="X677" s="8"/>
      <c r="Y677" s="7" t="s">
        <v>4953</v>
      </c>
      <c r="Z677" s="7" t="s">
        <v>4954</v>
      </c>
      <c r="AA677" s="11" t="s">
        <v>5150</v>
      </c>
      <c r="AB677" s="11"/>
      <c r="AC677" s="11"/>
      <c r="AD677" s="11"/>
      <c r="AH677" s="8"/>
      <c r="AI677" s="20"/>
      <c r="AJ677" s="20"/>
      <c r="AK677" s="31"/>
      <c r="AL677" s="31"/>
    </row>
    <row r="678" spans="1:38" ht="60" hidden="1" x14ac:dyDescent="0.25">
      <c r="A678" s="14" t="s">
        <v>7331</v>
      </c>
      <c r="B678" s="7" t="s">
        <v>5877</v>
      </c>
      <c r="C678" s="7" t="s">
        <v>5011</v>
      </c>
      <c r="D678" s="7" t="s">
        <v>5978</v>
      </c>
      <c r="E678" s="7" t="s">
        <v>5978</v>
      </c>
      <c r="F678" s="7" t="s">
        <v>5978</v>
      </c>
      <c r="G678" s="7"/>
      <c r="H678" s="7"/>
      <c r="I678" s="7"/>
      <c r="J678" s="20" t="e">
        <f>VLOOKUP(V678,Table_to_BRG!A:D,3,FALSE)</f>
        <v>#N/A</v>
      </c>
      <c r="K678" s="20" t="e">
        <f>VLOOKUP(V678,Table_to_BRG!A:D,2,FALSE)</f>
        <v>#N/A</v>
      </c>
      <c r="L678" s="20"/>
      <c r="M678" s="20"/>
      <c r="N678" s="9" t="s">
        <v>6465</v>
      </c>
      <c r="O678" s="54" t="s">
        <v>7812</v>
      </c>
      <c r="P678" s="7" t="s">
        <v>5039</v>
      </c>
      <c r="Q678" s="11" t="str">
        <f>RIGHT("00"&amp;Table362[[#This Row],[Rule '#]],3)&amp;"_"&amp;IF(Table362[[#This Row],[Entity]]="Material","MATL",LEFT(UPPER(Table362[[#This Row],[Entity]]),4))&amp;"_"&amp;MID(SUBSTITUTE(Table362[[#This Row],[Rule Name]],"_","|",3),SEARCH("|",SUBSTITUTE(Table362[[#This Row],[Rule Name]],"_","|",3))+1,LEN(Table362[[#This Row],[Rule Name]]))</f>
        <v>301_PM_HERLD_EQUIPMENT</v>
      </c>
      <c r="R678" s="8" t="s">
        <v>5013</v>
      </c>
      <c r="S678" s="7" t="s">
        <v>4135</v>
      </c>
      <c r="T678" s="7"/>
      <c r="U678" s="7"/>
      <c r="V678" s="7" t="s">
        <v>5124</v>
      </c>
      <c r="W678" s="7" t="s">
        <v>5125</v>
      </c>
      <c r="X678" s="8"/>
      <c r="Y678" s="7" t="s">
        <v>4152</v>
      </c>
      <c r="Z678" s="7" t="s">
        <v>2958</v>
      </c>
      <c r="AA678" s="11" t="s">
        <v>5126</v>
      </c>
      <c r="AB678" s="11"/>
      <c r="AC678" s="11"/>
      <c r="AD678" s="11"/>
      <c r="AH678" s="8"/>
      <c r="AI678" s="20"/>
      <c r="AJ678" s="20"/>
      <c r="AK678" s="31"/>
      <c r="AL678" s="31"/>
    </row>
    <row r="679" spans="1:38" ht="36" hidden="1" x14ac:dyDescent="0.25">
      <c r="A679" s="14" t="s">
        <v>7332</v>
      </c>
      <c r="B679" s="7" t="s">
        <v>5877</v>
      </c>
      <c r="C679" s="7" t="s">
        <v>5011</v>
      </c>
      <c r="D679" s="7" t="s">
        <v>5978</v>
      </c>
      <c r="E679" s="7" t="s">
        <v>5978</v>
      </c>
      <c r="F679" s="7" t="s">
        <v>5978</v>
      </c>
      <c r="G679" s="7"/>
      <c r="H679" s="7"/>
      <c r="I679" s="7"/>
      <c r="J679" s="20" t="e">
        <f>VLOOKUP(V679,Table_to_BRG!A:D,3,FALSE)</f>
        <v>#N/A</v>
      </c>
      <c r="K679" s="20" t="e">
        <f>VLOOKUP(V679,Table_to_BRG!A:D,2,FALSE)</f>
        <v>#N/A</v>
      </c>
      <c r="L679" s="20"/>
      <c r="M679" s="20"/>
      <c r="N679" s="9" t="s">
        <v>6465</v>
      </c>
      <c r="O679" s="54" t="s">
        <v>7812</v>
      </c>
      <c r="P679" s="7" t="s">
        <v>5040</v>
      </c>
      <c r="Q679" s="11" t="str">
        <f>RIGHT("00"&amp;Table362[[#This Row],[Rule '#]],3)&amp;"_"&amp;IF(Table362[[#This Row],[Entity]]="Material","MATL",LEFT(UPPER(Table362[[#This Row],[Entity]]),4))&amp;"_"&amp;MID(SUBSTITUTE(Table362[[#This Row],[Rule Name]],"_","|",3),SEARCH("|",SUBSTITUTE(Table362[[#This Row],[Rule Name]],"_","|",3))+1,LEN(Table362[[#This Row],[Rule Name]]))</f>
        <v>302_PM_QMART_MP</v>
      </c>
      <c r="R679" s="8" t="s">
        <v>5041</v>
      </c>
      <c r="S679" s="7" t="s">
        <v>4135</v>
      </c>
      <c r="T679" s="7"/>
      <c r="U679" s="7"/>
      <c r="V679" s="7" t="s">
        <v>5151</v>
      </c>
      <c r="W679" s="7" t="s">
        <v>5152</v>
      </c>
      <c r="X679" s="8"/>
      <c r="Y679" s="7" t="s">
        <v>5153</v>
      </c>
      <c r="Z679" s="7" t="s">
        <v>5154</v>
      </c>
      <c r="AA679" s="11" t="str">
        <f>"BEGIN
     RETURN exists('DS_IS_RDS', '"&amp;Table362[[#This Row],[Lookup Table]]&amp;"', '"&amp;Table362[[#This Row],[Lookup Field]]&amp;"', upper("&amp;Table362[[#This Row],[IS Parameter]]&amp;");
END"</f>
        <v>BEGIN
     RETURN exists('DS_IS_RDS', 'TQ80', 'QMART', upper();
END</v>
      </c>
      <c r="AB679" s="11"/>
      <c r="AC679" s="11"/>
      <c r="AD679" s="11"/>
      <c r="AH679" s="8"/>
      <c r="AI679" s="20"/>
      <c r="AJ679" s="20"/>
      <c r="AK679" s="31"/>
      <c r="AL679" s="31"/>
    </row>
    <row r="680" spans="1:38" ht="60" hidden="1" x14ac:dyDescent="0.25">
      <c r="A680" s="14" t="s">
        <v>7333</v>
      </c>
      <c r="B680" s="7" t="s">
        <v>5877</v>
      </c>
      <c r="C680" s="7" t="s">
        <v>5011</v>
      </c>
      <c r="D680" s="7" t="s">
        <v>5978</v>
      </c>
      <c r="E680" s="7" t="s">
        <v>5978</v>
      </c>
      <c r="F680" s="7" t="s">
        <v>5978</v>
      </c>
      <c r="G680" s="7"/>
      <c r="H680" s="7"/>
      <c r="I680" s="7"/>
      <c r="J680" s="20" t="e">
        <f>VLOOKUP(V680,Table_to_BRG!A:D,3,FALSE)</f>
        <v>#N/A</v>
      </c>
      <c r="K680" s="20" t="e">
        <f>VLOOKUP(V680,Table_to_BRG!A:D,2,FALSE)</f>
        <v>#N/A</v>
      </c>
      <c r="L680" s="20"/>
      <c r="M680" s="20"/>
      <c r="N680" s="9" t="s">
        <v>6465</v>
      </c>
      <c r="O680" s="54" t="s">
        <v>7812</v>
      </c>
      <c r="P680" s="7" t="s">
        <v>5042</v>
      </c>
      <c r="Q680" s="11" t="str">
        <f>RIGHT("00"&amp;Table362[[#This Row],[Rule '#]],3)&amp;"_"&amp;IF(Table362[[#This Row],[Entity]]="Material","MATL",LEFT(UPPER(Table362[[#This Row],[Entity]]),4))&amp;"_"&amp;MID(SUBSTITUTE(Table362[[#This Row],[Rule Name]],"_","|",3),SEARCH("|",SUBSTITUTE(Table362[[#This Row],[Rule Name]],"_","|",3))+1,LEN(Table362[[#This Row],[Rule Name]]))</f>
        <v>303_PM_PRIOK_MP</v>
      </c>
      <c r="R680" s="8" t="s">
        <v>5041</v>
      </c>
      <c r="S680" s="7" t="s">
        <v>4135</v>
      </c>
      <c r="T680" s="7"/>
      <c r="U680" s="7"/>
      <c r="V680" s="7" t="s">
        <v>5151</v>
      </c>
      <c r="W680" s="7" t="s">
        <v>5155</v>
      </c>
      <c r="X680" s="8"/>
      <c r="Y680" s="7" t="s">
        <v>5156</v>
      </c>
      <c r="Z680" s="7" t="s">
        <v>5157</v>
      </c>
      <c r="AA680" s="11" t="s">
        <v>5158</v>
      </c>
      <c r="AB680" s="11"/>
      <c r="AC680" s="11"/>
      <c r="AD680" s="11"/>
      <c r="AH680" s="8"/>
      <c r="AI680" s="20"/>
      <c r="AJ680" s="20"/>
      <c r="AK680" s="31"/>
      <c r="AL680" s="31"/>
    </row>
    <row r="681" spans="1:38" ht="36" hidden="1" x14ac:dyDescent="0.25">
      <c r="A681" s="14" t="s">
        <v>7334</v>
      </c>
      <c r="B681" s="7" t="s">
        <v>5877</v>
      </c>
      <c r="C681" s="7" t="s">
        <v>5011</v>
      </c>
      <c r="D681" s="7" t="s">
        <v>5978</v>
      </c>
      <c r="E681" s="7" t="s">
        <v>5978</v>
      </c>
      <c r="F681" s="7" t="s">
        <v>5978</v>
      </c>
      <c r="G681" s="7"/>
      <c r="H681" s="7"/>
      <c r="I681" s="7"/>
      <c r="J681" s="20" t="e">
        <f>VLOOKUP(V681,Table_to_BRG!A:D,3,FALSE)</f>
        <v>#N/A</v>
      </c>
      <c r="K681" s="20" t="e">
        <f>VLOOKUP(V681,Table_to_BRG!A:D,2,FALSE)</f>
        <v>#N/A</v>
      </c>
      <c r="L681" s="20"/>
      <c r="M681" s="20"/>
      <c r="N681" s="9" t="s">
        <v>6465</v>
      </c>
      <c r="O681" s="54" t="s">
        <v>7812</v>
      </c>
      <c r="P681" s="7" t="s">
        <v>5043</v>
      </c>
      <c r="Q681" s="11" t="str">
        <f>RIGHT("00"&amp;Table362[[#This Row],[Rule '#]],3)&amp;"_"&amp;IF(Table362[[#This Row],[Entity]]="Material","MATL",LEFT(UPPER(Table362[[#This Row],[Entity]]),4))&amp;"_"&amp;MID(SUBSTITUTE(Table362[[#This Row],[Rule Name]],"_","|",3),SEARCH("|",SUBSTITUTE(Table362[[#This Row],[Rule Name]],"_","|",3))+1,LEN(Table362[[#This Row],[Rule Name]]))</f>
        <v>304_PM_AUART_MP</v>
      </c>
      <c r="R681" s="8" t="s">
        <v>5041</v>
      </c>
      <c r="S681" s="7" t="s">
        <v>4135</v>
      </c>
      <c r="T681" s="7"/>
      <c r="U681" s="7"/>
      <c r="V681" s="7" t="s">
        <v>5151</v>
      </c>
      <c r="W681" s="7" t="s">
        <v>5159</v>
      </c>
      <c r="X681" s="8"/>
      <c r="Y681" s="7" t="s">
        <v>4451</v>
      </c>
      <c r="Z681" s="7" t="s">
        <v>5160</v>
      </c>
      <c r="AA681" s="11" t="str">
        <f>"BEGIN
     RETURN exists('DS_IS_RDS', '"&amp;Table362[[#This Row],[Lookup Table]]&amp;"', '"&amp;Table362[[#This Row],[Lookup Field]]&amp;"', upper("&amp;Table362[[#This Row],[IS Parameter]]&amp;");
END"</f>
        <v>BEGIN
     RETURN exists('DS_IS_RDS', 'T003O', 'AUART', upper();
END</v>
      </c>
      <c r="AB681" s="11"/>
      <c r="AC681" s="11"/>
      <c r="AD681" s="11"/>
      <c r="AH681" s="8"/>
      <c r="AI681" s="20"/>
      <c r="AJ681" s="20"/>
      <c r="AK681" s="31"/>
      <c r="AL681" s="31"/>
    </row>
    <row r="682" spans="1:38" ht="60" hidden="1" x14ac:dyDescent="0.25">
      <c r="A682" s="14" t="s">
        <v>7335</v>
      </c>
      <c r="B682" s="7" t="s">
        <v>5877</v>
      </c>
      <c r="C682" s="7" t="s">
        <v>5011</v>
      </c>
      <c r="D682" s="7" t="s">
        <v>5978</v>
      </c>
      <c r="E682" s="7" t="s">
        <v>5978</v>
      </c>
      <c r="F682" s="7" t="s">
        <v>5978</v>
      </c>
      <c r="G682" s="7"/>
      <c r="H682" s="7"/>
      <c r="I682" s="7"/>
      <c r="J682" s="20" t="e">
        <f>VLOOKUP(V682,Table_to_BRG!A:D,3,FALSE)</f>
        <v>#N/A</v>
      </c>
      <c r="K682" s="20" t="e">
        <f>VLOOKUP(V682,Table_to_BRG!A:D,2,FALSE)</f>
        <v>#N/A</v>
      </c>
      <c r="L682" s="20"/>
      <c r="M682" s="20"/>
      <c r="N682" s="9" t="s">
        <v>6465</v>
      </c>
      <c r="O682" s="54" t="s">
        <v>7812</v>
      </c>
      <c r="P682" s="7" t="s">
        <v>5044</v>
      </c>
      <c r="Q682" s="11" t="str">
        <f>RIGHT("00"&amp;Table362[[#This Row],[Rule '#]],3)&amp;"_"&amp;IF(Table362[[#This Row],[Entity]]="Material","MATL",LEFT(UPPER(Table362[[#This Row],[Entity]]),4))&amp;"_"&amp;MID(SUBSTITUTE(Table362[[#This Row],[Rule Name]],"_","|",3),SEARCH("|",SUBSTITUTE(Table362[[#This Row],[Rule Name]],"_","|",3))+1,LEN(Table362[[#This Row],[Rule Name]]))</f>
        <v>305_PM_AUFNR_EQUIPMENT</v>
      </c>
      <c r="R682" s="8" t="s">
        <v>5023</v>
      </c>
      <c r="S682" s="7" t="s">
        <v>4135</v>
      </c>
      <c r="T682" s="7"/>
      <c r="U682" s="7"/>
      <c r="V682" s="7" t="s">
        <v>5128</v>
      </c>
      <c r="W682" s="7" t="s">
        <v>5161</v>
      </c>
      <c r="X682" s="8"/>
      <c r="Y682" s="7" t="s">
        <v>4442</v>
      </c>
      <c r="Z682" s="7" t="s">
        <v>5162</v>
      </c>
      <c r="AA682" s="11" t="s">
        <v>5163</v>
      </c>
      <c r="AB682" s="11"/>
      <c r="AC682" s="11"/>
      <c r="AD682" s="11"/>
      <c r="AH682" s="8"/>
      <c r="AI682" s="20"/>
      <c r="AJ682" s="20"/>
      <c r="AK682" s="31"/>
      <c r="AL682" s="31"/>
    </row>
    <row r="683" spans="1:38" ht="36" hidden="1" x14ac:dyDescent="0.25">
      <c r="A683" s="14" t="s">
        <v>7336</v>
      </c>
      <c r="B683" s="7" t="s">
        <v>5877</v>
      </c>
      <c r="C683" s="7" t="s">
        <v>5011</v>
      </c>
      <c r="D683" s="7" t="s">
        <v>5978</v>
      </c>
      <c r="E683" s="7" t="s">
        <v>5978</v>
      </c>
      <c r="F683" s="7" t="s">
        <v>5978</v>
      </c>
      <c r="G683" s="7"/>
      <c r="H683" s="7"/>
      <c r="I683" s="7"/>
      <c r="J683" s="20" t="e">
        <f>VLOOKUP(V683,Table_to_BRG!A:D,3,FALSE)</f>
        <v>#N/A</v>
      </c>
      <c r="K683" s="20" t="e">
        <f>VLOOKUP(V683,Table_to_BRG!A:D,2,FALSE)</f>
        <v>#N/A</v>
      </c>
      <c r="L683" s="20"/>
      <c r="M683" s="20"/>
      <c r="N683" s="9" t="s">
        <v>6465</v>
      </c>
      <c r="O683" s="54" t="s">
        <v>7812</v>
      </c>
      <c r="P683" s="7" t="s">
        <v>5045</v>
      </c>
      <c r="Q683" s="11" t="str">
        <f>RIGHT("00"&amp;Table362[[#This Row],[Rule '#]],3)&amp;"_"&amp;IF(Table362[[#This Row],[Entity]]="Material","MATL",LEFT(UPPER(Table362[[#This Row],[Entity]]),4))&amp;"_"&amp;MID(SUBSTITUTE(Table362[[#This Row],[Rule Name]],"_","|",3),SEARCH("|",SUBSTITUTE(Table362[[#This Row],[Rule Name]],"_","|",3))+1,LEN(Table362[[#This Row],[Rule Name]]))</f>
        <v>306_PM_TPLKZ_FL</v>
      </c>
      <c r="R683" s="8" t="s">
        <v>5017</v>
      </c>
      <c r="S683" s="7" t="s">
        <v>4135</v>
      </c>
      <c r="T683" s="7"/>
      <c r="U683" s="7"/>
      <c r="V683" s="7" t="s">
        <v>5122</v>
      </c>
      <c r="W683" s="7" t="s">
        <v>5164</v>
      </c>
      <c r="X683" s="8"/>
      <c r="Y683" s="7" t="s">
        <v>5165</v>
      </c>
      <c r="Z683" s="7" t="s">
        <v>5166</v>
      </c>
      <c r="AA683" s="11" t="str">
        <f>"BEGIN
     RETURN exists('DS_IS_RDS', '"&amp;Table362[[#This Row],[Lookup Table]]&amp;"', '"&amp;Table362[[#This Row],[Lookup Field]]&amp;"', "&amp;Table362[[#This Row],[IS Parameter]]&amp;");
END"</f>
        <v>BEGIN
     RETURN exists('DS_IS_RDS', 'T370S', 'TPLKZ', );
END</v>
      </c>
      <c r="AB683" s="11"/>
      <c r="AC683" s="11"/>
      <c r="AD683" s="11"/>
      <c r="AH683" s="8"/>
      <c r="AI683" s="20"/>
      <c r="AJ683" s="20"/>
      <c r="AK683" s="31"/>
      <c r="AL683" s="31"/>
    </row>
    <row r="684" spans="1:38" ht="60" hidden="1" x14ac:dyDescent="0.25">
      <c r="A684" s="14" t="s">
        <v>7337</v>
      </c>
      <c r="B684" s="7" t="s">
        <v>5877</v>
      </c>
      <c r="C684" s="7" t="s">
        <v>5011</v>
      </c>
      <c r="D684" s="7" t="s">
        <v>5978</v>
      </c>
      <c r="E684" s="7" t="s">
        <v>5978</v>
      </c>
      <c r="F684" s="7" t="s">
        <v>5978</v>
      </c>
      <c r="G684" s="7"/>
      <c r="H684" s="7"/>
      <c r="I684" s="7"/>
      <c r="J684" s="20" t="e">
        <f>VLOOKUP(V684,Table_to_BRG!A:D,3,FALSE)</f>
        <v>#N/A</v>
      </c>
      <c r="K684" s="20" t="e">
        <f>VLOOKUP(V684,Table_to_BRG!A:D,2,FALSE)</f>
        <v>#N/A</v>
      </c>
      <c r="L684" s="20"/>
      <c r="M684" s="20"/>
      <c r="N684" s="9" t="s">
        <v>6465</v>
      </c>
      <c r="O684" s="54" t="s">
        <v>7812</v>
      </c>
      <c r="P684" s="7" t="s">
        <v>5046</v>
      </c>
      <c r="Q684" s="11" t="str">
        <f>RIGHT("00"&amp;Table362[[#This Row],[Rule '#]],3)&amp;"_"&amp;IF(Table362[[#This Row],[Entity]]="Material","MATL",LEFT(UPPER(Table362[[#This Row],[Entity]]),4))&amp;"_"&amp;MID(SUBSTITUTE(Table362[[#This Row],[Rule Name]],"_","|",3),SEARCH("|",SUBSTITUTE(Table362[[#This Row],[Rule Name]],"_","|",3))+1,LEN(Table362[[#This Row],[Rule Name]]))</f>
        <v>307_PM_ANLUN_EQUIPMENT</v>
      </c>
      <c r="R684" s="8" t="s">
        <v>5023</v>
      </c>
      <c r="S684" s="7" t="s">
        <v>4135</v>
      </c>
      <c r="T684" s="7"/>
      <c r="U684" s="7"/>
      <c r="V684" s="7" t="s">
        <v>5128</v>
      </c>
      <c r="W684" s="7" t="s">
        <v>5167</v>
      </c>
      <c r="X684" s="8"/>
      <c r="Y684" s="7" t="s">
        <v>4469</v>
      </c>
      <c r="Z684" s="7" t="s">
        <v>5168</v>
      </c>
      <c r="AA684" s="11" t="s">
        <v>5169</v>
      </c>
      <c r="AB684" s="11"/>
      <c r="AC684" s="11"/>
      <c r="AD684" s="11"/>
      <c r="AH684" s="8"/>
      <c r="AI684" s="20"/>
      <c r="AJ684" s="20"/>
      <c r="AK684" s="31"/>
      <c r="AL684" s="31"/>
    </row>
    <row r="685" spans="1:38" ht="60" hidden="1" x14ac:dyDescent="0.25">
      <c r="A685" s="14" t="s">
        <v>7338</v>
      </c>
      <c r="B685" s="7" t="s">
        <v>5877</v>
      </c>
      <c r="C685" s="7" t="s">
        <v>5011</v>
      </c>
      <c r="D685" s="7" t="s">
        <v>5978</v>
      </c>
      <c r="E685" s="7" t="s">
        <v>5978</v>
      </c>
      <c r="F685" s="7" t="s">
        <v>5978</v>
      </c>
      <c r="G685" s="7"/>
      <c r="H685" s="7"/>
      <c r="I685" s="7"/>
      <c r="J685" s="20" t="e">
        <f>VLOOKUP(V685,Table_to_BRG!A:D,3,FALSE)</f>
        <v>#N/A</v>
      </c>
      <c r="K685" s="20" t="e">
        <f>VLOOKUP(V685,Table_to_BRG!A:D,2,FALSE)</f>
        <v>#N/A</v>
      </c>
      <c r="L685" s="20"/>
      <c r="M685" s="20"/>
      <c r="N685" s="9" t="s">
        <v>6465</v>
      </c>
      <c r="O685" s="54" t="s">
        <v>7812</v>
      </c>
      <c r="P685" s="7" t="s">
        <v>5047</v>
      </c>
      <c r="Q685" s="11" t="str">
        <f>RIGHT("00"&amp;Table362[[#This Row],[Rule '#]],3)&amp;"_"&amp;IF(Table362[[#This Row],[Entity]]="Material","MATL",LEFT(UPPER(Table362[[#This Row],[Entity]]),4))&amp;"_"&amp;MID(SUBSTITUTE(Table362[[#This Row],[Rule Name]],"_","|",3),SEARCH("|",SUBSTITUTE(Table362[[#This Row],[Rule Name]],"_","|",3))+1,LEN(Table362[[#This Row],[Rule Name]]))</f>
        <v>308_PM_TPLMA_FL</v>
      </c>
      <c r="R685" s="8" t="s">
        <v>5021</v>
      </c>
      <c r="S685" s="7" t="s">
        <v>4135</v>
      </c>
      <c r="T685" s="7"/>
      <c r="U685" s="7"/>
      <c r="V685" s="7" t="s">
        <v>5122</v>
      </c>
      <c r="W685" s="7" t="s">
        <v>5170</v>
      </c>
      <c r="X685" s="8"/>
      <c r="Y685" s="7" t="s">
        <v>5122</v>
      </c>
      <c r="Z685" s="7" t="s">
        <v>5171</v>
      </c>
      <c r="AA685" s="11" t="s">
        <v>5172</v>
      </c>
      <c r="AB685" s="11"/>
      <c r="AC685" s="11"/>
      <c r="AD685" s="11"/>
      <c r="AH685" s="8"/>
      <c r="AI685" s="20"/>
      <c r="AJ685" s="20"/>
      <c r="AK685" s="31"/>
      <c r="AL685" s="31"/>
    </row>
    <row r="686" spans="1:38" ht="72" hidden="1" x14ac:dyDescent="0.25">
      <c r="A686" s="14" t="s">
        <v>7339</v>
      </c>
      <c r="B686" s="7" t="s">
        <v>5877</v>
      </c>
      <c r="C686" s="7" t="s">
        <v>5011</v>
      </c>
      <c r="D686" s="7" t="s">
        <v>5978</v>
      </c>
      <c r="E686" s="7" t="s">
        <v>5978</v>
      </c>
      <c r="F686" s="7" t="s">
        <v>5978</v>
      </c>
      <c r="G686" s="7"/>
      <c r="H686" s="7"/>
      <c r="I686" s="7"/>
      <c r="J686" s="20" t="e">
        <f>VLOOKUP(V686,Table_to_BRG!A:D,3,FALSE)</f>
        <v>#N/A</v>
      </c>
      <c r="K686" s="20" t="e">
        <f>VLOOKUP(V686,Table_to_BRG!A:D,2,FALSE)</f>
        <v>#N/A</v>
      </c>
      <c r="L686" s="20"/>
      <c r="M686" s="20"/>
      <c r="N686" s="9" t="s">
        <v>6465</v>
      </c>
      <c r="O686" s="54" t="s">
        <v>7812</v>
      </c>
      <c r="P686" s="7" t="s">
        <v>5048</v>
      </c>
      <c r="Q686" s="11" t="str">
        <f>RIGHT("00"&amp;Table362[[#This Row],[Rule '#]],3)&amp;"_"&amp;IF(Table362[[#This Row],[Entity]]="Material","MATL",LEFT(UPPER(Table362[[#This Row],[Entity]]),4))&amp;"_"&amp;MID(SUBSTITUTE(Table362[[#This Row],[Rule Name]],"_","|",3),SEARCH("|",SUBSTITUTE(Table362[[#This Row],[Rule Name]],"_","|",3))+1,LEN(Table362[[#This Row],[Rule Name]]))</f>
        <v>309_PM_STEUS_WC</v>
      </c>
      <c r="R686" s="8" t="s">
        <v>5049</v>
      </c>
      <c r="S686" s="7" t="s">
        <v>4135</v>
      </c>
      <c r="T686" s="7"/>
      <c r="U686" s="7"/>
      <c r="V686" s="7" t="s">
        <v>4939</v>
      </c>
      <c r="W686" s="7" t="s">
        <v>5173</v>
      </c>
      <c r="X686" s="8"/>
      <c r="Y686" s="7" t="s">
        <v>5174</v>
      </c>
      <c r="Z686" s="7" t="s">
        <v>5175</v>
      </c>
      <c r="AA686" s="11" t="s">
        <v>5176</v>
      </c>
      <c r="AB686" s="11"/>
      <c r="AC686" s="11"/>
      <c r="AD686" s="11"/>
      <c r="AH686" s="8"/>
      <c r="AI686" s="20"/>
      <c r="AJ686" s="20"/>
      <c r="AK686" s="31"/>
      <c r="AL686" s="31"/>
    </row>
    <row r="687" spans="1:38" ht="36" hidden="1" x14ac:dyDescent="0.25">
      <c r="A687" s="14" t="s">
        <v>7340</v>
      </c>
      <c r="B687" s="7" t="s">
        <v>5877</v>
      </c>
      <c r="C687" s="7" t="s">
        <v>5011</v>
      </c>
      <c r="D687" s="7" t="s">
        <v>5978</v>
      </c>
      <c r="E687" s="7" t="s">
        <v>5978</v>
      </c>
      <c r="F687" s="7" t="s">
        <v>5978</v>
      </c>
      <c r="G687" s="7"/>
      <c r="H687" s="7"/>
      <c r="I687" s="7"/>
      <c r="J687" s="20" t="e">
        <f>VLOOKUP(V687,Table_to_BRG!A:D,3,FALSE)</f>
        <v>#N/A</v>
      </c>
      <c r="K687" s="20" t="e">
        <f>VLOOKUP(V687,Table_to_BRG!A:D,2,FALSE)</f>
        <v>#N/A</v>
      </c>
      <c r="L687" s="20"/>
      <c r="M687" s="20"/>
      <c r="N687" s="9" t="s">
        <v>6465</v>
      </c>
      <c r="O687" s="54" t="s">
        <v>7812</v>
      </c>
      <c r="P687" s="7" t="s">
        <v>5050</v>
      </c>
      <c r="Q687" s="11" t="str">
        <f>RIGHT("00"&amp;Table362[[#This Row],[Rule '#]],3)&amp;"_"&amp;IF(Table362[[#This Row],[Entity]]="Material","MATL",LEFT(UPPER(Table362[[#This Row],[Entity]]),4))&amp;"_"&amp;MID(SUBSTITUTE(Table362[[#This Row],[Rule Name]],"_","|",3),SEARCH("|",SUBSTITUTE(Table362[[#This Row],[Rule Name]],"_","|",3))+1,LEN(Table362[[#This Row],[Rule Name]]))</f>
        <v>310_PM_ABCKZ_EQUIPMENT</v>
      </c>
      <c r="R687" s="8" t="s">
        <v>5023</v>
      </c>
      <c r="S687" s="7" t="s">
        <v>4135</v>
      </c>
      <c r="T687" s="7"/>
      <c r="U687" s="7"/>
      <c r="V687" s="7" t="s">
        <v>5128</v>
      </c>
      <c r="W687" s="7" t="s">
        <v>5146</v>
      </c>
      <c r="X687" s="8"/>
      <c r="Y687" s="7"/>
      <c r="Z687" s="7"/>
      <c r="AA687" s="11" t="s">
        <v>5147</v>
      </c>
      <c r="AB687" s="11"/>
      <c r="AC687" s="11"/>
      <c r="AD687" s="11"/>
      <c r="AH687" s="8"/>
      <c r="AI687" s="20"/>
      <c r="AJ687" s="20"/>
      <c r="AK687" s="31"/>
      <c r="AL687" s="31"/>
    </row>
    <row r="688" spans="1:38" ht="36" hidden="1" x14ac:dyDescent="0.25">
      <c r="A688" s="14" t="s">
        <v>7341</v>
      </c>
      <c r="B688" s="7" t="s">
        <v>5877</v>
      </c>
      <c r="C688" s="7" t="s">
        <v>5011</v>
      </c>
      <c r="D688" s="7" t="s">
        <v>5978</v>
      </c>
      <c r="E688" s="7" t="s">
        <v>5978</v>
      </c>
      <c r="F688" s="7" t="s">
        <v>5978</v>
      </c>
      <c r="G688" s="7"/>
      <c r="H688" s="7"/>
      <c r="I688" s="7"/>
      <c r="J688" s="20" t="e">
        <f>VLOOKUP(V688,Table_to_BRG!A:D,3,FALSE)</f>
        <v>#N/A</v>
      </c>
      <c r="K688" s="20" t="e">
        <f>VLOOKUP(V688,Table_to_BRG!A:D,2,FALSE)</f>
        <v>#N/A</v>
      </c>
      <c r="L688" s="20"/>
      <c r="M688" s="20"/>
      <c r="N688" s="9" t="s">
        <v>6465</v>
      </c>
      <c r="O688" s="54" t="s">
        <v>7812</v>
      </c>
      <c r="P688" s="7" t="s">
        <v>5051</v>
      </c>
      <c r="Q688" s="11" t="str">
        <f>RIGHT("00"&amp;Table362[[#This Row],[Rule '#]],3)&amp;"_"&amp;IF(Table362[[#This Row],[Entity]]="Material","MATL",LEFT(UPPER(Table362[[#This Row],[Entity]]),4))&amp;"_"&amp;MID(SUBSTITUTE(Table362[[#This Row],[Rule Name]],"_","|",3),SEARCH("|",SUBSTITUTE(Table362[[#This Row],[Rule Name]],"_","|",3))+1,LEN(Table362[[#This Row],[Rule Name]]))</f>
        <v>311_PM_EAPL_PLNAL_ETL</v>
      </c>
      <c r="R688" s="8" t="s">
        <v>5052</v>
      </c>
      <c r="S688" s="7" t="s">
        <v>4135</v>
      </c>
      <c r="T688" s="7"/>
      <c r="U688" s="7"/>
      <c r="V688" s="7" t="s">
        <v>5132</v>
      </c>
      <c r="W688" s="7" t="s">
        <v>5177</v>
      </c>
      <c r="X688" s="8"/>
      <c r="Y688" s="7"/>
      <c r="Z688" s="7"/>
      <c r="AA688" s="11" t="s">
        <v>5178</v>
      </c>
      <c r="AB688" s="11"/>
      <c r="AC688" s="11"/>
      <c r="AD688" s="11"/>
      <c r="AH688" s="8"/>
      <c r="AI688" s="20"/>
      <c r="AJ688" s="20"/>
      <c r="AK688" s="31"/>
      <c r="AL688" s="31"/>
    </row>
    <row r="689" spans="1:38" ht="36" hidden="1" x14ac:dyDescent="0.25">
      <c r="A689" s="14" t="s">
        <v>7342</v>
      </c>
      <c r="B689" s="7" t="s">
        <v>5877</v>
      </c>
      <c r="C689" s="7" t="s">
        <v>5011</v>
      </c>
      <c r="D689" s="7" t="s">
        <v>5978</v>
      </c>
      <c r="E689" s="7" t="s">
        <v>5978</v>
      </c>
      <c r="F689" s="7" t="s">
        <v>5978</v>
      </c>
      <c r="G689" s="7"/>
      <c r="H689" s="7"/>
      <c r="I689" s="7"/>
      <c r="J689" s="20" t="e">
        <f>VLOOKUP(V689,Table_to_BRG!A:D,3,FALSE)</f>
        <v>#N/A</v>
      </c>
      <c r="K689" s="20" t="e">
        <f>VLOOKUP(V689,Table_to_BRG!A:D,2,FALSE)</f>
        <v>#N/A</v>
      </c>
      <c r="L689" s="20"/>
      <c r="M689" s="20"/>
      <c r="N689" s="9" t="s">
        <v>6465</v>
      </c>
      <c r="O689" s="54" t="s">
        <v>7812</v>
      </c>
      <c r="P689" s="7" t="s">
        <v>5053</v>
      </c>
      <c r="Q689" s="11" t="str">
        <f>RIGHT("00"&amp;Table362[[#This Row],[Rule '#]],3)&amp;"_"&amp;IF(Table362[[#This Row],[Entity]]="Material","MATL",LEFT(UPPER(Table362[[#This Row],[Entity]]),4))&amp;"_"&amp;MID(SUBSTITUTE(Table362[[#This Row],[Rule Name]],"_","|",3),SEARCH("|",SUBSTITUTE(Table362[[#This Row],[Rule Name]],"_","|",3))+1,LEN(Table362[[#This Row],[Rule Name]]))</f>
        <v>312_PM_EQART_EQUIPMENT</v>
      </c>
      <c r="R689" s="8" t="s">
        <v>5013</v>
      </c>
      <c r="S689" s="7" t="s">
        <v>4135</v>
      </c>
      <c r="T689" s="7"/>
      <c r="U689" s="7"/>
      <c r="V689" s="7" t="s">
        <v>5124</v>
      </c>
      <c r="W689" s="7" t="s">
        <v>5179</v>
      </c>
      <c r="X689" s="8"/>
      <c r="Y689" s="7" t="s">
        <v>5180</v>
      </c>
      <c r="Z689" s="7" t="s">
        <v>5181</v>
      </c>
      <c r="AA689" s="11" t="str">
        <f>"BEGIN
     RETURN exists('DS_IS_RDS', '"&amp;Table362[[#This Row],[Lookup Table]]&amp;"', '"&amp;Table362[[#This Row],[Lookup Field]]&amp;"', upper("&amp;Table362[[#This Row],[IS Parameter]]&amp;");
END"</f>
        <v>BEGIN
     RETURN exists('DS_IS_RDS', 'T370K', 'EQART', upper();
END</v>
      </c>
      <c r="AB689" s="11"/>
      <c r="AC689" s="11"/>
      <c r="AD689" s="11"/>
      <c r="AH689" s="8"/>
      <c r="AI689" s="20"/>
      <c r="AJ689" s="20"/>
      <c r="AK689" s="31"/>
      <c r="AL689" s="31"/>
    </row>
    <row r="690" spans="1:38" ht="60" hidden="1" x14ac:dyDescent="0.25">
      <c r="A690" s="14" t="s">
        <v>7343</v>
      </c>
      <c r="B690" s="7" t="s">
        <v>5877</v>
      </c>
      <c r="C690" s="7" t="s">
        <v>5011</v>
      </c>
      <c r="D690" s="7" t="s">
        <v>5978</v>
      </c>
      <c r="E690" s="7" t="s">
        <v>5978</v>
      </c>
      <c r="F690" s="7" t="s">
        <v>5978</v>
      </c>
      <c r="G690" s="7"/>
      <c r="H690" s="7"/>
      <c r="I690" s="7"/>
      <c r="J690" s="20" t="e">
        <f>VLOOKUP(V690,Table_to_BRG!A:D,3,FALSE)</f>
        <v>#N/A</v>
      </c>
      <c r="K690" s="20" t="e">
        <f>VLOOKUP(V690,Table_to_BRG!A:D,2,FALSE)</f>
        <v>#N/A</v>
      </c>
      <c r="L690" s="20"/>
      <c r="M690" s="20"/>
      <c r="N690" s="9" t="s">
        <v>6465</v>
      </c>
      <c r="O690" s="54" t="s">
        <v>7812</v>
      </c>
      <c r="P690" s="7" t="s">
        <v>5054</v>
      </c>
      <c r="Q690" s="11" t="str">
        <f>RIGHT("00"&amp;Table362[[#This Row],[Rule '#]],3)&amp;"_"&amp;IF(Table362[[#This Row],[Entity]]="Material","MATL",LEFT(UPPER(Table362[[#This Row],[Entity]]),4))&amp;"_"&amp;MID(SUBSTITUTE(Table362[[#This Row],[Rule Name]],"_","|",3),SEARCH("|",SUBSTITUTE(Table362[[#This Row],[Rule Name]],"_","|",3))+1,LEN(Table362[[#This Row],[Rule Name]]))</f>
        <v>313_PM_HUNIT_MP</v>
      </c>
      <c r="R690" s="8" t="s">
        <v>5029</v>
      </c>
      <c r="S690" s="7" t="s">
        <v>4135</v>
      </c>
      <c r="T690" s="7"/>
      <c r="U690" s="7"/>
      <c r="V690" s="7" t="s">
        <v>5138</v>
      </c>
      <c r="W690" s="7" t="s">
        <v>5182</v>
      </c>
      <c r="X690" s="8"/>
      <c r="Y690" s="7" t="s">
        <v>4192</v>
      </c>
      <c r="Z690" s="7" t="s">
        <v>4143</v>
      </c>
      <c r="AA690" s="11" t="s">
        <v>5183</v>
      </c>
      <c r="AB690" s="11"/>
      <c r="AC690" s="11"/>
      <c r="AD690" s="11"/>
      <c r="AH690" s="8"/>
      <c r="AI690" s="20"/>
      <c r="AJ690" s="20"/>
      <c r="AK690" s="31"/>
      <c r="AL690" s="31"/>
    </row>
    <row r="691" spans="1:38" ht="60" hidden="1" x14ac:dyDescent="0.25">
      <c r="A691" s="14" t="s">
        <v>7344</v>
      </c>
      <c r="B691" s="7" t="s">
        <v>5877</v>
      </c>
      <c r="C691" s="7" t="s">
        <v>5011</v>
      </c>
      <c r="D691" s="7" t="s">
        <v>5978</v>
      </c>
      <c r="E691" s="7" t="s">
        <v>5978</v>
      </c>
      <c r="F691" s="7" t="s">
        <v>5978</v>
      </c>
      <c r="G691" s="7"/>
      <c r="H691" s="7"/>
      <c r="I691" s="7"/>
      <c r="J691" s="20" t="e">
        <f>VLOOKUP(V691,Table_to_BRG!A:D,3,FALSE)</f>
        <v>#N/A</v>
      </c>
      <c r="K691" s="20" t="e">
        <f>VLOOKUP(V691,Table_to_BRG!A:D,2,FALSE)</f>
        <v>#N/A</v>
      </c>
      <c r="L691" s="20"/>
      <c r="M691" s="20"/>
      <c r="N691" s="9" t="s">
        <v>6465</v>
      </c>
      <c r="O691" s="54" t="s">
        <v>7812</v>
      </c>
      <c r="P691" s="7" t="s">
        <v>5055</v>
      </c>
      <c r="Q691" s="11" t="str">
        <f>RIGHT("00"&amp;Table362[[#This Row],[Rule '#]],3)&amp;"_"&amp;IF(Table362[[#This Row],[Entity]]="Material","MATL",LEFT(UPPER(Table362[[#This Row],[Entity]]),4))&amp;"_"&amp;MID(SUBSTITUTE(Table362[[#This Row],[Rule Name]],"_","|",3),SEARCH("|",SUBSTITUTE(Table362[[#This Row],[Rule Name]],"_","|",3))+1,LEN(Table362[[#This Row],[Rule Name]]))</f>
        <v>314_PM_VAGRP_TL</v>
      </c>
      <c r="R691" s="8" t="s">
        <v>5056</v>
      </c>
      <c r="S691" s="7" t="s">
        <v>4135</v>
      </c>
      <c r="T691" s="7"/>
      <c r="U691" s="7"/>
      <c r="V691" s="7" t="s">
        <v>5184</v>
      </c>
      <c r="W691" s="7" t="s">
        <v>5185</v>
      </c>
      <c r="X691" s="8"/>
      <c r="Y691" s="7" t="s">
        <v>5135</v>
      </c>
      <c r="Z691" s="7" t="s">
        <v>5136</v>
      </c>
      <c r="AA691" s="11" t="s">
        <v>5186</v>
      </c>
      <c r="AB691" s="11"/>
      <c r="AC691" s="11"/>
      <c r="AD691" s="11"/>
      <c r="AH691" s="8"/>
      <c r="AI691" s="20"/>
      <c r="AJ691" s="20"/>
      <c r="AK691" s="31"/>
      <c r="AL691" s="31"/>
    </row>
    <row r="692" spans="1:38" ht="60" hidden="1" x14ac:dyDescent="0.25">
      <c r="A692" s="14" t="s">
        <v>7345</v>
      </c>
      <c r="B692" s="7" t="s">
        <v>5877</v>
      </c>
      <c r="C692" s="7" t="s">
        <v>5011</v>
      </c>
      <c r="D692" s="7" t="s">
        <v>6753</v>
      </c>
      <c r="E692" s="7" t="s">
        <v>6754</v>
      </c>
      <c r="F692" s="7" t="s">
        <v>6755</v>
      </c>
      <c r="G692" s="7"/>
      <c r="H692" s="7"/>
      <c r="I692" s="7"/>
      <c r="J692" s="20" t="e">
        <f>VLOOKUP(V692,Table_to_BRG!A:D,3,FALSE)</f>
        <v>#N/A</v>
      </c>
      <c r="K692" s="20" t="e">
        <f>VLOOKUP(V692,Table_to_BRG!A:D,2,FALSE)</f>
        <v>#N/A</v>
      </c>
      <c r="L692" s="20"/>
      <c r="M692" s="20"/>
      <c r="N692" s="9" t="s">
        <v>6465</v>
      </c>
      <c r="O692" s="54" t="s">
        <v>7812</v>
      </c>
      <c r="P692" s="7" t="s">
        <v>5057</v>
      </c>
      <c r="Q692" s="11" t="str">
        <f>RIGHT("00"&amp;Table362[[#This Row],[Rule '#]],3)&amp;"_"&amp;IF(Table362[[#This Row],[Entity]]="Material","MATL",LEFT(UPPER(Table362[[#This Row],[Entity]]),4))&amp;"_"&amp;MID(SUBSTITUTE(Table362[[#This Row],[Rule Name]],"_","|",3),SEARCH("|",SUBSTITUTE(Table362[[#This Row],[Rule Name]],"_","|",3))+1,LEN(Table362[[#This Row],[Rule Name]]))</f>
        <v>315_PM_CLASS_EQUIPMENT</v>
      </c>
      <c r="R692" s="8" t="s">
        <v>5058</v>
      </c>
      <c r="S692" s="7" t="s">
        <v>4135</v>
      </c>
      <c r="T692" s="7"/>
      <c r="U692" s="7"/>
      <c r="V692" s="7" t="s">
        <v>5187</v>
      </c>
      <c r="W692" s="7" t="s">
        <v>5188</v>
      </c>
      <c r="X692" s="8"/>
      <c r="Y692" s="7" t="s">
        <v>5187</v>
      </c>
      <c r="Z692" s="7" t="s">
        <v>5189</v>
      </c>
      <c r="AA692" s="11" t="s">
        <v>5190</v>
      </c>
      <c r="AB692" s="11"/>
      <c r="AC692" s="11"/>
      <c r="AD692" s="11"/>
      <c r="AH692" s="8"/>
      <c r="AI692" s="20"/>
      <c r="AJ692" s="20"/>
      <c r="AK692" s="31"/>
      <c r="AL692" s="31"/>
    </row>
    <row r="693" spans="1:38" ht="60" hidden="1" x14ac:dyDescent="0.25">
      <c r="A693" s="14" t="s">
        <v>7346</v>
      </c>
      <c r="B693" s="7" t="s">
        <v>5877</v>
      </c>
      <c r="C693" s="7" t="s">
        <v>5011</v>
      </c>
      <c r="D693" s="7" t="s">
        <v>5978</v>
      </c>
      <c r="E693" s="7" t="s">
        <v>5978</v>
      </c>
      <c r="F693" s="7" t="s">
        <v>5978</v>
      </c>
      <c r="G693" s="7"/>
      <c r="H693" s="7"/>
      <c r="I693" s="7"/>
      <c r="J693" s="20" t="e">
        <f>VLOOKUP(V693,Table_to_BRG!A:D,3,FALSE)</f>
        <v>#N/A</v>
      </c>
      <c r="K693" s="20" t="e">
        <f>VLOOKUP(V693,Table_to_BRG!A:D,2,FALSE)</f>
        <v>#N/A</v>
      </c>
      <c r="L693" s="20"/>
      <c r="M693" s="20"/>
      <c r="N693" s="9" t="s">
        <v>6465</v>
      </c>
      <c r="O693" s="54" t="s">
        <v>7812</v>
      </c>
      <c r="P693" s="7" t="s">
        <v>5059</v>
      </c>
      <c r="Q693" s="11" t="str">
        <f>RIGHT("00"&amp;Table362[[#This Row],[Rule '#]],3)&amp;"_"&amp;IF(Table362[[#This Row],[Entity]]="Material","MATL",LEFT(UPPER(Table362[[#This Row],[Entity]]),4))&amp;"_"&amp;MID(SUBSTITUTE(Table362[[#This Row],[Rule Name]],"_","|",3),SEARCH("|",SUBSTITUTE(Table362[[#This Row],[Rule Name]],"_","|",3))+1,LEN(Table362[[#This Row],[Rule Name]]))</f>
        <v>316_PM_BERGU_FL</v>
      </c>
      <c r="R693" s="8" t="s">
        <v>5021</v>
      </c>
      <c r="S693" s="7" t="s">
        <v>4135</v>
      </c>
      <c r="T693" s="7"/>
      <c r="U693" s="7"/>
      <c r="V693" s="7" t="s">
        <v>5122</v>
      </c>
      <c r="W693" s="7" t="s">
        <v>5191</v>
      </c>
      <c r="X693" s="8"/>
      <c r="Y693" s="7" t="s">
        <v>5192</v>
      </c>
      <c r="Z693" s="7" t="s">
        <v>2712</v>
      </c>
      <c r="AA693" s="11" t="s">
        <v>5193</v>
      </c>
      <c r="AB693" s="11"/>
      <c r="AC693" s="11"/>
      <c r="AD693" s="11"/>
      <c r="AH693" s="8"/>
      <c r="AI693" s="20"/>
      <c r="AJ693" s="20"/>
      <c r="AK693" s="31"/>
      <c r="AL693" s="31"/>
    </row>
    <row r="694" spans="1:38" ht="60" hidden="1" x14ac:dyDescent="0.25">
      <c r="A694" s="14" t="s">
        <v>7347</v>
      </c>
      <c r="B694" s="7" t="s">
        <v>5877</v>
      </c>
      <c r="C694" s="7" t="s">
        <v>5011</v>
      </c>
      <c r="D694" s="7" t="s">
        <v>6753</v>
      </c>
      <c r="E694" s="7" t="s">
        <v>6756</v>
      </c>
      <c r="F694" s="7" t="s">
        <v>6757</v>
      </c>
      <c r="G694" s="7"/>
      <c r="H694" s="7"/>
      <c r="I694" s="7"/>
      <c r="J694" s="20" t="e">
        <f>VLOOKUP(V694,Table_to_BRG!A:D,3,FALSE)</f>
        <v>#N/A</v>
      </c>
      <c r="K694" s="20" t="e">
        <f>VLOOKUP(V694,Table_to_BRG!A:D,2,FALSE)</f>
        <v>#N/A</v>
      </c>
      <c r="L694" s="20"/>
      <c r="M694" s="20"/>
      <c r="N694" s="9" t="s">
        <v>6465</v>
      </c>
      <c r="O694" s="54" t="s">
        <v>7812</v>
      </c>
      <c r="P694" s="7" t="s">
        <v>5060</v>
      </c>
      <c r="Q694" s="11" t="str">
        <f>RIGHT("00"&amp;Table362[[#This Row],[Rule '#]],3)&amp;"_"&amp;IF(Table362[[#This Row],[Entity]]="Material","MATL",LEFT(UPPER(Table362[[#This Row],[Entity]]),4))&amp;"_"&amp;MID(SUBSTITUTE(Table362[[#This Row],[Rule Name]],"_","|",3),SEARCH("|",SUBSTITUTE(Table362[[#This Row],[Rule Name]],"_","|",3))+1,LEN(Table362[[#This Row],[Rule Name]]))</f>
        <v>317_PM_ATNAM_EQUIPMENT</v>
      </c>
      <c r="R694" s="8" t="s">
        <v>5061</v>
      </c>
      <c r="S694" s="7" t="s">
        <v>4135</v>
      </c>
      <c r="T694" s="7"/>
      <c r="U694" s="7"/>
      <c r="V694" s="7" t="s">
        <v>5194</v>
      </c>
      <c r="W694" s="7" t="s">
        <v>5195</v>
      </c>
      <c r="X694" s="8"/>
      <c r="Y694" s="7" t="s">
        <v>5194</v>
      </c>
      <c r="Z694" s="7" t="s">
        <v>5196</v>
      </c>
      <c r="AA694" s="11" t="s">
        <v>5197</v>
      </c>
      <c r="AB694" s="11"/>
      <c r="AC694" s="11"/>
      <c r="AD694" s="11"/>
      <c r="AH694" s="8"/>
      <c r="AI694" s="20"/>
      <c r="AJ694" s="20"/>
      <c r="AK694" s="31"/>
      <c r="AL694" s="31"/>
    </row>
    <row r="695" spans="1:38" ht="60" hidden="1" x14ac:dyDescent="0.25">
      <c r="A695" s="14" t="s">
        <v>7348</v>
      </c>
      <c r="B695" s="7" t="s">
        <v>5877</v>
      </c>
      <c r="C695" s="7" t="s">
        <v>5011</v>
      </c>
      <c r="D695" s="7" t="s">
        <v>5978</v>
      </c>
      <c r="E695" s="7" t="s">
        <v>5978</v>
      </c>
      <c r="F695" s="7" t="s">
        <v>5978</v>
      </c>
      <c r="G695" s="7"/>
      <c r="H695" s="7"/>
      <c r="I695" s="7"/>
      <c r="J695" s="20" t="e">
        <f>VLOOKUP(V695,Table_to_BRG!A:D,3,FALSE)</f>
        <v>#N/A</v>
      </c>
      <c r="K695" s="20" t="e">
        <f>VLOOKUP(V695,Table_to_BRG!A:D,2,FALSE)</f>
        <v>#N/A</v>
      </c>
      <c r="L695" s="20"/>
      <c r="M695" s="20"/>
      <c r="N695" s="9" t="s">
        <v>6465</v>
      </c>
      <c r="O695" s="54" t="s">
        <v>7812</v>
      </c>
      <c r="P695" s="7" t="s">
        <v>5062</v>
      </c>
      <c r="Q695" s="11" t="str">
        <f>RIGHT("00"&amp;Table362[[#This Row],[Rule '#]],3)&amp;"_"&amp;IF(Table362[[#This Row],[Entity]]="Material","MATL",LEFT(UPPER(Table362[[#This Row],[Entity]]),4))&amp;"_"&amp;MID(SUBSTITUTE(Table362[[#This Row],[Rule Name]],"_","|",3),SEARCH("|",SUBSTITUTE(Table362[[#This Row],[Rule Name]],"_","|",3))+1,LEN(Table362[[#This Row],[Rule Name]]))</f>
        <v>318_PM_STEUS_TL</v>
      </c>
      <c r="R695" s="8" t="s">
        <v>5063</v>
      </c>
      <c r="S695" s="7" t="s">
        <v>4135</v>
      </c>
      <c r="T695" s="7"/>
      <c r="U695" s="7"/>
      <c r="V695" s="7" t="s">
        <v>5198</v>
      </c>
      <c r="W695" s="7" t="s">
        <v>5173</v>
      </c>
      <c r="X695" s="8"/>
      <c r="Y695" s="7" t="s">
        <v>5174</v>
      </c>
      <c r="Z695" s="7" t="s">
        <v>5175</v>
      </c>
      <c r="AA695" s="11" t="s">
        <v>5199</v>
      </c>
      <c r="AB695" s="11"/>
      <c r="AC695" s="11"/>
      <c r="AD695" s="11"/>
      <c r="AH695" s="8"/>
      <c r="AI695" s="20"/>
      <c r="AJ695" s="20"/>
      <c r="AK695" s="31"/>
      <c r="AL695" s="31"/>
    </row>
    <row r="696" spans="1:38" ht="60" hidden="1" x14ac:dyDescent="0.25">
      <c r="A696" s="14" t="s">
        <v>7349</v>
      </c>
      <c r="B696" s="7" t="s">
        <v>5877</v>
      </c>
      <c r="C696" s="7" t="s">
        <v>5011</v>
      </c>
      <c r="D696" s="7" t="s">
        <v>5978</v>
      </c>
      <c r="E696" s="7" t="s">
        <v>5978</v>
      </c>
      <c r="F696" s="7" t="s">
        <v>5978</v>
      </c>
      <c r="G696" s="7"/>
      <c r="H696" s="7"/>
      <c r="I696" s="7"/>
      <c r="J696" s="20" t="e">
        <f>VLOOKUP(V696,Table_to_BRG!A:D,3,FALSE)</f>
        <v>#N/A</v>
      </c>
      <c r="K696" s="20" t="e">
        <f>VLOOKUP(V696,Table_to_BRG!A:D,2,FALSE)</f>
        <v>#N/A</v>
      </c>
      <c r="L696" s="20"/>
      <c r="M696" s="20"/>
      <c r="N696" s="9" t="s">
        <v>6465</v>
      </c>
      <c r="O696" s="54" t="s">
        <v>7812</v>
      </c>
      <c r="P696" s="7" t="s">
        <v>5064</v>
      </c>
      <c r="Q696" s="11" t="str">
        <f>RIGHT("00"&amp;Table362[[#This Row],[Rule '#]],3)&amp;"_"&amp;IF(Table362[[#This Row],[Entity]]="Material","MATL",LEFT(UPPER(Table362[[#This Row],[Entity]]),4))&amp;"_"&amp;MID(SUBSTITUTE(Table362[[#This Row],[Rule Name]],"_","|",3),SEARCH("|",SUBSTITUTE(Table362[[#This Row],[Rule Name]],"_","|",3))+1,LEN(Table362[[#This Row],[Rule Name]]))</f>
        <v>319_PM_PROID_EQUIPMENT</v>
      </c>
      <c r="R696" s="8" t="s">
        <v>5023</v>
      </c>
      <c r="S696" s="7" t="s">
        <v>4135</v>
      </c>
      <c r="T696" s="7"/>
      <c r="U696" s="7"/>
      <c r="V696" s="7" t="s">
        <v>5128</v>
      </c>
      <c r="W696" s="7" t="s">
        <v>5200</v>
      </c>
      <c r="X696" s="8"/>
      <c r="Y696" s="7" t="s">
        <v>4927</v>
      </c>
      <c r="Z696" s="7" t="s">
        <v>4928</v>
      </c>
      <c r="AA696" s="11" t="s">
        <v>5201</v>
      </c>
      <c r="AB696" s="11"/>
      <c r="AC696" s="11"/>
      <c r="AD696" s="11"/>
      <c r="AH696" s="8"/>
      <c r="AI696" s="20"/>
      <c r="AJ696" s="20"/>
      <c r="AK696" s="31"/>
      <c r="AL696" s="31"/>
    </row>
    <row r="697" spans="1:38" ht="60" hidden="1" x14ac:dyDescent="0.25">
      <c r="A697" s="14" t="s">
        <v>7350</v>
      </c>
      <c r="B697" s="7" t="s">
        <v>5877</v>
      </c>
      <c r="C697" s="7" t="s">
        <v>5011</v>
      </c>
      <c r="D697" s="7" t="s">
        <v>5978</v>
      </c>
      <c r="E697" s="7" t="s">
        <v>5978</v>
      </c>
      <c r="F697" s="7" t="s">
        <v>5978</v>
      </c>
      <c r="G697" s="7"/>
      <c r="H697" s="7"/>
      <c r="I697" s="7"/>
      <c r="J697" s="20" t="e">
        <f>VLOOKUP(V697,Table_to_BRG!A:D,3,FALSE)</f>
        <v>#N/A</v>
      </c>
      <c r="K697" s="20" t="e">
        <f>VLOOKUP(V697,Table_to_BRG!A:D,2,FALSE)</f>
        <v>#N/A</v>
      </c>
      <c r="L697" s="20"/>
      <c r="M697" s="20"/>
      <c r="N697" s="9" t="s">
        <v>6465</v>
      </c>
      <c r="O697" s="54" t="s">
        <v>7812</v>
      </c>
      <c r="P697" s="7" t="s">
        <v>5065</v>
      </c>
      <c r="Q697" s="11" t="str">
        <f>RIGHT("00"&amp;Table362[[#This Row],[Rule '#]],3)&amp;"_"&amp;IF(Table362[[#This Row],[Entity]]="Material","MATL",LEFT(UPPER(Table362[[#This Row],[Entity]]),4))&amp;"_"&amp;MID(SUBSTITUTE(Table362[[#This Row],[Rule Name]],"_","|",3),SEARCH("|",SUBSTITUTE(Table362[[#This Row],[Rule Name]],"_","|",3))+1,LEN(Table362[[#This Row],[Rule Name]]))</f>
        <v>320_PM_FORML_WC</v>
      </c>
      <c r="R697" s="8" t="s">
        <v>5066</v>
      </c>
      <c r="S697" s="7" t="s">
        <v>4135</v>
      </c>
      <c r="T697" s="7"/>
      <c r="U697" s="7"/>
      <c r="V697" s="7" t="s">
        <v>4950</v>
      </c>
      <c r="W697" s="7" t="s">
        <v>4978</v>
      </c>
      <c r="X697" s="8"/>
      <c r="Y697" s="7" t="s">
        <v>4966</v>
      </c>
      <c r="Z697" s="7" t="s">
        <v>4957</v>
      </c>
      <c r="AA697" s="11" t="s">
        <v>5202</v>
      </c>
      <c r="AB697" s="11"/>
      <c r="AC697" s="11"/>
      <c r="AD697" s="11"/>
      <c r="AH697" s="8"/>
      <c r="AI697" s="20"/>
      <c r="AJ697" s="20"/>
      <c r="AK697" s="31"/>
      <c r="AL697" s="31"/>
    </row>
    <row r="698" spans="1:38" ht="60" hidden="1" x14ac:dyDescent="0.25">
      <c r="A698" s="14" t="s">
        <v>7351</v>
      </c>
      <c r="B698" s="7" t="s">
        <v>5877</v>
      </c>
      <c r="C698" s="7" t="s">
        <v>5011</v>
      </c>
      <c r="D698" s="7" t="s">
        <v>5978</v>
      </c>
      <c r="E698" s="7" t="s">
        <v>5978</v>
      </c>
      <c r="F698" s="7" t="s">
        <v>5978</v>
      </c>
      <c r="G698" s="7"/>
      <c r="H698" s="7"/>
      <c r="I698" s="7"/>
      <c r="J698" s="20" t="e">
        <f>VLOOKUP(V698,Table_to_BRG!A:D,3,FALSE)</f>
        <v>#N/A</v>
      </c>
      <c r="K698" s="20" t="e">
        <f>VLOOKUP(V698,Table_to_BRG!A:D,2,FALSE)</f>
        <v>#N/A</v>
      </c>
      <c r="L698" s="20"/>
      <c r="M698" s="20"/>
      <c r="N698" s="9" t="s">
        <v>6465</v>
      </c>
      <c r="O698" s="54" t="s">
        <v>7812</v>
      </c>
      <c r="P698" s="7" t="s">
        <v>5067</v>
      </c>
      <c r="Q698" s="11" t="str">
        <f>RIGHT("00"&amp;Table362[[#This Row],[Rule '#]],3)&amp;"_"&amp;IF(Table362[[#This Row],[Entity]]="Material","MATL",LEFT(UPPER(Table362[[#This Row],[Entity]]),4))&amp;"_"&amp;MID(SUBSTITUTE(Table362[[#This Row],[Rule Name]],"_","|",3),SEARCH("|",SUBSTITUTE(Table362[[#This Row],[Rule Name]],"_","|",3))+1,LEN(Table362[[#This Row],[Rule Name]]))</f>
        <v>321_PM_MATNR_EQUIPMENT</v>
      </c>
      <c r="R698" s="8" t="s">
        <v>5013</v>
      </c>
      <c r="S698" s="7" t="s">
        <v>4135</v>
      </c>
      <c r="T698" s="7"/>
      <c r="U698" s="7"/>
      <c r="V698" s="7" t="s">
        <v>5124</v>
      </c>
      <c r="W698" s="7" t="s">
        <v>4167</v>
      </c>
      <c r="X698" s="8"/>
      <c r="Y698" s="7" t="s">
        <v>1526</v>
      </c>
      <c r="Z698" s="7" t="s">
        <v>1492</v>
      </c>
      <c r="AA698" s="11" t="s">
        <v>5203</v>
      </c>
      <c r="AB698" s="11"/>
      <c r="AC698" s="11"/>
      <c r="AD698" s="11"/>
      <c r="AH698" s="8"/>
      <c r="AI698" s="20"/>
      <c r="AJ698" s="20"/>
      <c r="AK698" s="31"/>
      <c r="AL698" s="31"/>
    </row>
    <row r="699" spans="1:38" ht="60" hidden="1" x14ac:dyDescent="0.25">
      <c r="A699" s="14" t="s">
        <v>7352</v>
      </c>
      <c r="B699" s="7" t="s">
        <v>5877</v>
      </c>
      <c r="C699" s="7" t="s">
        <v>5011</v>
      </c>
      <c r="D699" s="7" t="s">
        <v>5978</v>
      </c>
      <c r="E699" s="7" t="s">
        <v>5978</v>
      </c>
      <c r="F699" s="7" t="s">
        <v>5978</v>
      </c>
      <c r="G699" s="7"/>
      <c r="H699" s="7"/>
      <c r="I699" s="7"/>
      <c r="J699" s="20" t="e">
        <f>VLOOKUP(V699,Table_to_BRG!A:D,3,FALSE)</f>
        <v>#N/A</v>
      </c>
      <c r="K699" s="20" t="e">
        <f>VLOOKUP(V699,Table_to_BRG!A:D,2,FALSE)</f>
        <v>#N/A</v>
      </c>
      <c r="L699" s="20"/>
      <c r="M699" s="20"/>
      <c r="N699" s="9" t="s">
        <v>6465</v>
      </c>
      <c r="O699" s="54" t="s">
        <v>7812</v>
      </c>
      <c r="P699" s="7" t="s">
        <v>5068</v>
      </c>
      <c r="Q699" s="11" t="str">
        <f>RIGHT("00"&amp;Table362[[#This Row],[Rule '#]],3)&amp;"_"&amp;IF(Table362[[#This Row],[Entity]]="Material","MATL",LEFT(UPPER(Table362[[#This Row],[Entity]]),4))&amp;"_"&amp;MID(SUBSTITUTE(Table362[[#This Row],[Rule Name]],"_","|",3),SEARCH("|",SUBSTITUTE(Table362[[#This Row],[Rule Name]],"_","|",3))+1,LEN(Table362[[#This Row],[Rule Name]]))</f>
        <v>322_PM_IWERK_FL</v>
      </c>
      <c r="R699" s="8" t="s">
        <v>5069</v>
      </c>
      <c r="S699" s="7" t="s">
        <v>4135</v>
      </c>
      <c r="T699" s="7"/>
      <c r="U699" s="7"/>
      <c r="V699" s="7" t="s">
        <v>5204</v>
      </c>
      <c r="W699" s="7" t="s">
        <v>5133</v>
      </c>
      <c r="X699" s="8"/>
      <c r="Y699" s="7" t="s">
        <v>4145</v>
      </c>
      <c r="Z699" s="7" t="s">
        <v>1495</v>
      </c>
      <c r="AA699" s="11" t="s">
        <v>5205</v>
      </c>
      <c r="AB699" s="11"/>
      <c r="AC699" s="11"/>
      <c r="AD699" s="11"/>
      <c r="AH699" s="8"/>
      <c r="AI699" s="20"/>
      <c r="AJ699" s="20"/>
      <c r="AK699" s="31"/>
      <c r="AL699" s="31"/>
    </row>
    <row r="700" spans="1:38" ht="60" hidden="1" x14ac:dyDescent="0.25">
      <c r="A700" s="14" t="s">
        <v>7353</v>
      </c>
      <c r="B700" s="7" t="s">
        <v>5877</v>
      </c>
      <c r="C700" s="7" t="s">
        <v>5011</v>
      </c>
      <c r="D700" s="7" t="s">
        <v>5978</v>
      </c>
      <c r="E700" s="7" t="s">
        <v>5978</v>
      </c>
      <c r="F700" s="7" t="s">
        <v>5978</v>
      </c>
      <c r="G700" s="7"/>
      <c r="H700" s="7"/>
      <c r="I700" s="7"/>
      <c r="J700" s="20" t="e">
        <f>VLOOKUP(V700,Table_to_BRG!A:D,3,FALSE)</f>
        <v>#N/A</v>
      </c>
      <c r="K700" s="20" t="e">
        <f>VLOOKUP(V700,Table_to_BRG!A:D,2,FALSE)</f>
        <v>#N/A</v>
      </c>
      <c r="L700" s="20"/>
      <c r="M700" s="20"/>
      <c r="N700" s="9" t="s">
        <v>6465</v>
      </c>
      <c r="O700" s="54" t="s">
        <v>7812</v>
      </c>
      <c r="P700" s="7" t="s">
        <v>5070</v>
      </c>
      <c r="Q700" s="11" t="str">
        <f>RIGHT("00"&amp;Table362[[#This Row],[Rule '#]],3)&amp;"_"&amp;IF(Table362[[#This Row],[Entity]]="Material","MATL",LEFT(UPPER(Table362[[#This Row],[Entity]]),4))&amp;"_"&amp;MID(SUBSTITUTE(Table362[[#This Row],[Rule Name]],"_","|",3),SEARCH("|",SUBSTITUTE(Table362[[#This Row],[Rule Name]],"_","|",3))+1,LEN(Table362[[#This Row],[Rule Name]]))</f>
        <v>323_PM_BEBER_EQUIPMENT</v>
      </c>
      <c r="R700" s="8" t="s">
        <v>5023</v>
      </c>
      <c r="S700" s="7" t="s">
        <v>4135</v>
      </c>
      <c r="T700" s="7"/>
      <c r="U700" s="7"/>
      <c r="V700" s="7" t="s">
        <v>5128</v>
      </c>
      <c r="W700" s="7" t="s">
        <v>5206</v>
      </c>
      <c r="X700" s="8"/>
      <c r="Y700" s="7" t="s">
        <v>5207</v>
      </c>
      <c r="Z700" s="7" t="s">
        <v>5208</v>
      </c>
      <c r="AA700" s="11" t="s">
        <v>5209</v>
      </c>
      <c r="AB700" s="11"/>
      <c r="AC700" s="11"/>
      <c r="AD700" s="11"/>
      <c r="AH700" s="8"/>
      <c r="AI700" s="20"/>
      <c r="AJ700" s="20"/>
      <c r="AK700" s="31"/>
      <c r="AL700" s="31"/>
    </row>
    <row r="701" spans="1:38" ht="60" hidden="1" x14ac:dyDescent="0.25">
      <c r="A701" s="14" t="s">
        <v>7354</v>
      </c>
      <c r="B701" s="7" t="s">
        <v>5877</v>
      </c>
      <c r="C701" s="7" t="s">
        <v>5011</v>
      </c>
      <c r="D701" s="7" t="s">
        <v>5978</v>
      </c>
      <c r="E701" s="7" t="s">
        <v>5978</v>
      </c>
      <c r="F701" s="7" t="s">
        <v>5978</v>
      </c>
      <c r="G701" s="7"/>
      <c r="H701" s="7"/>
      <c r="I701" s="7"/>
      <c r="J701" s="20" t="e">
        <f>VLOOKUP(V701,Table_to_BRG!A:D,3,FALSE)</f>
        <v>#N/A</v>
      </c>
      <c r="K701" s="20" t="e">
        <f>VLOOKUP(V701,Table_to_BRG!A:D,2,FALSE)</f>
        <v>#N/A</v>
      </c>
      <c r="L701" s="20"/>
      <c r="M701" s="20"/>
      <c r="N701" s="9" t="s">
        <v>6465</v>
      </c>
      <c r="O701" s="54" t="s">
        <v>7812</v>
      </c>
      <c r="P701" s="7" t="s">
        <v>5071</v>
      </c>
      <c r="Q701" s="11" t="str">
        <f>RIGHT("00"&amp;Table362[[#This Row],[Rule '#]],3)&amp;"_"&amp;IF(Table362[[#This Row],[Entity]]="Material","MATL",LEFT(UPPER(Table362[[#This Row],[Entity]]),4))&amp;"_"&amp;MID(SUBSTITUTE(Table362[[#This Row],[Rule Name]],"_","|",3),SEARCH("|",SUBSTITUTE(Table362[[#This Row],[Rule Name]],"_","|",3))+1,LEN(Table362[[#This Row],[Rule Name]]))</f>
        <v>324_PM_KMATN_EQUIPMENT</v>
      </c>
      <c r="R701" s="8" t="s">
        <v>5013</v>
      </c>
      <c r="S701" s="7" t="s">
        <v>4135</v>
      </c>
      <c r="T701" s="7"/>
      <c r="U701" s="7"/>
      <c r="V701" s="7" t="s">
        <v>5124</v>
      </c>
      <c r="W701" s="7" t="s">
        <v>5210</v>
      </c>
      <c r="X701" s="8"/>
      <c r="Y701" s="7" t="s">
        <v>1526</v>
      </c>
      <c r="Z701" s="7" t="s">
        <v>1492</v>
      </c>
      <c r="AA701" s="11" t="s">
        <v>5211</v>
      </c>
      <c r="AB701" s="11"/>
      <c r="AC701" s="11"/>
      <c r="AD701" s="11"/>
      <c r="AH701" s="8"/>
      <c r="AI701" s="20"/>
      <c r="AJ701" s="20"/>
      <c r="AK701" s="31"/>
      <c r="AL701" s="31"/>
    </row>
    <row r="702" spans="1:38" ht="60" hidden="1" x14ac:dyDescent="0.25">
      <c r="A702" s="14" t="s">
        <v>7355</v>
      </c>
      <c r="B702" s="7" t="s">
        <v>5877</v>
      </c>
      <c r="C702" s="7" t="s">
        <v>5011</v>
      </c>
      <c r="D702" s="7" t="s">
        <v>5978</v>
      </c>
      <c r="E702" s="7" t="s">
        <v>5978</v>
      </c>
      <c r="F702" s="7" t="s">
        <v>5978</v>
      </c>
      <c r="G702" s="7"/>
      <c r="H702" s="7"/>
      <c r="I702" s="7"/>
      <c r="J702" s="20" t="e">
        <f>VLOOKUP(V702,Table_to_BRG!A:D,3,FALSE)</f>
        <v>#N/A</v>
      </c>
      <c r="K702" s="20" t="e">
        <f>VLOOKUP(V702,Table_to_BRG!A:D,2,FALSE)</f>
        <v>#N/A</v>
      </c>
      <c r="L702" s="20"/>
      <c r="M702" s="20"/>
      <c r="N702" s="9" t="s">
        <v>6465</v>
      </c>
      <c r="O702" s="54" t="s">
        <v>7812</v>
      </c>
      <c r="P702" s="7" t="s">
        <v>5072</v>
      </c>
      <c r="Q702" s="11" t="str">
        <f>RIGHT("00"&amp;Table362[[#This Row],[Rule '#]],3)&amp;"_"&amp;IF(Table362[[#This Row],[Entity]]="Material","MATL",LEFT(UPPER(Table362[[#This Row],[Entity]]),4))&amp;"_"&amp;MID(SUBSTITUTE(Table362[[#This Row],[Rule Name]],"_","|",3),SEARCH("|",SUBSTITUTE(Table362[[#This Row],[Rule Name]],"_","|",3))+1,LEN(Table362[[#This Row],[Rule Name]]))</f>
        <v>325_PM_PLNTY_MP</v>
      </c>
      <c r="R702" s="8" t="s">
        <v>5041</v>
      </c>
      <c r="S702" s="7" t="s">
        <v>4135</v>
      </c>
      <c r="T702" s="7"/>
      <c r="U702" s="7"/>
      <c r="V702" s="7" t="s">
        <v>5151</v>
      </c>
      <c r="W702" s="7" t="s">
        <v>5212</v>
      </c>
      <c r="X702" s="8"/>
      <c r="Y702" s="7" t="s">
        <v>5213</v>
      </c>
      <c r="Z702" s="7" t="s">
        <v>1775</v>
      </c>
      <c r="AA702" s="11" t="s">
        <v>5214</v>
      </c>
      <c r="AB702" s="11"/>
      <c r="AC702" s="11"/>
      <c r="AD702" s="11"/>
      <c r="AH702" s="8"/>
      <c r="AI702" s="20"/>
      <c r="AJ702" s="20"/>
      <c r="AK702" s="31"/>
      <c r="AL702" s="31"/>
    </row>
    <row r="703" spans="1:38" ht="36" hidden="1" x14ac:dyDescent="0.25">
      <c r="A703" s="14" t="s">
        <v>7356</v>
      </c>
      <c r="B703" s="7" t="s">
        <v>5877</v>
      </c>
      <c r="C703" s="7" t="s">
        <v>5011</v>
      </c>
      <c r="D703" s="7" t="s">
        <v>5978</v>
      </c>
      <c r="E703" s="7" t="s">
        <v>5978</v>
      </c>
      <c r="F703" s="7" t="s">
        <v>5978</v>
      </c>
      <c r="G703" s="7"/>
      <c r="H703" s="7"/>
      <c r="I703" s="7"/>
      <c r="J703" s="20" t="e">
        <f>VLOOKUP(V703,Table_to_BRG!A:D,3,FALSE)</f>
        <v>#N/A</v>
      </c>
      <c r="K703" s="20" t="e">
        <f>VLOOKUP(V703,Table_to_BRG!A:D,2,FALSE)</f>
        <v>#N/A</v>
      </c>
      <c r="L703" s="20"/>
      <c r="M703" s="20"/>
      <c r="N703" s="9" t="s">
        <v>6465</v>
      </c>
      <c r="O703" s="54" t="s">
        <v>7812</v>
      </c>
      <c r="P703" s="7" t="s">
        <v>5073</v>
      </c>
      <c r="Q703" s="11" t="str">
        <f>RIGHT("00"&amp;Table362[[#This Row],[Rule '#]],3)&amp;"_"&amp;IF(Table362[[#This Row],[Entity]]="Material","MATL",LEFT(UPPER(Table362[[#This Row],[Entity]]),4))&amp;"_"&amp;MID(SUBSTITUTE(Table362[[#This Row],[Rule Name]],"_","|",3),SEARCH("|",SUBSTITUTE(Table362[[#This Row],[Rule Name]],"_","|",3))+1,LEN(Table362[[#This Row],[Rule Name]]))</f>
        <v>326_PM_WPGRP_MP</v>
      </c>
      <c r="R703" s="8" t="s">
        <v>5041</v>
      </c>
      <c r="S703" s="7" t="s">
        <v>4135</v>
      </c>
      <c r="T703" s="7"/>
      <c r="U703" s="7"/>
      <c r="V703" s="7" t="s">
        <v>5151</v>
      </c>
      <c r="W703" s="7" t="s">
        <v>5215</v>
      </c>
      <c r="X703" s="8"/>
      <c r="Y703" s="7" t="s">
        <v>5135</v>
      </c>
      <c r="Z703" s="7" t="s">
        <v>5136</v>
      </c>
      <c r="AA703" s="11" t="str">
        <f>"BEGIN
     RETURN exists('DS_IS_RDS', '"&amp;Table362[[#This Row],[Lookup Table]]&amp;"', '"&amp;Table362[[#This Row],[Lookup Field]]&amp;"', upper("&amp;Table362[[#This Row],[IS Parameter]]&amp;");
END"</f>
        <v>BEGIN
     RETURN exists('DS_IS_RDS', 'T024I', 'INGRP', upper();
END</v>
      </c>
      <c r="AB703" s="11"/>
      <c r="AC703" s="11"/>
      <c r="AD703" s="11"/>
      <c r="AH703" s="8"/>
      <c r="AI703" s="20"/>
      <c r="AJ703" s="20"/>
      <c r="AK703" s="31"/>
      <c r="AL703" s="31"/>
    </row>
    <row r="704" spans="1:38" ht="36" hidden="1" x14ac:dyDescent="0.25">
      <c r="A704" s="14" t="s">
        <v>7357</v>
      </c>
      <c r="B704" s="7" t="s">
        <v>5877</v>
      </c>
      <c r="C704" s="7" t="s">
        <v>5011</v>
      </c>
      <c r="D704" s="7" t="s">
        <v>5978</v>
      </c>
      <c r="E704" s="7" t="s">
        <v>5978</v>
      </c>
      <c r="F704" s="7" t="s">
        <v>5978</v>
      </c>
      <c r="G704" s="7"/>
      <c r="H704" s="7"/>
      <c r="I704" s="7"/>
      <c r="J704" s="20" t="e">
        <f>VLOOKUP(V704,Table_to_BRG!A:D,3,FALSE)</f>
        <v>#N/A</v>
      </c>
      <c r="K704" s="20" t="e">
        <f>VLOOKUP(V704,Table_to_BRG!A:D,2,FALSE)</f>
        <v>#N/A</v>
      </c>
      <c r="L704" s="20"/>
      <c r="M704" s="20"/>
      <c r="N704" s="9" t="s">
        <v>6465</v>
      </c>
      <c r="O704" s="54" t="s">
        <v>7812</v>
      </c>
      <c r="P704" s="7" t="s">
        <v>5074</v>
      </c>
      <c r="Q704" s="11" t="str">
        <f>RIGHT("00"&amp;Table362[[#This Row],[Rule '#]],3)&amp;"_"&amp;IF(Table362[[#This Row],[Entity]]="Material","MATL",LEFT(UPPER(Table362[[#This Row],[Entity]]),4))&amp;"_"&amp;MID(SUBSTITUTE(Table362[[#This Row],[Rule Name]],"_","|",3),SEARCH("|",SUBSTITUTE(Table362[[#This Row],[Rule Name]],"_","|",3))+1,LEN(Table362[[#This Row],[Rule Name]]))</f>
        <v>327_PM_MEINS_WC</v>
      </c>
      <c r="R704" s="8" t="s">
        <v>4951</v>
      </c>
      <c r="S704" s="7" t="s">
        <v>4135</v>
      </c>
      <c r="T704" s="7"/>
      <c r="U704" s="7"/>
      <c r="V704" s="7" t="s">
        <v>4951</v>
      </c>
      <c r="W704" s="7" t="s">
        <v>4141</v>
      </c>
      <c r="X704" s="8"/>
      <c r="Y704" s="7" t="s">
        <v>4192</v>
      </c>
      <c r="Z704" s="7" t="s">
        <v>4143</v>
      </c>
      <c r="AA704" s="11" t="str">
        <f>"BEGIN
     RETURN exists('DS_IS_RDS', '"&amp;Table362[[#This Row],[Lookup Table]]&amp;"', '"&amp;Table362[[#This Row],[Lookup Field]]&amp;"', upper("&amp;Table362[[#This Row],[IS Parameter]]&amp;");
END"</f>
        <v>BEGIN
     RETURN exists('DS_IS_RDS', 'T006', 'MSEHI', upper();
END</v>
      </c>
      <c r="AB704" s="11"/>
      <c r="AC704" s="11"/>
      <c r="AD704" s="11"/>
      <c r="AH704" s="8"/>
      <c r="AI704" s="20"/>
      <c r="AJ704" s="20"/>
      <c r="AK704" s="31"/>
      <c r="AL704" s="31"/>
    </row>
    <row r="705" spans="1:38" ht="60" hidden="1" x14ac:dyDescent="0.25">
      <c r="A705" s="14" t="s">
        <v>7358</v>
      </c>
      <c r="B705" s="7" t="s">
        <v>5877</v>
      </c>
      <c r="C705" s="7" t="s">
        <v>5011</v>
      </c>
      <c r="D705" s="7" t="s">
        <v>5978</v>
      </c>
      <c r="E705" s="7" t="s">
        <v>5978</v>
      </c>
      <c r="F705" s="7" t="s">
        <v>5978</v>
      </c>
      <c r="G705" s="7"/>
      <c r="H705" s="7"/>
      <c r="I705" s="7"/>
      <c r="J705" s="20" t="e">
        <f>VLOOKUP(V705,Table_to_BRG!A:D,3,FALSE)</f>
        <v>#N/A</v>
      </c>
      <c r="K705" s="20" t="e">
        <f>VLOOKUP(V705,Table_to_BRG!A:D,2,FALSE)</f>
        <v>#N/A</v>
      </c>
      <c r="L705" s="20"/>
      <c r="M705" s="20"/>
      <c r="N705" s="9" t="s">
        <v>6465</v>
      </c>
      <c r="O705" s="54" t="s">
        <v>7812</v>
      </c>
      <c r="P705" s="7" t="s">
        <v>5075</v>
      </c>
      <c r="Q705" s="11" t="str">
        <f>RIGHT("00"&amp;Table362[[#This Row],[Rule '#]],3)&amp;"_"&amp;IF(Table362[[#This Row],[Entity]]="Material","MATL",LEFT(UPPER(Table362[[#This Row],[Entity]]),4))&amp;"_"&amp;MID(SUBSTITUTE(Table362[[#This Row],[Rule Name]],"_","|",3),SEARCH("|",SUBSTITUTE(Table362[[#This Row],[Rule Name]],"_","|",3))+1,LEN(Table362[[#This Row],[Rule Name]]))</f>
        <v>328_PM_BEGRU_EQUIPMENT</v>
      </c>
      <c r="R705" s="8" t="s">
        <v>5013</v>
      </c>
      <c r="S705" s="7" t="s">
        <v>4135</v>
      </c>
      <c r="T705" s="7"/>
      <c r="U705" s="7"/>
      <c r="V705" s="7" t="s">
        <v>5124</v>
      </c>
      <c r="W705" s="7" t="s">
        <v>5191</v>
      </c>
      <c r="X705" s="8"/>
      <c r="Y705" s="7" t="s">
        <v>5192</v>
      </c>
      <c r="Z705" s="7" t="s">
        <v>2712</v>
      </c>
      <c r="AA705" s="11" t="s">
        <v>5216</v>
      </c>
      <c r="AB705" s="11"/>
      <c r="AC705" s="11"/>
      <c r="AD705" s="11"/>
      <c r="AH705" s="8"/>
      <c r="AI705" s="20"/>
      <c r="AJ705" s="20"/>
      <c r="AK705" s="31"/>
      <c r="AL705" s="31"/>
    </row>
    <row r="706" spans="1:38" ht="60" hidden="1" x14ac:dyDescent="0.25">
      <c r="A706" s="14" t="s">
        <v>7359</v>
      </c>
      <c r="B706" s="7" t="s">
        <v>5877</v>
      </c>
      <c r="C706" s="7" t="s">
        <v>5011</v>
      </c>
      <c r="D706" s="7" t="s">
        <v>5978</v>
      </c>
      <c r="E706" s="7" t="s">
        <v>5978</v>
      </c>
      <c r="F706" s="7" t="s">
        <v>5978</v>
      </c>
      <c r="G706" s="7"/>
      <c r="H706" s="7"/>
      <c r="I706" s="7"/>
      <c r="J706" s="20" t="e">
        <f>VLOOKUP(V706,Table_to_BRG!A:D,3,FALSE)</f>
        <v>#N/A</v>
      </c>
      <c r="K706" s="20" t="e">
        <f>VLOOKUP(V706,Table_to_BRG!A:D,2,FALSE)</f>
        <v>#N/A</v>
      </c>
      <c r="L706" s="20"/>
      <c r="M706" s="20"/>
      <c r="N706" s="9" t="s">
        <v>6465</v>
      </c>
      <c r="O706" s="54" t="s">
        <v>7812</v>
      </c>
      <c r="P706" s="7" t="s">
        <v>5076</v>
      </c>
      <c r="Q706" s="11" t="str">
        <f>RIGHT("00"&amp;Table362[[#This Row],[Rule '#]],3)&amp;"_"&amp;IF(Table362[[#This Row],[Entity]]="Material","MATL",LEFT(UPPER(Table362[[#This Row],[Entity]]),4))&amp;"_"&amp;MID(SUBSTITUTE(Table362[[#This Row],[Rule Name]],"_","|",3),SEARCH("|",SUBSTITUTE(Table362[[#This Row],[Rule Name]],"_","|",3))+1,LEN(Table362[[#This Row],[Rule Name]]))</f>
        <v>329_PM_KAPAR_WC</v>
      </c>
      <c r="R706" s="8" t="s">
        <v>5077</v>
      </c>
      <c r="S706" s="7" t="s">
        <v>4135</v>
      </c>
      <c r="T706" s="7"/>
      <c r="U706" s="7"/>
      <c r="V706" s="7" t="s">
        <v>4951</v>
      </c>
      <c r="W706" s="7" t="s">
        <v>5003</v>
      </c>
      <c r="X706" s="8"/>
      <c r="Y706" s="7" t="s">
        <v>5004</v>
      </c>
      <c r="Z706" s="7" t="s">
        <v>5005</v>
      </c>
      <c r="AA706" s="11" t="s">
        <v>5217</v>
      </c>
      <c r="AB706" s="11"/>
      <c r="AC706" s="11"/>
      <c r="AD706" s="11"/>
      <c r="AH706" s="8"/>
      <c r="AI706" s="20"/>
      <c r="AJ706" s="20"/>
      <c r="AK706" s="31"/>
      <c r="AL706" s="31"/>
    </row>
    <row r="707" spans="1:38" ht="60" hidden="1" x14ac:dyDescent="0.25">
      <c r="A707" s="14" t="s">
        <v>7360</v>
      </c>
      <c r="B707" s="7" t="s">
        <v>5877</v>
      </c>
      <c r="C707" s="7" t="s">
        <v>5011</v>
      </c>
      <c r="D707" s="7" t="s">
        <v>5978</v>
      </c>
      <c r="E707" s="7" t="s">
        <v>5978</v>
      </c>
      <c r="F707" s="7" t="s">
        <v>5978</v>
      </c>
      <c r="G707" s="7"/>
      <c r="H707" s="7"/>
      <c r="I707" s="7"/>
      <c r="J707" s="20" t="e">
        <f>VLOOKUP(V707,Table_to_BRG!A:D,3,FALSE)</f>
        <v>#N/A</v>
      </c>
      <c r="K707" s="20" t="e">
        <f>VLOOKUP(V707,Table_to_BRG!A:D,2,FALSE)</f>
        <v>#N/A</v>
      </c>
      <c r="L707" s="20"/>
      <c r="M707" s="20"/>
      <c r="N707" s="9" t="s">
        <v>6465</v>
      </c>
      <c r="O707" s="54" t="s">
        <v>7812</v>
      </c>
      <c r="P707" s="7" t="s">
        <v>5078</v>
      </c>
      <c r="Q707" s="11" t="str">
        <f>RIGHT("00"&amp;Table362[[#This Row],[Rule '#]],3)&amp;"_"&amp;IF(Table362[[#This Row],[Entity]]="Material","MATL",LEFT(UPPER(Table362[[#This Row],[Entity]]),4))&amp;"_"&amp;MID(SUBSTITUTE(Table362[[#This Row],[Rule Name]],"_","|",3),SEARCH("|",SUBSTITUTE(Table362[[#This Row],[Rule Name]],"_","|",3))+1,LEN(Table362[[#This Row],[Rule Name]]))</f>
        <v>330_PM_VERAN_WC</v>
      </c>
      <c r="R707" s="8" t="s">
        <v>5079</v>
      </c>
      <c r="S707" s="7" t="s">
        <v>4135</v>
      </c>
      <c r="T707" s="7"/>
      <c r="U707" s="7"/>
      <c r="V707" s="7" t="s">
        <v>4975</v>
      </c>
      <c r="W707" s="7" t="s">
        <v>4973</v>
      </c>
      <c r="X707" s="8"/>
      <c r="Y707" s="7" t="s">
        <v>4974</v>
      </c>
      <c r="Z707" s="7" t="s">
        <v>4975</v>
      </c>
      <c r="AA707" s="11" t="s">
        <v>5218</v>
      </c>
      <c r="AB707" s="11"/>
      <c r="AC707" s="11"/>
      <c r="AD707" s="11"/>
      <c r="AH707" s="8"/>
      <c r="AI707" s="20"/>
      <c r="AJ707" s="20"/>
      <c r="AK707" s="31"/>
      <c r="AL707" s="31"/>
    </row>
    <row r="708" spans="1:38" ht="36" hidden="1" x14ac:dyDescent="0.25">
      <c r="A708" s="14" t="s">
        <v>7361</v>
      </c>
      <c r="B708" s="7" t="s">
        <v>5877</v>
      </c>
      <c r="C708" s="7" t="s">
        <v>5011</v>
      </c>
      <c r="D708" s="7" t="s">
        <v>5978</v>
      </c>
      <c r="E708" s="7" t="s">
        <v>5978</v>
      </c>
      <c r="F708" s="7" t="s">
        <v>5978</v>
      </c>
      <c r="G708" s="7"/>
      <c r="H708" s="7"/>
      <c r="I708" s="7"/>
      <c r="J708" s="20" t="e">
        <f>VLOOKUP(V708,Table_to_BRG!A:D,3,FALSE)</f>
        <v>#N/A</v>
      </c>
      <c r="K708" s="20" t="e">
        <f>VLOOKUP(V708,Table_to_BRG!A:D,2,FALSE)</f>
        <v>#N/A</v>
      </c>
      <c r="L708" s="20"/>
      <c r="M708" s="20"/>
      <c r="N708" s="9" t="s">
        <v>6465</v>
      </c>
      <c r="O708" s="54" t="s">
        <v>7812</v>
      </c>
      <c r="P708" s="7" t="s">
        <v>5080</v>
      </c>
      <c r="Q708" s="11" t="str">
        <f>RIGHT("00"&amp;Table362[[#This Row],[Rule '#]],3)&amp;"_"&amp;IF(Table362[[#This Row],[Entity]]="Material","MATL",LEFT(UPPER(Table362[[#This Row],[Entity]]),4))&amp;"_"&amp;MID(SUBSTITUTE(Table362[[#This Row],[Rule Name]],"_","|",3),SEARCH("|",SUBSTITUTE(Table362[[#This Row],[Rule Name]],"_","|",3))+1,LEN(Table362[[#This Row],[Rule Name]]))</f>
        <v>331_PM_MPTYP_MP</v>
      </c>
      <c r="R708" s="8" t="s">
        <v>5029</v>
      </c>
      <c r="S708" s="7" t="s">
        <v>4135</v>
      </c>
      <c r="T708" s="7"/>
      <c r="U708" s="7"/>
      <c r="V708" s="7" t="s">
        <v>5138</v>
      </c>
      <c r="W708" s="7" t="s">
        <v>5219</v>
      </c>
      <c r="X708" s="8"/>
      <c r="Y708" s="7" t="s">
        <v>5220</v>
      </c>
      <c r="Z708" s="7" t="s">
        <v>5221</v>
      </c>
      <c r="AA708" s="11" t="str">
        <f>"BEGIN
     RETURN exists('DS_IS_RDS', '"&amp;Table362[[#This Row],[Lookup Table]]&amp;"', '"&amp;Table362[[#This Row],[Lookup Field]]&amp;"', upper("&amp;Table362[[#This Row],[IS Parameter]]&amp;");
END"</f>
        <v>BEGIN
     RETURN exists('DS_IS_RDS', 'T399W', 'MPTYP', upper();
END</v>
      </c>
      <c r="AB708" s="11"/>
      <c r="AC708" s="11"/>
      <c r="AD708" s="11"/>
      <c r="AH708" s="8"/>
      <c r="AI708" s="20"/>
      <c r="AJ708" s="20"/>
      <c r="AK708" s="31"/>
      <c r="AL708" s="31"/>
    </row>
    <row r="709" spans="1:38" ht="300" hidden="1" x14ac:dyDescent="0.25">
      <c r="A709" s="14" t="s">
        <v>7362</v>
      </c>
      <c r="B709" s="7" t="s">
        <v>5877</v>
      </c>
      <c r="C709" s="7" t="s">
        <v>5011</v>
      </c>
      <c r="D709" s="7" t="s">
        <v>5978</v>
      </c>
      <c r="E709" s="7" t="s">
        <v>5978</v>
      </c>
      <c r="F709" s="7" t="s">
        <v>5978</v>
      </c>
      <c r="G709" s="7"/>
      <c r="H709" s="7"/>
      <c r="I709" s="7"/>
      <c r="J709" s="20" t="e">
        <f>VLOOKUP(V709,Table_to_BRG!A:D,3,FALSE)</f>
        <v>#N/A</v>
      </c>
      <c r="K709" s="20" t="e">
        <f>VLOOKUP(V709,Table_to_BRG!A:D,2,FALSE)</f>
        <v>#N/A</v>
      </c>
      <c r="L709" s="20"/>
      <c r="M709" s="20"/>
      <c r="N709" s="9" t="s">
        <v>6465</v>
      </c>
      <c r="O709" s="54" t="s">
        <v>7812</v>
      </c>
      <c r="P709" s="7" t="s">
        <v>5081</v>
      </c>
      <c r="Q709" s="11" t="str">
        <f>RIGHT("00"&amp;Table362[[#This Row],[Rule '#]],3)&amp;"_"&amp;IF(Table362[[#This Row],[Entity]]="Material","MATL",LEFT(UPPER(Table362[[#This Row],[Entity]]),4))&amp;"_"&amp;MID(SUBSTITUTE(Table362[[#This Row],[Rule Name]],"_","|",3),SEARCH("|",SUBSTITUTE(Table362[[#This Row],[Rule Name]],"_","|",3))+1,LEN(Table362[[#This Row],[Rule Name]]))</f>
        <v>332_PM_TPLNR</v>
      </c>
      <c r="R709" s="8" t="s">
        <v>5082</v>
      </c>
      <c r="S709" s="7" t="s">
        <v>4135</v>
      </c>
      <c r="T709" s="7"/>
      <c r="U709" s="7"/>
      <c r="V709" s="7" t="s">
        <v>5122</v>
      </c>
      <c r="W709" s="7" t="s">
        <v>5222</v>
      </c>
      <c r="X709" s="8"/>
      <c r="Y709" s="7"/>
      <c r="Z709" s="7"/>
      <c r="AA709" s="11" t="s">
        <v>5223</v>
      </c>
      <c r="AB709" s="11"/>
      <c r="AC709" s="11"/>
      <c r="AD709" s="11"/>
      <c r="AH709" s="8"/>
      <c r="AI709" s="20"/>
      <c r="AJ709" s="20"/>
      <c r="AK709" s="31"/>
      <c r="AL709" s="31"/>
    </row>
    <row r="710" spans="1:38" ht="72" hidden="1" x14ac:dyDescent="0.25">
      <c r="A710" s="14" t="s">
        <v>7363</v>
      </c>
      <c r="B710" s="7" t="s">
        <v>5877</v>
      </c>
      <c r="C710" s="7" t="s">
        <v>5011</v>
      </c>
      <c r="D710" s="7" t="s">
        <v>5978</v>
      </c>
      <c r="E710" s="7" t="s">
        <v>5978</v>
      </c>
      <c r="F710" s="7" t="s">
        <v>5978</v>
      </c>
      <c r="G710" s="7"/>
      <c r="H710" s="7"/>
      <c r="I710" s="7"/>
      <c r="J710" s="20" t="e">
        <f>VLOOKUP(V710,Table_to_BRG!A:D,3,FALSE)</f>
        <v>#N/A</v>
      </c>
      <c r="K710" s="20" t="e">
        <f>VLOOKUP(V710,Table_to_BRG!A:D,2,FALSE)</f>
        <v>#N/A</v>
      </c>
      <c r="L710" s="20"/>
      <c r="M710" s="20"/>
      <c r="N710" s="9" t="s">
        <v>6465</v>
      </c>
      <c r="O710" s="54" t="s">
        <v>7812</v>
      </c>
      <c r="P710" s="7" t="s">
        <v>5083</v>
      </c>
      <c r="Q710" s="11" t="str">
        <f>RIGHT("00"&amp;Table362[[#This Row],[Rule '#]],3)&amp;"_"&amp;IF(Table362[[#This Row],[Entity]]="Material","MATL",LEFT(UPPER(Table362[[#This Row],[Entity]]),4))&amp;"_"&amp;MID(SUBSTITUTE(Table362[[#This Row],[Rule Name]],"_","|",3),SEARCH("|",SUBSTITUTE(Table362[[#This Row],[Rule Name]],"_","|",3))+1,LEN(Table362[[#This Row],[Rule Name]]))</f>
        <v>333_PM_ANLNR_EQUIPMENT</v>
      </c>
      <c r="R710" s="8" t="s">
        <v>5023</v>
      </c>
      <c r="S710" s="7" t="s">
        <v>4135</v>
      </c>
      <c r="T710" s="7"/>
      <c r="U710" s="7"/>
      <c r="V710" s="7" t="s">
        <v>5128</v>
      </c>
      <c r="W710" s="7" t="s">
        <v>5224</v>
      </c>
      <c r="X710" s="8"/>
      <c r="Y710" s="7" t="s">
        <v>5225</v>
      </c>
      <c r="Z710" s="7" t="s">
        <v>5168</v>
      </c>
      <c r="AA710" s="11" t="s">
        <v>5226</v>
      </c>
      <c r="AB710" s="11"/>
      <c r="AC710" s="11"/>
      <c r="AD710" s="11"/>
      <c r="AH710" s="8"/>
      <c r="AI710" s="20"/>
      <c r="AJ710" s="20"/>
      <c r="AK710" s="31"/>
      <c r="AL710" s="31"/>
    </row>
    <row r="711" spans="1:38" ht="60" hidden="1" x14ac:dyDescent="0.25">
      <c r="A711" s="14" t="s">
        <v>7364</v>
      </c>
      <c r="B711" s="7" t="s">
        <v>5877</v>
      </c>
      <c r="C711" s="7" t="s">
        <v>5011</v>
      </c>
      <c r="D711" s="7" t="s">
        <v>5978</v>
      </c>
      <c r="E711" s="7" t="s">
        <v>5978</v>
      </c>
      <c r="F711" s="7" t="s">
        <v>5978</v>
      </c>
      <c r="G711" s="7"/>
      <c r="H711" s="7"/>
      <c r="I711" s="7"/>
      <c r="J711" s="20" t="e">
        <f>VLOOKUP(V711,Table_to_BRG!A:D,3,FALSE)</f>
        <v>#N/A</v>
      </c>
      <c r="K711" s="20" t="e">
        <f>VLOOKUP(V711,Table_to_BRG!A:D,2,FALSE)</f>
        <v>#N/A</v>
      </c>
      <c r="L711" s="20"/>
      <c r="M711" s="20"/>
      <c r="N711" s="9" t="s">
        <v>6465</v>
      </c>
      <c r="O711" s="54" t="s">
        <v>7812</v>
      </c>
      <c r="P711" s="7" t="s">
        <v>5084</v>
      </c>
      <c r="Q711" s="11" t="str">
        <f>RIGHT("00"&amp;Table362[[#This Row],[Rule '#]],3)&amp;"_"&amp;IF(Table362[[#This Row],[Entity]]="Material","MATL",LEFT(UPPER(Table362[[#This Row],[Entity]]),4))&amp;"_"&amp;MID(SUBSTITUTE(Table362[[#This Row],[Rule Name]],"_","|",3),SEARCH("|",SUBSTITUTE(Table362[[#This Row],[Rule Name]],"_","|",3))+1,LEN(Table362[[#This Row],[Rule Name]]))</f>
        <v>334_PM_FORKN_WC</v>
      </c>
      <c r="R711" s="8" t="s">
        <v>5085</v>
      </c>
      <c r="S711" s="7" t="s">
        <v>4135</v>
      </c>
      <c r="T711" s="7"/>
      <c r="U711" s="7"/>
      <c r="V711" s="7" t="s">
        <v>5006</v>
      </c>
      <c r="W711" s="7" t="s">
        <v>4965</v>
      </c>
      <c r="X711" s="8"/>
      <c r="Y711" s="7" t="s">
        <v>4966</v>
      </c>
      <c r="Z711" s="7" t="s">
        <v>4957</v>
      </c>
      <c r="AA711" s="11" t="s">
        <v>5227</v>
      </c>
      <c r="AB711" s="11"/>
      <c r="AC711" s="11"/>
      <c r="AD711" s="11"/>
      <c r="AH711" s="8"/>
      <c r="AI711" s="20"/>
      <c r="AJ711" s="20"/>
      <c r="AK711" s="31"/>
      <c r="AL711" s="31"/>
    </row>
    <row r="712" spans="1:38" ht="60" hidden="1" x14ac:dyDescent="0.25">
      <c r="A712" s="14" t="s">
        <v>7365</v>
      </c>
      <c r="B712" s="7" t="s">
        <v>5877</v>
      </c>
      <c r="C712" s="7" t="s">
        <v>5011</v>
      </c>
      <c r="D712" s="7" t="s">
        <v>5978</v>
      </c>
      <c r="E712" s="7" t="s">
        <v>5978</v>
      </c>
      <c r="F712" s="7" t="s">
        <v>5978</v>
      </c>
      <c r="G712" s="7"/>
      <c r="H712" s="7"/>
      <c r="I712" s="7"/>
      <c r="J712" s="20" t="e">
        <f>VLOOKUP(V712,Table_to_BRG!A:D,3,FALSE)</f>
        <v>#N/A</v>
      </c>
      <c r="K712" s="20" t="e">
        <f>VLOOKUP(V712,Table_to_BRG!A:D,2,FALSE)</f>
        <v>#N/A</v>
      </c>
      <c r="L712" s="20"/>
      <c r="M712" s="20"/>
      <c r="N712" s="9" t="s">
        <v>6465</v>
      </c>
      <c r="O712" s="54" t="s">
        <v>7812</v>
      </c>
      <c r="P712" s="7" t="s">
        <v>5086</v>
      </c>
      <c r="Q712" s="11" t="str">
        <f>RIGHT("00"&amp;Table362[[#This Row],[Rule '#]],3)&amp;"_"&amp;IF(Table362[[#This Row],[Entity]]="Material","MATL",LEFT(UPPER(Table362[[#This Row],[Entity]]),4))&amp;"_"&amp;MID(SUBSTITUTE(Table362[[#This Row],[Rule Name]],"_","|",3),SEARCH("|",SUBSTITUTE(Table362[[#This Row],[Rule Name]],"_","|",3))+1,LEN(Table362[[#This Row],[Rule Name]]))</f>
        <v>335_PM_FORTN_WC</v>
      </c>
      <c r="R712" s="8" t="s">
        <v>5049</v>
      </c>
      <c r="S712" s="7" t="s">
        <v>4135</v>
      </c>
      <c r="T712" s="7"/>
      <c r="U712" s="7"/>
      <c r="V712" s="7" t="s">
        <v>4939</v>
      </c>
      <c r="W712" s="7" t="s">
        <v>5228</v>
      </c>
      <c r="X712" s="8"/>
      <c r="Y712" s="7" t="s">
        <v>4966</v>
      </c>
      <c r="Z712" s="7" t="s">
        <v>4957</v>
      </c>
      <c r="AA712" s="11" t="s">
        <v>5229</v>
      </c>
      <c r="AB712" s="11"/>
      <c r="AC712" s="11"/>
      <c r="AD712" s="11"/>
      <c r="AH712" s="8"/>
      <c r="AI712" s="20"/>
      <c r="AJ712" s="20"/>
      <c r="AK712" s="31"/>
      <c r="AL712" s="31"/>
    </row>
    <row r="713" spans="1:38" ht="60" hidden="1" x14ac:dyDescent="0.25">
      <c r="A713" s="14" t="s">
        <v>7366</v>
      </c>
      <c r="B713" s="7" t="s">
        <v>5877</v>
      </c>
      <c r="C713" s="7" t="s">
        <v>5011</v>
      </c>
      <c r="D713" s="7" t="s">
        <v>5978</v>
      </c>
      <c r="E713" s="7" t="s">
        <v>5978</v>
      </c>
      <c r="F713" s="7" t="s">
        <v>5978</v>
      </c>
      <c r="G713" s="7"/>
      <c r="H713" s="7"/>
      <c r="I713" s="7"/>
      <c r="J713" s="20" t="e">
        <f>VLOOKUP(V713,Table_to_BRG!A:D,3,FALSE)</f>
        <v>#N/A</v>
      </c>
      <c r="K713" s="20" t="e">
        <f>VLOOKUP(V713,Table_to_BRG!A:D,2,FALSE)</f>
        <v>#N/A</v>
      </c>
      <c r="L713" s="20"/>
      <c r="M713" s="20"/>
      <c r="N713" s="9" t="s">
        <v>6465</v>
      </c>
      <c r="O713" s="54" t="s">
        <v>7812</v>
      </c>
      <c r="P713" s="7" t="s">
        <v>5087</v>
      </c>
      <c r="Q713" s="11" t="str">
        <f>RIGHT("00"&amp;Table362[[#This Row],[Rule '#]],3)&amp;"_"&amp;IF(Table362[[#This Row],[Entity]]="Material","MATL",LEFT(UPPER(Table362[[#This Row],[Entity]]),4))&amp;"_"&amp;MID(SUBSTITUTE(Table362[[#This Row],[Rule Name]],"_","|",3),SEARCH("|",SUBSTITUTE(Table362[[#This Row],[Rule Name]],"_","|",3))+1,LEN(Table362[[#This Row],[Rule Name]]))</f>
        <v>336_PM_EQUNR_EQUIPMENT</v>
      </c>
      <c r="R713" s="8" t="s">
        <v>5088</v>
      </c>
      <c r="S713" s="7" t="s">
        <v>4135</v>
      </c>
      <c r="T713" s="7"/>
      <c r="U713" s="7"/>
      <c r="V713" s="7" t="s">
        <v>5204</v>
      </c>
      <c r="W713" s="7" t="s">
        <v>5230</v>
      </c>
      <c r="X713" s="8"/>
      <c r="Y713" s="7" t="s">
        <v>5124</v>
      </c>
      <c r="Z713" s="7" t="s">
        <v>5130</v>
      </c>
      <c r="AA713" s="11" t="s">
        <v>5231</v>
      </c>
      <c r="AB713" s="11"/>
      <c r="AC713" s="11"/>
      <c r="AD713" s="11"/>
      <c r="AH713" s="8"/>
      <c r="AI713" s="20"/>
      <c r="AJ713" s="20"/>
      <c r="AK713" s="31"/>
      <c r="AL713" s="31"/>
    </row>
    <row r="714" spans="1:38" ht="60" hidden="1" x14ac:dyDescent="0.25">
      <c r="A714" s="14" t="s">
        <v>7367</v>
      </c>
      <c r="B714" s="7" t="s">
        <v>5877</v>
      </c>
      <c r="C714" s="7" t="s">
        <v>5011</v>
      </c>
      <c r="D714" s="7" t="s">
        <v>5978</v>
      </c>
      <c r="E714" s="7" t="s">
        <v>5978</v>
      </c>
      <c r="F714" s="7" t="s">
        <v>5978</v>
      </c>
      <c r="G714" s="7"/>
      <c r="H714" s="7"/>
      <c r="I714" s="7"/>
      <c r="J714" s="20" t="e">
        <f>VLOOKUP(V714,Table_to_BRG!A:D,3,FALSE)</f>
        <v>#N/A</v>
      </c>
      <c r="K714" s="20" t="e">
        <f>VLOOKUP(V714,Table_to_BRG!A:D,2,FALSE)</f>
        <v>#N/A</v>
      </c>
      <c r="L714" s="20"/>
      <c r="M714" s="20"/>
      <c r="N714" s="9" t="s">
        <v>6465</v>
      </c>
      <c r="O714" s="54" t="s">
        <v>7812</v>
      </c>
      <c r="P714" s="7" t="s">
        <v>5089</v>
      </c>
      <c r="Q714" s="11" t="str">
        <f>RIGHT("00"&amp;Table362[[#This Row],[Rule '#]],3)&amp;"_"&amp;IF(Table362[[#This Row],[Entity]]="Material","MATL",LEFT(UPPER(Table362[[#This Row],[Entity]]),4))&amp;"_"&amp;MID(SUBSTITUTE(Table362[[#This Row],[Rule Name]],"_","|",3),SEARCH("|",SUBSTITUTE(Table362[[#This Row],[Rule Name]],"_","|",3))+1,LEN(Table362[[#This Row],[Rule Name]]))</f>
        <v>337_PM_SUBMT_EQUIPMENT</v>
      </c>
      <c r="R714" s="8" t="s">
        <v>5088</v>
      </c>
      <c r="S714" s="7" t="s">
        <v>4135</v>
      </c>
      <c r="T714" s="7"/>
      <c r="U714" s="7"/>
      <c r="V714" s="7" t="s">
        <v>5204</v>
      </c>
      <c r="W714" s="7" t="s">
        <v>5232</v>
      </c>
      <c r="X714" s="8"/>
      <c r="Y714" s="7" t="s">
        <v>1526</v>
      </c>
      <c r="Z714" s="7" t="s">
        <v>1492</v>
      </c>
      <c r="AA714" s="11" t="s">
        <v>5233</v>
      </c>
      <c r="AB714" s="11"/>
      <c r="AC714" s="11"/>
      <c r="AD714" s="11"/>
      <c r="AH714" s="8"/>
      <c r="AI714" s="20"/>
      <c r="AJ714" s="20"/>
      <c r="AK714" s="31"/>
      <c r="AL714" s="31"/>
    </row>
    <row r="715" spans="1:38" ht="48" hidden="1" x14ac:dyDescent="0.25">
      <c r="A715" s="14" t="s">
        <v>7368</v>
      </c>
      <c r="B715" s="7" t="s">
        <v>5877</v>
      </c>
      <c r="C715" s="7" t="s">
        <v>5011</v>
      </c>
      <c r="D715" s="7" t="s">
        <v>5978</v>
      </c>
      <c r="E715" s="7" t="s">
        <v>5978</v>
      </c>
      <c r="F715" s="7" t="s">
        <v>5978</v>
      </c>
      <c r="G715" s="7"/>
      <c r="H715" s="7"/>
      <c r="I715" s="7"/>
      <c r="J715" s="20" t="e">
        <f>VLOOKUP(V715,Table_to_BRG!A:D,3,FALSE)</f>
        <v>#N/A</v>
      </c>
      <c r="K715" s="20" t="e">
        <f>VLOOKUP(V715,Table_to_BRG!A:D,2,FALSE)</f>
        <v>#N/A</v>
      </c>
      <c r="L715" s="20"/>
      <c r="M715" s="20"/>
      <c r="N715" s="9" t="s">
        <v>6465</v>
      </c>
      <c r="O715" s="54" t="s">
        <v>7812</v>
      </c>
      <c r="P715" s="7" t="s">
        <v>5090</v>
      </c>
      <c r="Q715" s="11" t="str">
        <f>RIGHT("00"&amp;Table362[[#This Row],[Rule '#]],3)&amp;"_"&amp;IF(Table362[[#This Row],[Entity]]="Material","MATL",LEFT(UPPER(Table362[[#This Row],[Entity]]),4))&amp;"_"&amp;MID(SUBSTITUTE(Table362[[#This Row],[Rule Name]],"_","|",3),SEARCH("|",SUBSTITUTE(Table362[[#This Row],[Rule Name]],"_","|",3))+1,LEN(Table362[[#This Row],[Rule Name]]))</f>
        <v>338_PM_LSTAR</v>
      </c>
      <c r="R715" s="8" t="s">
        <v>5091</v>
      </c>
      <c r="S715" s="7" t="s">
        <v>4135</v>
      </c>
      <c r="T715" s="7"/>
      <c r="U715" s="7"/>
      <c r="V715" s="7" t="s">
        <v>4950</v>
      </c>
      <c r="W715" s="7" t="s">
        <v>4473</v>
      </c>
      <c r="X715" s="8"/>
      <c r="Y715" s="7" t="s">
        <v>4535</v>
      </c>
      <c r="Z715" s="7" t="s">
        <v>4985</v>
      </c>
      <c r="AA715" s="11" t="s">
        <v>5234</v>
      </c>
      <c r="AB715" s="11"/>
      <c r="AC715" s="11"/>
      <c r="AD715" s="11"/>
      <c r="AH715" s="8"/>
      <c r="AI715" s="20"/>
      <c r="AJ715" s="20"/>
      <c r="AK715" s="31"/>
      <c r="AL715" s="31"/>
    </row>
    <row r="716" spans="1:38" ht="36" hidden="1" x14ac:dyDescent="0.25">
      <c r="A716" s="14" t="s">
        <v>7369</v>
      </c>
      <c r="B716" s="7" t="s">
        <v>5877</v>
      </c>
      <c r="C716" s="7" t="s">
        <v>5011</v>
      </c>
      <c r="D716" s="7" t="s">
        <v>5978</v>
      </c>
      <c r="E716" s="7" t="s">
        <v>5978</v>
      </c>
      <c r="F716" s="7" t="s">
        <v>5978</v>
      </c>
      <c r="G716" s="7"/>
      <c r="H716" s="7"/>
      <c r="I716" s="7"/>
      <c r="J716" s="20" t="e">
        <f>VLOOKUP(V716,Table_to_BRG!A:D,3,FALSE)</f>
        <v>#N/A</v>
      </c>
      <c r="K716" s="20" t="e">
        <f>VLOOKUP(V716,Table_to_BRG!A:D,2,FALSE)</f>
        <v>#N/A</v>
      </c>
      <c r="L716" s="20"/>
      <c r="M716" s="20"/>
      <c r="N716" s="9" t="s">
        <v>6465</v>
      </c>
      <c r="O716" s="54" t="s">
        <v>7812</v>
      </c>
      <c r="P716" s="7" t="s">
        <v>5092</v>
      </c>
      <c r="Q716" s="11" t="str">
        <f>RIGHT("00"&amp;Table362[[#This Row],[Rule '#]],3)&amp;"_"&amp;IF(Table362[[#This Row],[Entity]]="Material","MATL",LEFT(UPPER(Table362[[#This Row],[Entity]]),4))&amp;"_"&amp;MID(SUBSTITUTE(Table362[[#This Row],[Rule Name]],"_","|",3),SEARCH("|",SUBSTITUTE(Table362[[#This Row],[Rule Name]],"_","|",3))+1,LEN(Table362[[#This Row],[Rule Name]]))</f>
        <v>339_PM_EQUNR</v>
      </c>
      <c r="R716" s="8" t="s">
        <v>5093</v>
      </c>
      <c r="S716" s="7" t="s">
        <v>4135</v>
      </c>
      <c r="T716" s="7"/>
      <c r="U716" s="7"/>
      <c r="V716" s="7" t="s">
        <v>5151</v>
      </c>
      <c r="W716" s="7" t="s">
        <v>5230</v>
      </c>
      <c r="X716" s="8"/>
      <c r="Y716" s="7" t="s">
        <v>5124</v>
      </c>
      <c r="Z716" s="7" t="s">
        <v>5130</v>
      </c>
      <c r="AA716" s="11" t="str">
        <f>"BEGIN
     RETURN exists('DS_IS_RDS', '"&amp;Table362[[#This Row],[Lookup Table]]&amp;"', '"&amp;Table362[[#This Row],[Lookup Field]]&amp;"', "&amp;Table362[[#This Row],[IS Parameter]]&amp;");
END"</f>
        <v>BEGIN
     RETURN exists('DS_IS_RDS', 'EQUI', 'EQUNR', );
END</v>
      </c>
      <c r="AB716" s="11"/>
      <c r="AC716" s="11"/>
      <c r="AD716" s="11"/>
      <c r="AH716" s="8"/>
      <c r="AI716" s="20"/>
      <c r="AJ716" s="20"/>
      <c r="AK716" s="31"/>
      <c r="AL716" s="31"/>
    </row>
    <row r="717" spans="1:38" ht="60" hidden="1" x14ac:dyDescent="0.25">
      <c r="A717" s="14" t="s">
        <v>7370</v>
      </c>
      <c r="B717" s="7" t="s">
        <v>5877</v>
      </c>
      <c r="C717" s="7" t="s">
        <v>5011</v>
      </c>
      <c r="D717" s="7" t="s">
        <v>5978</v>
      </c>
      <c r="E717" s="7" t="s">
        <v>5978</v>
      </c>
      <c r="F717" s="7" t="s">
        <v>5978</v>
      </c>
      <c r="G717" s="7"/>
      <c r="H717" s="7"/>
      <c r="I717" s="7"/>
      <c r="J717" s="20" t="e">
        <f>VLOOKUP(V717,Table_to_BRG!A:D,3,FALSE)</f>
        <v>#N/A</v>
      </c>
      <c r="K717" s="20" t="e">
        <f>VLOOKUP(V717,Table_to_BRG!A:D,2,FALSE)</f>
        <v>#N/A</v>
      </c>
      <c r="L717" s="20"/>
      <c r="M717" s="20"/>
      <c r="N717" s="9" t="s">
        <v>6465</v>
      </c>
      <c r="O717" s="54" t="s">
        <v>7812</v>
      </c>
      <c r="P717" s="7" t="s">
        <v>5094</v>
      </c>
      <c r="Q717" s="11" t="str">
        <f>RIGHT("00"&amp;Table362[[#This Row],[Rule '#]],3)&amp;"_"&amp;IF(Table362[[#This Row],[Entity]]="Material","MATL",LEFT(UPPER(Table362[[#This Row],[Entity]]),4))&amp;"_"&amp;MID(SUBSTITUTE(Table362[[#This Row],[Rule Name]],"_","|",3),SEARCH("|",SUBSTITUTE(Table362[[#This Row],[Rule Name]],"_","|",3))+1,LEN(Table362[[#This Row],[Rule Name]]))</f>
        <v>340_PM_VERWE_WC</v>
      </c>
      <c r="R717" s="8" t="s">
        <v>5049</v>
      </c>
      <c r="S717" s="7" t="s">
        <v>4135</v>
      </c>
      <c r="T717" s="7"/>
      <c r="U717" s="7"/>
      <c r="V717" s="7" t="s">
        <v>4939</v>
      </c>
      <c r="W717" s="7" t="s">
        <v>4995</v>
      </c>
      <c r="X717" s="8"/>
      <c r="Y717" s="7" t="s">
        <v>4996</v>
      </c>
      <c r="Z717" s="7" t="s">
        <v>4997</v>
      </c>
      <c r="AA717" s="11" t="s">
        <v>5235</v>
      </c>
      <c r="AB717" s="11"/>
      <c r="AC717" s="11"/>
      <c r="AD717" s="11"/>
      <c r="AH717" s="8"/>
      <c r="AI717" s="20"/>
      <c r="AJ717" s="20"/>
      <c r="AK717" s="31"/>
      <c r="AL717" s="31"/>
    </row>
    <row r="718" spans="1:38" ht="60" hidden="1" x14ac:dyDescent="0.25">
      <c r="A718" s="14" t="s">
        <v>7371</v>
      </c>
      <c r="B718" s="7" t="s">
        <v>5877</v>
      </c>
      <c r="C718" s="7" t="s">
        <v>5011</v>
      </c>
      <c r="D718" s="7" t="s">
        <v>5978</v>
      </c>
      <c r="E718" s="7" t="s">
        <v>5978</v>
      </c>
      <c r="F718" s="7" t="s">
        <v>5978</v>
      </c>
      <c r="G718" s="7"/>
      <c r="H718" s="7"/>
      <c r="I718" s="7"/>
      <c r="J718" s="20" t="e">
        <f>VLOOKUP(V718,Table_to_BRG!A:D,3,FALSE)</f>
        <v>#N/A</v>
      </c>
      <c r="K718" s="20" t="e">
        <f>VLOOKUP(V718,Table_to_BRG!A:D,2,FALSE)</f>
        <v>#N/A</v>
      </c>
      <c r="L718" s="20"/>
      <c r="M718" s="20"/>
      <c r="N718" s="9" t="s">
        <v>6465</v>
      </c>
      <c r="O718" s="54" t="s">
        <v>7812</v>
      </c>
      <c r="P718" s="7" t="s">
        <v>5095</v>
      </c>
      <c r="Q718" s="11" t="str">
        <f>RIGHT("00"&amp;Table362[[#This Row],[Rule '#]],3)&amp;"_"&amp;IF(Table362[[#This Row],[Entity]]="Material","MATL",LEFT(UPPER(Table362[[#This Row],[Entity]]),4))&amp;"_"&amp;MID(SUBSTITUTE(Table362[[#This Row],[Rule Name]],"_","|",3),SEARCH("|",SUBSTITUTE(Table362[[#This Row],[Rule Name]],"_","|",3))+1,LEN(Table362[[#This Row],[Rule Name]]))</f>
        <v>341_PM_BEGRU_MP</v>
      </c>
      <c r="R718" s="8" t="s">
        <v>5029</v>
      </c>
      <c r="S718" s="7" t="s">
        <v>4135</v>
      </c>
      <c r="T718" s="7"/>
      <c r="U718" s="7"/>
      <c r="V718" s="7" t="s">
        <v>5138</v>
      </c>
      <c r="W718" s="7" t="s">
        <v>5191</v>
      </c>
      <c r="X718" s="8"/>
      <c r="Y718" s="7" t="s">
        <v>5192</v>
      </c>
      <c r="Z718" s="7" t="s">
        <v>2712</v>
      </c>
      <c r="AA718" s="11" t="s">
        <v>5193</v>
      </c>
      <c r="AB718" s="11"/>
      <c r="AC718" s="11"/>
      <c r="AD718" s="11"/>
      <c r="AH718" s="8"/>
      <c r="AI718" s="20"/>
      <c r="AJ718" s="20"/>
      <c r="AK718" s="31"/>
      <c r="AL718" s="31"/>
    </row>
    <row r="719" spans="1:38" ht="60" hidden="1" x14ac:dyDescent="0.25">
      <c r="A719" s="14" t="s">
        <v>7372</v>
      </c>
      <c r="B719" s="7" t="s">
        <v>5877</v>
      </c>
      <c r="C719" s="7" t="s">
        <v>5011</v>
      </c>
      <c r="D719" s="7" t="s">
        <v>5978</v>
      </c>
      <c r="E719" s="7" t="s">
        <v>5978</v>
      </c>
      <c r="F719" s="7" t="s">
        <v>5978</v>
      </c>
      <c r="G719" s="7"/>
      <c r="H719" s="7"/>
      <c r="I719" s="7"/>
      <c r="J719" s="20" t="e">
        <f>VLOOKUP(V719,Table_to_BRG!A:D,3,FALSE)</f>
        <v>#N/A</v>
      </c>
      <c r="K719" s="20" t="e">
        <f>VLOOKUP(V719,Table_to_BRG!A:D,2,FALSE)</f>
        <v>#N/A</v>
      </c>
      <c r="L719" s="20"/>
      <c r="M719" s="20"/>
      <c r="N719" s="9" t="s">
        <v>6465</v>
      </c>
      <c r="O719" s="54" t="s">
        <v>7812</v>
      </c>
      <c r="P719" s="7" t="s">
        <v>5096</v>
      </c>
      <c r="Q719" s="11" t="str">
        <f>RIGHT("00"&amp;Table362[[#This Row],[Rule '#]],3)&amp;"_"&amp;IF(Table362[[#This Row],[Entity]]="Material","MATL",LEFT(UPPER(Table362[[#This Row],[Entity]]),4))&amp;"_"&amp;MID(SUBSTITUTE(Table362[[#This Row],[Rule Name]],"_","|",3),SEARCH("|",SUBSTITUTE(Table362[[#This Row],[Rule Name]],"_","|",3))+1,LEN(Table362[[#This Row],[Rule Name]]))</f>
        <v>342_PM_PLANV_WC</v>
      </c>
      <c r="R719" s="8" t="s">
        <v>5049</v>
      </c>
      <c r="S719" s="7" t="s">
        <v>4135</v>
      </c>
      <c r="T719" s="7"/>
      <c r="U719" s="7"/>
      <c r="V719" s="7" t="s">
        <v>4939</v>
      </c>
      <c r="W719" s="7" t="s">
        <v>4969</v>
      </c>
      <c r="X719" s="8"/>
      <c r="Y719" s="7" t="s">
        <v>4970</v>
      </c>
      <c r="Z719" s="7" t="s">
        <v>4971</v>
      </c>
      <c r="AA719" s="11" t="s">
        <v>5236</v>
      </c>
      <c r="AB719" s="11"/>
      <c r="AC719" s="11"/>
      <c r="AD719" s="11"/>
      <c r="AH719" s="8"/>
      <c r="AI719" s="20"/>
      <c r="AJ719" s="20"/>
      <c r="AK719" s="31"/>
      <c r="AL719" s="31"/>
    </row>
    <row r="720" spans="1:38" ht="36" hidden="1" x14ac:dyDescent="0.25">
      <c r="A720" s="14" t="s">
        <v>7373</v>
      </c>
      <c r="B720" s="7" t="s">
        <v>5877</v>
      </c>
      <c r="C720" s="7" t="s">
        <v>5011</v>
      </c>
      <c r="D720" s="7" t="s">
        <v>5978</v>
      </c>
      <c r="E720" s="7" t="s">
        <v>5978</v>
      </c>
      <c r="F720" s="7" t="s">
        <v>5978</v>
      </c>
      <c r="G720" s="7"/>
      <c r="H720" s="7"/>
      <c r="I720" s="7"/>
      <c r="J720" s="20" t="e">
        <f>VLOOKUP(V720,Table_to_BRG!A:D,3,FALSE)</f>
        <v>#N/A</v>
      </c>
      <c r="K720" s="20" t="e">
        <f>VLOOKUP(V720,Table_to_BRG!A:D,2,FALSE)</f>
        <v>#N/A</v>
      </c>
      <c r="L720" s="20"/>
      <c r="M720" s="20"/>
      <c r="N720" s="9" t="s">
        <v>6465</v>
      </c>
      <c r="O720" s="54" t="s">
        <v>7812</v>
      </c>
      <c r="P720" s="7" t="s">
        <v>5097</v>
      </c>
      <c r="Q720" s="11" t="str">
        <f>RIGHT("00"&amp;Table362[[#This Row],[Rule '#]],3)&amp;"_"&amp;IF(Table362[[#This Row],[Entity]]="Material","MATL",LEFT(UPPER(Table362[[#This Row],[Entity]]),4))&amp;"_"&amp;MID(SUBSTITUTE(Table362[[#This Row],[Rule Name]],"_","|",3),SEARCH("|",SUBSTITUTE(Table362[[#This Row],[Rule Name]],"_","|",3))+1,LEN(Table362[[#This Row],[Rule Name]]))</f>
        <v>343_PM_FLTYP_FL</v>
      </c>
      <c r="R720" s="8" t="s">
        <v>5021</v>
      </c>
      <c r="S720" s="7" t="s">
        <v>4135</v>
      </c>
      <c r="T720" s="7"/>
      <c r="U720" s="7"/>
      <c r="V720" s="7" t="s">
        <v>5122</v>
      </c>
      <c r="W720" s="7" t="s">
        <v>5237</v>
      </c>
      <c r="X720" s="8"/>
      <c r="Y720" s="7" t="s">
        <v>5238</v>
      </c>
      <c r="Z720" s="7" t="s">
        <v>5239</v>
      </c>
      <c r="AA720" s="11" t="str">
        <f>"BEGIN
     RETURN exists('DS_IS_RDS', '"&amp;Table362[[#This Row],[Lookup Table]]&amp;"', '"&amp;Table362[[#This Row],[Lookup Field]]&amp;"', upper("&amp;Table362[[#This Row],[IS Parameter]]&amp;");
END"</f>
        <v>BEGIN
     RETURN exists('DS_IS_RDS', 'T370F', 'FLTYP', upper();
END</v>
      </c>
      <c r="AB720" s="11"/>
      <c r="AC720" s="11"/>
      <c r="AD720" s="11"/>
      <c r="AH720" s="8"/>
      <c r="AI720" s="20"/>
      <c r="AJ720" s="20"/>
      <c r="AK720" s="31"/>
      <c r="AL720" s="31"/>
    </row>
    <row r="721" spans="1:38" ht="60" hidden="1" x14ac:dyDescent="0.25">
      <c r="A721" s="14" t="s">
        <v>7374</v>
      </c>
      <c r="B721" s="7" t="s">
        <v>5877</v>
      </c>
      <c r="C721" s="7" t="s">
        <v>5011</v>
      </c>
      <c r="D721" s="7" t="s">
        <v>5978</v>
      </c>
      <c r="E721" s="7" t="s">
        <v>5978</v>
      </c>
      <c r="F721" s="7" t="s">
        <v>5978</v>
      </c>
      <c r="G721" s="7"/>
      <c r="H721" s="7"/>
      <c r="I721" s="7"/>
      <c r="J721" s="20" t="e">
        <f>VLOOKUP(V721,Table_to_BRG!A:D,3,FALSE)</f>
        <v>#N/A</v>
      </c>
      <c r="K721" s="20" t="e">
        <f>VLOOKUP(V721,Table_to_BRG!A:D,2,FALSE)</f>
        <v>#N/A</v>
      </c>
      <c r="L721" s="20"/>
      <c r="M721" s="20"/>
      <c r="N721" s="9" t="s">
        <v>6465</v>
      </c>
      <c r="O721" s="54" t="s">
        <v>7812</v>
      </c>
      <c r="P721" s="7" t="s">
        <v>5098</v>
      </c>
      <c r="Q721" s="11" t="str">
        <f>RIGHT("00"&amp;Table362[[#This Row],[Rule '#]],3)&amp;"_"&amp;IF(Table362[[#This Row],[Entity]]="Material","MATL",LEFT(UPPER(Table362[[#This Row],[Entity]]),4))&amp;"_"&amp;MID(SUBSTITUTE(Table362[[#This Row],[Rule Name]],"_","|",3),SEARCH("|",SUBSTITUTE(Table362[[#This Row],[Rule Name]],"_","|",3))+1,LEN(Table362[[#This Row],[Rule Name]]))</f>
        <v>344_PM_KALID_WC</v>
      </c>
      <c r="R721" s="8" t="s">
        <v>5077</v>
      </c>
      <c r="S721" s="7" t="s">
        <v>4135</v>
      </c>
      <c r="T721" s="7"/>
      <c r="U721" s="7"/>
      <c r="V721" s="7" t="s">
        <v>4951</v>
      </c>
      <c r="W721" s="7" t="s">
        <v>4955</v>
      </c>
      <c r="X721" s="8"/>
      <c r="Y721" s="7" t="s">
        <v>4956</v>
      </c>
      <c r="Z721" s="7" t="s">
        <v>4957</v>
      </c>
      <c r="AA721" s="11" t="s">
        <v>5240</v>
      </c>
      <c r="AB721" s="11"/>
      <c r="AC721" s="11"/>
      <c r="AD721" s="11"/>
      <c r="AH721" s="8"/>
      <c r="AI721" s="20"/>
      <c r="AJ721" s="20"/>
      <c r="AK721" s="31"/>
      <c r="AL721" s="31"/>
    </row>
    <row r="722" spans="1:38" ht="60" hidden="1" x14ac:dyDescent="0.25">
      <c r="A722" s="14" t="s">
        <v>7375</v>
      </c>
      <c r="B722" s="7" t="s">
        <v>5877</v>
      </c>
      <c r="C722" s="7" t="s">
        <v>5011</v>
      </c>
      <c r="D722" s="7" t="s">
        <v>5978</v>
      </c>
      <c r="E722" s="7" t="s">
        <v>5978</v>
      </c>
      <c r="F722" s="7" t="s">
        <v>5978</v>
      </c>
      <c r="G722" s="7"/>
      <c r="H722" s="7"/>
      <c r="I722" s="7"/>
      <c r="J722" s="20" t="e">
        <f>VLOOKUP(V722,Table_to_BRG!A:D,3,FALSE)</f>
        <v>#N/A</v>
      </c>
      <c r="K722" s="20" t="e">
        <f>VLOOKUP(V722,Table_to_BRG!A:D,2,FALSE)</f>
        <v>#N/A</v>
      </c>
      <c r="L722" s="20"/>
      <c r="M722" s="20"/>
      <c r="N722" s="9" t="s">
        <v>6465</v>
      </c>
      <c r="O722" s="54" t="s">
        <v>7812</v>
      </c>
      <c r="P722" s="7" t="s">
        <v>5099</v>
      </c>
      <c r="Q722" s="11" t="str">
        <f>RIGHT("00"&amp;Table362[[#This Row],[Rule '#]],3)&amp;"_"&amp;IF(Table362[[#This Row],[Entity]]="Material","MATL",LEFT(UPPER(Table362[[#This Row],[Entity]]),4))&amp;"_"&amp;MID(SUBSTITUTE(Table362[[#This Row],[Rule Name]],"_","|",3),SEARCH("|",SUBSTITUTE(Table362[[#This Row],[Rule Name]],"_","|",3))+1,LEN(Table362[[#This Row],[Rule Name]]))</f>
        <v>345_PM_WAERS_EQUIPMENT</v>
      </c>
      <c r="R722" s="8" t="s">
        <v>5013</v>
      </c>
      <c r="S722" s="7" t="s">
        <v>4135</v>
      </c>
      <c r="T722" s="7"/>
      <c r="U722" s="7"/>
      <c r="V722" s="7" t="s">
        <v>5124</v>
      </c>
      <c r="W722" s="7" t="s">
        <v>4440</v>
      </c>
      <c r="X722" s="8"/>
      <c r="Y722" s="7" t="s">
        <v>4148</v>
      </c>
      <c r="Z722" s="7" t="s">
        <v>2850</v>
      </c>
      <c r="AA722" s="11" t="s">
        <v>5241</v>
      </c>
      <c r="AB722" s="11"/>
      <c r="AC722" s="11"/>
      <c r="AD722" s="11"/>
      <c r="AH722" s="8"/>
      <c r="AI722" s="20"/>
      <c r="AJ722" s="20"/>
      <c r="AK722" s="31"/>
      <c r="AL722" s="31"/>
    </row>
    <row r="723" spans="1:38" ht="60" hidden="1" x14ac:dyDescent="0.25">
      <c r="A723" s="14" t="s">
        <v>7376</v>
      </c>
      <c r="B723" s="7" t="s">
        <v>5877</v>
      </c>
      <c r="C723" s="7" t="s">
        <v>5011</v>
      </c>
      <c r="D723" s="7" t="s">
        <v>5978</v>
      </c>
      <c r="E723" s="7" t="s">
        <v>5978</v>
      </c>
      <c r="F723" s="7" t="s">
        <v>5978</v>
      </c>
      <c r="G723" s="7"/>
      <c r="H723" s="7"/>
      <c r="I723" s="7"/>
      <c r="J723" s="20" t="e">
        <f>VLOOKUP(V723,Table_to_BRG!A:D,3,FALSE)</f>
        <v>#N/A</v>
      </c>
      <c r="K723" s="20" t="e">
        <f>VLOOKUP(V723,Table_to_BRG!A:D,2,FALSE)</f>
        <v>#N/A</v>
      </c>
      <c r="L723" s="20"/>
      <c r="M723" s="20"/>
      <c r="N723" s="9" t="s">
        <v>6465</v>
      </c>
      <c r="O723" s="54" t="s">
        <v>7812</v>
      </c>
      <c r="P723" s="7" t="s">
        <v>5100</v>
      </c>
      <c r="Q723" s="11" t="str">
        <f>RIGHT("00"&amp;Table362[[#This Row],[Rule '#]],3)&amp;"_"&amp;IF(Table362[[#This Row],[Entity]]="Material","MATL",LEFT(UPPER(Table362[[#This Row],[Entity]]),4))&amp;"_"&amp;MID(SUBSTITUTE(Table362[[#This Row],[Rule Name]],"_","|",3),SEARCH("|",SUBSTITUTE(Table362[[#This Row],[Rule Name]],"_","|",3))+1,LEN(Table362[[#This Row],[Rule Name]]))</f>
        <v>346_PM_DAUFN_EQUIPMENT</v>
      </c>
      <c r="R723" s="8" t="s">
        <v>5023</v>
      </c>
      <c r="S723" s="7" t="s">
        <v>4135</v>
      </c>
      <c r="T723" s="7"/>
      <c r="U723" s="7"/>
      <c r="V723" s="7" t="s">
        <v>5128</v>
      </c>
      <c r="W723" s="7" t="s">
        <v>5242</v>
      </c>
      <c r="X723" s="8"/>
      <c r="Y723" s="7" t="s">
        <v>4442</v>
      </c>
      <c r="Z723" s="7" t="s">
        <v>5162</v>
      </c>
      <c r="AA723" s="11" t="s">
        <v>5243</v>
      </c>
      <c r="AB723" s="11"/>
      <c r="AC723" s="11"/>
      <c r="AD723" s="11"/>
      <c r="AH723" s="8"/>
      <c r="AI723" s="20"/>
      <c r="AJ723" s="20"/>
      <c r="AK723" s="31"/>
      <c r="AL723" s="31"/>
    </row>
    <row r="724" spans="1:38" ht="60" hidden="1" x14ac:dyDescent="0.25">
      <c r="A724" s="14" t="s">
        <v>7377</v>
      </c>
      <c r="B724" s="7" t="s">
        <v>5877</v>
      </c>
      <c r="C724" s="7" t="s">
        <v>5011</v>
      </c>
      <c r="D724" s="7" t="s">
        <v>5978</v>
      </c>
      <c r="E724" s="7" t="s">
        <v>5978</v>
      </c>
      <c r="F724" s="7" t="s">
        <v>5978</v>
      </c>
      <c r="G724" s="7"/>
      <c r="H724" s="7"/>
      <c r="I724" s="7"/>
      <c r="J724" s="20" t="e">
        <f>VLOOKUP(V724,Table_to_BRG!A:D,3,FALSE)</f>
        <v>#N/A</v>
      </c>
      <c r="K724" s="20" t="e">
        <f>VLOOKUP(V724,Table_to_BRG!A:D,2,FALSE)</f>
        <v>#N/A</v>
      </c>
      <c r="L724" s="20"/>
      <c r="M724" s="20"/>
      <c r="N724" s="9" t="s">
        <v>6465</v>
      </c>
      <c r="O724" s="54" t="s">
        <v>7812</v>
      </c>
      <c r="P724" s="7" t="s">
        <v>5101</v>
      </c>
      <c r="Q724" s="11" t="str">
        <f>RIGHT("00"&amp;Table362[[#This Row],[Rule '#]],3)&amp;"_"&amp;IF(Table362[[#This Row],[Entity]]="Material","MATL",LEFT(UPPER(Table362[[#This Row],[Entity]]),4))&amp;"_"&amp;MID(SUBSTITUTE(Table362[[#This Row],[Rule Name]],"_","|",3),SEARCH("|",SUBSTITUTE(Table362[[#This Row],[Rule Name]],"_","|",3))+1,LEN(Table362[[#This Row],[Rule Name]]))</f>
        <v>347_PM_ILART_MP</v>
      </c>
      <c r="R724" s="8" t="s">
        <v>5041</v>
      </c>
      <c r="S724" s="7" t="s">
        <v>4135</v>
      </c>
      <c r="T724" s="7"/>
      <c r="U724" s="7"/>
      <c r="V724" s="7" t="s">
        <v>5151</v>
      </c>
      <c r="W724" s="7" t="s">
        <v>5244</v>
      </c>
      <c r="X724" s="8"/>
      <c r="Y724" s="7" t="s">
        <v>5245</v>
      </c>
      <c r="Z724" s="7" t="s">
        <v>5246</v>
      </c>
      <c r="AA724" s="11" t="s">
        <v>5247</v>
      </c>
      <c r="AB724" s="11"/>
      <c r="AC724" s="11"/>
      <c r="AD724" s="11"/>
      <c r="AH724" s="8"/>
      <c r="AI724" s="20"/>
      <c r="AJ724" s="20"/>
      <c r="AK724" s="31"/>
      <c r="AL724" s="31"/>
    </row>
    <row r="725" spans="1:38" ht="60" hidden="1" x14ac:dyDescent="0.25">
      <c r="A725" s="14" t="s">
        <v>7378</v>
      </c>
      <c r="B725" s="7" t="s">
        <v>5877</v>
      </c>
      <c r="C725" s="7" t="s">
        <v>5011</v>
      </c>
      <c r="D725" s="7" t="s">
        <v>5978</v>
      </c>
      <c r="E725" s="7" t="s">
        <v>5978</v>
      </c>
      <c r="F725" s="7" t="s">
        <v>5978</v>
      </c>
      <c r="G725" s="7"/>
      <c r="H725" s="7"/>
      <c r="I725" s="7"/>
      <c r="J725" s="20" t="e">
        <f>VLOOKUP(V725,Table_to_BRG!A:D,3,FALSE)</f>
        <v>#N/A</v>
      </c>
      <c r="K725" s="20" t="e">
        <f>VLOOKUP(V725,Table_to_BRG!A:D,2,FALSE)</f>
        <v>#N/A</v>
      </c>
      <c r="L725" s="20"/>
      <c r="M725" s="20"/>
      <c r="N725" s="9" t="s">
        <v>6465</v>
      </c>
      <c r="O725" s="54" t="s">
        <v>7812</v>
      </c>
      <c r="P725" s="7" t="s">
        <v>5102</v>
      </c>
      <c r="Q725" s="11" t="str">
        <f>RIGHT("00"&amp;Table362[[#This Row],[Rule '#]],3)&amp;"_"&amp;IF(Table362[[#This Row],[Entity]]="Material","MATL",LEFT(UPPER(Table362[[#This Row],[Entity]]),4))&amp;"_"&amp;MID(SUBSTITUTE(Table362[[#This Row],[Rule Name]],"_","|",3),SEARCH("|",SUBSTITUTE(Table362[[#This Row],[Rule Name]],"_","|",3))+1,LEN(Table362[[#This Row],[Rule Name]]))</f>
        <v>348_PM_IWERK_MP</v>
      </c>
      <c r="R725" s="8" t="s">
        <v>5041</v>
      </c>
      <c r="S725" s="7" t="s">
        <v>4135</v>
      </c>
      <c r="T725" s="7"/>
      <c r="U725" s="7"/>
      <c r="V725" s="7" t="s">
        <v>5151</v>
      </c>
      <c r="W725" s="7" t="s">
        <v>5133</v>
      </c>
      <c r="X725" s="8"/>
      <c r="Y725" s="7" t="s">
        <v>4145</v>
      </c>
      <c r="Z725" s="7" t="s">
        <v>1495</v>
      </c>
      <c r="AA725" s="11" t="s">
        <v>5248</v>
      </c>
      <c r="AB725" s="11"/>
      <c r="AC725" s="11"/>
      <c r="AD725" s="11"/>
      <c r="AH725" s="8"/>
      <c r="AI725" s="20"/>
      <c r="AJ725" s="20"/>
      <c r="AK725" s="31"/>
      <c r="AL725" s="31"/>
    </row>
    <row r="726" spans="1:38" ht="60" hidden="1" x14ac:dyDescent="0.25">
      <c r="A726" s="14" t="s">
        <v>7379</v>
      </c>
      <c r="B726" s="7" t="s">
        <v>5877</v>
      </c>
      <c r="C726" s="7" t="s">
        <v>5011</v>
      </c>
      <c r="D726" s="7" t="s">
        <v>5978</v>
      </c>
      <c r="E726" s="7" t="s">
        <v>5978</v>
      </c>
      <c r="F726" s="7" t="s">
        <v>5978</v>
      </c>
      <c r="G726" s="7"/>
      <c r="H726" s="7"/>
      <c r="I726" s="7"/>
      <c r="J726" s="20" t="e">
        <f>VLOOKUP(V726,Table_to_BRG!A:D,3,FALSE)</f>
        <v>#N/A</v>
      </c>
      <c r="K726" s="20" t="e">
        <f>VLOOKUP(V726,Table_to_BRG!A:D,2,FALSE)</f>
        <v>#N/A</v>
      </c>
      <c r="L726" s="20"/>
      <c r="M726" s="20"/>
      <c r="N726" s="9" t="s">
        <v>6465</v>
      </c>
      <c r="O726" s="54" t="s">
        <v>7812</v>
      </c>
      <c r="P726" s="7" t="s">
        <v>5103</v>
      </c>
      <c r="Q726" s="11" t="str">
        <f>RIGHT("00"&amp;Table362[[#This Row],[Rule '#]],3)&amp;"_"&amp;IF(Table362[[#This Row],[Entity]]="Material","MATL",LEFT(UPPER(Table362[[#This Row],[Entity]]),4))&amp;"_"&amp;MID(SUBSTITUTE(Table362[[#This Row],[Rule Name]],"_","|",3),SEARCH("|",SUBSTITUTE(Table362[[#This Row],[Rule Name]],"_","|",3))+1,LEN(Table362[[#This Row],[Rule Name]]))</f>
        <v>349_PM_RBNR_EQUIPMENT</v>
      </c>
      <c r="R726" s="8" t="s">
        <v>5088</v>
      </c>
      <c r="S726" s="7" t="s">
        <v>4135</v>
      </c>
      <c r="T726" s="7"/>
      <c r="U726" s="7"/>
      <c r="V726" s="7" t="s">
        <v>5204</v>
      </c>
      <c r="W726" s="7" t="s">
        <v>5249</v>
      </c>
      <c r="X726" s="8"/>
      <c r="Y726" s="7" t="s">
        <v>5250</v>
      </c>
      <c r="Z726" s="7" t="s">
        <v>5251</v>
      </c>
      <c r="AA726" s="11" t="s">
        <v>5252</v>
      </c>
      <c r="AB726" s="11"/>
      <c r="AC726" s="11"/>
      <c r="AD726" s="11"/>
      <c r="AH726" s="8"/>
      <c r="AI726" s="20"/>
      <c r="AJ726" s="20"/>
      <c r="AK726" s="31"/>
      <c r="AL726" s="31"/>
    </row>
    <row r="727" spans="1:38" ht="36" hidden="1" x14ac:dyDescent="0.25">
      <c r="A727" s="14" t="s">
        <v>7380</v>
      </c>
      <c r="B727" s="7" t="s">
        <v>5877</v>
      </c>
      <c r="C727" s="7" t="s">
        <v>5011</v>
      </c>
      <c r="D727" s="7" t="s">
        <v>5978</v>
      </c>
      <c r="E727" s="7" t="s">
        <v>5978</v>
      </c>
      <c r="F727" s="7" t="s">
        <v>5978</v>
      </c>
      <c r="G727" s="7"/>
      <c r="H727" s="7"/>
      <c r="I727" s="7"/>
      <c r="J727" s="20" t="e">
        <f>VLOOKUP(V727,Table_to_BRG!A:D,3,FALSE)</f>
        <v>#N/A</v>
      </c>
      <c r="K727" s="20" t="e">
        <f>VLOOKUP(V727,Table_to_BRG!A:D,2,FALSE)</f>
        <v>#N/A</v>
      </c>
      <c r="L727" s="20"/>
      <c r="M727" s="20"/>
      <c r="N727" s="9" t="s">
        <v>6465</v>
      </c>
      <c r="O727" s="54" t="s">
        <v>7812</v>
      </c>
      <c r="P727" s="7" t="s">
        <v>5104</v>
      </c>
      <c r="Q727" s="11" t="str">
        <f>RIGHT("00"&amp;Table362[[#This Row],[Rule '#]],3)&amp;"_"&amp;IF(Table362[[#This Row],[Entity]]="Material","MATL",LEFT(UPPER(Table362[[#This Row],[Entity]]),4))&amp;"_"&amp;MID(SUBSTITUTE(Table362[[#This Row],[Rule Name]],"_","|",3),SEARCH("|",SUBSTITUTE(Table362[[#This Row],[Rule Name]],"_","|",3))+1,LEN(Table362[[#This Row],[Rule Name]]))</f>
        <v>350_PM_STRAT_MP</v>
      </c>
      <c r="R727" s="8" t="s">
        <v>5029</v>
      </c>
      <c r="S727" s="7" t="s">
        <v>4135</v>
      </c>
      <c r="T727" s="7"/>
      <c r="U727" s="7"/>
      <c r="V727" s="7" t="s">
        <v>5138</v>
      </c>
      <c r="W727" s="7" t="s">
        <v>5253</v>
      </c>
      <c r="X727" s="8"/>
      <c r="Y727" s="7" t="s">
        <v>5254</v>
      </c>
      <c r="Z727" s="7" t="s">
        <v>5255</v>
      </c>
      <c r="AA727" s="11" t="str">
        <f>"BEGIN
     RETURN exists('DS_IS_RDS', '"&amp;Table362[[#This Row],[Lookup Table]]&amp;"', '"&amp;Table362[[#This Row],[Lookup Field]]&amp;"', upper("&amp;Table362[[#This Row],[IS Parameter]]&amp;");
END"</f>
        <v>BEGIN
     RETURN exists('DS_IS_RDS', 'T351', 'STRAT', upper();
END</v>
      </c>
      <c r="AB727" s="11"/>
      <c r="AC727" s="11"/>
      <c r="AD727" s="11"/>
      <c r="AH727" s="8"/>
      <c r="AI727" s="20"/>
      <c r="AJ727" s="20"/>
      <c r="AK727" s="31"/>
      <c r="AL727" s="31"/>
    </row>
    <row r="728" spans="1:38" ht="60" hidden="1" x14ac:dyDescent="0.25">
      <c r="A728" s="14" t="s">
        <v>7381</v>
      </c>
      <c r="B728" s="7" t="s">
        <v>5877</v>
      </c>
      <c r="C728" s="7" t="s">
        <v>5011</v>
      </c>
      <c r="D728" s="7" t="s">
        <v>5978</v>
      </c>
      <c r="E728" s="7" t="s">
        <v>5978</v>
      </c>
      <c r="F728" s="7" t="s">
        <v>5978</v>
      </c>
      <c r="G728" s="7"/>
      <c r="H728" s="7"/>
      <c r="I728" s="7"/>
      <c r="J728" s="20" t="e">
        <f>VLOOKUP(V728,Table_to_BRG!A:D,3,FALSE)</f>
        <v>#N/A</v>
      </c>
      <c r="K728" s="20" t="e">
        <f>VLOOKUP(V728,Table_to_BRG!A:D,2,FALSE)</f>
        <v>#N/A</v>
      </c>
      <c r="L728" s="20"/>
      <c r="M728" s="20"/>
      <c r="N728" s="9" t="s">
        <v>6465</v>
      </c>
      <c r="O728" s="54" t="s">
        <v>7812</v>
      </c>
      <c r="P728" s="7" t="s">
        <v>5105</v>
      </c>
      <c r="Q728" s="11" t="str">
        <f>RIGHT("00"&amp;Table362[[#This Row],[Rule '#]],3)&amp;"_"&amp;IF(Table362[[#This Row],[Entity]]="Material","MATL",LEFT(UPPER(Table362[[#This Row],[Entity]]),4))&amp;"_"&amp;MID(SUBSTITUTE(Table362[[#This Row],[Rule Name]],"_","|",3),SEARCH("|",SUBSTITUTE(Table362[[#This Row],[Rule Name]],"_","|",3))+1,LEN(Table362[[#This Row],[Rule Name]]))</f>
        <v>351_PM_ARBEH_TL</v>
      </c>
      <c r="R728" s="8" t="s">
        <v>5063</v>
      </c>
      <c r="S728" s="7" t="s">
        <v>4135</v>
      </c>
      <c r="T728" s="7"/>
      <c r="U728" s="7"/>
      <c r="V728" s="7" t="s">
        <v>5198</v>
      </c>
      <c r="W728" s="7" t="s">
        <v>5256</v>
      </c>
      <c r="X728" s="8"/>
      <c r="Y728" s="7" t="s">
        <v>4192</v>
      </c>
      <c r="Z728" s="7" t="s">
        <v>4143</v>
      </c>
      <c r="AA728" s="11" t="s">
        <v>5257</v>
      </c>
      <c r="AB728" s="11"/>
      <c r="AC728" s="11"/>
      <c r="AD728" s="11"/>
      <c r="AH728" s="8"/>
      <c r="AI728" s="20"/>
      <c r="AJ728" s="20"/>
      <c r="AK728" s="31"/>
      <c r="AL728" s="31"/>
    </row>
    <row r="729" spans="1:38" ht="36" hidden="1" x14ac:dyDescent="0.25">
      <c r="A729" s="14" t="s">
        <v>7382</v>
      </c>
      <c r="B729" s="7" t="s">
        <v>5877</v>
      </c>
      <c r="C729" s="7" t="s">
        <v>5011</v>
      </c>
      <c r="D729" s="7" t="s">
        <v>5978</v>
      </c>
      <c r="E729" s="7" t="s">
        <v>5978</v>
      </c>
      <c r="F729" s="7" t="s">
        <v>5978</v>
      </c>
      <c r="G729" s="7"/>
      <c r="H729" s="7"/>
      <c r="I729" s="7"/>
      <c r="J729" s="20" t="e">
        <f>VLOOKUP(V729,Table_to_BRG!A:D,3,FALSE)</f>
        <v>#N/A</v>
      </c>
      <c r="K729" s="20" t="e">
        <f>VLOOKUP(V729,Table_to_BRG!A:D,2,FALSE)</f>
        <v>#N/A</v>
      </c>
      <c r="L729" s="20"/>
      <c r="M729" s="20"/>
      <c r="N729" s="9" t="s">
        <v>6465</v>
      </c>
      <c r="O729" s="54" t="s">
        <v>7812</v>
      </c>
      <c r="P729" s="7" t="s">
        <v>5106</v>
      </c>
      <c r="Q729" s="11" t="str">
        <f>RIGHT("00"&amp;Table362[[#This Row],[Rule '#]],3)&amp;"_"&amp;IF(Table362[[#This Row],[Entity]]="Material","MATL",LEFT(UPPER(Table362[[#This Row],[Entity]]),4))&amp;"_"&amp;MID(SUBSTITUTE(Table362[[#This Row],[Rule Name]],"_","|",3),SEARCH("|",SUBSTITUTE(Table362[[#This Row],[Rule Name]],"_","|",3))+1,LEN(Table362[[#This Row],[Rule Name]]))</f>
        <v>352_PM_WERKS_WC</v>
      </c>
      <c r="R729" s="8" t="s">
        <v>5107</v>
      </c>
      <c r="S729" s="7" t="s">
        <v>4135</v>
      </c>
      <c r="T729" s="7"/>
      <c r="U729" s="7"/>
      <c r="V729" s="7" t="s">
        <v>4939</v>
      </c>
      <c r="W729" s="7" t="s">
        <v>4144</v>
      </c>
      <c r="X729" s="8"/>
      <c r="Y729" s="7" t="s">
        <v>4145</v>
      </c>
      <c r="Z729" s="7" t="s">
        <v>1495</v>
      </c>
      <c r="AA729" s="11" t="str">
        <f>"BEGIN
     RETURN exists('DS_IS_RDS', '"&amp;Table362[[#This Row],[Lookup Table]]&amp;"', '"&amp;Table362[[#This Row],[Lookup Field]]&amp;"', "&amp;Table362[[#This Row],[IS Parameter]]&amp;");
END"</f>
        <v>BEGIN
     RETURN exists('DS_IS_RDS', 'T001W', 'WERKS', );
END</v>
      </c>
      <c r="AB729" s="11"/>
      <c r="AC729" s="11"/>
      <c r="AD729" s="11"/>
      <c r="AH729" s="8"/>
      <c r="AI729" s="20"/>
      <c r="AJ729" s="20"/>
      <c r="AK729" s="31"/>
      <c r="AL729" s="31"/>
    </row>
    <row r="730" spans="1:38" ht="60" hidden="1" x14ac:dyDescent="0.25">
      <c r="A730" s="14" t="s">
        <v>7383</v>
      </c>
      <c r="B730" s="7" t="s">
        <v>5877</v>
      </c>
      <c r="C730" s="7" t="s">
        <v>5011</v>
      </c>
      <c r="D730" s="7" t="s">
        <v>5978</v>
      </c>
      <c r="E730" s="7" t="s">
        <v>5978</v>
      </c>
      <c r="F730" s="7" t="s">
        <v>5978</v>
      </c>
      <c r="G730" s="7"/>
      <c r="H730" s="7"/>
      <c r="I730" s="7"/>
      <c r="J730" s="20" t="e">
        <f>VLOOKUP(V730,Table_to_BRG!A:D,3,FALSE)</f>
        <v>#N/A</v>
      </c>
      <c r="K730" s="20" t="e">
        <f>VLOOKUP(V730,Table_to_BRG!A:D,2,FALSE)</f>
        <v>#N/A</v>
      </c>
      <c r="L730" s="20"/>
      <c r="M730" s="20"/>
      <c r="N730" s="9" t="s">
        <v>6465</v>
      </c>
      <c r="O730" s="54" t="s">
        <v>7812</v>
      </c>
      <c r="P730" s="7" t="s">
        <v>5108</v>
      </c>
      <c r="Q730" s="11" t="str">
        <f>RIGHT("00"&amp;Table362[[#This Row],[Rule '#]],3)&amp;"_"&amp;IF(Table362[[#This Row],[Entity]]="Material","MATL",LEFT(UPPER(Table362[[#This Row],[Entity]]),4))&amp;"_"&amp;MID(SUBSTITUTE(Table362[[#This Row],[Rule Name]],"_","|",3),SEARCH("|",SUBSTITUTE(Table362[[#This Row],[Rule Name]],"_","|",3))+1,LEN(Table362[[#This Row],[Rule Name]]))</f>
        <v>353_PM_GEWRK_EQUIPMENT</v>
      </c>
      <c r="R730" s="8" t="s">
        <v>5088</v>
      </c>
      <c r="S730" s="7" t="s">
        <v>4135</v>
      </c>
      <c r="T730" s="7"/>
      <c r="U730" s="7"/>
      <c r="V730" s="7" t="s">
        <v>5204</v>
      </c>
      <c r="W730" s="7" t="s">
        <v>5258</v>
      </c>
      <c r="X730" s="8"/>
      <c r="Y730" s="7" t="s">
        <v>5259</v>
      </c>
      <c r="Z730" s="7" t="s">
        <v>4697</v>
      </c>
      <c r="AA730" s="11" t="s">
        <v>5260</v>
      </c>
      <c r="AB730" s="11"/>
      <c r="AC730" s="11"/>
      <c r="AD730" s="11"/>
      <c r="AH730" s="8"/>
      <c r="AI730" s="20"/>
      <c r="AJ730" s="20"/>
      <c r="AK730" s="31"/>
      <c r="AL730" s="31"/>
    </row>
    <row r="731" spans="1:38" ht="60" hidden="1" x14ac:dyDescent="0.25">
      <c r="A731" s="14" t="s">
        <v>7384</v>
      </c>
      <c r="B731" s="7" t="s">
        <v>5877</v>
      </c>
      <c r="C731" s="7" t="s">
        <v>5011</v>
      </c>
      <c r="D731" s="7" t="s">
        <v>6711</v>
      </c>
      <c r="E731" s="7" t="s">
        <v>6712</v>
      </c>
      <c r="F731" s="7" t="s">
        <v>6713</v>
      </c>
      <c r="G731" s="7"/>
      <c r="H731" s="7"/>
      <c r="I731" s="7"/>
      <c r="J731" s="20" t="str">
        <f>VLOOKUP(V731,Table_to_BRG!A:D,3,FALSE)</f>
        <v>Plant data</v>
      </c>
      <c r="K731" s="20" t="str">
        <f>VLOOKUP(V731,Table_to_BRG!A:D,2,FALSE)</f>
        <v>Plant</v>
      </c>
      <c r="L731" s="20"/>
      <c r="M731" s="20"/>
      <c r="N731" s="9" t="s">
        <v>6465</v>
      </c>
      <c r="O731" s="54" t="s">
        <v>7812</v>
      </c>
      <c r="P731" s="7" t="s">
        <v>5109</v>
      </c>
      <c r="Q731" s="11" t="str">
        <f>RIGHT("00"&amp;Table362[[#This Row],[Rule '#]],3)&amp;"_"&amp;IF(Table362[[#This Row],[Entity]]="Material","MATL",LEFT(UPPER(Table362[[#This Row],[Entity]]),4))&amp;"_"&amp;MID(SUBSTITUTE(Table362[[#This Row],[Rule Name]],"_","|",3),SEARCH("|",SUBSTITUTE(Table362[[#This Row],[Rule Name]],"_","|",3))+1,LEN(Table362[[#This Row],[Rule Name]]))</f>
        <v>354_PM_MATNR_TL</v>
      </c>
      <c r="R731" s="8" t="s">
        <v>5110</v>
      </c>
      <c r="S731" s="7" t="s">
        <v>4135</v>
      </c>
      <c r="T731" s="7"/>
      <c r="U731" s="7"/>
      <c r="V731" s="7" t="s">
        <v>1527</v>
      </c>
      <c r="W731" s="7" t="s">
        <v>4167</v>
      </c>
      <c r="X731" s="8"/>
      <c r="Y731" s="7" t="s">
        <v>1526</v>
      </c>
      <c r="Z731" s="7" t="s">
        <v>1492</v>
      </c>
      <c r="AA731" s="11" t="s">
        <v>5203</v>
      </c>
      <c r="AB731" s="11"/>
      <c r="AC731" s="11"/>
      <c r="AD731" s="11"/>
      <c r="AH731" s="8"/>
      <c r="AI731" s="20"/>
      <c r="AJ731" s="20"/>
      <c r="AK731" s="31"/>
      <c r="AL731" s="31"/>
    </row>
    <row r="732" spans="1:38" ht="60" hidden="1" x14ac:dyDescent="0.25">
      <c r="A732" s="14" t="s">
        <v>7385</v>
      </c>
      <c r="B732" s="7" t="s">
        <v>5877</v>
      </c>
      <c r="C732" s="7" t="s">
        <v>5011</v>
      </c>
      <c r="D732" s="7" t="s">
        <v>5978</v>
      </c>
      <c r="E732" s="7" t="s">
        <v>5978</v>
      </c>
      <c r="F732" s="7" t="s">
        <v>5978</v>
      </c>
      <c r="G732" s="7"/>
      <c r="H732" s="7"/>
      <c r="I732" s="7"/>
      <c r="J732" s="20" t="e">
        <f>VLOOKUP(V732,Table_to_BRG!A:D,3,FALSE)</f>
        <v>#N/A</v>
      </c>
      <c r="K732" s="20" t="e">
        <f>VLOOKUP(V732,Table_to_BRG!A:D,2,FALSE)</f>
        <v>#N/A</v>
      </c>
      <c r="L732" s="20"/>
      <c r="M732" s="20"/>
      <c r="N732" s="9" t="s">
        <v>6465</v>
      </c>
      <c r="O732" s="54" t="s">
        <v>7812</v>
      </c>
      <c r="P732" s="7" t="s">
        <v>5111</v>
      </c>
      <c r="Q732" s="11" t="str">
        <f>RIGHT("00"&amp;Table362[[#This Row],[Rule '#]],3)&amp;"_"&amp;IF(Table362[[#This Row],[Entity]]="Material","MATL",LEFT(UPPER(Table362[[#This Row],[Entity]]),4))&amp;"_"&amp;MID(SUBSTITUTE(Table362[[#This Row],[Rule Name]],"_","|",3),SEARCH("|",SUBSTITUTE(Table362[[#This Row],[Rule Name]],"_","|",3))+1,LEN(Table362[[#This Row],[Rule Name]]))</f>
        <v>355_PM_INGRP_EQUIPMENT</v>
      </c>
      <c r="R732" s="8" t="s">
        <v>5088</v>
      </c>
      <c r="S732" s="7" t="s">
        <v>4135</v>
      </c>
      <c r="T732" s="7"/>
      <c r="U732" s="7"/>
      <c r="V732" s="7" t="s">
        <v>5204</v>
      </c>
      <c r="W732" s="7" t="s">
        <v>5134</v>
      </c>
      <c r="X732" s="8"/>
      <c r="Y732" s="7" t="s">
        <v>5135</v>
      </c>
      <c r="Z732" s="7" t="s">
        <v>5136</v>
      </c>
      <c r="AA732" s="11" t="s">
        <v>5261</v>
      </c>
      <c r="AB732" s="11"/>
      <c r="AC732" s="11"/>
      <c r="AD732" s="11"/>
      <c r="AH732" s="8"/>
      <c r="AI732" s="20"/>
      <c r="AJ732" s="20"/>
      <c r="AK732" s="31"/>
      <c r="AL732" s="31"/>
    </row>
    <row r="733" spans="1:38" ht="60" hidden="1" x14ac:dyDescent="0.25">
      <c r="A733" s="14" t="s">
        <v>7386</v>
      </c>
      <c r="B733" s="7" t="s">
        <v>5877</v>
      </c>
      <c r="C733" s="7" t="s">
        <v>5011</v>
      </c>
      <c r="D733" s="7" t="s">
        <v>5978</v>
      </c>
      <c r="E733" s="7" t="s">
        <v>5978</v>
      </c>
      <c r="F733" s="7" t="s">
        <v>5978</v>
      </c>
      <c r="G733" s="7"/>
      <c r="H733" s="7"/>
      <c r="I733" s="7"/>
      <c r="J733" s="20" t="e">
        <f>VLOOKUP(V733,Table_to_BRG!A:D,3,FALSE)</f>
        <v>#N/A</v>
      </c>
      <c r="K733" s="20" t="e">
        <f>VLOOKUP(V733,Table_to_BRG!A:D,2,FALSE)</f>
        <v>#N/A</v>
      </c>
      <c r="L733" s="20"/>
      <c r="M733" s="20"/>
      <c r="N733" s="9" t="s">
        <v>6465</v>
      </c>
      <c r="O733" s="54" t="s">
        <v>7812</v>
      </c>
      <c r="P733" s="7" t="s">
        <v>5112</v>
      </c>
      <c r="Q733" s="11" t="str">
        <f>RIGHT("00"&amp;Table362[[#This Row],[Rule '#]],3)&amp;"_"&amp;IF(Table362[[#This Row],[Entity]]="Material","MATL",LEFT(UPPER(Table362[[#This Row],[Entity]]),4))&amp;"_"&amp;MID(SUBSTITUTE(Table362[[#This Row],[Rule Name]],"_","|",3),SEARCH("|",SUBSTITUTE(Table362[[#This Row],[Rule Name]],"_","|",3))+1,LEN(Table362[[#This Row],[Rule Name]]))</f>
        <v>356_PM_PPSID_EQUIPMENT</v>
      </c>
      <c r="R733" s="8" t="s">
        <v>5023</v>
      </c>
      <c r="S733" s="7" t="s">
        <v>4135</v>
      </c>
      <c r="T733" s="7"/>
      <c r="U733" s="7"/>
      <c r="V733" s="7" t="s">
        <v>5128</v>
      </c>
      <c r="W733" s="7" t="s">
        <v>5262</v>
      </c>
      <c r="X733" s="8"/>
      <c r="Y733" s="7" t="s">
        <v>5259</v>
      </c>
      <c r="Z733" s="7" t="s">
        <v>4697</v>
      </c>
      <c r="AA733" s="11" t="s">
        <v>5263</v>
      </c>
      <c r="AB733" s="11"/>
      <c r="AC733" s="11"/>
      <c r="AD733" s="11"/>
      <c r="AH733" s="8"/>
      <c r="AI733" s="20"/>
      <c r="AJ733" s="20"/>
      <c r="AK733" s="31"/>
      <c r="AL733" s="31"/>
    </row>
    <row r="734" spans="1:38" ht="36" hidden="1" x14ac:dyDescent="0.25">
      <c r="A734" s="14" t="s">
        <v>7387</v>
      </c>
      <c r="B734" s="7" t="s">
        <v>5877</v>
      </c>
      <c r="C734" s="7" t="s">
        <v>5011</v>
      </c>
      <c r="D734" s="7" t="s">
        <v>5978</v>
      </c>
      <c r="E734" s="7" t="s">
        <v>5978</v>
      </c>
      <c r="F734" s="7" t="s">
        <v>5978</v>
      </c>
      <c r="G734" s="7"/>
      <c r="H734" s="7"/>
      <c r="I734" s="7"/>
      <c r="J734" s="20" t="e">
        <f>VLOOKUP(V734,Table_to_BRG!A:D,3,FALSE)</f>
        <v>#N/A</v>
      </c>
      <c r="K734" s="20" t="e">
        <f>VLOOKUP(V734,Table_to_BRG!A:D,2,FALSE)</f>
        <v>#N/A</v>
      </c>
      <c r="L734" s="20"/>
      <c r="M734" s="20"/>
      <c r="N734" s="9" t="s">
        <v>6465</v>
      </c>
      <c r="O734" s="54" t="s">
        <v>7812</v>
      </c>
      <c r="P734" s="7" t="s">
        <v>5113</v>
      </c>
      <c r="Q734" s="11" t="e">
        <f>RIGHT("00"&amp;Table362[[#This Row],[Rule '#]],3)&amp;"_"&amp;IF(Table362[[#This Row],[Entity]]="Material","MATL",LEFT(UPPER(Table362[[#This Row],[Entity]]),4))&amp;"_"&amp;MID(SUBSTITUTE(Table362[[#This Row],[Rule Name]],"_","|",3),SEARCH("|",SUBSTITUTE(Table362[[#This Row],[Rule Name]],"_","|",3))+1,LEN(Table362[[#This Row],[Rule Name]]))</f>
        <v>#VALUE!</v>
      </c>
      <c r="R734" s="8"/>
      <c r="S734" s="7" t="s">
        <v>4135</v>
      </c>
      <c r="T734" s="7"/>
      <c r="U734" s="7"/>
      <c r="V734" s="7"/>
      <c r="W734" s="7" t="s">
        <v>4151</v>
      </c>
      <c r="X734" s="8"/>
      <c r="Y734" s="7"/>
      <c r="Z734" s="7"/>
      <c r="AA734" s="11" t="s">
        <v>4597</v>
      </c>
      <c r="AB734" s="11"/>
      <c r="AC734" s="11" t="s">
        <v>6813</v>
      </c>
      <c r="AD734" s="11"/>
      <c r="AH734" s="8"/>
      <c r="AI734" s="20"/>
      <c r="AJ734" s="20"/>
      <c r="AK734" s="31"/>
      <c r="AL734" s="31"/>
    </row>
    <row r="735" spans="1:38" ht="48" hidden="1" x14ac:dyDescent="0.25">
      <c r="A735" s="14" t="s">
        <v>7388</v>
      </c>
      <c r="B735" s="7" t="s">
        <v>5877</v>
      </c>
      <c r="C735" s="7" t="s">
        <v>5011</v>
      </c>
      <c r="D735" s="7" t="s">
        <v>5978</v>
      </c>
      <c r="E735" s="7" t="s">
        <v>5978</v>
      </c>
      <c r="F735" s="7" t="s">
        <v>5978</v>
      </c>
      <c r="G735" s="7"/>
      <c r="H735" s="7"/>
      <c r="I735" s="7"/>
      <c r="J735" s="20" t="e">
        <f>VLOOKUP(V735,Table_to_BRG!A:D,3,FALSE)</f>
        <v>#N/A</v>
      </c>
      <c r="K735" s="20" t="e">
        <f>VLOOKUP(V735,Table_to_BRG!A:D,2,FALSE)</f>
        <v>#N/A</v>
      </c>
      <c r="L735" s="20"/>
      <c r="M735" s="20"/>
      <c r="N735" s="9" t="s">
        <v>6465</v>
      </c>
      <c r="O735" s="54" t="s">
        <v>7812</v>
      </c>
      <c r="P735" s="7" t="s">
        <v>5114</v>
      </c>
      <c r="Q735" s="11" t="str">
        <f>RIGHT("00"&amp;Table362[[#This Row],[Rule '#]],3)&amp;"_"&amp;IF(Table362[[#This Row],[Entity]]="Material","MATL",LEFT(UPPER(Table362[[#This Row],[Entity]]),4))&amp;"_"&amp;MID(SUBSTITUTE(Table362[[#This Row],[Rule Name]],"_","|",3),SEARCH("|",SUBSTITUTE(Table362[[#This Row],[Rule Name]],"_","|",3))+1,LEN(Table362[[#This Row],[Rule Name]]))</f>
        <v>358_PM_KOSTL_WC</v>
      </c>
      <c r="R735" s="8" t="s">
        <v>5115</v>
      </c>
      <c r="S735" s="7" t="s">
        <v>4135</v>
      </c>
      <c r="T735" s="7"/>
      <c r="U735" s="7"/>
      <c r="V735" s="7" t="s">
        <v>4950</v>
      </c>
      <c r="W735" s="7" t="s">
        <v>4521</v>
      </c>
      <c r="X735" s="8"/>
      <c r="Y735" s="7" t="s">
        <v>4444</v>
      </c>
      <c r="Z735" s="7" t="s">
        <v>4445</v>
      </c>
      <c r="AA735" s="11" t="s">
        <v>5264</v>
      </c>
      <c r="AB735" s="11"/>
      <c r="AC735" s="11"/>
      <c r="AD735" s="11"/>
      <c r="AH735" s="8"/>
      <c r="AI735" s="20"/>
      <c r="AJ735" s="20"/>
      <c r="AK735" s="31"/>
      <c r="AL735" s="31"/>
    </row>
    <row r="736" spans="1:38" ht="60" hidden="1" x14ac:dyDescent="0.25">
      <c r="A736" s="14" t="s">
        <v>7389</v>
      </c>
      <c r="B736" s="7" t="s">
        <v>5877</v>
      </c>
      <c r="C736" s="7" t="s">
        <v>5265</v>
      </c>
      <c r="D736" s="7" t="s">
        <v>5978</v>
      </c>
      <c r="E736" s="7" t="s">
        <v>5978</v>
      </c>
      <c r="F736" s="7" t="s">
        <v>5978</v>
      </c>
      <c r="G736" s="7"/>
      <c r="H736" s="7"/>
      <c r="I736" s="7"/>
      <c r="J736" s="20" t="e">
        <f>VLOOKUP(V736,Table_to_BRG!A:D,3,FALSE)</f>
        <v>#N/A</v>
      </c>
      <c r="K736" s="20" t="e">
        <f>VLOOKUP(V736,Table_to_BRG!A:D,2,FALSE)</f>
        <v>#N/A</v>
      </c>
      <c r="L736" s="20"/>
      <c r="M736" s="20"/>
      <c r="N736" s="9" t="s">
        <v>6465</v>
      </c>
      <c r="O736" s="54" t="s">
        <v>7812</v>
      </c>
      <c r="P736" s="7" t="s">
        <v>5266</v>
      </c>
      <c r="Q736" s="11" t="str">
        <f>RIGHT("00"&amp;Table362[[#This Row],[Rule '#]],3)&amp;"_"&amp;IF(Table362[[#This Row],[Entity]]="Material","MATL",LEFT(UPPER(Table362[[#This Row],[Entity]]),4))&amp;"_"&amp;MID(SUBSTITUTE(Table362[[#This Row],[Rule Name]],"_","|",3),SEARCH("|",SUBSTITUTE(Table362[[#This Row],[Rule Name]],"_","|",3))+1,LEN(Table362[[#This Row],[Rule Name]]))</f>
        <v>359_PPQM_LANGUAGE_KEY</v>
      </c>
      <c r="R736" s="8" t="s">
        <v>5267</v>
      </c>
      <c r="S736" s="7" t="s">
        <v>4135</v>
      </c>
      <c r="T736" s="7"/>
      <c r="U736" s="7"/>
      <c r="V736" s="7"/>
      <c r="W736" s="7" t="s">
        <v>5351</v>
      </c>
      <c r="X736" s="8"/>
      <c r="Y736" s="7"/>
      <c r="Z736" s="7"/>
      <c r="AA736" s="11" t="s">
        <v>5352</v>
      </c>
      <c r="AB736" s="11"/>
      <c r="AC736" s="11"/>
      <c r="AD736" s="11"/>
      <c r="AH736" s="8"/>
      <c r="AI736" s="20"/>
      <c r="AJ736" s="20"/>
      <c r="AK736" s="31"/>
      <c r="AL736" s="31"/>
    </row>
    <row r="737" spans="1:38" ht="48" hidden="1" x14ac:dyDescent="0.25">
      <c r="A737" s="14" t="s">
        <v>7390</v>
      </c>
      <c r="B737" s="7" t="s">
        <v>5877</v>
      </c>
      <c r="C737" s="7" t="s">
        <v>5265</v>
      </c>
      <c r="D737" s="7" t="s">
        <v>5978</v>
      </c>
      <c r="E737" s="7" t="s">
        <v>5978</v>
      </c>
      <c r="F737" s="7" t="s">
        <v>5978</v>
      </c>
      <c r="G737" s="7"/>
      <c r="H737" s="7"/>
      <c r="I737" s="7"/>
      <c r="J737" s="20" t="e">
        <f>VLOOKUP(V737,Table_to_BRG!A:D,3,FALSE)</f>
        <v>#N/A</v>
      </c>
      <c r="K737" s="20" t="e">
        <f>VLOOKUP(V737,Table_to_BRG!A:D,2,FALSE)</f>
        <v>#N/A</v>
      </c>
      <c r="L737" s="20"/>
      <c r="M737" s="20"/>
      <c r="N737" s="9" t="s">
        <v>6465</v>
      </c>
      <c r="O737" s="54" t="s">
        <v>7812</v>
      </c>
      <c r="P737" s="7" t="s">
        <v>5268</v>
      </c>
      <c r="Q737" s="11" t="str">
        <f>RIGHT("00"&amp;Table362[[#This Row],[Rule '#]],3)&amp;"_"&amp;IF(Table362[[#This Row],[Entity]]="Material","MATL",LEFT(UPPER(Table362[[#This Row],[Entity]]),4))&amp;"_"&amp;MID(SUBSTITUTE(Table362[[#This Row],[Rule Name]],"_","|",3),SEARCH("|",SUBSTITUTE(Table362[[#This Row],[Rule Name]],"_","|",3))+1,LEN(Table362[[#This Row],[Rule Name]]))</f>
        <v>360_PPQM_BASE_UNIT OF MEASURE for Gas</v>
      </c>
      <c r="R737" s="8" t="s">
        <v>5269</v>
      </c>
      <c r="S737" s="7" t="s">
        <v>4135</v>
      </c>
      <c r="T737" s="7"/>
      <c r="U737" s="7"/>
      <c r="V737" s="7"/>
      <c r="W737" s="7" t="s">
        <v>5353</v>
      </c>
      <c r="X737" s="8"/>
      <c r="Y737" s="7"/>
      <c r="Z737" s="7"/>
      <c r="AA737" s="11" t="s">
        <v>5354</v>
      </c>
      <c r="AB737" s="11"/>
      <c r="AC737" s="11"/>
      <c r="AD737" s="11"/>
      <c r="AH737" s="8"/>
      <c r="AI737" s="20" t="s">
        <v>7729</v>
      </c>
      <c r="AJ737" s="20"/>
      <c r="AK737" s="31"/>
      <c r="AL737" s="31"/>
    </row>
    <row r="738" spans="1:38" ht="48" hidden="1" x14ac:dyDescent="0.25">
      <c r="A738" s="14" t="s">
        <v>7391</v>
      </c>
      <c r="B738" s="7" t="s">
        <v>5877</v>
      </c>
      <c r="C738" s="7" t="s">
        <v>5265</v>
      </c>
      <c r="D738" s="7" t="s">
        <v>5978</v>
      </c>
      <c r="E738" s="7" t="s">
        <v>5978</v>
      </c>
      <c r="F738" s="7" t="s">
        <v>5978</v>
      </c>
      <c r="G738" s="7"/>
      <c r="H738" s="7"/>
      <c r="I738" s="7"/>
      <c r="J738" s="20" t="e">
        <f>VLOOKUP(V738,Table_to_BRG!A:D,3,FALSE)</f>
        <v>#N/A</v>
      </c>
      <c r="K738" s="20" t="e">
        <f>VLOOKUP(V738,Table_to_BRG!A:D,2,FALSE)</f>
        <v>#N/A</v>
      </c>
      <c r="L738" s="20"/>
      <c r="M738" s="20"/>
      <c r="N738" s="9" t="s">
        <v>6465</v>
      </c>
      <c r="O738" s="54" t="s">
        <v>7812</v>
      </c>
      <c r="P738" s="7" t="s">
        <v>4308</v>
      </c>
      <c r="Q738" s="11" t="str">
        <f>RIGHT("00"&amp;Table362[[#This Row],[Rule '#]],3)&amp;"_"&amp;IF(Table362[[#This Row],[Entity]]="Material","MATL",LEFT(UPPER(Table362[[#This Row],[Entity]]),4))&amp;"_"&amp;MID(SUBSTITUTE(Table362[[#This Row],[Rule Name]],"_","|",3),SEARCH("|",SUBSTITUTE(Table362[[#This Row],[Rule Name]],"_","|",3))+1,LEN(Table362[[#This Row],[Rule Name]]))</f>
        <v>361_PPQM_IS_MANDATORY</v>
      </c>
      <c r="R738" s="8" t="s">
        <v>4309</v>
      </c>
      <c r="S738" s="7" t="s">
        <v>21</v>
      </c>
      <c r="T738" s="7"/>
      <c r="U738" s="7"/>
      <c r="V738" s="7"/>
      <c r="W738" s="7" t="s">
        <v>4461</v>
      </c>
      <c r="X738" s="8"/>
      <c r="Y738" s="7"/>
      <c r="Z738" s="7"/>
      <c r="AA738" s="11" t="s">
        <v>4462</v>
      </c>
      <c r="AB738" s="11"/>
      <c r="AC738" s="11"/>
      <c r="AD738" s="11"/>
      <c r="AH738" s="8"/>
      <c r="AI738" s="20"/>
      <c r="AJ738" s="20"/>
      <c r="AK738" s="31"/>
      <c r="AL738" s="31"/>
    </row>
    <row r="739" spans="1:38" ht="45" hidden="1" x14ac:dyDescent="0.25">
      <c r="A739" s="14" t="s">
        <v>7392</v>
      </c>
      <c r="B739" s="7" t="s">
        <v>5877</v>
      </c>
      <c r="C739" s="7" t="s">
        <v>5265</v>
      </c>
      <c r="D739" s="7" t="s">
        <v>5978</v>
      </c>
      <c r="E739" s="7" t="s">
        <v>5978</v>
      </c>
      <c r="F739" s="7" t="s">
        <v>5978</v>
      </c>
      <c r="G739" s="7"/>
      <c r="H739" s="7"/>
      <c r="I739" s="7"/>
      <c r="J739" s="20" t="e">
        <f>VLOOKUP(V739,Table_to_BRG!A:D,3,FALSE)</f>
        <v>#N/A</v>
      </c>
      <c r="K739" s="20" t="e">
        <f>VLOOKUP(V739,Table_to_BRG!A:D,2,FALSE)</f>
        <v>#N/A</v>
      </c>
      <c r="L739" s="20"/>
      <c r="M739" s="20"/>
      <c r="N739" s="9" t="s">
        <v>6465</v>
      </c>
      <c r="O739" s="54" t="s">
        <v>7812</v>
      </c>
      <c r="P739" s="7" t="s">
        <v>5270</v>
      </c>
      <c r="Q739" s="11" t="str">
        <f>RIGHT("00"&amp;Table362[[#This Row],[Rule '#]],3)&amp;"_"&amp;IF(Table362[[#This Row],[Entity]]="Material","MATL",LEFT(UPPER(Table362[[#This Row],[Entity]]),4))&amp;"_"&amp;MID(SUBSTITUTE(Table362[[#This Row],[Rule Name]],"_","|",3),SEARCH("|",SUBSTITUTE(Table362[[#This Row],[Rule Name]],"_","|",3))+1,LEN(Table362[[#This Row],[Rule Name]]))</f>
        <v>362_PPQM_PURCHASING GROUP</v>
      </c>
      <c r="R739" s="8" t="s">
        <v>5271</v>
      </c>
      <c r="S739" s="7" t="s">
        <v>4135</v>
      </c>
      <c r="T739" s="7"/>
      <c r="U739" s="7"/>
      <c r="V739" s="7"/>
      <c r="W739" s="7" t="s">
        <v>5355</v>
      </c>
      <c r="X739" s="8"/>
      <c r="Y739" s="7"/>
      <c r="Z739" s="7"/>
      <c r="AA739" s="11" t="s">
        <v>5356</v>
      </c>
      <c r="AB739" s="11"/>
      <c r="AC739" s="11" t="s">
        <v>6809</v>
      </c>
      <c r="AD739" s="11"/>
      <c r="AH739" s="8"/>
      <c r="AI739" s="20"/>
      <c r="AJ739" s="20"/>
      <c r="AK739" s="31"/>
      <c r="AL739" s="31"/>
    </row>
    <row r="740" spans="1:38" ht="84" hidden="1" x14ac:dyDescent="0.25">
      <c r="A740" s="14" t="s">
        <v>7393</v>
      </c>
      <c r="B740" s="7" t="s">
        <v>5877</v>
      </c>
      <c r="C740" s="7" t="s">
        <v>5265</v>
      </c>
      <c r="D740" s="7" t="s">
        <v>5978</v>
      </c>
      <c r="E740" s="7" t="s">
        <v>5978</v>
      </c>
      <c r="F740" s="7" t="s">
        <v>5978</v>
      </c>
      <c r="G740" s="7"/>
      <c r="H740" s="7"/>
      <c r="I740" s="7"/>
      <c r="J740" s="20" t="e">
        <f>VLOOKUP(V740,Table_to_BRG!A:D,3,FALSE)</f>
        <v>#N/A</v>
      </c>
      <c r="K740" s="20" t="e">
        <f>VLOOKUP(V740,Table_to_BRG!A:D,2,FALSE)</f>
        <v>#N/A</v>
      </c>
      <c r="L740" s="20"/>
      <c r="M740" s="20"/>
      <c r="N740" s="9" t="s">
        <v>6465</v>
      </c>
      <c r="O740" s="54" t="s">
        <v>7812</v>
      </c>
      <c r="P740" s="7" t="s">
        <v>5272</v>
      </c>
      <c r="Q740" s="11" t="str">
        <f>RIGHT("00"&amp;Table362[[#This Row],[Rule '#]],3)&amp;"_"&amp;IF(Table362[[#This Row],[Entity]]="Material","MATL",LEFT(UPPER(Table362[[#This Row],[Entity]]),4))&amp;"_"&amp;MID(SUBSTITUTE(Table362[[#This Row],[Rule Name]],"_","|",3),SEARCH("|",SUBSTITUTE(Table362[[#This Row],[Rule Name]],"_","|",3))+1,LEN(Table362[[#This Row],[Rule Name]]))</f>
        <v>363_PPQM_BATCH_MANAGEMENT_1200</v>
      </c>
      <c r="R740" s="8" t="s">
        <v>5273</v>
      </c>
      <c r="S740" s="7" t="s">
        <v>4135</v>
      </c>
      <c r="T740" s="7"/>
      <c r="U740" s="7"/>
      <c r="V740" s="7"/>
      <c r="W740" s="7" t="s">
        <v>5357</v>
      </c>
      <c r="X740" s="8"/>
      <c r="Y740" s="7"/>
      <c r="Z740" s="7"/>
      <c r="AA740" s="11" t="s">
        <v>5358</v>
      </c>
      <c r="AB740" s="11"/>
      <c r="AC740" s="11"/>
      <c r="AD740" s="11"/>
      <c r="AH740" s="8"/>
      <c r="AI740" s="20"/>
      <c r="AJ740" s="20"/>
      <c r="AK740" s="31"/>
      <c r="AL740" s="31"/>
    </row>
    <row r="741" spans="1:38" ht="60" hidden="1" x14ac:dyDescent="0.25">
      <c r="A741" s="14" t="s">
        <v>7394</v>
      </c>
      <c r="B741" s="7" t="s">
        <v>5877</v>
      </c>
      <c r="C741" s="7" t="s">
        <v>5265</v>
      </c>
      <c r="D741" s="7" t="s">
        <v>5978</v>
      </c>
      <c r="E741" s="7" t="s">
        <v>5978</v>
      </c>
      <c r="F741" s="7" t="s">
        <v>5978</v>
      </c>
      <c r="G741" s="7"/>
      <c r="H741" s="7"/>
      <c r="I741" s="7"/>
      <c r="J741" s="20" t="e">
        <f>VLOOKUP(V741,Table_to_BRG!A:D,3,FALSE)</f>
        <v>#N/A</v>
      </c>
      <c r="K741" s="20" t="e">
        <f>VLOOKUP(V741,Table_to_BRG!A:D,2,FALSE)</f>
        <v>#N/A</v>
      </c>
      <c r="L741" s="20"/>
      <c r="M741" s="20"/>
      <c r="N741" s="9" t="s">
        <v>6465</v>
      </c>
      <c r="O741" s="54" t="s">
        <v>7812</v>
      </c>
      <c r="P741" s="7" t="s">
        <v>4317</v>
      </c>
      <c r="Q741" s="11" t="str">
        <f>RIGHT("00"&amp;Table362[[#This Row],[Rule '#]],3)&amp;"_"&amp;IF(Table362[[#This Row],[Entity]]="Material","MATL",LEFT(UPPER(Table362[[#This Row],[Entity]]),4))&amp;"_"&amp;MID(SUBSTITUTE(Table362[[#This Row],[Rule Name]],"_","|",3),SEARCH("|",SUBSTITUTE(Table362[[#This Row],[Rule Name]],"_","|",3))+1,LEN(Table362[[#This Row],[Rule Name]]))</f>
        <v>364_PPQM_IS_EN</v>
      </c>
      <c r="R741" s="8" t="s">
        <v>4318</v>
      </c>
      <c r="S741" s="7" t="s">
        <v>4135</v>
      </c>
      <c r="T741" s="7"/>
      <c r="U741" s="7"/>
      <c r="V741" s="7"/>
      <c r="W741" s="7" t="s">
        <v>4471</v>
      </c>
      <c r="X741" s="8"/>
      <c r="Y741" s="7" t="s">
        <v>4188</v>
      </c>
      <c r="Z741" s="7" t="s">
        <v>1534</v>
      </c>
      <c r="AA741" s="11" t="s">
        <v>4472</v>
      </c>
      <c r="AB741" s="11"/>
      <c r="AC741" s="11"/>
      <c r="AD741" s="11"/>
      <c r="AH741" s="8"/>
      <c r="AI741" s="20"/>
      <c r="AJ741" s="20"/>
      <c r="AK741" s="31"/>
      <c r="AL741" s="31"/>
    </row>
    <row r="742" spans="1:38" ht="72" hidden="1" x14ac:dyDescent="0.25">
      <c r="A742" s="14" t="s">
        <v>7395</v>
      </c>
      <c r="B742" s="7" t="s">
        <v>5877</v>
      </c>
      <c r="C742" s="7" t="s">
        <v>5265</v>
      </c>
      <c r="D742" s="7" t="s">
        <v>5978</v>
      </c>
      <c r="E742" s="7" t="s">
        <v>5978</v>
      </c>
      <c r="F742" s="7" t="s">
        <v>5978</v>
      </c>
      <c r="G742" s="7"/>
      <c r="H742" s="7"/>
      <c r="I742" s="7"/>
      <c r="J742" s="20" t="e">
        <f>VLOOKUP(V742,Table_to_BRG!A:D,3,FALSE)</f>
        <v>#N/A</v>
      </c>
      <c r="K742" s="20" t="e">
        <f>VLOOKUP(V742,Table_to_BRG!A:D,2,FALSE)</f>
        <v>#N/A</v>
      </c>
      <c r="L742" s="20"/>
      <c r="M742" s="20"/>
      <c r="N742" s="9" t="s">
        <v>6465</v>
      </c>
      <c r="O742" s="54" t="s">
        <v>7812</v>
      </c>
      <c r="P742" s="7" t="s">
        <v>5274</v>
      </c>
      <c r="Q742" s="11" t="str">
        <f>RIGHT("00"&amp;Table362[[#This Row],[Rule '#]],3)&amp;"_"&amp;IF(Table362[[#This Row],[Entity]]="Material","MATL",LEFT(UPPER(Table362[[#This Row],[Entity]]),4))&amp;"_"&amp;MID(SUBSTITUTE(Table362[[#This Row],[Rule Name]],"_","|",3),SEARCH("|",SUBSTITUTE(Table362[[#This Row],[Rule Name]],"_","|",3))+1,LEN(Table362[[#This Row],[Rule Name]]))</f>
        <v>365_PPQM_TRANSPORTATION_GROUP</v>
      </c>
      <c r="R742" s="8" t="s">
        <v>5275</v>
      </c>
      <c r="S742" s="7" t="s">
        <v>4135</v>
      </c>
      <c r="T742" s="7"/>
      <c r="U742" s="7"/>
      <c r="V742" s="7"/>
      <c r="W742" s="7" t="s">
        <v>5359</v>
      </c>
      <c r="X742" s="8"/>
      <c r="Y742" s="7" t="s">
        <v>4223</v>
      </c>
      <c r="Z742" s="7" t="s">
        <v>2393</v>
      </c>
      <c r="AA742" s="11" t="s">
        <v>5360</v>
      </c>
      <c r="AB742" s="11"/>
      <c r="AC742" s="11"/>
      <c r="AD742" s="11"/>
      <c r="AH742" s="8"/>
      <c r="AI742" s="20" t="s">
        <v>7711</v>
      </c>
      <c r="AJ742" s="20"/>
      <c r="AK742" s="31"/>
      <c r="AL742" s="31"/>
    </row>
    <row r="743" spans="1:38" ht="48" hidden="1" x14ac:dyDescent="0.25">
      <c r="A743" s="14" t="s">
        <v>7396</v>
      </c>
      <c r="B743" s="7" t="s">
        <v>5877</v>
      </c>
      <c r="C743" s="7" t="s">
        <v>5265</v>
      </c>
      <c r="D743" s="7" t="s">
        <v>5978</v>
      </c>
      <c r="E743" s="7" t="s">
        <v>5978</v>
      </c>
      <c r="F743" s="7" t="s">
        <v>5978</v>
      </c>
      <c r="G743" s="7"/>
      <c r="H743" s="7"/>
      <c r="I743" s="7"/>
      <c r="J743" s="20" t="e">
        <f>VLOOKUP(V743,Table_to_BRG!A:D,3,FALSE)</f>
        <v>#N/A</v>
      </c>
      <c r="K743" s="20" t="e">
        <f>VLOOKUP(V743,Table_to_BRG!A:D,2,FALSE)</f>
        <v>#N/A</v>
      </c>
      <c r="L743" s="20"/>
      <c r="M743" s="20"/>
      <c r="N743" s="9" t="s">
        <v>6465</v>
      </c>
      <c r="O743" s="54" t="s">
        <v>7812</v>
      </c>
      <c r="P743" s="7" t="s">
        <v>5276</v>
      </c>
      <c r="Q743" s="11" t="str">
        <f>RIGHT("00"&amp;Table362[[#This Row],[Rule '#]],3)&amp;"_"&amp;IF(Table362[[#This Row],[Entity]]="Material","MATL",LEFT(UPPER(Table362[[#This Row],[Entity]]),4))&amp;"_"&amp;MID(SUBSTITUTE(Table362[[#This Row],[Rule Name]],"_","|",3),SEARCH("|",SUBSTITUTE(Table362[[#This Row],[Rule Name]],"_","|",3))+1,LEN(Table362[[#This Row],[Rule Name]]))</f>
        <v>366_PPQM_LOADING_GROUP</v>
      </c>
      <c r="R743" s="8" t="s">
        <v>5277</v>
      </c>
      <c r="S743" s="7" t="s">
        <v>4135</v>
      </c>
      <c r="T743" s="7"/>
      <c r="U743" s="7"/>
      <c r="V743" s="7"/>
      <c r="W743" s="7" t="s">
        <v>5361</v>
      </c>
      <c r="X743" s="8"/>
      <c r="Y743" s="7" t="s">
        <v>4162</v>
      </c>
      <c r="Z743" s="7" t="s">
        <v>2394</v>
      </c>
      <c r="AA743" s="11" t="s">
        <v>5362</v>
      </c>
      <c r="AB743" s="11"/>
      <c r="AC743" s="11"/>
      <c r="AD743" s="11"/>
      <c r="AH743" s="8"/>
      <c r="AI743" s="20" t="s">
        <v>7713</v>
      </c>
      <c r="AJ743" s="20"/>
      <c r="AK743" s="31"/>
      <c r="AL743" s="31"/>
    </row>
    <row r="744" spans="1:38" ht="48" hidden="1" x14ac:dyDescent="0.25">
      <c r="A744" s="14" t="s">
        <v>7397</v>
      </c>
      <c r="B744" s="7" t="s">
        <v>5877</v>
      </c>
      <c r="C744" s="7" t="s">
        <v>5265</v>
      </c>
      <c r="D744" s="7" t="s">
        <v>5978</v>
      </c>
      <c r="E744" s="7" t="s">
        <v>5978</v>
      </c>
      <c r="F744" s="7" t="s">
        <v>5978</v>
      </c>
      <c r="G744" s="7"/>
      <c r="H744" s="7"/>
      <c r="I744" s="7"/>
      <c r="J744" s="20" t="e">
        <f>VLOOKUP(V744,Table_to_BRG!A:D,3,FALSE)</f>
        <v>#N/A</v>
      </c>
      <c r="K744" s="20" t="e">
        <f>VLOOKUP(V744,Table_to_BRG!A:D,2,FALSE)</f>
        <v>#N/A</v>
      </c>
      <c r="L744" s="20"/>
      <c r="M744" s="20"/>
      <c r="N744" s="9" t="s">
        <v>6465</v>
      </c>
      <c r="O744" s="54" t="s">
        <v>7812</v>
      </c>
      <c r="P744" s="7" t="s">
        <v>5278</v>
      </c>
      <c r="Q744" s="11" t="str">
        <f>RIGHT("00"&amp;Table362[[#This Row],[Rule '#]],3)&amp;"_"&amp;IF(Table362[[#This Row],[Entity]]="Material","MATL",LEFT(UPPER(Table362[[#This Row],[Entity]]),4))&amp;"_"&amp;MID(SUBSTITUTE(Table362[[#This Row],[Rule Name]],"_","|",3),SEARCH("|",SUBSTITUTE(Table362[[#This Row],[Rule Name]],"_","|",3))+1,LEN(Table362[[#This Row],[Rule Name]]))</f>
        <v>367_PPQM_CLASS TYPE</v>
      </c>
      <c r="R744" s="8" t="s">
        <v>5279</v>
      </c>
      <c r="S744" s="7" t="s">
        <v>4135</v>
      </c>
      <c r="T744" s="7"/>
      <c r="U744" s="7"/>
      <c r="V744" s="7"/>
      <c r="W744" s="7" t="s">
        <v>5363</v>
      </c>
      <c r="X744" s="8"/>
      <c r="Y744" s="7"/>
      <c r="Z744" s="7"/>
      <c r="AA744" s="11" t="s">
        <v>5364</v>
      </c>
      <c r="AB744" s="11"/>
      <c r="AC744" s="11" t="s">
        <v>6809</v>
      </c>
      <c r="AD744" s="11"/>
      <c r="AH744" s="8"/>
      <c r="AI744" s="20"/>
      <c r="AJ744" s="20"/>
      <c r="AK744" s="31"/>
      <c r="AL744" s="31"/>
    </row>
    <row r="745" spans="1:38" ht="240" hidden="1" x14ac:dyDescent="0.25">
      <c r="A745" s="14" t="s">
        <v>7398</v>
      </c>
      <c r="B745" s="7" t="s">
        <v>5877</v>
      </c>
      <c r="C745" s="7" t="s">
        <v>5265</v>
      </c>
      <c r="D745" s="7" t="s">
        <v>5978</v>
      </c>
      <c r="E745" s="7" t="s">
        <v>5978</v>
      </c>
      <c r="F745" s="7" t="s">
        <v>5978</v>
      </c>
      <c r="G745" s="7"/>
      <c r="H745" s="7"/>
      <c r="I745" s="7"/>
      <c r="J745" s="20" t="e">
        <f>VLOOKUP(V745,Table_to_BRG!A:D,3,FALSE)</f>
        <v>#N/A</v>
      </c>
      <c r="K745" s="20" t="e">
        <f>VLOOKUP(V745,Table_to_BRG!A:D,2,FALSE)</f>
        <v>#N/A</v>
      </c>
      <c r="L745" s="20"/>
      <c r="M745" s="20"/>
      <c r="N745" s="9" t="s">
        <v>6465</v>
      </c>
      <c r="O745" s="54" t="s">
        <v>7812</v>
      </c>
      <c r="P745" s="7" t="s">
        <v>5280</v>
      </c>
      <c r="Q745" s="11" t="str">
        <f>RIGHT("00"&amp;Table362[[#This Row],[Rule '#]],3)&amp;"_"&amp;IF(Table362[[#This Row],[Entity]]="Material","MATL",LEFT(UPPER(Table362[[#This Row],[Entity]]),4))&amp;"_"&amp;MID(SUBSTITUTE(Table362[[#This Row],[Rule Name]],"_","|",3),SEARCH("|",SUBSTITUTE(Table362[[#This Row],[Rule Name]],"_","|",3))+1,LEN(Table362[[#This Row],[Rule Name]]))</f>
        <v>368_PPQM_RECIPE ROUTING USAGE INDICATOR</v>
      </c>
      <c r="R745" s="8" t="s">
        <v>5281</v>
      </c>
      <c r="S745" s="7" t="s">
        <v>4135</v>
      </c>
      <c r="T745" s="7"/>
      <c r="U745" s="7"/>
      <c r="V745" s="7"/>
      <c r="W745" s="7" t="s">
        <v>5365</v>
      </c>
      <c r="X745" s="8"/>
      <c r="Y745" s="7"/>
      <c r="Z745" s="7"/>
      <c r="AA745" s="11" t="s">
        <v>5366</v>
      </c>
      <c r="AB745" s="11"/>
      <c r="AC745" s="11" t="s">
        <v>6809</v>
      </c>
      <c r="AD745" s="11"/>
      <c r="AH745" s="8"/>
      <c r="AI745" s="20"/>
      <c r="AJ745" s="20"/>
      <c r="AK745" s="31"/>
      <c r="AL745" s="31"/>
    </row>
    <row r="746" spans="1:38" ht="36" hidden="1" x14ac:dyDescent="0.25">
      <c r="A746" s="14" t="s">
        <v>7399</v>
      </c>
      <c r="B746" s="7" t="s">
        <v>5877</v>
      </c>
      <c r="C746" s="7" t="s">
        <v>5265</v>
      </c>
      <c r="D746" s="7" t="s">
        <v>5978</v>
      </c>
      <c r="E746" s="7" t="s">
        <v>5978</v>
      </c>
      <c r="F746" s="7" t="s">
        <v>5978</v>
      </c>
      <c r="G746" s="7"/>
      <c r="H746" s="7"/>
      <c r="I746" s="7"/>
      <c r="J746" s="20" t="e">
        <f>VLOOKUP(V746,Table_to_BRG!A:D,3,FALSE)</f>
        <v>#N/A</v>
      </c>
      <c r="K746" s="20" t="e">
        <f>VLOOKUP(V746,Table_to_BRG!A:D,2,FALSE)</f>
        <v>#N/A</v>
      </c>
      <c r="L746" s="20"/>
      <c r="M746" s="20"/>
      <c r="N746" s="9" t="s">
        <v>6465</v>
      </c>
      <c r="O746" s="54" t="s">
        <v>7812</v>
      </c>
      <c r="P746" s="7" t="s">
        <v>5282</v>
      </c>
      <c r="Q746" s="11" t="str">
        <f>RIGHT("00"&amp;Table362[[#This Row],[Rule '#]],3)&amp;"_"&amp;IF(Table362[[#This Row],[Entity]]="Material","MATL",LEFT(UPPER(Table362[[#This Row],[Entity]]),4))&amp;"_"&amp;MID(SUBSTITUTE(Table362[[#This Row],[Rule Name]],"_","|",3),SEARCH("|",SUBSTITUTE(Table362[[#This Row],[Rule Name]],"_","|",3))+1,LEN(Table362[[#This Row],[Rule Name]]))</f>
        <v>369_PPQM_REPETITIVE MANUFACTURING PROFILE</v>
      </c>
      <c r="R746" s="8" t="s">
        <v>2247</v>
      </c>
      <c r="S746" s="7" t="s">
        <v>4135</v>
      </c>
      <c r="T746" s="7"/>
      <c r="U746" s="7"/>
      <c r="V746" s="7"/>
      <c r="W746" s="7" t="s">
        <v>5367</v>
      </c>
      <c r="X746" s="8"/>
      <c r="Y746" s="7"/>
      <c r="Z746" s="7"/>
      <c r="AA746" s="11" t="s">
        <v>5368</v>
      </c>
      <c r="AB746" s="11"/>
      <c r="AC746" s="11" t="s">
        <v>6809</v>
      </c>
      <c r="AD746" s="11"/>
      <c r="AH746" s="8"/>
      <c r="AI746" s="20"/>
      <c r="AJ746" s="20"/>
      <c r="AK746" s="31"/>
      <c r="AL746" s="31"/>
    </row>
    <row r="747" spans="1:38" ht="36" hidden="1" x14ac:dyDescent="0.25">
      <c r="A747" s="14" t="s">
        <v>7400</v>
      </c>
      <c r="B747" s="7" t="s">
        <v>5877</v>
      </c>
      <c r="C747" s="7" t="s">
        <v>5265</v>
      </c>
      <c r="D747" s="7" t="s">
        <v>5978</v>
      </c>
      <c r="E747" s="7" t="s">
        <v>5978</v>
      </c>
      <c r="F747" s="7" t="s">
        <v>5978</v>
      </c>
      <c r="G747" s="7"/>
      <c r="H747" s="7"/>
      <c r="I747" s="7"/>
      <c r="J747" s="20" t="e">
        <f>VLOOKUP(V747,Table_to_BRG!A:D,3,FALSE)</f>
        <v>#N/A</v>
      </c>
      <c r="K747" s="20" t="e">
        <f>VLOOKUP(V747,Table_to_BRG!A:D,2,FALSE)</f>
        <v>#N/A</v>
      </c>
      <c r="L747" s="20"/>
      <c r="M747" s="20"/>
      <c r="N747" s="9" t="s">
        <v>6465</v>
      </c>
      <c r="O747" s="54" t="s">
        <v>7812</v>
      </c>
      <c r="P747" s="7" t="s">
        <v>5283</v>
      </c>
      <c r="Q747" s="11" t="str">
        <f>RIGHT("00"&amp;Table362[[#This Row],[Rule '#]],3)&amp;"_"&amp;IF(Table362[[#This Row],[Entity]]="Material","MATL",LEFT(UPPER(Table362[[#This Row],[Entity]]),4))&amp;"_"&amp;MID(SUBSTITUTE(Table362[[#This Row],[Rule Name]],"_","|",3),SEARCH("|",SUBSTITUTE(Table362[[#This Row],[Rule Name]],"_","|",3))+1,LEN(Table362[[#This Row],[Rule Name]]))</f>
        <v>370_PPQM_CHECKIING GROUP FOR AVAILABILITY</v>
      </c>
      <c r="R747" s="8" t="s">
        <v>5284</v>
      </c>
      <c r="S747" s="7" t="s">
        <v>4135</v>
      </c>
      <c r="T747" s="7"/>
      <c r="U747" s="7"/>
      <c r="V747" s="7"/>
      <c r="W747" s="7" t="s">
        <v>5369</v>
      </c>
      <c r="X747" s="8"/>
      <c r="Y747" s="7"/>
      <c r="Z747" s="7"/>
      <c r="AA747" s="11" t="s">
        <v>5370</v>
      </c>
      <c r="AB747" s="11"/>
      <c r="AC747" s="11" t="s">
        <v>6809</v>
      </c>
      <c r="AD747" s="11"/>
      <c r="AH747" s="8"/>
      <c r="AI747" s="20" t="s">
        <v>7702</v>
      </c>
      <c r="AJ747" s="20"/>
      <c r="AK747" s="31"/>
      <c r="AL747" s="31"/>
    </row>
    <row r="748" spans="1:38" ht="48" hidden="1" x14ac:dyDescent="0.25">
      <c r="A748" s="14" t="s">
        <v>7401</v>
      </c>
      <c r="B748" s="7" t="s">
        <v>5877</v>
      </c>
      <c r="C748" s="7" t="s">
        <v>5265</v>
      </c>
      <c r="D748" s="7" t="s">
        <v>5978</v>
      </c>
      <c r="E748" s="7" t="s">
        <v>5978</v>
      </c>
      <c r="F748" s="7" t="s">
        <v>5978</v>
      </c>
      <c r="G748" s="7"/>
      <c r="H748" s="7"/>
      <c r="I748" s="7"/>
      <c r="J748" s="20" t="e">
        <f>VLOOKUP(V748,Table_to_BRG!A:D,3,FALSE)</f>
        <v>#N/A</v>
      </c>
      <c r="K748" s="20" t="e">
        <f>VLOOKUP(V748,Table_to_BRG!A:D,2,FALSE)</f>
        <v>#N/A</v>
      </c>
      <c r="L748" s="20"/>
      <c r="M748" s="20"/>
      <c r="N748" s="9" t="s">
        <v>6465</v>
      </c>
      <c r="O748" s="54" t="s">
        <v>7812</v>
      </c>
      <c r="P748" s="7" t="s">
        <v>5285</v>
      </c>
      <c r="Q748" s="11" t="str">
        <f>RIGHT("00"&amp;Table362[[#This Row],[Rule '#]],3)&amp;"_"&amp;IF(Table362[[#This Row],[Entity]]="Material","MATL",LEFT(UPPER(Table362[[#This Row],[Entity]]),4))&amp;"_"&amp;MID(SUBSTITUTE(Table362[[#This Row],[Rule Name]],"_","|",3),SEARCH("|",SUBSTITUTE(Table362[[#This Row],[Rule Name]],"_","|",3))+1,LEN(Table362[[#This Row],[Rule Name]]))</f>
        <v>371_PPQM_MATERIAL_GROUP</v>
      </c>
      <c r="R748" s="8" t="s">
        <v>5286</v>
      </c>
      <c r="S748" s="7" t="s">
        <v>4135</v>
      </c>
      <c r="T748" s="7"/>
      <c r="U748" s="7"/>
      <c r="V748" s="7"/>
      <c r="W748" s="7" t="s">
        <v>5371</v>
      </c>
      <c r="X748" s="8"/>
      <c r="Y748" s="7"/>
      <c r="Z748" s="7"/>
      <c r="AA748" s="11" t="s">
        <v>5372</v>
      </c>
      <c r="AB748" s="11"/>
      <c r="AC748" s="11" t="s">
        <v>6664</v>
      </c>
      <c r="AD748" s="11"/>
      <c r="AH748" s="8"/>
      <c r="AI748" s="20"/>
      <c r="AJ748" s="20"/>
      <c r="AK748" s="31"/>
      <c r="AL748" s="31"/>
    </row>
    <row r="749" spans="1:38" ht="36" hidden="1" x14ac:dyDescent="0.25">
      <c r="A749" s="14" t="s">
        <v>7402</v>
      </c>
      <c r="B749" s="7" t="s">
        <v>5877</v>
      </c>
      <c r="C749" s="7" t="s">
        <v>5265</v>
      </c>
      <c r="D749" s="7" t="s">
        <v>5978</v>
      </c>
      <c r="E749" s="7" t="s">
        <v>5978</v>
      </c>
      <c r="F749" s="7" t="s">
        <v>5978</v>
      </c>
      <c r="G749" s="7"/>
      <c r="H749" s="7"/>
      <c r="I749" s="7"/>
      <c r="J749" s="20" t="e">
        <f>VLOOKUP(V749,Table_to_BRG!A:D,3,FALSE)</f>
        <v>#N/A</v>
      </c>
      <c r="K749" s="20" t="e">
        <f>VLOOKUP(V749,Table_to_BRG!A:D,2,FALSE)</f>
        <v>#N/A</v>
      </c>
      <c r="L749" s="20"/>
      <c r="M749" s="20"/>
      <c r="N749" s="9" t="s">
        <v>6465</v>
      </c>
      <c r="O749" s="54" t="s">
        <v>7812</v>
      </c>
      <c r="P749" s="7" t="s">
        <v>5287</v>
      </c>
      <c r="Q749" s="11" t="str">
        <f>RIGHT("00"&amp;Table362[[#This Row],[Rule '#]],3)&amp;"_"&amp;IF(Table362[[#This Row],[Entity]]="Material","MATL",LEFT(UPPER(Table362[[#This Row],[Entity]]),4))&amp;"_"&amp;MID(SUBSTITUTE(Table362[[#This Row],[Rule Name]],"_","|",3),SEARCH("|",SUBSTITUTE(Table362[[#This Row],[Rule Name]],"_","|",3))+1,LEN(Table362[[#This Row],[Rule Name]]))</f>
        <v>372_PPQM_QM Work center_LIMS</v>
      </c>
      <c r="R749" s="8" t="s">
        <v>5288</v>
      </c>
      <c r="S749" s="7" t="s">
        <v>4135</v>
      </c>
      <c r="T749" s="7"/>
      <c r="U749" s="7"/>
      <c r="V749" s="7"/>
      <c r="W749" s="7" t="s">
        <v>5373</v>
      </c>
      <c r="X749" s="8"/>
      <c r="Y749" s="7"/>
      <c r="Z749" s="7"/>
      <c r="AA749" s="11" t="s">
        <v>5374</v>
      </c>
      <c r="AB749" s="11"/>
      <c r="AC749" s="11"/>
      <c r="AD749" s="11"/>
      <c r="AH749" s="8"/>
      <c r="AI749" s="20"/>
      <c r="AJ749" s="20"/>
      <c r="AK749" s="31"/>
      <c r="AL749" s="31"/>
    </row>
    <row r="750" spans="1:38" ht="36" hidden="1" x14ac:dyDescent="0.25">
      <c r="A750" s="14" t="s">
        <v>7403</v>
      </c>
      <c r="B750" s="7" t="s">
        <v>5877</v>
      </c>
      <c r="C750" s="7" t="s">
        <v>5265</v>
      </c>
      <c r="D750" s="7" t="s">
        <v>5978</v>
      </c>
      <c r="E750" s="7" t="s">
        <v>5978</v>
      </c>
      <c r="F750" s="7" t="s">
        <v>5978</v>
      </c>
      <c r="G750" s="7"/>
      <c r="H750" s="7"/>
      <c r="I750" s="7"/>
      <c r="J750" s="20" t="e">
        <f>VLOOKUP(V750,Table_to_BRG!A:D,3,FALSE)</f>
        <v>#N/A</v>
      </c>
      <c r="K750" s="20" t="e">
        <f>VLOOKUP(V750,Table_to_BRG!A:D,2,FALSE)</f>
        <v>#N/A</v>
      </c>
      <c r="L750" s="20"/>
      <c r="M750" s="20"/>
      <c r="N750" s="9" t="s">
        <v>6465</v>
      </c>
      <c r="O750" s="54" t="s">
        <v>7812</v>
      </c>
      <c r="P750" s="7" t="s">
        <v>5289</v>
      </c>
      <c r="Q750" s="11" t="str">
        <f>RIGHT("00"&amp;Table362[[#This Row],[Rule '#]],3)&amp;"_"&amp;IF(Table362[[#This Row],[Entity]]="Material","MATL",LEFT(UPPER(Table362[[#This Row],[Entity]]),4))&amp;"_"&amp;MID(SUBSTITUTE(Table362[[#This Row],[Rule Name]],"_","|",3),SEARCH("|",SUBSTITUTE(Table362[[#This Row],[Rule Name]],"_","|",3))+1,LEN(Table362[[#This Row],[Rule Name]]))</f>
        <v>373_PPQM_LOT SIZE</v>
      </c>
      <c r="R750" s="8" t="s">
        <v>5290</v>
      </c>
      <c r="S750" s="7" t="s">
        <v>4135</v>
      </c>
      <c r="T750" s="7"/>
      <c r="U750" s="7"/>
      <c r="V750" s="7"/>
      <c r="W750" s="7" t="s">
        <v>5375</v>
      </c>
      <c r="X750" s="8"/>
      <c r="Y750" s="7"/>
      <c r="Z750" s="7"/>
      <c r="AA750" s="11" t="s">
        <v>5376</v>
      </c>
      <c r="AB750" s="11"/>
      <c r="AC750" s="11" t="s">
        <v>6809</v>
      </c>
      <c r="AD750" s="11"/>
      <c r="AH750" s="8"/>
      <c r="AI750" s="20"/>
      <c r="AJ750" s="20"/>
      <c r="AK750" s="31"/>
      <c r="AL750" s="31"/>
    </row>
    <row r="751" spans="1:38" ht="138" hidden="1" x14ac:dyDescent="0.25">
      <c r="A751" s="14" t="s">
        <v>7404</v>
      </c>
      <c r="B751" s="7" t="s">
        <v>5877</v>
      </c>
      <c r="C751" s="7" t="s">
        <v>5265</v>
      </c>
      <c r="D751" s="7" t="s">
        <v>5978</v>
      </c>
      <c r="E751" s="7" t="s">
        <v>5978</v>
      </c>
      <c r="F751" s="7" t="s">
        <v>5978</v>
      </c>
      <c r="G751" s="7"/>
      <c r="H751" s="7"/>
      <c r="I751" s="7"/>
      <c r="J751" s="20" t="e">
        <f>VLOOKUP(V751,Table_to_BRG!A:D,3,FALSE)</f>
        <v>#N/A</v>
      </c>
      <c r="K751" s="20" t="e">
        <f>VLOOKUP(V751,Table_to_BRG!A:D,2,FALSE)</f>
        <v>#N/A</v>
      </c>
      <c r="L751" s="20"/>
      <c r="M751" s="20"/>
      <c r="N751" s="9" t="s">
        <v>6465</v>
      </c>
      <c r="O751" s="54" t="s">
        <v>7812</v>
      </c>
      <c r="P751" s="7" t="s">
        <v>5291</v>
      </c>
      <c r="Q751" s="11" t="e">
        <f>RIGHT("00"&amp;Table362[[#This Row],[Rule '#]],3)&amp;"_"&amp;IF(Table362[[#This Row],[Entity]]="Material","MATL",LEFT(UPPER(Table362[[#This Row],[Entity]]),4))&amp;"_"&amp;MID(SUBSTITUTE(Table362[[#This Row],[Rule Name]],"_","|",3),SEARCH("|",SUBSTITUTE(Table362[[#This Row],[Rule Name]],"_","|",3))+1,LEN(Table362[[#This Row],[Rule Name]]))</f>
        <v>#VALUE!</v>
      </c>
      <c r="R751" s="8" t="s">
        <v>5292</v>
      </c>
      <c r="S751" s="7" t="s">
        <v>4135</v>
      </c>
      <c r="T751" s="7"/>
      <c r="U751" s="7"/>
      <c r="V751" s="7"/>
      <c r="W751" s="7" t="s">
        <v>5377</v>
      </c>
      <c r="X751" s="8"/>
      <c r="Y751" s="7"/>
      <c r="Z751" s="7"/>
      <c r="AA751" s="11" t="s">
        <v>5378</v>
      </c>
      <c r="AB751" s="11"/>
      <c r="AC751" s="11"/>
      <c r="AD751" s="11"/>
      <c r="AH751" s="8" t="s">
        <v>5916</v>
      </c>
      <c r="AI751" s="20"/>
      <c r="AJ751" s="20"/>
      <c r="AK751" s="31"/>
      <c r="AL751" s="31"/>
    </row>
    <row r="752" spans="1:38" ht="180" hidden="1" x14ac:dyDescent="0.25">
      <c r="A752" s="14" t="s">
        <v>7405</v>
      </c>
      <c r="B752" s="7" t="s">
        <v>5877</v>
      </c>
      <c r="C752" s="7" t="s">
        <v>5265</v>
      </c>
      <c r="D752" s="7" t="s">
        <v>5978</v>
      </c>
      <c r="E752" s="7" t="s">
        <v>5978</v>
      </c>
      <c r="F752" s="7" t="s">
        <v>5978</v>
      </c>
      <c r="G752" s="7"/>
      <c r="H752" s="7"/>
      <c r="I752" s="7"/>
      <c r="J752" s="20" t="e">
        <f>VLOOKUP(V752,Table_to_BRG!A:D,3,FALSE)</f>
        <v>#N/A</v>
      </c>
      <c r="K752" s="20" t="e">
        <f>VLOOKUP(V752,Table_to_BRG!A:D,2,FALSE)</f>
        <v>#N/A</v>
      </c>
      <c r="L752" s="20"/>
      <c r="M752" s="20"/>
      <c r="N752" s="9" t="s">
        <v>6465</v>
      </c>
      <c r="O752" s="54" t="s">
        <v>7812</v>
      </c>
      <c r="P752" s="7" t="s">
        <v>5293</v>
      </c>
      <c r="Q752" s="11" t="str">
        <f>RIGHT("00"&amp;Table362[[#This Row],[Rule '#]],3)&amp;"_"&amp;IF(Table362[[#This Row],[Entity]]="Material","MATL",LEFT(UPPER(Table362[[#This Row],[Entity]]),4))&amp;"_"&amp;MID(SUBSTITUTE(Table362[[#This Row],[Rule Name]],"_","|",3),SEARCH("|",SUBSTITUTE(Table362[[#This Row],[Rule Name]],"_","|",3))+1,LEN(Table362[[#This Row],[Rule Name]]))</f>
        <v>375_PPQM_DIVISION</v>
      </c>
      <c r="R752" s="8" t="s">
        <v>5294</v>
      </c>
      <c r="S752" s="7" t="s">
        <v>4135</v>
      </c>
      <c r="T752" s="7"/>
      <c r="U752" s="7"/>
      <c r="V752" s="7"/>
      <c r="W752" s="7" t="s">
        <v>5379</v>
      </c>
      <c r="X752" s="8"/>
      <c r="Y752" s="7" t="s">
        <v>5380</v>
      </c>
      <c r="Z752" s="7" t="s">
        <v>1498</v>
      </c>
      <c r="AA752" s="11" t="s">
        <v>5381</v>
      </c>
      <c r="AB752" s="11"/>
      <c r="AC752" s="11"/>
      <c r="AD752" s="11"/>
      <c r="AH752" s="8"/>
      <c r="AI752" s="20" t="s">
        <v>7704</v>
      </c>
      <c r="AJ752" s="20"/>
      <c r="AK752" s="31"/>
      <c r="AL752" s="31"/>
    </row>
    <row r="753" spans="1:38" ht="48" hidden="1" x14ac:dyDescent="0.25">
      <c r="A753" s="14" t="s">
        <v>7406</v>
      </c>
      <c r="B753" s="7" t="s">
        <v>5877</v>
      </c>
      <c r="C753" s="7" t="s">
        <v>5265</v>
      </c>
      <c r="D753" s="7" t="s">
        <v>5978</v>
      </c>
      <c r="E753" s="7" t="s">
        <v>5978</v>
      </c>
      <c r="F753" s="7" t="s">
        <v>5978</v>
      </c>
      <c r="G753" s="7"/>
      <c r="H753" s="7"/>
      <c r="I753" s="7"/>
      <c r="J753" s="20" t="e">
        <f>VLOOKUP(V753,Table_to_BRG!A:D,3,FALSE)</f>
        <v>#N/A</v>
      </c>
      <c r="K753" s="20" t="e">
        <f>VLOOKUP(V753,Table_to_BRG!A:D,2,FALSE)</f>
        <v>#N/A</v>
      </c>
      <c r="L753" s="20"/>
      <c r="M753" s="20"/>
      <c r="N753" s="9" t="s">
        <v>6465</v>
      </c>
      <c r="O753" s="54" t="s">
        <v>7812</v>
      </c>
      <c r="P753" s="7" t="s">
        <v>5295</v>
      </c>
      <c r="Q753" s="11" t="str">
        <f>RIGHT("00"&amp;Table362[[#This Row],[Rule '#]],3)&amp;"_"&amp;IF(Table362[[#This Row],[Entity]]="Material","MATL",LEFT(UPPER(Table362[[#This Row],[Entity]]),4))&amp;"_"&amp;MID(SUBSTITUTE(Table362[[#This Row],[Rule Name]],"_","|",3),SEARCH("|",SUBSTITUTE(Table362[[#This Row],[Rule Name]],"_","|",3))+1,LEN(Table362[[#This Row],[Rule Name]]))</f>
        <v>376_PPQM_MATERIALTYPE HALB</v>
      </c>
      <c r="R753" s="8" t="s">
        <v>5296</v>
      </c>
      <c r="S753" s="7" t="s">
        <v>5297</v>
      </c>
      <c r="T753" s="7"/>
      <c r="U753" s="7"/>
      <c r="V753" s="7"/>
      <c r="W753" s="7" t="s">
        <v>5382</v>
      </c>
      <c r="X753" s="8"/>
      <c r="Y753" s="7"/>
      <c r="Z753" s="7"/>
      <c r="AA753" s="11" t="s">
        <v>5383</v>
      </c>
      <c r="AB753" s="11"/>
      <c r="AC753" s="11" t="s">
        <v>6809</v>
      </c>
      <c r="AD753" s="11"/>
      <c r="AH753" s="8"/>
      <c r="AI753" s="20"/>
      <c r="AJ753" s="20"/>
      <c r="AK753" s="31"/>
      <c r="AL753" s="31"/>
    </row>
    <row r="754" spans="1:38" ht="48" hidden="1" x14ac:dyDescent="0.25">
      <c r="A754" s="14" t="s">
        <v>7407</v>
      </c>
      <c r="B754" s="7" t="s">
        <v>5877</v>
      </c>
      <c r="C754" s="7" t="s">
        <v>5265</v>
      </c>
      <c r="D754" s="7" t="s">
        <v>5978</v>
      </c>
      <c r="E754" s="7" t="s">
        <v>5978</v>
      </c>
      <c r="F754" s="7" t="s">
        <v>5978</v>
      </c>
      <c r="G754" s="7"/>
      <c r="H754" s="7"/>
      <c r="I754" s="7"/>
      <c r="J754" s="20" t="e">
        <f>VLOOKUP(V754,Table_to_BRG!A:D,3,FALSE)</f>
        <v>#N/A</v>
      </c>
      <c r="K754" s="20" t="e">
        <f>VLOOKUP(V754,Table_to_BRG!A:D,2,FALSE)</f>
        <v>#N/A</v>
      </c>
      <c r="L754" s="20"/>
      <c r="M754" s="20"/>
      <c r="N754" s="9" t="s">
        <v>6465</v>
      </c>
      <c r="O754" s="54" t="s">
        <v>7812</v>
      </c>
      <c r="P754" s="7" t="s">
        <v>5298</v>
      </c>
      <c r="Q754" s="11" t="str">
        <f>RIGHT("00"&amp;Table362[[#This Row],[Rule '#]],3)&amp;"_"&amp;IF(Table362[[#This Row],[Entity]]="Material","MATL",LEFT(UPPER(Table362[[#This Row],[Entity]]),4))&amp;"_"&amp;MID(SUBSTITUTE(Table362[[#This Row],[Rule Name]],"_","|",3),SEARCH("|",SUBSTITUTE(Table362[[#This Row],[Rule Name]],"_","|",3))+1,LEN(Table362[[#This Row],[Rule Name]]))</f>
        <v>377_PPQM_MRP TYPE</v>
      </c>
      <c r="R754" s="8" t="s">
        <v>5299</v>
      </c>
      <c r="S754" s="7" t="s">
        <v>4135</v>
      </c>
      <c r="T754" s="7"/>
      <c r="U754" s="7"/>
      <c r="V754" s="7"/>
      <c r="W754" s="7" t="s">
        <v>5384</v>
      </c>
      <c r="X754" s="8"/>
      <c r="Y754" s="7"/>
      <c r="Z754" s="7"/>
      <c r="AA754" s="11" t="s">
        <v>5385</v>
      </c>
      <c r="AB754" s="11"/>
      <c r="AC754" s="11"/>
      <c r="AD754" s="11"/>
      <c r="AH754" s="8"/>
      <c r="AI754" s="20"/>
      <c r="AJ754" s="20"/>
      <c r="AK754" s="31"/>
      <c r="AL754" s="31"/>
    </row>
    <row r="755" spans="1:38" ht="75" hidden="1" x14ac:dyDescent="0.25">
      <c r="A755" s="14" t="s">
        <v>7408</v>
      </c>
      <c r="B755" s="7" t="s">
        <v>5877</v>
      </c>
      <c r="C755" s="7" t="s">
        <v>5265</v>
      </c>
      <c r="D755" s="7" t="s">
        <v>5978</v>
      </c>
      <c r="E755" s="7" t="s">
        <v>5978</v>
      </c>
      <c r="F755" s="7" t="s">
        <v>5978</v>
      </c>
      <c r="G755" s="7"/>
      <c r="H755" s="7"/>
      <c r="I755" s="7"/>
      <c r="J755" s="20" t="e">
        <f>VLOOKUP(V755,Table_to_BRG!A:D,3,FALSE)</f>
        <v>#N/A</v>
      </c>
      <c r="K755" s="20" t="e">
        <f>VLOOKUP(V755,Table_to_BRG!A:D,2,FALSE)</f>
        <v>#N/A</v>
      </c>
      <c r="L755" s="20"/>
      <c r="M755" s="20"/>
      <c r="N755" s="9" t="s">
        <v>6465</v>
      </c>
      <c r="O755" s="54" t="s">
        <v>7812</v>
      </c>
      <c r="P755" s="7" t="s">
        <v>5300</v>
      </c>
      <c r="Q755" s="11" t="str">
        <f>RIGHT("00"&amp;Table362[[#This Row],[Rule '#]],3)&amp;"_"&amp;IF(Table362[[#This Row],[Entity]]="Material","MATL",LEFT(UPPER(Table362[[#This Row],[Entity]]),4))&amp;"_"&amp;MID(SUBSTITUTE(Table362[[#This Row],[Rule Name]],"_","|",3),SEARCH("|",SUBSTITUTE(Table362[[#This Row],[Rule Name]],"_","|",3))+1,LEN(Table362[[#This Row],[Rule Name]]))</f>
        <v>378_PPQM_MATERIAL_DESCRIPTION</v>
      </c>
      <c r="R755" s="8" t="s">
        <v>5301</v>
      </c>
      <c r="S755" s="7" t="s">
        <v>4135</v>
      </c>
      <c r="T755" s="7"/>
      <c r="U755" s="7"/>
      <c r="V755" s="7"/>
      <c r="W755" s="7" t="s">
        <v>5386</v>
      </c>
      <c r="X755" s="8"/>
      <c r="Y755" s="7"/>
      <c r="Z755" s="7"/>
      <c r="AA755" s="11" t="s">
        <v>5387</v>
      </c>
      <c r="AB755" s="11"/>
      <c r="AC755" s="11" t="s">
        <v>6816</v>
      </c>
      <c r="AD755" s="11"/>
      <c r="AH755" s="8"/>
      <c r="AI755" s="20"/>
      <c r="AJ755" s="20"/>
      <c r="AK755" s="31"/>
      <c r="AL755" s="31"/>
    </row>
    <row r="756" spans="1:38" ht="48" hidden="1" x14ac:dyDescent="0.25">
      <c r="A756" s="14" t="s">
        <v>7409</v>
      </c>
      <c r="B756" s="7" t="s">
        <v>5877</v>
      </c>
      <c r="C756" s="7" t="s">
        <v>5265</v>
      </c>
      <c r="D756" s="7" t="s">
        <v>5978</v>
      </c>
      <c r="E756" s="7" t="s">
        <v>5978</v>
      </c>
      <c r="F756" s="7" t="s">
        <v>5978</v>
      </c>
      <c r="G756" s="7"/>
      <c r="H756" s="7"/>
      <c r="I756" s="7"/>
      <c r="J756" s="20" t="e">
        <f>VLOOKUP(V756,Table_to_BRG!A:D,3,FALSE)</f>
        <v>#N/A</v>
      </c>
      <c r="K756" s="20" t="e">
        <f>VLOOKUP(V756,Table_to_BRG!A:D,2,FALSE)</f>
        <v>#N/A</v>
      </c>
      <c r="L756" s="20"/>
      <c r="M756" s="20"/>
      <c r="N756" s="9" t="s">
        <v>6465</v>
      </c>
      <c r="O756" s="54" t="s">
        <v>7812</v>
      </c>
      <c r="P756" s="7" t="s">
        <v>5302</v>
      </c>
      <c r="Q756" s="11" t="str">
        <f>RIGHT("00"&amp;Table362[[#This Row],[Rule '#]],3)&amp;"_"&amp;IF(Table362[[#This Row],[Entity]]="Material","MATL",LEFT(UPPER(Table362[[#This Row],[Entity]]),4))&amp;"_"&amp;MID(SUBSTITUTE(Table362[[#This Row],[Rule Name]],"_","|",3),SEARCH("|",SUBSTITUTE(Table362[[#This Row],[Rule Name]],"_","|",3))+1,LEN(Table362[[#This Row],[Rule Name]]))</f>
        <v>379_PPQM_PV REM ALLOWED INDICATOR</v>
      </c>
      <c r="R756" s="8" t="s">
        <v>5303</v>
      </c>
      <c r="S756" s="7" t="s">
        <v>4135</v>
      </c>
      <c r="T756" s="7"/>
      <c r="U756" s="7"/>
      <c r="V756" s="7"/>
      <c r="W756" s="7" t="s">
        <v>5388</v>
      </c>
      <c r="X756" s="8"/>
      <c r="Y756" s="7"/>
      <c r="Z756" s="7"/>
      <c r="AA756" s="11" t="s">
        <v>5389</v>
      </c>
      <c r="AB756" s="11"/>
      <c r="AC756" s="11" t="s">
        <v>6809</v>
      </c>
      <c r="AD756" s="11"/>
      <c r="AH756" s="8"/>
      <c r="AI756" s="20"/>
      <c r="AJ756" s="20"/>
      <c r="AK756" s="31"/>
      <c r="AL756" s="31"/>
    </row>
    <row r="757" spans="1:38" ht="96" hidden="1" x14ac:dyDescent="0.25">
      <c r="A757" s="14" t="s">
        <v>7410</v>
      </c>
      <c r="B757" s="7" t="s">
        <v>5877</v>
      </c>
      <c r="C757" s="7" t="s">
        <v>5265</v>
      </c>
      <c r="D757" s="7" t="s">
        <v>5978</v>
      </c>
      <c r="E757" s="7" t="s">
        <v>5978</v>
      </c>
      <c r="F757" s="7" t="s">
        <v>5978</v>
      </c>
      <c r="G757" s="7"/>
      <c r="H757" s="7"/>
      <c r="I757" s="7"/>
      <c r="J757" s="20" t="e">
        <f>VLOOKUP(V757,Table_to_BRG!A:D,3,FALSE)</f>
        <v>#N/A</v>
      </c>
      <c r="K757" s="20" t="e">
        <f>VLOOKUP(V757,Table_to_BRG!A:D,2,FALSE)</f>
        <v>#N/A</v>
      </c>
      <c r="L757" s="20"/>
      <c r="M757" s="20"/>
      <c r="N757" s="9" t="s">
        <v>6465</v>
      </c>
      <c r="O757" s="54" t="s">
        <v>7812</v>
      </c>
      <c r="P757" s="7" t="s">
        <v>5304</v>
      </c>
      <c r="Q757" s="11" t="str">
        <f>RIGHT("00"&amp;Table362[[#This Row],[Rule '#]],3)&amp;"_"&amp;IF(Table362[[#This Row],[Entity]]="Material","MATL",LEFT(UPPER(Table362[[#This Row],[Entity]]),4))&amp;"_"&amp;MID(SUBSTITUTE(Table362[[#This Row],[Rule Name]],"_","|",3),SEARCH("|",SUBSTITUTE(Table362[[#This Row],[Rule Name]],"_","|",3))+1,LEN(Table362[[#This Row],[Rule Name]]))</f>
        <v>380_PPQM_WORK CENTER CATEGORY</v>
      </c>
      <c r="R757" s="8" t="s">
        <v>5305</v>
      </c>
      <c r="S757" s="7" t="s">
        <v>4135</v>
      </c>
      <c r="T757" s="7"/>
      <c r="U757" s="7"/>
      <c r="V757" s="7"/>
      <c r="W757" s="7" t="s">
        <v>5390</v>
      </c>
      <c r="X757" s="8"/>
      <c r="Y757" s="7" t="s">
        <v>4996</v>
      </c>
      <c r="Z757" s="7" t="s">
        <v>4997</v>
      </c>
      <c r="AA757" s="11" t="s">
        <v>5391</v>
      </c>
      <c r="AB757" s="11"/>
      <c r="AC757" s="11"/>
      <c r="AD757" s="11"/>
      <c r="AH757" s="8"/>
      <c r="AI757" s="20"/>
      <c r="AJ757" s="20"/>
      <c r="AK757" s="31"/>
      <c r="AL757" s="31"/>
    </row>
    <row r="758" spans="1:38" ht="48" hidden="1" x14ac:dyDescent="0.25">
      <c r="A758" s="14" t="s">
        <v>7411</v>
      </c>
      <c r="B758" s="7" t="s">
        <v>5877</v>
      </c>
      <c r="C758" s="7" t="s">
        <v>5265</v>
      </c>
      <c r="D758" s="7" t="s">
        <v>5978</v>
      </c>
      <c r="E758" s="7" t="s">
        <v>5978</v>
      </c>
      <c r="F758" s="7" t="s">
        <v>5978</v>
      </c>
      <c r="G758" s="7"/>
      <c r="H758" s="7"/>
      <c r="I758" s="7"/>
      <c r="J758" s="20" t="e">
        <f>VLOOKUP(V758,Table_to_BRG!A:D,3,FALSE)</f>
        <v>#N/A</v>
      </c>
      <c r="K758" s="20" t="e">
        <f>VLOOKUP(V758,Table_to_BRG!A:D,2,FALSE)</f>
        <v>#N/A</v>
      </c>
      <c r="L758" s="20"/>
      <c r="M758" s="20"/>
      <c r="N758" s="9" t="s">
        <v>6465</v>
      </c>
      <c r="O758" s="54" t="s">
        <v>7812</v>
      </c>
      <c r="P758" s="7" t="s">
        <v>5306</v>
      </c>
      <c r="Q758" s="11" t="str">
        <f>RIGHT("00"&amp;Table362[[#This Row],[Rule '#]],3)&amp;"_"&amp;IF(Table362[[#This Row],[Entity]]="Material","MATL",LEFT(UPPER(Table362[[#This Row],[Entity]]),4))&amp;"_"&amp;MID(SUBSTITUTE(Table362[[#This Row],[Rule Name]],"_","|",3),SEARCH("|",SUBSTITUTE(Table362[[#This Row],[Rule Name]],"_","|",3))+1,LEN(Table362[[#This Row],[Rule Name]]))</f>
        <v>381_PPQM_VALUATION CLASS</v>
      </c>
      <c r="R758" s="8" t="s">
        <v>1256</v>
      </c>
      <c r="S758" s="7" t="s">
        <v>4135</v>
      </c>
      <c r="T758" s="7"/>
      <c r="U758" s="7"/>
      <c r="V758" s="7"/>
      <c r="W758" s="7" t="s">
        <v>5392</v>
      </c>
      <c r="X758" s="8"/>
      <c r="Y758" s="7"/>
      <c r="Z758" s="7"/>
      <c r="AA758" s="11" t="s">
        <v>5393</v>
      </c>
      <c r="AB758" s="11"/>
      <c r="AC758" s="11"/>
      <c r="AD758" s="11"/>
      <c r="AH758" s="8"/>
      <c r="AI758" s="20"/>
      <c r="AJ758" s="20"/>
      <c r="AK758" s="31"/>
      <c r="AL758" s="31"/>
    </row>
    <row r="759" spans="1:38" ht="36" hidden="1" x14ac:dyDescent="0.25">
      <c r="A759" s="14" t="s">
        <v>7412</v>
      </c>
      <c r="B759" s="7" t="s">
        <v>5877</v>
      </c>
      <c r="C759" s="7" t="s">
        <v>5265</v>
      </c>
      <c r="D759" s="7" t="s">
        <v>5978</v>
      </c>
      <c r="E759" s="7" t="s">
        <v>5978</v>
      </c>
      <c r="F759" s="7" t="s">
        <v>5978</v>
      </c>
      <c r="G759" s="7"/>
      <c r="H759" s="7"/>
      <c r="I759" s="7"/>
      <c r="J759" s="20" t="e">
        <f>VLOOKUP(V759,Table_to_BRG!A:D,3,FALSE)</f>
        <v>#N/A</v>
      </c>
      <c r="K759" s="20" t="e">
        <f>VLOOKUP(V759,Table_to_BRG!A:D,2,FALSE)</f>
        <v>#N/A</v>
      </c>
      <c r="L759" s="20"/>
      <c r="M759" s="20"/>
      <c r="N759" s="9" t="s">
        <v>6465</v>
      </c>
      <c r="O759" s="54" t="s">
        <v>7812</v>
      </c>
      <c r="P759" s="7" t="s">
        <v>5307</v>
      </c>
      <c r="Q759" s="11" t="str">
        <f>RIGHT("00"&amp;Table362[[#This Row],[Rule '#]],3)&amp;"_"&amp;IF(Table362[[#This Row],[Entity]]="Material","MATL",LEFT(UPPER(Table362[[#This Row],[Entity]]),4))&amp;"_"&amp;MID(SUBSTITUTE(Table362[[#This Row],[Rule Name]],"_","|",3),SEARCH("|",SUBSTITUTE(Table362[[#This Row],[Rule Name]],"_","|",3))+1,LEN(Table362[[#This Row],[Rule Name]]))</f>
        <v>382_PPQM_PURCHASING VALUE KEY</v>
      </c>
      <c r="R759" s="8" t="s">
        <v>2327</v>
      </c>
      <c r="S759" s="7" t="s">
        <v>4135</v>
      </c>
      <c r="T759" s="7"/>
      <c r="U759" s="7"/>
      <c r="V759" s="7"/>
      <c r="W759" s="7" t="s">
        <v>5394</v>
      </c>
      <c r="X759" s="8"/>
      <c r="Y759" s="7"/>
      <c r="Z759" s="7"/>
      <c r="AA759" s="11" t="s">
        <v>5395</v>
      </c>
      <c r="AB759" s="11"/>
      <c r="AC759" s="13" t="s">
        <v>6810</v>
      </c>
      <c r="AD759"/>
      <c r="AH759" s="8"/>
      <c r="AI759" s="20"/>
      <c r="AJ759" s="20"/>
      <c r="AK759" s="31"/>
      <c r="AL759" s="31"/>
    </row>
    <row r="760" spans="1:38" ht="84" hidden="1" x14ac:dyDescent="0.25">
      <c r="A760" s="14" t="s">
        <v>7413</v>
      </c>
      <c r="B760" s="7" t="s">
        <v>5877</v>
      </c>
      <c r="C760" s="7" t="s">
        <v>5265</v>
      </c>
      <c r="D760" s="7" t="s">
        <v>5978</v>
      </c>
      <c r="E760" s="7" t="s">
        <v>5978</v>
      </c>
      <c r="F760" s="7" t="s">
        <v>5978</v>
      </c>
      <c r="G760" s="7"/>
      <c r="H760" s="7"/>
      <c r="I760" s="7"/>
      <c r="J760" s="20" t="e">
        <f>VLOOKUP(V760,Table_to_BRG!A:D,3,FALSE)</f>
        <v>#N/A</v>
      </c>
      <c r="K760" s="20" t="e">
        <f>VLOOKUP(V760,Table_to_BRG!A:D,2,FALSE)</f>
        <v>#N/A</v>
      </c>
      <c r="L760" s="20"/>
      <c r="M760" s="20"/>
      <c r="N760" s="9" t="s">
        <v>6465</v>
      </c>
      <c r="O760" s="54" t="s">
        <v>7812</v>
      </c>
      <c r="P760" s="7" t="s">
        <v>5308</v>
      </c>
      <c r="Q760" s="11" t="str">
        <f>RIGHT("00"&amp;Table362[[#This Row],[Rule '#]],3)&amp;"_"&amp;IF(Table362[[#This Row],[Entity]]="Material","MATL",LEFT(UPPER(Table362[[#This Row],[Entity]]),4))&amp;"_"&amp;MID(SUBSTITUTE(Table362[[#This Row],[Rule Name]],"_","|",3),SEARCH("|",SUBSTITUTE(Table362[[#This Row],[Rule Name]],"_","|",3))+1,LEN(Table362[[#This Row],[Rule Name]]))</f>
        <v>383_PPQM_BATCH_MANAGEMENT_4100</v>
      </c>
      <c r="R760" s="8" t="s">
        <v>5273</v>
      </c>
      <c r="S760" s="7" t="s">
        <v>4135</v>
      </c>
      <c r="T760" s="7"/>
      <c r="U760" s="7"/>
      <c r="V760" s="7"/>
      <c r="W760" s="7" t="s">
        <v>5357</v>
      </c>
      <c r="X760" s="8"/>
      <c r="Y760" s="7"/>
      <c r="Z760" s="7"/>
      <c r="AA760" s="11" t="s">
        <v>5396</v>
      </c>
      <c r="AB760" s="11"/>
      <c r="AC760" s="11"/>
      <c r="AD760" s="11"/>
      <c r="AH760" s="8"/>
      <c r="AI760" s="20"/>
      <c r="AJ760" s="20"/>
      <c r="AK760" s="31"/>
      <c r="AL760" s="31"/>
    </row>
    <row r="761" spans="1:38" ht="135" hidden="1" x14ac:dyDescent="0.25">
      <c r="A761" s="14" t="s">
        <v>7414</v>
      </c>
      <c r="B761" s="7" t="s">
        <v>5877</v>
      </c>
      <c r="C761" s="7" t="s">
        <v>5265</v>
      </c>
      <c r="D761" s="7" t="s">
        <v>5978</v>
      </c>
      <c r="E761" s="7" t="s">
        <v>5978</v>
      </c>
      <c r="F761" s="7" t="s">
        <v>5978</v>
      </c>
      <c r="G761" s="7"/>
      <c r="H761" s="7"/>
      <c r="I761" s="7"/>
      <c r="J761" s="20" t="e">
        <f>VLOOKUP(V761,Table_to_BRG!A:D,3,FALSE)</f>
        <v>#N/A</v>
      </c>
      <c r="K761" s="20" t="e">
        <f>VLOOKUP(V761,Table_to_BRG!A:D,2,FALSE)</f>
        <v>#N/A</v>
      </c>
      <c r="L761" s="20"/>
      <c r="M761" s="20"/>
      <c r="N761" s="9" t="s">
        <v>6465</v>
      </c>
      <c r="O761" s="54" t="str">
        <f>"Duplicate of Rule "&amp;A342</f>
        <v>Duplicate of Rule 340</v>
      </c>
      <c r="P761" s="7" t="s">
        <v>5309</v>
      </c>
      <c r="Q761" s="11" t="str">
        <f>RIGHT("00"&amp;Table362[[#This Row],[Rule '#]],3)&amp;"_"&amp;IF(Table362[[#This Row],[Entity]]="Material","MATL",LEFT(UPPER(Table362[[#This Row],[Entity]]),4))&amp;"_"&amp;MID(SUBSTITUTE(Table362[[#This Row],[Rule Name]],"_","|",3),SEARCH("|",SUBSTITUTE(Table362[[#This Row],[Rule Name]],"_","|",3))+1,LEN(Table362[[#This Row],[Rule Name]]))</f>
        <v>384_PPQM_MRP CONTROLLER</v>
      </c>
      <c r="R761" s="8" t="s">
        <v>5310</v>
      </c>
      <c r="S761" s="7" t="s">
        <v>4135</v>
      </c>
      <c r="T761" s="7"/>
      <c r="U761" s="7"/>
      <c r="V761" s="7"/>
      <c r="W761" s="7" t="s">
        <v>5397</v>
      </c>
      <c r="X761" s="8"/>
      <c r="Y761" s="7" t="s">
        <v>4156</v>
      </c>
      <c r="Z761" s="7" t="s">
        <v>2051</v>
      </c>
      <c r="AA761" s="11" t="s">
        <v>5398</v>
      </c>
      <c r="AB761" s="11"/>
      <c r="AC761" s="11"/>
      <c r="AD761" s="11"/>
      <c r="AH761" s="8"/>
      <c r="AI761" s="20"/>
      <c r="AJ761" s="20"/>
      <c r="AK761" s="31"/>
      <c r="AL761" s="31"/>
    </row>
    <row r="762" spans="1:38" ht="48" hidden="1" x14ac:dyDescent="0.25">
      <c r="A762" s="14" t="s">
        <v>7415</v>
      </c>
      <c r="B762" s="7" t="s">
        <v>5877</v>
      </c>
      <c r="C762" s="7" t="s">
        <v>5265</v>
      </c>
      <c r="D762" s="7" t="s">
        <v>5978</v>
      </c>
      <c r="E762" s="7" t="s">
        <v>5978</v>
      </c>
      <c r="F762" s="7" t="s">
        <v>5978</v>
      </c>
      <c r="G762" s="7"/>
      <c r="H762" s="7"/>
      <c r="I762" s="7"/>
      <c r="J762" s="20" t="e">
        <f>VLOOKUP(V762,Table_to_BRG!A:D,3,FALSE)</f>
        <v>#N/A</v>
      </c>
      <c r="K762" s="20" t="e">
        <f>VLOOKUP(V762,Table_to_BRG!A:D,2,FALSE)</f>
        <v>#N/A</v>
      </c>
      <c r="L762" s="20"/>
      <c r="M762" s="20"/>
      <c r="N762" s="9" t="s">
        <v>6465</v>
      </c>
      <c r="O762" s="54" t="s">
        <v>7812</v>
      </c>
      <c r="P762" s="7" t="s">
        <v>5311</v>
      </c>
      <c r="Q762" s="11" t="str">
        <f>RIGHT("00"&amp;Table362[[#This Row],[Rule '#]],3)&amp;"_"&amp;IF(Table362[[#This Row],[Entity]]="Material","MATL",LEFT(UPPER(Table362[[#This Row],[Entity]]),4))&amp;"_"&amp;MID(SUBSTITUTE(Table362[[#This Row],[Rule Name]],"_","|",3),SEARCH("|",SUBSTITUTE(Table362[[#This Row],[Rule Name]],"_","|",3))+1,LEN(Table362[[#This Row],[Rule Name]]))</f>
        <v>385_PPQM_QM Inspection Plan Usage</v>
      </c>
      <c r="R762" s="8" t="s">
        <v>5312</v>
      </c>
      <c r="S762" s="7" t="s">
        <v>4135</v>
      </c>
      <c r="T762" s="7"/>
      <c r="U762" s="7"/>
      <c r="V762" s="7"/>
      <c r="W762" s="7" t="s">
        <v>5399</v>
      </c>
      <c r="X762" s="8"/>
      <c r="Y762" s="7"/>
      <c r="Z762" s="7"/>
      <c r="AA762" s="11" t="s">
        <v>5400</v>
      </c>
      <c r="AB762" s="11"/>
      <c r="AC762" s="11" t="s">
        <v>6809</v>
      </c>
      <c r="AD762" s="11"/>
      <c r="AH762" s="8"/>
      <c r="AI762" s="20"/>
      <c r="AJ762" s="20"/>
      <c r="AK762" s="31"/>
      <c r="AL762" s="31"/>
    </row>
    <row r="763" spans="1:38" ht="36" hidden="1" x14ac:dyDescent="0.25">
      <c r="A763" s="14" t="s">
        <v>7416</v>
      </c>
      <c r="B763" s="7" t="s">
        <v>5877</v>
      </c>
      <c r="C763" s="7" t="s">
        <v>5265</v>
      </c>
      <c r="D763" s="7" t="s">
        <v>5978</v>
      </c>
      <c r="E763" s="7" t="s">
        <v>5978</v>
      </c>
      <c r="F763" s="7" t="s">
        <v>5978</v>
      </c>
      <c r="G763" s="7"/>
      <c r="H763" s="7"/>
      <c r="I763" s="7"/>
      <c r="J763" s="20" t="e">
        <f>VLOOKUP(V763,Table_to_BRG!A:D,3,FALSE)</f>
        <v>#N/A</v>
      </c>
      <c r="K763" s="20" t="e">
        <f>VLOOKUP(V763,Table_to_BRG!A:D,2,FALSE)</f>
        <v>#N/A</v>
      </c>
      <c r="L763" s="20"/>
      <c r="M763" s="20"/>
      <c r="N763" s="9" t="s">
        <v>6465</v>
      </c>
      <c r="O763" s="54" t="s">
        <v>7812</v>
      </c>
      <c r="P763" s="7" t="s">
        <v>5313</v>
      </c>
      <c r="Q763" s="11" t="str">
        <f>RIGHT("00"&amp;Table362[[#This Row],[Rule '#]],3)&amp;"_"&amp;IF(Table362[[#This Row],[Entity]]="Material","MATL",LEFT(UPPER(Table362[[#This Row],[Entity]]),4))&amp;"_"&amp;MID(SUBSTITUTE(Table362[[#This Row],[Rule Name]],"_","|",3),SEARCH("|",SUBSTITUTE(Table362[[#This Row],[Rule Name]],"_","|",3))+1,LEN(Table362[[#This Row],[Rule Name]]))</f>
        <v>386_PPQM_SALES_ORG</v>
      </c>
      <c r="R763" s="8" t="s">
        <v>5314</v>
      </c>
      <c r="S763" s="7" t="s">
        <v>4135</v>
      </c>
      <c r="T763" s="7"/>
      <c r="U763" s="7"/>
      <c r="V763" s="7"/>
      <c r="W763" s="7" t="s">
        <v>5401</v>
      </c>
      <c r="X763" s="8"/>
      <c r="Y763" s="7"/>
      <c r="Z763" s="7"/>
      <c r="AA763" s="11" t="s">
        <v>5402</v>
      </c>
      <c r="AB763" s="11"/>
      <c r="AC763" s="11" t="s">
        <v>6809</v>
      </c>
      <c r="AD763" s="11"/>
      <c r="AH763" s="8"/>
      <c r="AI763" s="20" t="s">
        <v>7724</v>
      </c>
      <c r="AJ763" s="20"/>
      <c r="AK763" s="31"/>
      <c r="AL763" s="31"/>
    </row>
    <row r="764" spans="1:38" ht="75" hidden="1" x14ac:dyDescent="0.25">
      <c r="A764" s="14" t="s">
        <v>7417</v>
      </c>
      <c r="B764" s="7" t="s">
        <v>5877</v>
      </c>
      <c r="C764" s="7" t="s">
        <v>5265</v>
      </c>
      <c r="D764" s="7" t="s">
        <v>5978</v>
      </c>
      <c r="E764" s="7" t="s">
        <v>5978</v>
      </c>
      <c r="F764" s="7" t="s">
        <v>5978</v>
      </c>
      <c r="G764" s="7"/>
      <c r="H764" s="7"/>
      <c r="I764" s="7"/>
      <c r="J764" s="20" t="e">
        <f>VLOOKUP(V764,Table_to_BRG!A:D,3,FALSE)</f>
        <v>#N/A</v>
      </c>
      <c r="K764" s="20" t="e">
        <f>VLOOKUP(V764,Table_to_BRG!A:D,2,FALSE)</f>
        <v>#N/A</v>
      </c>
      <c r="L764" s="20"/>
      <c r="M764" s="20"/>
      <c r="N764" s="9" t="s">
        <v>6465</v>
      </c>
      <c r="O764" s="54" t="s">
        <v>7812</v>
      </c>
      <c r="P764" s="7" t="s">
        <v>5315</v>
      </c>
      <c r="Q764" s="11" t="str">
        <f>RIGHT("00"&amp;Table362[[#This Row],[Rule '#]],3)&amp;"_"&amp;IF(Table362[[#This Row],[Entity]]="Material","MATL",LEFT(UPPER(Table362[[#This Row],[Entity]]),4))&amp;"_"&amp;MID(SUBSTITUTE(Table362[[#This Row],[Rule Name]],"_","|",3),SEARCH("|",SUBSTITUTE(Table362[[#This Row],[Rule Name]],"_","|",3))+1,LEN(Table362[[#This Row],[Rule Name]]))</f>
        <v>387_PPQM_PRODUCT HIERARCHY</v>
      </c>
      <c r="R764" s="8" t="s">
        <v>5316</v>
      </c>
      <c r="S764" s="7" t="s">
        <v>4135</v>
      </c>
      <c r="T764" s="7"/>
      <c r="U764" s="7"/>
      <c r="V764" s="7"/>
      <c r="W764" s="7" t="s">
        <v>5403</v>
      </c>
      <c r="X764" s="8"/>
      <c r="Y764" s="7"/>
      <c r="Z764" s="7"/>
      <c r="AA764" s="11" t="s">
        <v>5404</v>
      </c>
      <c r="AB764" s="11"/>
      <c r="AC764" s="11" t="s">
        <v>6813</v>
      </c>
      <c r="AD764" s="11"/>
      <c r="AH764" s="8"/>
      <c r="AI764" s="20" t="s">
        <v>7718</v>
      </c>
      <c r="AJ764" s="20"/>
      <c r="AK764" s="31"/>
      <c r="AL764" s="31"/>
    </row>
    <row r="765" spans="1:38" ht="45" hidden="1" x14ac:dyDescent="0.25">
      <c r="A765" s="14" t="s">
        <v>7418</v>
      </c>
      <c r="B765" s="7" t="s">
        <v>5877</v>
      </c>
      <c r="C765" s="7" t="s">
        <v>5265</v>
      </c>
      <c r="D765" s="7" t="s">
        <v>5978</v>
      </c>
      <c r="E765" s="7" t="s">
        <v>5978</v>
      </c>
      <c r="F765" s="7" t="s">
        <v>5978</v>
      </c>
      <c r="G765" s="7"/>
      <c r="H765" s="7"/>
      <c r="I765" s="7"/>
      <c r="J765" s="20" t="e">
        <f>VLOOKUP(V765,Table_to_BRG!A:D,3,FALSE)</f>
        <v>#N/A</v>
      </c>
      <c r="K765" s="20" t="e">
        <f>VLOOKUP(V765,Table_to_BRG!A:D,2,FALSE)</f>
        <v>#N/A</v>
      </c>
      <c r="L765" s="20"/>
      <c r="M765" s="20"/>
      <c r="N765" s="9" t="s">
        <v>6465</v>
      </c>
      <c r="O765" s="54" t="s">
        <v>7812</v>
      </c>
      <c r="P765" s="7" t="s">
        <v>5317</v>
      </c>
      <c r="Q765" s="11" t="str">
        <f>RIGHT("00"&amp;Table362[[#This Row],[Rule '#]],3)&amp;"_"&amp;IF(Table362[[#This Row],[Entity]]="Material","MATL",LEFT(UPPER(Table362[[#This Row],[Entity]]),4))&amp;"_"&amp;MID(SUBSTITUTE(Table362[[#This Row],[Rule Name]],"_","|",3),SEARCH("|",SUBSTITUTE(Table362[[#This Row],[Rule Name]],"_","|",3))+1,LEN(Table362[[#This Row],[Rule Name]]))</f>
        <v>388_PPQM_MIC Plant</v>
      </c>
      <c r="R765" s="8" t="s">
        <v>5318</v>
      </c>
      <c r="S765" s="7" t="s">
        <v>4135</v>
      </c>
      <c r="T765" s="7"/>
      <c r="U765" s="7"/>
      <c r="V765" s="7"/>
      <c r="W765" s="7" t="s">
        <v>5405</v>
      </c>
      <c r="X765" s="8"/>
      <c r="Y765" s="7"/>
      <c r="Z765" s="7"/>
      <c r="AA765" s="11" t="s">
        <v>5406</v>
      </c>
      <c r="AB765" s="11"/>
      <c r="AC765" s="11" t="s">
        <v>6809</v>
      </c>
      <c r="AD765" s="11"/>
      <c r="AH765" s="8"/>
      <c r="AI765" s="20"/>
      <c r="AJ765" s="20"/>
      <c r="AK765" s="31"/>
      <c r="AL765" s="31"/>
    </row>
    <row r="766" spans="1:38" ht="72" hidden="1" x14ac:dyDescent="0.25">
      <c r="A766" s="14" t="s">
        <v>7419</v>
      </c>
      <c r="B766" s="7" t="s">
        <v>5877</v>
      </c>
      <c r="C766" s="7" t="s">
        <v>5265</v>
      </c>
      <c r="D766" s="7" t="s">
        <v>5978</v>
      </c>
      <c r="E766" s="7" t="s">
        <v>5978</v>
      </c>
      <c r="F766" s="7" t="s">
        <v>5978</v>
      </c>
      <c r="G766" s="7"/>
      <c r="H766" s="7"/>
      <c r="I766" s="7"/>
      <c r="J766" s="20" t="e">
        <f>VLOOKUP(V766,Table_to_BRG!A:D,3,FALSE)</f>
        <v>#N/A</v>
      </c>
      <c r="K766" s="20" t="e">
        <f>VLOOKUP(V766,Table_to_BRG!A:D,2,FALSE)</f>
        <v>#N/A</v>
      </c>
      <c r="L766" s="20"/>
      <c r="M766" s="20"/>
      <c r="N766" s="9" t="s">
        <v>6465</v>
      </c>
      <c r="O766" s="54" t="s">
        <v>7812</v>
      </c>
      <c r="P766" s="7" t="s">
        <v>5319</v>
      </c>
      <c r="Q766" s="11" t="str">
        <f>RIGHT("00"&amp;Table362[[#This Row],[Rule '#]],3)&amp;"_"&amp;IF(Table362[[#This Row],[Entity]]="Material","MATL",LEFT(UPPER(Table362[[#This Row],[Entity]]),4))&amp;"_"&amp;MID(SUBSTITUTE(Table362[[#This Row],[Rule Name]],"_","|",3),SEARCH("|",SUBSTITUTE(Table362[[#This Row],[Rule Name]],"_","|",3))+1,LEN(Table362[[#This Row],[Rule Name]]))</f>
        <v>389_PPQM_BOM_USAGE MUST</v>
      </c>
      <c r="R766" s="8" t="s">
        <v>5320</v>
      </c>
      <c r="S766" s="7" t="s">
        <v>4135</v>
      </c>
      <c r="T766" s="7"/>
      <c r="U766" s="7"/>
      <c r="V766" s="7"/>
      <c r="W766" s="7" t="s">
        <v>5407</v>
      </c>
      <c r="X766" s="8"/>
      <c r="Y766" s="7"/>
      <c r="Z766" s="7"/>
      <c r="AA766" s="11" t="s">
        <v>5408</v>
      </c>
      <c r="AB766" s="11"/>
      <c r="AC766" s="11" t="s">
        <v>6809</v>
      </c>
      <c r="AD766" s="11"/>
      <c r="AH766" s="8"/>
      <c r="AI766" s="20" t="s">
        <v>7722</v>
      </c>
      <c r="AJ766" s="20"/>
      <c r="AK766" s="31"/>
      <c r="AL766" s="31"/>
    </row>
    <row r="767" spans="1:38" ht="36" hidden="1" x14ac:dyDescent="0.25">
      <c r="A767" s="14" t="s">
        <v>7420</v>
      </c>
      <c r="B767" s="7" t="s">
        <v>5877</v>
      </c>
      <c r="C767" s="7" t="s">
        <v>5265</v>
      </c>
      <c r="D767" s="7" t="s">
        <v>5978</v>
      </c>
      <c r="E767" s="7" t="s">
        <v>5978</v>
      </c>
      <c r="F767" s="7" t="s">
        <v>5978</v>
      </c>
      <c r="G767" s="7"/>
      <c r="H767" s="7"/>
      <c r="I767" s="7"/>
      <c r="J767" s="20" t="e">
        <f>VLOOKUP(V767,Table_to_BRG!A:D,3,FALSE)</f>
        <v>#N/A</v>
      </c>
      <c r="K767" s="20" t="e">
        <f>VLOOKUP(V767,Table_to_BRG!A:D,2,FALSE)</f>
        <v>#N/A</v>
      </c>
      <c r="L767" s="20"/>
      <c r="M767" s="20"/>
      <c r="N767" s="9" t="s">
        <v>6465</v>
      </c>
      <c r="O767" s="54" t="s">
        <v>7812</v>
      </c>
      <c r="P767" s="7" t="s">
        <v>5321</v>
      </c>
      <c r="Q767" s="11" t="str">
        <f>RIGHT("00"&amp;Table362[[#This Row],[Rule '#]],3)&amp;"_"&amp;IF(Table362[[#This Row],[Entity]]="Material","MATL",LEFT(UPPER(Table362[[#This Row],[Entity]]),4))&amp;"_"&amp;MID(SUBSTITUTE(Table362[[#This Row],[Rule Name]],"_","|",3),SEARCH("|",SUBSTITUTE(Table362[[#This Row],[Rule Name]],"_","|",3))+1,LEN(Table362[[#This Row],[Rule Name]]))</f>
        <v>390_PPQM_PP Order types</v>
      </c>
      <c r="R767" s="8" t="s">
        <v>5322</v>
      </c>
      <c r="S767" s="7" t="s">
        <v>4135</v>
      </c>
      <c r="T767" s="7"/>
      <c r="U767" s="7"/>
      <c r="V767" s="7"/>
      <c r="W767" s="7" t="s">
        <v>5409</v>
      </c>
      <c r="X767" s="8"/>
      <c r="Y767" s="7"/>
      <c r="Z767" s="7"/>
      <c r="AA767" s="11" t="s">
        <v>5410</v>
      </c>
      <c r="AB767" s="11"/>
      <c r="AC767" s="11" t="s">
        <v>6809</v>
      </c>
      <c r="AD767" s="11"/>
      <c r="AH767" s="8"/>
      <c r="AI767" s="20"/>
      <c r="AJ767" s="20"/>
      <c r="AK767" s="31"/>
      <c r="AL767" s="31"/>
    </row>
    <row r="768" spans="1:38" ht="36" hidden="1" x14ac:dyDescent="0.25">
      <c r="A768" s="14" t="s">
        <v>7421</v>
      </c>
      <c r="B768" s="7" t="s">
        <v>5877</v>
      </c>
      <c r="C768" s="7" t="s">
        <v>5265</v>
      </c>
      <c r="D768" s="7" t="s">
        <v>5978</v>
      </c>
      <c r="E768" s="7" t="s">
        <v>5978</v>
      </c>
      <c r="F768" s="7" t="s">
        <v>5978</v>
      </c>
      <c r="G768" s="7"/>
      <c r="H768" s="7"/>
      <c r="I768" s="7"/>
      <c r="J768" s="20" t="e">
        <f>VLOOKUP(V768,Table_to_BRG!A:D,3,FALSE)</f>
        <v>#N/A</v>
      </c>
      <c r="K768" s="20" t="e">
        <f>VLOOKUP(V768,Table_to_BRG!A:D,2,FALSE)</f>
        <v>#N/A</v>
      </c>
      <c r="L768" s="20"/>
      <c r="M768" s="20"/>
      <c r="N768" s="9" t="s">
        <v>6465</v>
      </c>
      <c r="O768" s="54" t="s">
        <v>7812</v>
      </c>
      <c r="P768" s="7" t="s">
        <v>4097</v>
      </c>
      <c r="Q768" s="11" t="e">
        <f>RIGHT("00"&amp;Table362[[#This Row],[Rule '#]],3)&amp;"_"&amp;IF(Table362[[#This Row],[Entity]]="Material","MATL",LEFT(UPPER(Table362[[#This Row],[Entity]]),4))&amp;"_"&amp;MID(SUBSTITUTE(Table362[[#This Row],[Rule Name]],"_","|",3),SEARCH("|",SUBSTITUTE(Table362[[#This Row],[Rule Name]],"_","|",3))+1,LEN(Table362[[#This Row],[Rule Name]]))</f>
        <v>#VALUE!</v>
      </c>
      <c r="R768" s="8" t="s">
        <v>4024</v>
      </c>
      <c r="S768" s="7" t="s">
        <v>4135</v>
      </c>
      <c r="T768" s="7"/>
      <c r="U768" s="7"/>
      <c r="V768" s="7"/>
      <c r="W768" s="7" t="s">
        <v>4151</v>
      </c>
      <c r="X768" s="8"/>
      <c r="Y768" s="7"/>
      <c r="Z768" s="7"/>
      <c r="AA768" s="11" t="s">
        <v>4228</v>
      </c>
      <c r="AB768" s="11"/>
      <c r="AC768" s="13" t="s">
        <v>6812</v>
      </c>
      <c r="AD768"/>
      <c r="AH768" s="8"/>
      <c r="AI768" s="20"/>
      <c r="AJ768" s="20"/>
      <c r="AK768" s="31"/>
      <c r="AL768" s="31"/>
    </row>
    <row r="769" spans="1:38" ht="60" hidden="1" x14ac:dyDescent="0.25">
      <c r="A769" s="14" t="s">
        <v>7422</v>
      </c>
      <c r="B769" s="7" t="s">
        <v>5877</v>
      </c>
      <c r="C769" s="7" t="s">
        <v>5265</v>
      </c>
      <c r="D769" s="7" t="s">
        <v>5978</v>
      </c>
      <c r="E769" s="7" t="s">
        <v>5978</v>
      </c>
      <c r="F769" s="7" t="s">
        <v>5978</v>
      </c>
      <c r="G769" s="7"/>
      <c r="H769" s="7"/>
      <c r="I769" s="7"/>
      <c r="J769" s="20" t="e">
        <f>VLOOKUP(V769,Table_to_BRG!A:D,3,FALSE)</f>
        <v>#N/A</v>
      </c>
      <c r="K769" s="20" t="e">
        <f>VLOOKUP(V769,Table_to_BRG!A:D,2,FALSE)</f>
        <v>#N/A</v>
      </c>
      <c r="L769" s="20"/>
      <c r="M769" s="20"/>
      <c r="N769" s="9" t="s">
        <v>6465</v>
      </c>
      <c r="O769" s="54" t="s">
        <v>7812</v>
      </c>
      <c r="P769" s="7" t="s">
        <v>5323</v>
      </c>
      <c r="Q769" s="11" t="str">
        <f>RIGHT("00"&amp;Table362[[#This Row],[Rule '#]],3)&amp;"_"&amp;IF(Table362[[#This Row],[Entity]]="Material","MATL",LEFT(UPPER(Table362[[#This Row],[Entity]]),4))&amp;"_"&amp;MID(SUBSTITUTE(Table362[[#This Row],[Rule Name]],"_","|",3),SEARCH("|",SUBSTITUTE(Table362[[#This Row],[Rule Name]],"_","|",3))+1,LEN(Table362[[#This Row],[Rule Name]]))</f>
        <v>392_PPQM_MATERIAL STATISTICS GROUP</v>
      </c>
      <c r="R769" s="8" t="s">
        <v>5324</v>
      </c>
      <c r="S769" s="7" t="s">
        <v>4135</v>
      </c>
      <c r="T769" s="7"/>
      <c r="U769" s="7"/>
      <c r="V769" s="7"/>
      <c r="W769" s="7" t="s">
        <v>5411</v>
      </c>
      <c r="X769" s="8"/>
      <c r="Y769" s="7"/>
      <c r="Z769" s="7"/>
      <c r="AA769" s="11" t="s">
        <v>5412</v>
      </c>
      <c r="AB769" s="11"/>
      <c r="AC769" s="11"/>
      <c r="AD769" s="11"/>
      <c r="AH769" s="8"/>
      <c r="AI769" s="20"/>
      <c r="AJ769" s="20"/>
      <c r="AK769" s="31"/>
      <c r="AL769" s="31"/>
    </row>
    <row r="770" spans="1:38" ht="60" hidden="1" x14ac:dyDescent="0.25">
      <c r="A770" s="14" t="s">
        <v>7423</v>
      </c>
      <c r="B770" s="7" t="s">
        <v>5877</v>
      </c>
      <c r="C770" s="7" t="s">
        <v>5265</v>
      </c>
      <c r="D770" s="7" t="s">
        <v>5978</v>
      </c>
      <c r="E770" s="7" t="s">
        <v>5978</v>
      </c>
      <c r="F770" s="7" t="s">
        <v>5978</v>
      </c>
      <c r="G770" s="7"/>
      <c r="H770" s="7"/>
      <c r="I770" s="7"/>
      <c r="J770" s="20" t="e">
        <f>VLOOKUP(V770,Table_to_BRG!A:D,3,FALSE)</f>
        <v>#N/A</v>
      </c>
      <c r="K770" s="20" t="e">
        <f>VLOOKUP(V770,Table_to_BRG!A:D,2,FALSE)</f>
        <v>#N/A</v>
      </c>
      <c r="L770" s="20"/>
      <c r="M770" s="20"/>
      <c r="N770" s="9" t="s">
        <v>6465</v>
      </c>
      <c r="O770" s="54" t="s">
        <v>7812</v>
      </c>
      <c r="P770" s="7" t="s">
        <v>5325</v>
      </c>
      <c r="Q770" s="11" t="str">
        <f>RIGHT("00"&amp;Table362[[#This Row],[Rule '#]],3)&amp;"_"&amp;IF(Table362[[#This Row],[Entity]]="Material","MATL",LEFT(UPPER(Table362[[#This Row],[Entity]]),4))&amp;"_"&amp;MID(SUBSTITUTE(Table362[[#This Row],[Rule Name]],"_","|",3),SEARCH("|",SUBSTITUTE(Table362[[#This Row],[Rule Name]],"_","|",3))+1,LEN(Table362[[#This Row],[Rule Name]]))</f>
        <v>393_PPQM_BOM_ITEM CATOGARY IN BOM</v>
      </c>
      <c r="R770" s="8" t="s">
        <v>5326</v>
      </c>
      <c r="S770" s="7" t="s">
        <v>4135</v>
      </c>
      <c r="T770" s="7"/>
      <c r="U770" s="7"/>
      <c r="V770" s="7"/>
      <c r="W770" s="7" t="s">
        <v>5413</v>
      </c>
      <c r="X770" s="8"/>
      <c r="Y770" s="7"/>
      <c r="Z770" s="7"/>
      <c r="AA770" s="11" t="s">
        <v>5414</v>
      </c>
      <c r="AB770" s="11"/>
      <c r="AC770" s="11"/>
      <c r="AD770" s="11"/>
      <c r="AH770" s="8"/>
      <c r="AI770" s="20" t="s">
        <v>7722</v>
      </c>
      <c r="AJ770" s="20"/>
      <c r="AK770" s="31"/>
      <c r="AL770" s="31"/>
    </row>
    <row r="771" spans="1:38" ht="36" hidden="1" x14ac:dyDescent="0.25">
      <c r="A771" s="14" t="s">
        <v>7424</v>
      </c>
      <c r="B771" s="7" t="s">
        <v>5877</v>
      </c>
      <c r="C771" s="7" t="s">
        <v>5265</v>
      </c>
      <c r="D771" s="7" t="s">
        <v>5978</v>
      </c>
      <c r="E771" s="7" t="s">
        <v>5978</v>
      </c>
      <c r="F771" s="7" t="s">
        <v>5978</v>
      </c>
      <c r="G771" s="7"/>
      <c r="H771" s="7"/>
      <c r="I771" s="7"/>
      <c r="J771" s="20" t="e">
        <f>VLOOKUP(V771,Table_to_BRG!A:D,3,FALSE)</f>
        <v>#N/A</v>
      </c>
      <c r="K771" s="20" t="e">
        <f>VLOOKUP(V771,Table_to_BRG!A:D,2,FALSE)</f>
        <v>#N/A</v>
      </c>
      <c r="L771" s="20"/>
      <c r="M771" s="20"/>
      <c r="N771" s="9" t="s">
        <v>6465</v>
      </c>
      <c r="O771" s="54" t="s">
        <v>7812</v>
      </c>
      <c r="P771" s="7" t="s">
        <v>5327</v>
      </c>
      <c r="Q771" s="11" t="str">
        <f>RIGHT("00"&amp;Table362[[#This Row],[Rule '#]],3)&amp;"_"&amp;IF(Table362[[#This Row],[Entity]]="Material","MATL",LEFT(UPPER(Table362[[#This Row],[Entity]]),4))&amp;"_"&amp;MID(SUBSTITUTE(Table362[[#This Row],[Rule Name]],"_","|",3),SEARCH("|",SUBSTITUTE(Table362[[#This Row],[Rule Name]],"_","|",3))+1,LEN(Table362[[#This Row],[Rule Name]]))</f>
        <v>394_PPQM_PROCUREMENT TYPE</v>
      </c>
      <c r="R771" s="8" t="s">
        <v>5328</v>
      </c>
      <c r="S771" s="7" t="s">
        <v>4135</v>
      </c>
      <c r="T771" s="7"/>
      <c r="U771" s="7"/>
      <c r="V771" s="7"/>
      <c r="W771" s="7" t="s">
        <v>5415</v>
      </c>
      <c r="X771" s="8"/>
      <c r="Y771" s="7"/>
      <c r="Z771" s="7"/>
      <c r="AA771" s="11" t="s">
        <v>5416</v>
      </c>
      <c r="AB771" s="11"/>
      <c r="AC771" s="11" t="s">
        <v>6809</v>
      </c>
      <c r="AD771" s="11"/>
      <c r="AH771" s="8"/>
      <c r="AI771" s="20"/>
      <c r="AJ771" s="20"/>
      <c r="AK771" s="31"/>
      <c r="AL771" s="31"/>
    </row>
    <row r="772" spans="1:38" ht="36" hidden="1" x14ac:dyDescent="0.25">
      <c r="A772" s="14" t="s">
        <v>7425</v>
      </c>
      <c r="B772" s="7" t="s">
        <v>5877</v>
      </c>
      <c r="C772" s="7" t="s">
        <v>5265</v>
      </c>
      <c r="D772" s="7" t="s">
        <v>5978</v>
      </c>
      <c r="E772" s="7" t="s">
        <v>5978</v>
      </c>
      <c r="F772" s="7" t="s">
        <v>5978</v>
      </c>
      <c r="G772" s="7"/>
      <c r="H772" s="7"/>
      <c r="I772" s="7"/>
      <c r="J772" s="20" t="e">
        <f>VLOOKUP(V772,Table_to_BRG!A:D,3,FALSE)</f>
        <v>#N/A</v>
      </c>
      <c r="K772" s="20" t="e">
        <f>VLOOKUP(V772,Table_to_BRG!A:D,2,FALSE)</f>
        <v>#N/A</v>
      </c>
      <c r="L772" s="20"/>
      <c r="M772" s="20"/>
      <c r="N772" s="9" t="s">
        <v>6465</v>
      </c>
      <c r="O772" s="54" t="s">
        <v>7812</v>
      </c>
      <c r="P772" s="7" t="s">
        <v>5329</v>
      </c>
      <c r="Q772" s="11" t="str">
        <f>RIGHT("00"&amp;Table362[[#This Row],[Rule '#]],3)&amp;"_"&amp;IF(Table362[[#This Row],[Entity]]="Material","MATL",LEFT(UPPER(Table362[[#This Row],[Entity]]),4))&amp;"_"&amp;MID(SUBSTITUTE(Table362[[#This Row],[Rule Name]],"_","|",3),SEARCH("|",SUBSTITUTE(Table362[[#This Row],[Rule Name]],"_","|",3))+1,LEN(Table362[[#This Row],[Rule Name]]))</f>
        <v>395_PPQM_INDUSTRY_SECTOR</v>
      </c>
      <c r="R772" s="8" t="s">
        <v>5330</v>
      </c>
      <c r="S772" s="7" t="s">
        <v>4135</v>
      </c>
      <c r="T772" s="7"/>
      <c r="U772" s="7"/>
      <c r="V772" s="7"/>
      <c r="W772" s="7" t="s">
        <v>5417</v>
      </c>
      <c r="X772" s="8"/>
      <c r="Y772" s="7"/>
      <c r="Z772" s="7"/>
      <c r="AA772" s="11" t="s">
        <v>5418</v>
      </c>
      <c r="AB772" s="11"/>
      <c r="AC772" s="11" t="s">
        <v>6809</v>
      </c>
      <c r="AD772" s="11"/>
      <c r="AH772" s="8"/>
      <c r="AI772" s="20"/>
      <c r="AJ772" s="20"/>
      <c r="AK772" s="31"/>
      <c r="AL772" s="31"/>
    </row>
    <row r="773" spans="1:38" ht="48" hidden="1" x14ac:dyDescent="0.25">
      <c r="A773" s="14" t="s">
        <v>7426</v>
      </c>
      <c r="B773" s="7" t="s">
        <v>5877</v>
      </c>
      <c r="C773" s="7" t="s">
        <v>5265</v>
      </c>
      <c r="D773" s="7" t="s">
        <v>5978</v>
      </c>
      <c r="E773" s="7" t="s">
        <v>5978</v>
      </c>
      <c r="F773" s="7" t="s">
        <v>5978</v>
      </c>
      <c r="G773" s="7"/>
      <c r="H773" s="7"/>
      <c r="I773" s="7"/>
      <c r="J773" s="20" t="e">
        <f>VLOOKUP(V773,Table_to_BRG!A:D,3,FALSE)</f>
        <v>#N/A</v>
      </c>
      <c r="K773" s="20" t="e">
        <f>VLOOKUP(V773,Table_to_BRG!A:D,2,FALSE)</f>
        <v>#N/A</v>
      </c>
      <c r="L773" s="20"/>
      <c r="M773" s="20"/>
      <c r="N773" s="9" t="s">
        <v>6465</v>
      </c>
      <c r="O773" s="54" t="s">
        <v>7812</v>
      </c>
      <c r="P773" s="7" t="s">
        <v>5331</v>
      </c>
      <c r="Q773" s="11" t="str">
        <f>RIGHT("00"&amp;Table362[[#This Row],[Rule '#]],3)&amp;"_"&amp;IF(Table362[[#This Row],[Entity]]="Material","MATL",LEFT(UPPER(Table362[[#This Row],[Entity]]),4))&amp;"_"&amp;MID(SUBSTITUTE(Table362[[#This Row],[Rule Name]],"_","|",3),SEARCH("|",SUBSTITUTE(Table362[[#This Row],[Rule Name]],"_","|",3))+1,LEN(Table362[[#This Row],[Rule Name]]))</f>
        <v>396_PPQM_MIC_NAMEING CONVENTION</v>
      </c>
      <c r="R773" s="8" t="s">
        <v>5332</v>
      </c>
      <c r="S773" s="7" t="s">
        <v>4135</v>
      </c>
      <c r="T773" s="7"/>
      <c r="U773" s="7"/>
      <c r="V773" s="7"/>
      <c r="W773" s="7" t="s">
        <v>5419</v>
      </c>
      <c r="X773" s="8"/>
      <c r="Y773" s="7"/>
      <c r="Z773" s="7"/>
      <c r="AA773" s="11" t="s">
        <v>5420</v>
      </c>
      <c r="AB773" s="11"/>
      <c r="AC773" s="11"/>
      <c r="AD773" s="11"/>
      <c r="AH773" s="8"/>
      <c r="AI773" s="20"/>
      <c r="AJ773" s="20"/>
      <c r="AK773" s="31"/>
      <c r="AL773" s="31"/>
    </row>
    <row r="774" spans="1:38" ht="36" hidden="1" x14ac:dyDescent="0.25">
      <c r="A774" s="14" t="s">
        <v>7427</v>
      </c>
      <c r="B774" s="7" t="s">
        <v>5877</v>
      </c>
      <c r="C774" s="7" t="s">
        <v>5265</v>
      </c>
      <c r="D774" s="7" t="s">
        <v>5978</v>
      </c>
      <c r="E774" s="7" t="s">
        <v>5978</v>
      </c>
      <c r="F774" s="7" t="s">
        <v>5978</v>
      </c>
      <c r="G774" s="7"/>
      <c r="H774" s="7"/>
      <c r="I774" s="7"/>
      <c r="J774" s="20" t="e">
        <f>VLOOKUP(V774,Table_to_BRG!A:D,3,FALSE)</f>
        <v>#N/A</v>
      </c>
      <c r="K774" s="20" t="e">
        <f>VLOOKUP(V774,Table_to_BRG!A:D,2,FALSE)</f>
        <v>#N/A</v>
      </c>
      <c r="L774" s="20"/>
      <c r="M774" s="20"/>
      <c r="N774" s="9" t="s">
        <v>6465</v>
      </c>
      <c r="O774" s="54" t="s">
        <v>7812</v>
      </c>
      <c r="P774" s="7" t="s">
        <v>5333</v>
      </c>
      <c r="Q774" s="11" t="e">
        <f>RIGHT("00"&amp;Table362[[#This Row],[Rule '#]],3)&amp;"_"&amp;IF(Table362[[#This Row],[Entity]]="Material","MATL",LEFT(UPPER(Table362[[#This Row],[Entity]]),4))&amp;"_"&amp;MID(SUBSTITUTE(Table362[[#This Row],[Rule Name]],"_","|",3),SEARCH("|",SUBSTITUTE(Table362[[#This Row],[Rule Name]],"_","|",3))+1,LEN(Table362[[#This Row],[Rule Name]]))</f>
        <v>#VALUE!</v>
      </c>
      <c r="R774" s="8" t="s">
        <v>5334</v>
      </c>
      <c r="S774" s="7" t="s">
        <v>4135</v>
      </c>
      <c r="T774" s="7"/>
      <c r="U774" s="7"/>
      <c r="V774" s="7"/>
      <c r="W774" s="7" t="s">
        <v>4151</v>
      </c>
      <c r="X774" s="8"/>
      <c r="Y774" s="7"/>
      <c r="Z774" s="7"/>
      <c r="AA774" s="11" t="s">
        <v>5421</v>
      </c>
      <c r="AB774" s="11"/>
      <c r="AC774" s="11"/>
      <c r="AD774" s="11"/>
      <c r="AH774" s="8"/>
      <c r="AI774" s="20"/>
      <c r="AJ774" s="20"/>
      <c r="AK774" s="31"/>
      <c r="AL774" s="31"/>
    </row>
    <row r="775" spans="1:38" ht="36" hidden="1" x14ac:dyDescent="0.25">
      <c r="A775" s="14" t="s">
        <v>7428</v>
      </c>
      <c r="B775" s="7" t="s">
        <v>5877</v>
      </c>
      <c r="C775" s="7" t="s">
        <v>5265</v>
      </c>
      <c r="D775" s="7" t="s">
        <v>5978</v>
      </c>
      <c r="E775" s="7" t="s">
        <v>5978</v>
      </c>
      <c r="F775" s="7" t="s">
        <v>5978</v>
      </c>
      <c r="G775" s="7"/>
      <c r="H775" s="7"/>
      <c r="I775" s="7"/>
      <c r="J775" s="20" t="e">
        <f>VLOOKUP(V775,Table_to_BRG!A:D,3,FALSE)</f>
        <v>#N/A</v>
      </c>
      <c r="K775" s="20" t="e">
        <f>VLOOKUP(V775,Table_to_BRG!A:D,2,FALSE)</f>
        <v>#N/A</v>
      </c>
      <c r="L775" s="20"/>
      <c r="M775" s="20"/>
      <c r="N775" s="9" t="s">
        <v>6465</v>
      </c>
      <c r="O775" s="54" t="s">
        <v>7812</v>
      </c>
      <c r="P775" s="7" t="s">
        <v>5335</v>
      </c>
      <c r="Q775" s="11" t="str">
        <f>RIGHT("00"&amp;Table362[[#This Row],[Rule '#]],3)&amp;"_"&amp;IF(Table362[[#This Row],[Entity]]="Material","MATL",LEFT(UPPER(Table362[[#This Row],[Entity]]),4))&amp;"_"&amp;MID(SUBSTITUTE(Table362[[#This Row],[Rule Name]],"_","|",3),SEARCH("|",SUBSTITUTE(Table362[[#This Row],[Rule Name]],"_","|",3))+1,LEN(Table362[[#This Row],[Rule Name]]))</f>
        <v>398_PPQM_BATCH_MANAGEMENT</v>
      </c>
      <c r="R775" s="8" t="s">
        <v>5273</v>
      </c>
      <c r="S775" s="7" t="s">
        <v>4135</v>
      </c>
      <c r="T775" s="7"/>
      <c r="U775" s="7"/>
      <c r="V775" s="7"/>
      <c r="W775" s="7" t="s">
        <v>5357</v>
      </c>
      <c r="X775" s="8"/>
      <c r="Y775" s="7"/>
      <c r="Z775" s="7"/>
      <c r="AA775" s="11" t="s">
        <v>5422</v>
      </c>
      <c r="AB775" s="11"/>
      <c r="AC775" s="13" t="s">
        <v>6812</v>
      </c>
      <c r="AD775"/>
      <c r="AH775" s="8"/>
      <c r="AI775" s="20"/>
      <c r="AJ775" s="20"/>
      <c r="AK775" s="31"/>
      <c r="AL775" s="31"/>
    </row>
    <row r="776" spans="1:38" ht="36" hidden="1" x14ac:dyDescent="0.25">
      <c r="A776" s="14" t="s">
        <v>7429</v>
      </c>
      <c r="B776" s="7" t="s">
        <v>5877</v>
      </c>
      <c r="C776" s="7" t="s">
        <v>5265</v>
      </c>
      <c r="D776" s="7" t="s">
        <v>5978</v>
      </c>
      <c r="E776" s="7" t="s">
        <v>5978</v>
      </c>
      <c r="F776" s="7" t="s">
        <v>5978</v>
      </c>
      <c r="G776" s="7"/>
      <c r="H776" s="7"/>
      <c r="I776" s="7"/>
      <c r="J776" s="20" t="e">
        <f>VLOOKUP(V776,Table_to_BRG!A:D,3,FALSE)</f>
        <v>#N/A</v>
      </c>
      <c r="K776" s="20" t="e">
        <f>VLOOKUP(V776,Table_to_BRG!A:D,2,FALSE)</f>
        <v>#N/A</v>
      </c>
      <c r="L776" s="20"/>
      <c r="M776" s="20"/>
      <c r="N776" s="9" t="s">
        <v>6465</v>
      </c>
      <c r="O776" s="54" t="s">
        <v>7812</v>
      </c>
      <c r="P776" s="7" t="s">
        <v>5336</v>
      </c>
      <c r="Q776" s="11" t="str">
        <f>RIGHT("00"&amp;Table362[[#This Row],[Rule '#]],3)&amp;"_"&amp;IF(Table362[[#This Row],[Entity]]="Material","MATL",LEFT(UPPER(Table362[[#This Row],[Entity]]),4))&amp;"_"&amp;MID(SUBSTITUTE(Table362[[#This Row],[Rule Name]],"_","|",3),SEARCH("|",SUBSTITUTE(Table362[[#This Row],[Rule Name]],"_","|",3))+1,LEN(Table362[[#This Row],[Rule Name]]))</f>
        <v>399_PPQM_REPETITVE MFG ALLOWED</v>
      </c>
      <c r="R776" s="8" t="s">
        <v>5337</v>
      </c>
      <c r="S776" s="7" t="s">
        <v>4135</v>
      </c>
      <c r="T776" s="7"/>
      <c r="U776" s="7"/>
      <c r="V776" s="7"/>
      <c r="W776" s="7" t="s">
        <v>5423</v>
      </c>
      <c r="X776" s="8"/>
      <c r="Y776" s="7"/>
      <c r="Z776" s="7"/>
      <c r="AA776" s="11" t="s">
        <v>5424</v>
      </c>
      <c r="AB776" s="11"/>
      <c r="AC776" s="13" t="s">
        <v>6812</v>
      </c>
      <c r="AD776" s="20"/>
      <c r="AH776" s="8"/>
      <c r="AI776" s="20"/>
      <c r="AJ776" s="20"/>
      <c r="AK776" s="31"/>
      <c r="AL776" s="31"/>
    </row>
    <row r="777" spans="1:38" ht="48" hidden="1" x14ac:dyDescent="0.25">
      <c r="A777" s="14" t="s">
        <v>7430</v>
      </c>
      <c r="B777" s="7" t="s">
        <v>5877</v>
      </c>
      <c r="C777" s="7" t="s">
        <v>5265</v>
      </c>
      <c r="D777" s="7" t="s">
        <v>5978</v>
      </c>
      <c r="E777" s="7" t="s">
        <v>5978</v>
      </c>
      <c r="F777" s="7" t="s">
        <v>5978</v>
      </c>
      <c r="G777" s="7"/>
      <c r="H777" s="7"/>
      <c r="I777" s="7"/>
      <c r="J777" s="20" t="e">
        <f>VLOOKUP(V777,Table_to_BRG!A:D,3,FALSE)</f>
        <v>#N/A</v>
      </c>
      <c r="K777" s="20" t="e">
        <f>VLOOKUP(V777,Table_to_BRG!A:D,2,FALSE)</f>
        <v>#N/A</v>
      </c>
      <c r="L777" s="20"/>
      <c r="M777" s="20"/>
      <c r="N777" s="9" t="s">
        <v>6465</v>
      </c>
      <c r="O777" s="54" t="s">
        <v>7812</v>
      </c>
      <c r="P777" s="7" t="s">
        <v>5338</v>
      </c>
      <c r="Q777" s="11" t="str">
        <f>RIGHT("00"&amp;Table362[[#This Row],[Rule '#]],3)&amp;"_"&amp;IF(Table362[[#This Row],[Entity]]="Material","MATL",LEFT(UPPER(Table362[[#This Row],[Entity]]),4))&amp;"_"&amp;MID(SUBSTITUTE(Table362[[#This Row],[Rule Name]],"_","|",3),SEARCH("|",SUBSTITUTE(Table362[[#This Row],[Rule Name]],"_","|",3))+1,LEN(Table362[[#This Row],[Rule Name]]))</f>
        <v>400_PPQM_INSPECTION METHOD</v>
      </c>
      <c r="R777" s="8" t="s">
        <v>5339</v>
      </c>
      <c r="S777" s="7" t="s">
        <v>4135</v>
      </c>
      <c r="T777" s="7"/>
      <c r="U777" s="7"/>
      <c r="V777" s="7"/>
      <c r="W777" s="7" t="s">
        <v>5425</v>
      </c>
      <c r="X777" s="8"/>
      <c r="Y777" s="7"/>
      <c r="Z777" s="7"/>
      <c r="AA777" s="11" t="s">
        <v>5426</v>
      </c>
      <c r="AB777" s="11"/>
      <c r="AC777" s="11"/>
      <c r="AD777" s="11"/>
      <c r="AH777" s="8"/>
      <c r="AI777" s="20"/>
      <c r="AJ777" s="20"/>
      <c r="AK777" s="31"/>
      <c r="AL777" s="31"/>
    </row>
    <row r="778" spans="1:38" ht="105" hidden="1" x14ac:dyDescent="0.25">
      <c r="A778" s="14" t="s">
        <v>7431</v>
      </c>
      <c r="B778" s="7" t="s">
        <v>5877</v>
      </c>
      <c r="C778" s="7" t="s">
        <v>5265</v>
      </c>
      <c r="D778" s="7" t="s">
        <v>5978</v>
      </c>
      <c r="E778" s="7" t="s">
        <v>5978</v>
      </c>
      <c r="F778" s="7" t="s">
        <v>5978</v>
      </c>
      <c r="G778" s="7"/>
      <c r="H778" s="7"/>
      <c r="I778" s="7"/>
      <c r="J778" s="20" t="e">
        <f>VLOOKUP(V778,Table_to_BRG!A:D,3,FALSE)</f>
        <v>#N/A</v>
      </c>
      <c r="K778" s="20" t="e">
        <f>VLOOKUP(V778,Table_to_BRG!A:D,2,FALSE)</f>
        <v>#N/A</v>
      </c>
      <c r="L778" s="20"/>
      <c r="M778" s="20"/>
      <c r="N778" s="9" t="s">
        <v>6465</v>
      </c>
      <c r="O778" s="54" t="s">
        <v>7812</v>
      </c>
      <c r="P778" s="7" t="s">
        <v>5340</v>
      </c>
      <c r="Q778" s="11" t="str">
        <f>RIGHT("00"&amp;Table362[[#This Row],[Rule '#]],3)&amp;"_"&amp;IF(Table362[[#This Row],[Entity]]="Material","MATL",LEFT(UPPER(Table362[[#This Row],[Entity]]),4))&amp;"_"&amp;MID(SUBSTITUTE(Table362[[#This Row],[Rule Name]],"_","|",3),SEARCH("|",SUBSTITUTE(Table362[[#This Row],[Rule Name]],"_","|",3))+1,LEN(Table362[[#This Row],[Rule Name]]))</f>
        <v>401_PPQM_BOM_Component Quantity</v>
      </c>
      <c r="R778" s="8" t="s">
        <v>5341</v>
      </c>
      <c r="S778" s="7" t="s">
        <v>4135</v>
      </c>
      <c r="T778" s="7"/>
      <c r="U778" s="7"/>
      <c r="V778" s="7"/>
      <c r="W778" s="7" t="s">
        <v>5427</v>
      </c>
      <c r="X778" s="8"/>
      <c r="Y778" s="7"/>
      <c r="Z778" s="7"/>
      <c r="AA778" s="11" t="s">
        <v>5428</v>
      </c>
      <c r="AB778" s="11"/>
      <c r="AC778" s="11" t="s">
        <v>6813</v>
      </c>
      <c r="AD778" s="11"/>
      <c r="AH778" s="8"/>
      <c r="AI778" s="20" t="s">
        <v>7722</v>
      </c>
      <c r="AJ778" s="20"/>
      <c r="AK778" s="31"/>
      <c r="AL778" s="31"/>
    </row>
    <row r="779" spans="1:38" ht="108" hidden="1" x14ac:dyDescent="0.25">
      <c r="A779" s="14" t="s">
        <v>7432</v>
      </c>
      <c r="B779" s="7" t="s">
        <v>5877</v>
      </c>
      <c r="C779" s="7" t="s">
        <v>5265</v>
      </c>
      <c r="D779" s="7" t="s">
        <v>5978</v>
      </c>
      <c r="E779" s="7" t="s">
        <v>5978</v>
      </c>
      <c r="F779" s="7" t="s">
        <v>5978</v>
      </c>
      <c r="G779" s="7"/>
      <c r="H779" s="7"/>
      <c r="I779" s="7"/>
      <c r="J779" s="20" t="e">
        <f>VLOOKUP(V779,Table_to_BRG!A:D,3,FALSE)</f>
        <v>#N/A</v>
      </c>
      <c r="K779" s="20" t="e">
        <f>VLOOKUP(V779,Table_to_BRG!A:D,2,FALSE)</f>
        <v>#N/A</v>
      </c>
      <c r="L779" s="20"/>
      <c r="M779" s="20"/>
      <c r="N779" s="9" t="s">
        <v>6465</v>
      </c>
      <c r="O779" s="54" t="s">
        <v>7812</v>
      </c>
      <c r="P779" s="7" t="s">
        <v>5342</v>
      </c>
      <c r="Q779" s="11" t="str">
        <f>RIGHT("00"&amp;Table362[[#This Row],[Rule '#]],3)&amp;"_"&amp;IF(Table362[[#This Row],[Entity]]="Material","MATL",LEFT(UPPER(Table362[[#This Row],[Entity]]),4))&amp;"_"&amp;MID(SUBSTITUTE(Table362[[#This Row],[Rule Name]],"_","|",3),SEARCH("|",SUBSTITUTE(Table362[[#This Row],[Rule Name]],"_","|",3))+1,LEN(Table362[[#This Row],[Rule Name]]))</f>
        <v>402_PPQM_BOM_Component Quantity2</v>
      </c>
      <c r="R779" s="8" t="s">
        <v>5341</v>
      </c>
      <c r="S779" s="7" t="s">
        <v>4135</v>
      </c>
      <c r="T779" s="7"/>
      <c r="U779" s="7"/>
      <c r="V779" s="7"/>
      <c r="W779" s="7" t="s">
        <v>5427</v>
      </c>
      <c r="X779" s="8"/>
      <c r="Y779" s="7"/>
      <c r="Z779" s="7"/>
      <c r="AA779" s="11" t="s">
        <v>5429</v>
      </c>
      <c r="AB779" s="11"/>
      <c r="AC779" s="11"/>
      <c r="AD779" s="11"/>
      <c r="AH779" s="8"/>
      <c r="AI779" s="20" t="s">
        <v>7722</v>
      </c>
      <c r="AJ779" s="20"/>
      <c r="AK779" s="31"/>
      <c r="AL779" s="31"/>
    </row>
    <row r="780" spans="1:38" ht="60" hidden="1" x14ac:dyDescent="0.25">
      <c r="A780" s="14" t="s">
        <v>7433</v>
      </c>
      <c r="B780" s="7" t="s">
        <v>5877</v>
      </c>
      <c r="C780" s="7" t="s">
        <v>5265</v>
      </c>
      <c r="D780" s="7" t="s">
        <v>5978</v>
      </c>
      <c r="E780" s="7" t="s">
        <v>5978</v>
      </c>
      <c r="F780" s="7" t="s">
        <v>5978</v>
      </c>
      <c r="G780" s="7"/>
      <c r="H780" s="7"/>
      <c r="I780" s="7"/>
      <c r="J780" s="20" t="e">
        <f>VLOOKUP(V780,Table_to_BRG!A:D,3,FALSE)</f>
        <v>#N/A</v>
      </c>
      <c r="K780" s="20" t="e">
        <f>VLOOKUP(V780,Table_to_BRG!A:D,2,FALSE)</f>
        <v>#N/A</v>
      </c>
      <c r="L780" s="20"/>
      <c r="M780" s="20"/>
      <c r="N780" s="9" t="s">
        <v>6465</v>
      </c>
      <c r="O780" s="54" t="s">
        <v>7812</v>
      </c>
      <c r="P780" s="7" t="s">
        <v>5343</v>
      </c>
      <c r="Q780" s="11" t="str">
        <f>RIGHT("00"&amp;Table362[[#This Row],[Rule '#]],3)&amp;"_"&amp;IF(Table362[[#This Row],[Entity]]="Material","MATL",LEFT(UPPER(Table362[[#This Row],[Entity]]),4))&amp;"_"&amp;MID(SUBSTITUTE(Table362[[#This Row],[Rule Name]],"_","|",3),SEARCH("|",SUBSTITUTE(Table362[[#This Row],[Rule Name]],"_","|",3))+1,LEN(Table362[[#This Row],[Rule Name]]))</f>
        <v>403_PPQM_MRP Controler_4100</v>
      </c>
      <c r="R780" s="8" t="s">
        <v>5344</v>
      </c>
      <c r="S780" s="7" t="s">
        <v>4135</v>
      </c>
      <c r="T780" s="7"/>
      <c r="U780" s="7"/>
      <c r="V780" s="7"/>
      <c r="W780" s="7" t="s">
        <v>5430</v>
      </c>
      <c r="X780" s="8"/>
      <c r="Y780" s="7"/>
      <c r="Z780" s="7"/>
      <c r="AA780" s="11" t="s">
        <v>5431</v>
      </c>
      <c r="AB780" s="11"/>
      <c r="AC780" s="11"/>
      <c r="AD780" s="11"/>
      <c r="AH780" s="8"/>
      <c r="AI780" s="20"/>
      <c r="AJ780" s="20"/>
      <c r="AK780" s="31"/>
      <c r="AL780" s="31"/>
    </row>
    <row r="781" spans="1:38" ht="48" hidden="1" x14ac:dyDescent="0.25">
      <c r="A781" s="14" t="s">
        <v>7434</v>
      </c>
      <c r="B781" s="7" t="s">
        <v>5877</v>
      </c>
      <c r="C781" s="7" t="s">
        <v>5265</v>
      </c>
      <c r="D781" s="7" t="s">
        <v>5978</v>
      </c>
      <c r="E781" s="7" t="s">
        <v>5978</v>
      </c>
      <c r="F781" s="7" t="s">
        <v>5978</v>
      </c>
      <c r="G781" s="7"/>
      <c r="H781" s="7"/>
      <c r="I781" s="7"/>
      <c r="J781" s="20" t="e">
        <f>VLOOKUP(V781,Table_to_BRG!A:D,3,FALSE)</f>
        <v>#N/A</v>
      </c>
      <c r="K781" s="20" t="e">
        <f>VLOOKUP(V781,Table_to_BRG!A:D,2,FALSE)</f>
        <v>#N/A</v>
      </c>
      <c r="L781" s="20"/>
      <c r="M781" s="20"/>
      <c r="N781" s="9" t="s">
        <v>6465</v>
      </c>
      <c r="O781" s="54" t="s">
        <v>7812</v>
      </c>
      <c r="P781" s="7" t="s">
        <v>5345</v>
      </c>
      <c r="Q781" s="11" t="str">
        <f>RIGHT("00"&amp;Table362[[#This Row],[Rule '#]],3)&amp;"_"&amp;IF(Table362[[#This Row],[Entity]]="Material","MATL",LEFT(UPPER(Table362[[#This Row],[Entity]]),4))&amp;"_"&amp;MID(SUBSTITUTE(Table362[[#This Row],[Rule Name]],"_","|",3),SEARCH("|",SUBSTITUTE(Table362[[#This Row],[Rule Name]],"_","|",3))+1,LEN(Table362[[#This Row],[Rule Name]]))</f>
        <v>404_PPQM_BATCH_MANAGEMENT</v>
      </c>
      <c r="R781" s="8" t="s">
        <v>5273</v>
      </c>
      <c r="S781" s="7" t="s">
        <v>4135</v>
      </c>
      <c r="T781" s="7"/>
      <c r="U781" s="7"/>
      <c r="V781" s="7"/>
      <c r="W781" s="7" t="s">
        <v>5357</v>
      </c>
      <c r="X781" s="8"/>
      <c r="Y781" s="7"/>
      <c r="Z781" s="7"/>
      <c r="AA781" s="11" t="s">
        <v>5432</v>
      </c>
      <c r="AB781" s="11"/>
      <c r="AC781" s="11"/>
      <c r="AD781" s="11"/>
      <c r="AH781" s="8"/>
      <c r="AI781" s="20"/>
      <c r="AJ781" s="20"/>
      <c r="AK781" s="31"/>
      <c r="AL781" s="31"/>
    </row>
    <row r="782" spans="1:38" ht="48" hidden="1" x14ac:dyDescent="0.25">
      <c r="A782" s="14" t="s">
        <v>7435</v>
      </c>
      <c r="B782" s="7" t="s">
        <v>5877</v>
      </c>
      <c r="C782" s="7" t="s">
        <v>5265</v>
      </c>
      <c r="D782" s="7" t="s">
        <v>5978</v>
      </c>
      <c r="E782" s="7" t="s">
        <v>5978</v>
      </c>
      <c r="F782" s="7" t="s">
        <v>5978</v>
      </c>
      <c r="G782" s="7"/>
      <c r="H782" s="7"/>
      <c r="I782" s="7"/>
      <c r="J782" s="20" t="e">
        <f>VLOOKUP(V782,Table_to_BRG!A:D,3,FALSE)</f>
        <v>#N/A</v>
      </c>
      <c r="K782" s="20" t="e">
        <f>VLOOKUP(V782,Table_to_BRG!A:D,2,FALSE)</f>
        <v>#N/A</v>
      </c>
      <c r="L782" s="20"/>
      <c r="M782" s="20"/>
      <c r="N782" s="9" t="s">
        <v>6465</v>
      </c>
      <c r="O782" s="54" t="s">
        <v>7812</v>
      </c>
      <c r="P782" s="7" t="s">
        <v>5346</v>
      </c>
      <c r="Q782" s="11" t="str">
        <f>RIGHT("00"&amp;Table362[[#This Row],[Rule '#]],3)&amp;"_"&amp;IF(Table362[[#This Row],[Entity]]="Material","MATL",LEFT(UPPER(Table362[[#This Row],[Entity]]),4))&amp;"_"&amp;MID(SUBSTITUTE(Table362[[#This Row],[Rule Name]],"_","|",3),SEARCH("|",SUBSTITUTE(Table362[[#This Row],[Rule Name]],"_","|",3))+1,LEN(Table362[[#This Row],[Rule Name]]))</f>
        <v>405_PPQM_QM CHARECTERSTIC CT04</v>
      </c>
      <c r="R782" s="8" t="s">
        <v>5347</v>
      </c>
      <c r="S782" s="7" t="s">
        <v>4135</v>
      </c>
      <c r="T782" s="7"/>
      <c r="U782" s="7"/>
      <c r="V782" s="7" t="s">
        <v>5433</v>
      </c>
      <c r="W782" s="7" t="s">
        <v>5419</v>
      </c>
      <c r="X782" s="8"/>
      <c r="Y782" s="7"/>
      <c r="Z782" s="7"/>
      <c r="AA782" s="11" t="s">
        <v>5434</v>
      </c>
      <c r="AB782" s="11"/>
      <c r="AC782" s="11" t="s">
        <v>6809</v>
      </c>
      <c r="AD782" s="11"/>
      <c r="AH782" s="8"/>
      <c r="AI782" s="20"/>
      <c r="AJ782" s="20"/>
      <c r="AK782" s="31"/>
      <c r="AL782" s="31"/>
    </row>
    <row r="783" spans="1:38" ht="48" hidden="1" x14ac:dyDescent="0.25">
      <c r="A783" s="14" t="s">
        <v>7436</v>
      </c>
      <c r="B783" s="7" t="s">
        <v>5877</v>
      </c>
      <c r="C783" s="7" t="s">
        <v>5265</v>
      </c>
      <c r="D783" s="7" t="s">
        <v>5978</v>
      </c>
      <c r="E783" s="7" t="s">
        <v>5978</v>
      </c>
      <c r="F783" s="7" t="s">
        <v>5978</v>
      </c>
      <c r="G783" s="7"/>
      <c r="H783" s="7"/>
      <c r="I783" s="7"/>
      <c r="J783" s="20" t="e">
        <f>VLOOKUP(V783,Table_to_BRG!A:D,3,FALSE)</f>
        <v>#N/A</v>
      </c>
      <c r="K783" s="20" t="e">
        <f>VLOOKUP(V783,Table_to_BRG!A:D,2,FALSE)</f>
        <v>#N/A</v>
      </c>
      <c r="L783" s="20"/>
      <c r="M783" s="20"/>
      <c r="N783" s="9" t="s">
        <v>6465</v>
      </c>
      <c r="O783" s="54" t="s">
        <v>7812</v>
      </c>
      <c r="P783" s="7" t="s">
        <v>5348</v>
      </c>
      <c r="Q783" s="11" t="str">
        <f>RIGHT("00"&amp;Table362[[#This Row],[Rule '#]],3)&amp;"_"&amp;IF(Table362[[#This Row],[Entity]]="Material","MATL",LEFT(UPPER(Table362[[#This Row],[Entity]]),4))&amp;"_"&amp;MID(SUBSTITUTE(Table362[[#This Row],[Rule Name]],"_","|",3),SEARCH("|",SUBSTITUTE(Table362[[#This Row],[Rule Name]],"_","|",3))+1,LEN(Table362[[#This Row],[Rule Name]]))</f>
        <v>406_PPQM_BASE_UNIT OF MEASURE</v>
      </c>
      <c r="R783" s="8" t="s">
        <v>5269</v>
      </c>
      <c r="S783" s="7" t="s">
        <v>4135</v>
      </c>
      <c r="T783" s="7"/>
      <c r="U783" s="7"/>
      <c r="V783" s="7"/>
      <c r="W783" s="7" t="s">
        <v>5353</v>
      </c>
      <c r="X783" s="8"/>
      <c r="Y783" s="7"/>
      <c r="Z783" s="7"/>
      <c r="AA783" s="11" t="s">
        <v>5435</v>
      </c>
      <c r="AB783" s="11"/>
      <c r="AC783" s="11"/>
      <c r="AD783" s="11"/>
      <c r="AH783" s="8"/>
      <c r="AI783" s="20" t="s">
        <v>7729</v>
      </c>
      <c r="AJ783" s="20"/>
      <c r="AK783" s="31"/>
      <c r="AL783" s="31"/>
    </row>
    <row r="784" spans="1:38" ht="60" hidden="1" x14ac:dyDescent="0.25">
      <c r="A784" s="14" t="s">
        <v>7437</v>
      </c>
      <c r="B784" s="7" t="s">
        <v>5877</v>
      </c>
      <c r="C784" s="7" t="s">
        <v>5265</v>
      </c>
      <c r="D784" s="7" t="s">
        <v>5978</v>
      </c>
      <c r="E784" s="7" t="s">
        <v>5978</v>
      </c>
      <c r="F784" s="7" t="s">
        <v>5978</v>
      </c>
      <c r="G784" s="7"/>
      <c r="H784" s="7"/>
      <c r="I784" s="7"/>
      <c r="J784" s="20" t="e">
        <f>VLOOKUP(V784,Table_to_BRG!A:D,3,FALSE)</f>
        <v>#N/A</v>
      </c>
      <c r="K784" s="20" t="e">
        <f>VLOOKUP(V784,Table_to_BRG!A:D,2,FALSE)</f>
        <v>#N/A</v>
      </c>
      <c r="L784" s="20"/>
      <c r="M784" s="20"/>
      <c r="N784" s="9" t="s">
        <v>6465</v>
      </c>
      <c r="O784" s="54" t="s">
        <v>7812</v>
      </c>
      <c r="P784" s="7" t="s">
        <v>5349</v>
      </c>
      <c r="Q784" s="11" t="str">
        <f>RIGHT("00"&amp;Table362[[#This Row],[Rule '#]],3)&amp;"_"&amp;IF(Table362[[#This Row],[Entity]]="Material","MATL",LEFT(UPPER(Table362[[#This Row],[Entity]]),4))&amp;"_"&amp;MID(SUBSTITUTE(Table362[[#This Row],[Rule Name]],"_","|",3),SEARCH("|",SUBSTITUTE(Table362[[#This Row],[Rule Name]],"_","|",3))+1,LEN(Table362[[#This Row],[Rule Name]]))</f>
        <v>407_PPQM_MATERAIL NUMBER</v>
      </c>
      <c r="R784" s="8" t="s">
        <v>5350</v>
      </c>
      <c r="S784" s="7" t="s">
        <v>4135</v>
      </c>
      <c r="T784" s="7"/>
      <c r="U784" s="7"/>
      <c r="V784" s="7"/>
      <c r="W784" s="7" t="s">
        <v>5436</v>
      </c>
      <c r="X784" s="8"/>
      <c r="Y784" s="7"/>
      <c r="Z784" s="7"/>
      <c r="AA784" s="11" t="s">
        <v>5437</v>
      </c>
      <c r="AB784" s="11"/>
      <c r="AC784" s="11"/>
      <c r="AD784" s="11"/>
      <c r="AH784" s="8"/>
      <c r="AI784" s="20"/>
      <c r="AJ784" s="20"/>
      <c r="AK784" s="31"/>
      <c r="AL784" s="31"/>
    </row>
    <row r="785" spans="1:38" ht="36" hidden="1" x14ac:dyDescent="0.25">
      <c r="A785" s="14" t="s">
        <v>7438</v>
      </c>
      <c r="B785" s="7" t="s">
        <v>5877</v>
      </c>
      <c r="C785" s="7" t="s">
        <v>5472</v>
      </c>
      <c r="D785" s="7" t="s">
        <v>5978</v>
      </c>
      <c r="E785" s="7" t="s">
        <v>5978</v>
      </c>
      <c r="F785" s="7" t="s">
        <v>5978</v>
      </c>
      <c r="G785" s="7"/>
      <c r="H785" s="7"/>
      <c r="I785" s="7"/>
      <c r="J785" s="20" t="e">
        <f>VLOOKUP(V785,Table_to_BRG!A:D,3,FALSE)</f>
        <v>#N/A</v>
      </c>
      <c r="K785" s="20" t="e">
        <f>VLOOKUP(V785,Table_to_BRG!A:D,2,FALSE)</f>
        <v>#N/A</v>
      </c>
      <c r="L785" s="20"/>
      <c r="M785" s="20"/>
      <c r="N785" s="9" t="s">
        <v>6465</v>
      </c>
      <c r="O785" s="54" t="s">
        <v>7812</v>
      </c>
      <c r="P785" s="7" t="s">
        <v>5438</v>
      </c>
      <c r="Q785" s="11" t="str">
        <f>RIGHT("00"&amp;Table362[[#This Row],[Rule '#]],3)&amp;"_"&amp;IF(Table362[[#This Row],[Entity]]="Material","MATL",LEFT(UPPER(Table362[[#This Row],[Entity]]),4))&amp;"_"&amp;MID(SUBSTITUTE(Table362[[#This Row],[Rule Name]],"_","|",3),SEARCH("|",SUBSTITUTE(Table362[[#This Row],[Rule Name]],"_","|",3))+1,LEN(Table362[[#This Row],[Rule Name]]))</f>
        <v>408_LE_Connection Points Mandatory Fields</v>
      </c>
      <c r="R785" s="8"/>
      <c r="S785" s="7" t="s">
        <v>21</v>
      </c>
      <c r="T785" s="7"/>
      <c r="U785" s="7"/>
      <c r="V785" s="7"/>
      <c r="W785" s="7" t="s">
        <v>5473</v>
      </c>
      <c r="X785" s="8"/>
      <c r="Y785" s="7"/>
      <c r="Z785" s="7"/>
      <c r="AA785" s="11" t="s">
        <v>5474</v>
      </c>
      <c r="AB785" s="11"/>
      <c r="AC785" s="11" t="s">
        <v>6813</v>
      </c>
      <c r="AD785" s="11"/>
      <c r="AH785" s="8"/>
      <c r="AI785" s="20"/>
      <c r="AJ785" s="20"/>
      <c r="AK785" s="31"/>
      <c r="AL785" s="31"/>
    </row>
    <row r="786" spans="1:38" ht="48" hidden="1" x14ac:dyDescent="0.25">
      <c r="A786" s="14" t="s">
        <v>7439</v>
      </c>
      <c r="B786" s="7" t="s">
        <v>5877</v>
      </c>
      <c r="C786" s="7" t="s">
        <v>5472</v>
      </c>
      <c r="D786" s="7" t="s">
        <v>5978</v>
      </c>
      <c r="E786" s="7" t="s">
        <v>5978</v>
      </c>
      <c r="F786" s="7" t="s">
        <v>5978</v>
      </c>
      <c r="G786" s="7"/>
      <c r="H786" s="7"/>
      <c r="I786" s="7"/>
      <c r="J786" s="20" t="e">
        <f>VLOOKUP(V786,Table_to_BRG!A:D,3,FALSE)</f>
        <v>#N/A</v>
      </c>
      <c r="K786" s="20" t="e">
        <f>VLOOKUP(V786,Table_to_BRG!A:D,2,FALSE)</f>
        <v>#N/A</v>
      </c>
      <c r="L786" s="20"/>
      <c r="M786" s="20"/>
      <c r="N786" s="9" t="s">
        <v>6465</v>
      </c>
      <c r="O786" s="54" t="s">
        <v>7812</v>
      </c>
      <c r="P786" s="7" t="s">
        <v>5439</v>
      </c>
      <c r="Q786" s="11" t="str">
        <f>RIGHT("00"&amp;Table362[[#This Row],[Rule '#]],3)&amp;"_"&amp;IF(Table362[[#This Row],[Entity]]="Material","MATL",LEFT(UPPER(Table362[[#This Row],[Entity]]),4))&amp;"_"&amp;MID(SUBSTITUTE(Table362[[#This Row],[Rule Name]],"_","|",3),SEARCH("|",SUBSTITUTE(Table362[[#This Row],[Rule Name]],"_","|",3))+1,LEN(Table362[[#This Row],[Rule Name]]))</f>
        <v>409_LE_Conn. Pt. Description Mandatory Fields</v>
      </c>
      <c r="R786" s="8"/>
      <c r="S786" s="7" t="s">
        <v>21</v>
      </c>
      <c r="T786" s="7"/>
      <c r="U786" s="7"/>
      <c r="V786" s="7"/>
      <c r="W786" s="7" t="s">
        <v>4471</v>
      </c>
      <c r="X786" s="8"/>
      <c r="Y786" s="7"/>
      <c r="Z786" s="7"/>
      <c r="AA786" s="11" t="s">
        <v>5475</v>
      </c>
      <c r="AB786" s="11"/>
      <c r="AC786" s="11" t="s">
        <v>6813</v>
      </c>
      <c r="AD786" s="11"/>
      <c r="AH786" s="8"/>
      <c r="AI786" s="20"/>
      <c r="AJ786" s="20"/>
      <c r="AK786" s="31"/>
      <c r="AL786" s="31"/>
    </row>
    <row r="787" spans="1:38" ht="96" hidden="1" x14ac:dyDescent="0.25">
      <c r="A787" s="14" t="s">
        <v>7440</v>
      </c>
      <c r="B787" s="7" t="s">
        <v>5877</v>
      </c>
      <c r="C787" s="7" t="s">
        <v>5472</v>
      </c>
      <c r="D787" s="7" t="s">
        <v>5978</v>
      </c>
      <c r="E787" s="7" t="s">
        <v>5978</v>
      </c>
      <c r="F787" s="7" t="s">
        <v>5978</v>
      </c>
      <c r="G787" s="7"/>
      <c r="H787" s="7"/>
      <c r="I787" s="7"/>
      <c r="J787" s="20" t="e">
        <f>VLOOKUP(V787,Table_to_BRG!A:D,3,FALSE)</f>
        <v>#N/A</v>
      </c>
      <c r="K787" s="20" t="e">
        <f>VLOOKUP(V787,Table_to_BRG!A:D,2,FALSE)</f>
        <v>#N/A</v>
      </c>
      <c r="L787" s="20"/>
      <c r="M787" s="20"/>
      <c r="N787" s="9" t="s">
        <v>6465</v>
      </c>
      <c r="O787" s="54" t="s">
        <v>7812</v>
      </c>
      <c r="P787" s="7" t="s">
        <v>5440</v>
      </c>
      <c r="Q787" s="11" t="str">
        <f>RIGHT("00"&amp;Table362[[#This Row],[Rule '#]],3)&amp;"_"&amp;IF(Table362[[#This Row],[Entity]]="Material","MATL",LEFT(UPPER(Table362[[#This Row],[Entity]]),4))&amp;"_"&amp;MID(SUBSTITUTE(Table362[[#This Row],[Rule Name]],"_","|",3),SEARCH("|",SUBSTITUTE(Table362[[#This Row],[Rule Name]],"_","|",3))+1,LEN(Table362[[#This Row],[Rule Name]]))</f>
        <v>410_LE_Forwarding Agents_Mandat Fields check</v>
      </c>
      <c r="R787" s="8" t="s">
        <v>5441</v>
      </c>
      <c r="S787" s="7" t="s">
        <v>21</v>
      </c>
      <c r="T787" s="7"/>
      <c r="U787" s="7"/>
      <c r="V787" s="7"/>
      <c r="W787" s="7" t="s">
        <v>4186</v>
      </c>
      <c r="X787" s="8"/>
      <c r="Y787" s="7"/>
      <c r="Z787" s="7"/>
      <c r="AA787" s="11" t="s">
        <v>5476</v>
      </c>
      <c r="AB787" s="11"/>
      <c r="AC787" s="11" t="s">
        <v>6813</v>
      </c>
      <c r="AD787" s="11"/>
      <c r="AH787" s="8"/>
      <c r="AI787" s="20"/>
      <c r="AJ787" s="20"/>
      <c r="AK787" s="31"/>
      <c r="AL787" s="31"/>
    </row>
    <row r="788" spans="1:38" ht="60" hidden="1" x14ac:dyDescent="0.25">
      <c r="A788" s="14" t="s">
        <v>7441</v>
      </c>
      <c r="B788" s="7" t="s">
        <v>5877</v>
      </c>
      <c r="C788" s="7" t="s">
        <v>5472</v>
      </c>
      <c r="D788" s="7" t="s">
        <v>5978</v>
      </c>
      <c r="E788" s="7" t="s">
        <v>5978</v>
      </c>
      <c r="F788" s="7" t="s">
        <v>5978</v>
      </c>
      <c r="G788" s="7"/>
      <c r="H788" s="7"/>
      <c r="I788" s="7"/>
      <c r="J788" s="20" t="e">
        <f>VLOOKUP(V788,Table_to_BRG!A:D,3,FALSE)</f>
        <v>#N/A</v>
      </c>
      <c r="K788" s="20" t="e">
        <f>VLOOKUP(V788,Table_to_BRG!A:D,2,FALSE)</f>
        <v>#N/A</v>
      </c>
      <c r="L788" s="20"/>
      <c r="M788" s="20"/>
      <c r="N788" s="9" t="s">
        <v>6465</v>
      </c>
      <c r="O788" s="54" t="s">
        <v>7812</v>
      </c>
      <c r="P788" s="7" t="s">
        <v>5442</v>
      </c>
      <c r="Q788" s="11" t="str">
        <f>RIGHT("00"&amp;Table362[[#This Row],[Rule '#]],3)&amp;"_"&amp;IF(Table362[[#This Row],[Entity]]="Material","MATL",LEFT(UPPER(Table362[[#This Row],[Entity]]),4))&amp;"_"&amp;MID(SUBSTITUTE(Table362[[#This Row],[Rule Name]],"_","|",3),SEARCH("|",SUBSTITUTE(Table362[[#This Row],[Rule Name]],"_","|",3))+1,LEN(Table362[[#This Row],[Rule Name]]))</f>
        <v>411_LE_Conn. Pt. Address Mandatory Fields</v>
      </c>
      <c r="R788" s="8"/>
      <c r="S788" s="7" t="s">
        <v>21</v>
      </c>
      <c r="T788" s="7"/>
      <c r="U788" s="7"/>
      <c r="V788" s="7"/>
      <c r="W788" s="7" t="s">
        <v>5477</v>
      </c>
      <c r="X788" s="8"/>
      <c r="Y788" s="7"/>
      <c r="Z788" s="7"/>
      <c r="AA788" s="11" t="s">
        <v>5478</v>
      </c>
      <c r="AB788" s="11"/>
      <c r="AC788" s="11" t="s">
        <v>6813</v>
      </c>
      <c r="AD788" s="11"/>
      <c r="AH788" s="8"/>
      <c r="AI788" s="20" t="s">
        <v>7670</v>
      </c>
      <c r="AJ788" s="20"/>
      <c r="AK788" s="31"/>
      <c r="AL788" s="31"/>
    </row>
    <row r="789" spans="1:38" ht="84" hidden="1" x14ac:dyDescent="0.25">
      <c r="A789" s="14" t="s">
        <v>7442</v>
      </c>
      <c r="B789" s="7" t="s">
        <v>5877</v>
      </c>
      <c r="C789" s="7" t="s">
        <v>5472</v>
      </c>
      <c r="D789" s="7" t="s">
        <v>5978</v>
      </c>
      <c r="E789" s="7" t="s">
        <v>5978</v>
      </c>
      <c r="F789" s="7" t="s">
        <v>5978</v>
      </c>
      <c r="G789" s="7"/>
      <c r="H789" s="7"/>
      <c r="I789" s="7"/>
      <c r="J789" s="20" t="e">
        <f>VLOOKUP(V789,Table_to_BRG!A:D,3,FALSE)</f>
        <v>#N/A</v>
      </c>
      <c r="K789" s="20" t="e">
        <f>VLOOKUP(V789,Table_to_BRG!A:D,2,FALSE)</f>
        <v>#N/A</v>
      </c>
      <c r="L789" s="20"/>
      <c r="M789" s="20"/>
      <c r="N789" s="9" t="s">
        <v>6465</v>
      </c>
      <c r="O789" s="54" t="s">
        <v>7812</v>
      </c>
      <c r="P789" s="7" t="s">
        <v>5443</v>
      </c>
      <c r="Q789" s="11" t="str">
        <f>RIGHT("00"&amp;Table362[[#This Row],[Rule '#]],3)&amp;"_"&amp;IF(Table362[[#This Row],[Entity]]="Material","MATL",LEFT(UPPER(Table362[[#This Row],[Entity]]),4))&amp;"_"&amp;MID(SUBSTITUTE(Table362[[#This Row],[Rule Name]],"_","|",3),SEARCH("|",SUBSTITUTE(Table362[[#This Row],[Rule Name]],"_","|",3))+1,LEN(Table362[[#This Row],[Rule Name]]))</f>
        <v>412_LE_Route Mandatory Fields</v>
      </c>
      <c r="R789" s="8"/>
      <c r="S789" s="7" t="s">
        <v>21</v>
      </c>
      <c r="T789" s="7"/>
      <c r="U789" s="7"/>
      <c r="V789" s="7"/>
      <c r="W789" s="7" t="s">
        <v>5479</v>
      </c>
      <c r="X789" s="8"/>
      <c r="Y789" s="7"/>
      <c r="Z789" s="7"/>
      <c r="AA789" s="11" t="s">
        <v>5480</v>
      </c>
      <c r="AB789" s="11"/>
      <c r="AC789" s="11" t="s">
        <v>6813</v>
      </c>
      <c r="AD789" s="11"/>
      <c r="AH789" s="8"/>
      <c r="AI789" s="20"/>
      <c r="AJ789" s="20"/>
      <c r="AK789" s="31"/>
      <c r="AL789" s="31"/>
    </row>
    <row r="790" spans="1:38" ht="96" hidden="1" x14ac:dyDescent="0.25">
      <c r="A790" s="14" t="s">
        <v>7443</v>
      </c>
      <c r="B790" s="7" t="s">
        <v>5877</v>
      </c>
      <c r="C790" s="7" t="s">
        <v>5472</v>
      </c>
      <c r="D790" s="7" t="s">
        <v>5978</v>
      </c>
      <c r="E790" s="7" t="s">
        <v>5978</v>
      </c>
      <c r="F790" s="7" t="s">
        <v>5978</v>
      </c>
      <c r="G790" s="7"/>
      <c r="H790" s="7"/>
      <c r="I790" s="7"/>
      <c r="J790" s="20" t="e">
        <f>VLOOKUP(V790,Table_to_BRG!A:D,3,FALSE)</f>
        <v>#N/A</v>
      </c>
      <c r="K790" s="20" t="e">
        <f>VLOOKUP(V790,Table_to_BRG!A:D,2,FALSE)</f>
        <v>#N/A</v>
      </c>
      <c r="L790" s="20"/>
      <c r="M790" s="20"/>
      <c r="N790" s="9" t="s">
        <v>6465</v>
      </c>
      <c r="O790" s="54" t="s">
        <v>7812</v>
      </c>
      <c r="P790" s="7" t="s">
        <v>5444</v>
      </c>
      <c r="Q790" s="11" t="str">
        <f>RIGHT("00"&amp;Table362[[#This Row],[Rule '#]],3)&amp;"_"&amp;IF(Table362[[#This Row],[Entity]]="Material","MATL",LEFT(UPPER(Table362[[#This Row],[Entity]]),4))&amp;"_"&amp;MID(SUBSTITUTE(Table362[[#This Row],[Rule Name]],"_","|",3),SEARCH("|",SUBSTITUTE(Table362[[#This Row],[Rule Name]],"_","|",3))+1,LEN(Table362[[#This Row],[Rule Name]]))</f>
        <v>413_LE_Routes_Check Numeric Field</v>
      </c>
      <c r="R790" s="8" t="s">
        <v>5445</v>
      </c>
      <c r="S790" s="7" t="s">
        <v>139</v>
      </c>
      <c r="T790" s="7"/>
      <c r="U790" s="7"/>
      <c r="V790" s="7"/>
      <c r="W790" s="7" t="s">
        <v>5481</v>
      </c>
      <c r="X790" s="8"/>
      <c r="Y790" s="7"/>
      <c r="Z790" s="7"/>
      <c r="AA790" s="11" t="s">
        <v>5482</v>
      </c>
      <c r="AB790" s="11"/>
      <c r="AC790" s="11"/>
      <c r="AD790" s="11"/>
      <c r="AH790" s="8"/>
      <c r="AI790" s="20"/>
      <c r="AJ790" s="20"/>
      <c r="AK790" s="31"/>
      <c r="AL790" s="31"/>
    </row>
    <row r="791" spans="1:38" ht="48" hidden="1" x14ac:dyDescent="0.25">
      <c r="A791" s="14" t="s">
        <v>7444</v>
      </c>
      <c r="B791" s="7" t="s">
        <v>5877</v>
      </c>
      <c r="C791" s="7" t="s">
        <v>5472</v>
      </c>
      <c r="D791" s="7" t="s">
        <v>5978</v>
      </c>
      <c r="E791" s="7" t="s">
        <v>5978</v>
      </c>
      <c r="F791" s="7" t="s">
        <v>5978</v>
      </c>
      <c r="G791" s="7"/>
      <c r="H791" s="7"/>
      <c r="I791" s="7"/>
      <c r="J791" s="20" t="e">
        <f>VLOOKUP(V791,Table_to_BRG!A:D,3,FALSE)</f>
        <v>#N/A</v>
      </c>
      <c r="K791" s="20" t="e">
        <f>VLOOKUP(V791,Table_to_BRG!A:D,2,FALSE)</f>
        <v>#N/A</v>
      </c>
      <c r="L791" s="20"/>
      <c r="M791" s="20"/>
      <c r="N791" s="9" t="s">
        <v>6465</v>
      </c>
      <c r="O791" s="54" t="s">
        <v>7812</v>
      </c>
      <c r="P791" s="7" t="s">
        <v>5446</v>
      </c>
      <c r="Q791" s="11" t="str">
        <f>RIGHT("00"&amp;Table362[[#This Row],[Rule '#]],3)&amp;"_"&amp;IF(Table362[[#This Row],[Entity]]="Material","MATL",LEFT(UPPER(Table362[[#This Row],[Entity]]),4))&amp;"_"&amp;MID(SUBSTITUTE(Table362[[#This Row],[Rule Name]],"_","|",3),SEARCH("|",SUBSTITUTE(Table362[[#This Row],[Rule Name]],"_","|",3))+1,LEN(Table362[[#This Row],[Rule Name]]))</f>
        <v>414_LE_TZones Mandatory Fields</v>
      </c>
      <c r="R791" s="8"/>
      <c r="S791" s="7" t="s">
        <v>21</v>
      </c>
      <c r="T791" s="7"/>
      <c r="U791" s="7"/>
      <c r="V791" s="7"/>
      <c r="W791" s="7" t="s">
        <v>5483</v>
      </c>
      <c r="X791" s="8"/>
      <c r="Y791" s="7"/>
      <c r="Z791" s="7"/>
      <c r="AA791" s="11" t="s">
        <v>5484</v>
      </c>
      <c r="AB791" s="11"/>
      <c r="AC791" s="11" t="s">
        <v>6813</v>
      </c>
      <c r="AD791" s="11"/>
      <c r="AH791" s="8"/>
      <c r="AI791" s="20"/>
      <c r="AJ791" s="20"/>
      <c r="AK791" s="31"/>
      <c r="AL791" s="31"/>
    </row>
    <row r="792" spans="1:38" ht="132" hidden="1" x14ac:dyDescent="0.25">
      <c r="A792" s="14" t="s">
        <v>7445</v>
      </c>
      <c r="B792" s="7" t="s">
        <v>5877</v>
      </c>
      <c r="C792" s="7" t="s">
        <v>5472</v>
      </c>
      <c r="D792" s="7" t="s">
        <v>5978</v>
      </c>
      <c r="E792" s="7" t="s">
        <v>5978</v>
      </c>
      <c r="F792" s="7" t="s">
        <v>5978</v>
      </c>
      <c r="G792" s="7"/>
      <c r="H792" s="7"/>
      <c r="I792" s="7"/>
      <c r="J792" s="20" t="e">
        <f>VLOOKUP(V792,Table_to_BRG!A:D,3,FALSE)</f>
        <v>#N/A</v>
      </c>
      <c r="K792" s="20" t="e">
        <f>VLOOKUP(V792,Table_to_BRG!A:D,2,FALSE)</f>
        <v>#N/A</v>
      </c>
      <c r="L792" s="20"/>
      <c r="M792" s="20"/>
      <c r="N792" s="9" t="s">
        <v>6465</v>
      </c>
      <c r="O792" s="54" t="s">
        <v>7812</v>
      </c>
      <c r="P792" s="7" t="s">
        <v>5447</v>
      </c>
      <c r="Q792" s="11" t="str">
        <f>RIGHT("00"&amp;Table362[[#This Row],[Rule '#]],3)&amp;"_"&amp;IF(Table362[[#This Row],[Entity]]="Material","MATL",LEFT(UPPER(Table362[[#This Row],[Entity]]),4))&amp;"_"&amp;MID(SUBSTITUTE(Table362[[#This Row],[Rule Name]],"_","|",3),SEARCH("|",SUBSTITUTE(Table362[[#This Row],[Rule Name]],"_","|",3))+1,LEN(Table362[[#This Row],[Rule Name]]))</f>
        <v>415_LE_Packaging Materials_Check Numeric Field</v>
      </c>
      <c r="R792" s="8" t="s">
        <v>5445</v>
      </c>
      <c r="S792" s="7" t="s">
        <v>139</v>
      </c>
      <c r="T792" s="7"/>
      <c r="U792" s="7"/>
      <c r="V792" s="7"/>
      <c r="W792" s="7" t="s">
        <v>5485</v>
      </c>
      <c r="X792" s="8"/>
      <c r="Y792" s="7"/>
      <c r="Z792" s="7"/>
      <c r="AA792" s="11" t="s">
        <v>5486</v>
      </c>
      <c r="AB792" s="11"/>
      <c r="AC792" s="11"/>
      <c r="AD792" s="11"/>
      <c r="AH792" s="8"/>
      <c r="AI792" s="20"/>
      <c r="AJ792" s="20"/>
      <c r="AK792" s="31"/>
      <c r="AL792" s="31"/>
    </row>
    <row r="793" spans="1:38" ht="36" hidden="1" x14ac:dyDescent="0.25">
      <c r="A793" s="14" t="s">
        <v>7446</v>
      </c>
      <c r="B793" s="7" t="s">
        <v>5877</v>
      </c>
      <c r="C793" s="7" t="s">
        <v>5472</v>
      </c>
      <c r="D793" s="7" t="s">
        <v>5978</v>
      </c>
      <c r="E793" s="7" t="s">
        <v>5978</v>
      </c>
      <c r="F793" s="7" t="s">
        <v>5978</v>
      </c>
      <c r="G793" s="7"/>
      <c r="H793" s="7"/>
      <c r="I793" s="7"/>
      <c r="J793" s="20" t="e">
        <f>VLOOKUP(V793,Table_to_BRG!A:D,3,FALSE)</f>
        <v>#N/A</v>
      </c>
      <c r="K793" s="20" t="e">
        <f>VLOOKUP(V793,Table_to_BRG!A:D,2,FALSE)</f>
        <v>#N/A</v>
      </c>
      <c r="L793" s="20"/>
      <c r="M793" s="20"/>
      <c r="N793" s="9" t="s">
        <v>6465</v>
      </c>
      <c r="O793" s="54" t="s">
        <v>7812</v>
      </c>
      <c r="P793" s="7" t="s">
        <v>5448</v>
      </c>
      <c r="Q793" s="11" t="str">
        <f>RIGHT("00"&amp;Table362[[#This Row],[Rule '#]],3)&amp;"_"&amp;IF(Table362[[#This Row],[Entity]]="Material","MATL",LEFT(UPPER(Table362[[#This Row],[Entity]]),4))&amp;"_"&amp;MID(SUBSTITUTE(Table362[[#This Row],[Rule Name]],"_","|",3),SEARCH("|",SUBSTITUTE(Table362[[#This Row],[Rule Name]],"_","|",3))+1,LEN(Table362[[#This Row],[Rule Name]]))</f>
        <v>416_LE_Forwarding Agents_Validate Fixed Values</v>
      </c>
      <c r="R793" s="8" t="s">
        <v>5449</v>
      </c>
      <c r="S793" s="7" t="s">
        <v>4135</v>
      </c>
      <c r="T793" s="7"/>
      <c r="U793" s="7"/>
      <c r="V793" s="7"/>
      <c r="W793" s="7" t="s">
        <v>4183</v>
      </c>
      <c r="X793" s="8"/>
      <c r="Y793" s="7"/>
      <c r="Z793" s="7"/>
      <c r="AA793" s="11" t="s">
        <v>5487</v>
      </c>
      <c r="AB793" s="11"/>
      <c r="AC793" s="11" t="s">
        <v>6809</v>
      </c>
      <c r="AD793" s="11"/>
      <c r="AH793" s="8"/>
      <c r="AI793" s="20"/>
      <c r="AJ793" s="20"/>
      <c r="AK793" s="31"/>
      <c r="AL793" s="31"/>
    </row>
    <row r="794" spans="1:38" ht="396" hidden="1" x14ac:dyDescent="0.25">
      <c r="A794" s="14" t="s">
        <v>7447</v>
      </c>
      <c r="B794" s="7" t="s">
        <v>5877</v>
      </c>
      <c r="C794" s="7" t="s">
        <v>5472</v>
      </c>
      <c r="D794" s="7" t="s">
        <v>5978</v>
      </c>
      <c r="E794" s="7" t="s">
        <v>5978</v>
      </c>
      <c r="F794" s="7" t="s">
        <v>5978</v>
      </c>
      <c r="G794" s="7"/>
      <c r="H794" s="7"/>
      <c r="I794" s="7"/>
      <c r="J794" s="20" t="e">
        <f>VLOOKUP(V794,Table_to_BRG!A:D,3,FALSE)</f>
        <v>#N/A</v>
      </c>
      <c r="K794" s="20" t="e">
        <f>VLOOKUP(V794,Table_to_BRG!A:D,2,FALSE)</f>
        <v>#N/A</v>
      </c>
      <c r="L794" s="20"/>
      <c r="M794" s="20"/>
      <c r="N794" s="9" t="s">
        <v>6465</v>
      </c>
      <c r="O794" s="54" t="s">
        <v>7812</v>
      </c>
      <c r="P794" s="7" t="s">
        <v>5450</v>
      </c>
      <c r="Q794" s="11" t="str">
        <f>RIGHT("00"&amp;Table362[[#This Row],[Rule '#]],3)&amp;"_"&amp;IF(Table362[[#This Row],[Entity]]="Material","MATL",LEFT(UPPER(Table362[[#This Row],[Entity]]),4))&amp;"_"&amp;MID(SUBSTITUTE(Table362[[#This Row],[Rule Name]],"_","|",3),SEARCH("|",SUBSTITUTE(Table362[[#This Row],[Rule Name]],"_","|",3))+1,LEN(Table362[[#This Row],[Rule Name]]))</f>
        <v>417_LE_Packaging Materials_Referential Intgrty</v>
      </c>
      <c r="R794" s="8" t="s">
        <v>5451</v>
      </c>
      <c r="S794" s="7" t="s">
        <v>4136</v>
      </c>
      <c r="T794" s="7"/>
      <c r="U794" s="7"/>
      <c r="V794" s="7"/>
      <c r="W794" s="7" t="s">
        <v>5488</v>
      </c>
      <c r="X794" s="8"/>
      <c r="Y794" s="7" t="s">
        <v>5489</v>
      </c>
      <c r="Z794" s="7" t="s">
        <v>5490</v>
      </c>
      <c r="AA794" s="11" t="s">
        <v>5491</v>
      </c>
      <c r="AB794" s="11"/>
      <c r="AC794" s="11"/>
      <c r="AD794" s="11"/>
      <c r="AH794" s="8"/>
      <c r="AI794" s="20"/>
      <c r="AJ794" s="20"/>
      <c r="AK794" s="31"/>
      <c r="AL794" s="31"/>
    </row>
    <row r="795" spans="1:38" ht="156" hidden="1" x14ac:dyDescent="0.25">
      <c r="A795" s="14" t="s">
        <v>7448</v>
      </c>
      <c r="B795" s="7" t="s">
        <v>5877</v>
      </c>
      <c r="C795" s="7" t="s">
        <v>5472</v>
      </c>
      <c r="D795" s="7" t="s">
        <v>5978</v>
      </c>
      <c r="E795" s="7" t="s">
        <v>5978</v>
      </c>
      <c r="F795" s="7" t="s">
        <v>5978</v>
      </c>
      <c r="G795" s="7"/>
      <c r="H795" s="7"/>
      <c r="I795" s="7"/>
      <c r="J795" s="20" t="e">
        <f>VLOOKUP(V795,Table_to_BRG!A:D,3,FALSE)</f>
        <v>#N/A</v>
      </c>
      <c r="K795" s="20" t="e">
        <f>VLOOKUP(V795,Table_to_BRG!A:D,2,FALSE)</f>
        <v>#N/A</v>
      </c>
      <c r="L795" s="20"/>
      <c r="M795" s="20"/>
      <c r="N795" s="9" t="s">
        <v>6465</v>
      </c>
      <c r="O795" s="54" t="s">
        <v>7812</v>
      </c>
      <c r="P795" s="7" t="s">
        <v>5452</v>
      </c>
      <c r="Q795" s="11" t="str">
        <f>RIGHT("00"&amp;Table362[[#This Row],[Rule '#]],3)&amp;"_"&amp;IF(Table362[[#This Row],[Entity]]="Material","MATL",LEFT(UPPER(Table362[[#This Row],[Entity]]),4))&amp;"_"&amp;MID(SUBSTITUTE(Table362[[#This Row],[Rule Name]],"_","|",3),SEARCH("|",SUBSTITUTE(Table362[[#This Row],[Rule Name]],"_","|",3))+1,LEN(Table362[[#This Row],[Rule Name]]))</f>
        <v>418_LE_Storage Bins_Indicator Validation</v>
      </c>
      <c r="R795" s="8" t="s">
        <v>5453</v>
      </c>
      <c r="S795" s="7" t="s">
        <v>139</v>
      </c>
      <c r="T795" s="7"/>
      <c r="U795" s="7"/>
      <c r="V795" s="7"/>
      <c r="W795" s="7" t="s">
        <v>5492</v>
      </c>
      <c r="X795" s="8"/>
      <c r="Y795" s="7"/>
      <c r="Z795" s="7"/>
      <c r="AA795" s="11" t="s">
        <v>5904</v>
      </c>
      <c r="AB795" s="11"/>
      <c r="AC795" s="11"/>
      <c r="AD795" s="11"/>
      <c r="AH795" s="8"/>
      <c r="AI795" s="20"/>
      <c r="AJ795" s="20"/>
      <c r="AK795" s="31"/>
      <c r="AL795" s="31"/>
    </row>
    <row r="796" spans="1:38" ht="36" hidden="1" x14ac:dyDescent="0.25">
      <c r="A796" s="14" t="s">
        <v>7449</v>
      </c>
      <c r="B796" s="7" t="s">
        <v>5877</v>
      </c>
      <c r="C796" s="7" t="s">
        <v>5472</v>
      </c>
      <c r="D796" s="7" t="s">
        <v>5978</v>
      </c>
      <c r="E796" s="7" t="s">
        <v>5978</v>
      </c>
      <c r="F796" s="7" t="s">
        <v>5978</v>
      </c>
      <c r="G796" s="7"/>
      <c r="H796" s="7"/>
      <c r="I796" s="7"/>
      <c r="J796" s="20" t="e">
        <f>VLOOKUP(V796,Table_to_BRG!A:D,3,FALSE)</f>
        <v>#N/A</v>
      </c>
      <c r="K796" s="20" t="e">
        <f>VLOOKUP(V796,Table_to_BRG!A:D,2,FALSE)</f>
        <v>#N/A</v>
      </c>
      <c r="L796" s="20"/>
      <c r="M796" s="20"/>
      <c r="N796" s="9" t="s">
        <v>6465</v>
      </c>
      <c r="O796" s="54" t="s">
        <v>7812</v>
      </c>
      <c r="P796" s="7" t="s">
        <v>5454</v>
      </c>
      <c r="Q796" s="11" t="str">
        <f>RIGHT("00"&amp;Table362[[#This Row],[Rule '#]],3)&amp;"_"&amp;IF(Table362[[#This Row],[Entity]]="Material","MATL",LEFT(UPPER(Table362[[#This Row],[Entity]]),4))&amp;"_"&amp;MID(SUBSTITUTE(Table362[[#This Row],[Rule Name]],"_","|",3),SEARCH("|",SUBSTITUTE(Table362[[#This Row],[Rule Name]],"_","|",3))+1,LEN(Table362[[#This Row],[Rule Name]]))</f>
        <v>419_LE_Storage Bins_Check Number Fields</v>
      </c>
      <c r="R796" s="8" t="s">
        <v>5445</v>
      </c>
      <c r="S796" s="7" t="s">
        <v>139</v>
      </c>
      <c r="T796" s="7"/>
      <c r="U796" s="7"/>
      <c r="V796" s="7"/>
      <c r="W796" s="7" t="s">
        <v>5493</v>
      </c>
      <c r="X796" s="8"/>
      <c r="Y796" s="7"/>
      <c r="Z796" s="7"/>
      <c r="AA796" s="11" t="s">
        <v>5494</v>
      </c>
      <c r="AB796" s="11"/>
      <c r="AC796" s="11"/>
      <c r="AD796" s="11"/>
      <c r="AH796" s="8"/>
      <c r="AI796" s="20"/>
      <c r="AJ796" s="20"/>
      <c r="AK796" s="31"/>
      <c r="AL796" s="31"/>
    </row>
    <row r="797" spans="1:38" ht="60" hidden="1" x14ac:dyDescent="0.25">
      <c r="A797" s="14" t="s">
        <v>7450</v>
      </c>
      <c r="B797" s="7" t="s">
        <v>5877</v>
      </c>
      <c r="C797" s="7" t="s">
        <v>5472</v>
      </c>
      <c r="D797" s="7" t="s">
        <v>5978</v>
      </c>
      <c r="E797" s="7" t="s">
        <v>5978</v>
      </c>
      <c r="F797" s="7" t="s">
        <v>5978</v>
      </c>
      <c r="G797" s="7"/>
      <c r="H797" s="7"/>
      <c r="I797" s="7"/>
      <c r="J797" s="20" t="e">
        <f>VLOOKUP(V797,Table_to_BRG!A:D,3,FALSE)</f>
        <v>#N/A</v>
      </c>
      <c r="K797" s="20" t="e">
        <f>VLOOKUP(V797,Table_to_BRG!A:D,2,FALSE)</f>
        <v>#N/A</v>
      </c>
      <c r="L797" s="20"/>
      <c r="M797" s="20"/>
      <c r="N797" s="9" t="s">
        <v>6465</v>
      </c>
      <c r="O797" s="54" t="s">
        <v>7812</v>
      </c>
      <c r="P797" s="7" t="s">
        <v>5455</v>
      </c>
      <c r="Q797" s="11" t="str">
        <f>RIGHT("00"&amp;Table362[[#This Row],[Rule '#]],3)&amp;"_"&amp;IF(Table362[[#This Row],[Entity]]="Material","MATL",LEFT(UPPER(Table362[[#This Row],[Entity]]),4))&amp;"_"&amp;MID(SUBSTITUTE(Table362[[#This Row],[Rule Name]],"_","|",3),SEARCH("|",SUBSTITUTE(Table362[[#This Row],[Rule Name]],"_","|",3))+1,LEN(Table362[[#This Row],[Rule Name]]))</f>
        <v>420_LE_Packaging Materials_Validate Fixed Vals</v>
      </c>
      <c r="R797" s="8" t="s">
        <v>5449</v>
      </c>
      <c r="S797" s="7" t="s">
        <v>4135</v>
      </c>
      <c r="T797" s="7"/>
      <c r="U797" s="7"/>
      <c r="V797" s="7"/>
      <c r="W797" s="7" t="s">
        <v>5488</v>
      </c>
      <c r="X797" s="8"/>
      <c r="Y797" s="7"/>
      <c r="Z797" s="7"/>
      <c r="AA797" s="11" t="s">
        <v>5495</v>
      </c>
      <c r="AB797" s="11"/>
      <c r="AC797" s="11"/>
      <c r="AD797" s="11"/>
      <c r="AH797" s="8"/>
      <c r="AI797" s="20"/>
      <c r="AJ797" s="20"/>
      <c r="AK797" s="31"/>
      <c r="AL797" s="31"/>
    </row>
    <row r="798" spans="1:38" ht="168" hidden="1" x14ac:dyDescent="0.25">
      <c r="A798" s="14" t="s">
        <v>7451</v>
      </c>
      <c r="B798" s="7" t="s">
        <v>5877</v>
      </c>
      <c r="C798" s="7" t="s">
        <v>5472</v>
      </c>
      <c r="D798" s="7" t="s">
        <v>5978</v>
      </c>
      <c r="E798" s="7" t="s">
        <v>5978</v>
      </c>
      <c r="F798" s="7" t="s">
        <v>5978</v>
      </c>
      <c r="G798" s="7"/>
      <c r="H798" s="7"/>
      <c r="I798" s="7"/>
      <c r="J798" s="20" t="e">
        <f>VLOOKUP(V798,Table_to_BRG!A:D,3,FALSE)</f>
        <v>#N/A</v>
      </c>
      <c r="K798" s="20" t="e">
        <f>VLOOKUP(V798,Table_to_BRG!A:D,2,FALSE)</f>
        <v>#N/A</v>
      </c>
      <c r="L798" s="20"/>
      <c r="M798" s="20"/>
      <c r="N798" s="9" t="s">
        <v>6465</v>
      </c>
      <c r="O798" s="54" t="s">
        <v>7812</v>
      </c>
      <c r="P798" s="7" t="s">
        <v>5456</v>
      </c>
      <c r="Q798" s="11" t="str">
        <f>RIGHT("00"&amp;Table362[[#This Row],[Rule '#]],3)&amp;"_"&amp;IF(Table362[[#This Row],[Entity]]="Material","MATL",LEFT(UPPER(Table362[[#This Row],[Entity]]),4))&amp;"_"&amp;MID(SUBSTITUTE(Table362[[#This Row],[Rule Name]],"_","|",3),SEARCH("|",SUBSTITUTE(Table362[[#This Row],[Rule Name]],"_","|",3))+1,LEN(Table362[[#This Row],[Rule Name]]))</f>
        <v>421_LE_Storage Bins_Referential Intgrty</v>
      </c>
      <c r="R798" s="8" t="s">
        <v>5451</v>
      </c>
      <c r="S798" s="7" t="s">
        <v>4136</v>
      </c>
      <c r="T798" s="7"/>
      <c r="U798" s="7"/>
      <c r="V798" s="7"/>
      <c r="W798" s="7" t="s">
        <v>5496</v>
      </c>
      <c r="X798" s="8"/>
      <c r="Y798" s="7" t="s">
        <v>5497</v>
      </c>
      <c r="Z798" s="7" t="s">
        <v>5498</v>
      </c>
      <c r="AA798" s="11" t="s">
        <v>5499</v>
      </c>
      <c r="AB798" s="11"/>
      <c r="AC798" s="11"/>
      <c r="AD798" s="11"/>
      <c r="AH798" s="8"/>
      <c r="AI798" s="20"/>
      <c r="AJ798" s="20"/>
      <c r="AK798" s="31"/>
      <c r="AL798" s="31"/>
    </row>
    <row r="799" spans="1:38" ht="204" hidden="1" x14ac:dyDescent="0.25">
      <c r="A799" s="14" t="s">
        <v>7452</v>
      </c>
      <c r="B799" s="7" t="s">
        <v>5877</v>
      </c>
      <c r="C799" s="7" t="s">
        <v>5472</v>
      </c>
      <c r="D799" s="7" t="s">
        <v>5978</v>
      </c>
      <c r="E799" s="7" t="s">
        <v>5978</v>
      </c>
      <c r="F799" s="7" t="s">
        <v>5978</v>
      </c>
      <c r="G799" s="7"/>
      <c r="H799" s="7"/>
      <c r="I799" s="7"/>
      <c r="J799" s="20" t="e">
        <f>VLOOKUP(V799,Table_to_BRG!A:D,3,FALSE)</f>
        <v>#N/A</v>
      </c>
      <c r="K799" s="20" t="e">
        <f>VLOOKUP(V799,Table_to_BRG!A:D,2,FALSE)</f>
        <v>#N/A</v>
      </c>
      <c r="L799" s="20"/>
      <c r="M799" s="20"/>
      <c r="N799" s="9" t="s">
        <v>6465</v>
      </c>
      <c r="O799" s="54" t="s">
        <v>7812</v>
      </c>
      <c r="P799" s="7" t="s">
        <v>5457</v>
      </c>
      <c r="Q799" s="11" t="str">
        <f>RIGHT("00"&amp;Table362[[#This Row],[Rule '#]],3)&amp;"_"&amp;IF(Table362[[#This Row],[Entity]]="Material","MATL",LEFT(UPPER(Table362[[#This Row],[Entity]]),4))&amp;"_"&amp;MID(SUBSTITUTE(Table362[[#This Row],[Rule Name]],"_","|",3),SEARCH("|",SUBSTITUTE(Table362[[#This Row],[Rule Name]],"_","|",3))+1,LEN(Table362[[#This Row],[Rule Name]]))</f>
        <v>422_LE_Storage Bins_Validate Inventory Types</v>
      </c>
      <c r="R799" s="8" t="s">
        <v>5458</v>
      </c>
      <c r="S799" s="7" t="s">
        <v>4136</v>
      </c>
      <c r="T799" s="7"/>
      <c r="U799" s="7"/>
      <c r="V799" s="7"/>
      <c r="W799" s="7" t="s">
        <v>5500</v>
      </c>
      <c r="X799" s="8"/>
      <c r="Y799" s="7"/>
      <c r="Z799" s="7"/>
      <c r="AA799" s="11" t="s">
        <v>5501</v>
      </c>
      <c r="AB799" s="11"/>
      <c r="AC799" s="11"/>
      <c r="AD799" s="11"/>
      <c r="AH799" s="10" t="s">
        <v>5905</v>
      </c>
      <c r="AI799" s="20" t="s">
        <v>7732</v>
      </c>
      <c r="AJ799" s="20"/>
      <c r="AK799" s="31"/>
      <c r="AL799" s="31"/>
    </row>
    <row r="800" spans="1:38" ht="48" hidden="1" x14ac:dyDescent="0.25">
      <c r="A800" s="14" t="s">
        <v>7453</v>
      </c>
      <c r="B800" s="7" t="s">
        <v>5877</v>
      </c>
      <c r="C800" s="7" t="s">
        <v>5472</v>
      </c>
      <c r="D800" s="7" t="s">
        <v>5978</v>
      </c>
      <c r="E800" s="7" t="s">
        <v>5978</v>
      </c>
      <c r="F800" s="7" t="s">
        <v>5978</v>
      </c>
      <c r="G800" s="7"/>
      <c r="H800" s="7"/>
      <c r="I800" s="7"/>
      <c r="J800" s="20" t="e">
        <f>VLOOKUP(V800,Table_to_BRG!A:D,3,FALSE)</f>
        <v>#N/A</v>
      </c>
      <c r="K800" s="20" t="e">
        <f>VLOOKUP(V800,Table_to_BRG!A:D,2,FALSE)</f>
        <v>#N/A</v>
      </c>
      <c r="L800" s="20"/>
      <c r="M800" s="20"/>
      <c r="N800" s="9" t="s">
        <v>6465</v>
      </c>
      <c r="O800" s="54" t="s">
        <v>7812</v>
      </c>
      <c r="P800" s="7" t="s">
        <v>5459</v>
      </c>
      <c r="Q800" s="11" t="str">
        <f>RIGHT("00"&amp;Table362[[#This Row],[Rule '#]],3)&amp;"_"&amp;IF(Table362[[#This Row],[Entity]]="Material","MATL",LEFT(UPPER(Table362[[#This Row],[Entity]]),4))&amp;"_"&amp;MID(SUBSTITUTE(Table362[[#This Row],[Rule Name]],"_","|",3),SEARCH("|",SUBSTITUTE(Table362[[#This Row],[Rule Name]],"_","|",3))+1,LEN(Table362[[#This Row],[Rule Name]]))</f>
        <v>423_LE_Packaging Materials_Validate Mat_No</v>
      </c>
      <c r="R800" s="8" t="s">
        <v>5460</v>
      </c>
      <c r="S800" s="7" t="s">
        <v>139</v>
      </c>
      <c r="T800" s="7"/>
      <c r="U800" s="7"/>
      <c r="V800" s="7"/>
      <c r="W800" s="7" t="s">
        <v>4167</v>
      </c>
      <c r="X800" s="8"/>
      <c r="Y800" s="7"/>
      <c r="Z800" s="7"/>
      <c r="AA800" s="11" t="s">
        <v>5502</v>
      </c>
      <c r="AB800" s="11"/>
      <c r="AC800" s="11"/>
      <c r="AD800" s="11"/>
      <c r="AH800" s="8"/>
      <c r="AI800" s="20"/>
      <c r="AJ800" s="20"/>
      <c r="AK800" s="31"/>
      <c r="AL800" s="31"/>
    </row>
    <row r="801" spans="1:38" ht="72" hidden="1" x14ac:dyDescent="0.25">
      <c r="A801" s="14" t="s">
        <v>7454</v>
      </c>
      <c r="B801" s="7" t="s">
        <v>5877</v>
      </c>
      <c r="C801" s="7" t="s">
        <v>5472</v>
      </c>
      <c r="D801" s="7" t="s">
        <v>5978</v>
      </c>
      <c r="E801" s="7" t="s">
        <v>5978</v>
      </c>
      <c r="F801" s="7" t="s">
        <v>5978</v>
      </c>
      <c r="G801" s="7"/>
      <c r="H801" s="7"/>
      <c r="I801" s="7"/>
      <c r="J801" s="20" t="e">
        <f>VLOOKUP(V801,Table_to_BRG!A:D,3,FALSE)</f>
        <v>#N/A</v>
      </c>
      <c r="K801" s="20" t="e">
        <f>VLOOKUP(V801,Table_to_BRG!A:D,2,FALSE)</f>
        <v>#N/A</v>
      </c>
      <c r="L801" s="20"/>
      <c r="M801" s="20"/>
      <c r="N801" s="9" t="s">
        <v>6465</v>
      </c>
      <c r="O801" s="54" t="s">
        <v>7812</v>
      </c>
      <c r="P801" s="7" t="s">
        <v>5461</v>
      </c>
      <c r="Q801" s="11" t="str">
        <f>RIGHT("00"&amp;Table362[[#This Row],[Rule '#]],3)&amp;"_"&amp;IF(Table362[[#This Row],[Entity]]="Material","MATL",LEFT(UPPER(Table362[[#This Row],[Entity]]),4))&amp;"_"&amp;MID(SUBSTITUTE(Table362[[#This Row],[Rule Name]],"_","|",3),SEARCH("|",SUBSTITUTE(Table362[[#This Row],[Rule Name]],"_","|",3))+1,LEN(Table362[[#This Row],[Rule Name]]))</f>
        <v>424_LE_Connection Points Referential Integrity</v>
      </c>
      <c r="R801" s="8"/>
      <c r="S801" s="7" t="s">
        <v>4136</v>
      </c>
      <c r="T801" s="7"/>
      <c r="U801" s="7"/>
      <c r="V801" s="7"/>
      <c r="W801" s="7" t="s">
        <v>4144</v>
      </c>
      <c r="X801" s="8"/>
      <c r="Y801" s="7" t="s">
        <v>4145</v>
      </c>
      <c r="Z801" s="7" t="s">
        <v>1495</v>
      </c>
      <c r="AA801" s="11" t="s">
        <v>5503</v>
      </c>
      <c r="AB801" s="11"/>
      <c r="AC801" s="11"/>
      <c r="AD801" s="11"/>
      <c r="AH801" s="8"/>
      <c r="AI801" s="20"/>
      <c r="AJ801" s="20"/>
      <c r="AK801" s="31"/>
      <c r="AL801" s="31"/>
    </row>
    <row r="802" spans="1:38" ht="156" hidden="1" x14ac:dyDescent="0.25">
      <c r="A802" s="14" t="s">
        <v>7455</v>
      </c>
      <c r="B802" s="7" t="s">
        <v>5877</v>
      </c>
      <c r="C802" s="7" t="s">
        <v>5472</v>
      </c>
      <c r="D802" s="7" t="s">
        <v>6711</v>
      </c>
      <c r="E802" s="7" t="s">
        <v>6712</v>
      </c>
      <c r="F802" s="7" t="s">
        <v>6725</v>
      </c>
      <c r="G802" s="7"/>
      <c r="H802" s="7"/>
      <c r="I802" s="7"/>
      <c r="J802" s="20" t="str">
        <f>VLOOKUP(V802,Table_to_BRG!A:D,3,FALSE)</f>
        <v>General data</v>
      </c>
      <c r="K802" s="20" t="str">
        <f>VLOOKUP(V802,Table_to_BRG!A:D,2,FALSE)</f>
        <v>General</v>
      </c>
      <c r="L802" s="20"/>
      <c r="M802" s="20"/>
      <c r="N802" s="9" t="s">
        <v>6465</v>
      </c>
      <c r="O802" s="54" t="s">
        <v>7812</v>
      </c>
      <c r="P802" s="7" t="s">
        <v>5462</v>
      </c>
      <c r="Q802" s="11" t="str">
        <f>RIGHT("00"&amp;Table362[[#This Row],[Rule '#]],3)&amp;"_"&amp;IF(Table362[[#This Row],[Entity]]="Material","MATL",LEFT(UPPER(Table362[[#This Row],[Entity]]),4))&amp;"_"&amp;MID(SUBSTITUTE(Table362[[#This Row],[Rule Name]],"_","|",3),SEARCH("|",SUBSTITUTE(Table362[[#This Row],[Rule Name]],"_","|",3))+1,LEN(Table362[[#This Row],[Rule Name]]))</f>
        <v>425_LE_Packaging Materials_Check Mandat Fields</v>
      </c>
      <c r="R802" s="8" t="s">
        <v>5463</v>
      </c>
      <c r="S802" s="7" t="s">
        <v>21</v>
      </c>
      <c r="T802" s="7"/>
      <c r="U802" s="7"/>
      <c r="V802" s="7" t="s">
        <v>1526</v>
      </c>
      <c r="W802" s="7" t="s">
        <v>4167</v>
      </c>
      <c r="X802" s="8"/>
      <c r="Y802" s="7"/>
      <c r="Z802" s="7"/>
      <c r="AA802" s="11" t="s">
        <v>5504</v>
      </c>
      <c r="AB802" s="11"/>
      <c r="AC802" s="11" t="s">
        <v>6813</v>
      </c>
      <c r="AD802" s="11"/>
      <c r="AH802" s="8"/>
      <c r="AI802" s="20"/>
      <c r="AJ802" s="20"/>
      <c r="AK802" s="31"/>
      <c r="AL802" s="31"/>
    </row>
    <row r="803" spans="1:38" ht="36" hidden="1" x14ac:dyDescent="0.25">
      <c r="A803" s="14" t="s">
        <v>7456</v>
      </c>
      <c r="B803" s="7" t="s">
        <v>5877</v>
      </c>
      <c r="C803" s="7" t="s">
        <v>5472</v>
      </c>
      <c r="D803" s="7" t="s">
        <v>5978</v>
      </c>
      <c r="E803" s="7" t="s">
        <v>5978</v>
      </c>
      <c r="F803" s="7" t="s">
        <v>5978</v>
      </c>
      <c r="G803" s="7"/>
      <c r="H803" s="7"/>
      <c r="I803" s="7"/>
      <c r="J803" s="20" t="e">
        <f>VLOOKUP(V803,Table_to_BRG!A:D,3,FALSE)</f>
        <v>#N/A</v>
      </c>
      <c r="K803" s="20" t="e">
        <f>VLOOKUP(V803,Table_to_BRG!A:D,2,FALSE)</f>
        <v>#N/A</v>
      </c>
      <c r="L803" s="20"/>
      <c r="M803" s="20"/>
      <c r="N803" s="9" t="s">
        <v>6465</v>
      </c>
      <c r="O803" s="54" t="s">
        <v>7812</v>
      </c>
      <c r="P803" s="7" t="s">
        <v>5464</v>
      </c>
      <c r="Q803" s="11" t="str">
        <f>RIGHT("00"&amp;Table362[[#This Row],[Rule '#]],3)&amp;"_"&amp;IF(Table362[[#This Row],[Entity]]="Material","MATL",LEFT(UPPER(Table362[[#This Row],[Entity]]),4))&amp;"_"&amp;MID(SUBSTITUTE(Table362[[#This Row],[Rule Name]],"_","|",3),SEARCH("|",SUBSTITUTE(Table362[[#This Row],[Rule Name]],"_","|",3))+1,LEN(Table362[[#This Row],[Rule Name]]))</f>
        <v>426_LE_Route Stages Referential Intgrity</v>
      </c>
      <c r="R803" s="8" t="s">
        <v>5451</v>
      </c>
      <c r="S803" s="7" t="s">
        <v>4136</v>
      </c>
      <c r="T803" s="7"/>
      <c r="U803" s="7"/>
      <c r="V803" s="7"/>
      <c r="W803" s="7" t="s">
        <v>5505</v>
      </c>
      <c r="X803" s="8"/>
      <c r="Y803" s="7" t="s">
        <v>5506</v>
      </c>
      <c r="Z803" s="7" t="s">
        <v>5507</v>
      </c>
      <c r="AA803" s="11" t="str">
        <f>"BEGIN
     RETURN exists('DS_IS_RDS', '"&amp;Table362[[#This Row],[Lookup Table]]&amp;"', '"&amp;Table362[[#This Row],[Lookup Field]]&amp;"', "&amp;Table362[[#This Row],[IS Parameter]]&amp;");
END"</f>
        <v>BEGIN
     RETURN exists('DS_IS_RDS', 'T173', 'VSART', );
END</v>
      </c>
      <c r="AB803" s="11"/>
      <c r="AC803" s="11"/>
      <c r="AD803" s="11"/>
      <c r="AH803" s="8"/>
      <c r="AI803" s="20"/>
      <c r="AJ803" s="20"/>
      <c r="AK803" s="31"/>
      <c r="AL803" s="31"/>
    </row>
    <row r="804" spans="1:38" ht="96" hidden="1" x14ac:dyDescent="0.25">
      <c r="A804" s="14" t="s">
        <v>7457</v>
      </c>
      <c r="B804" s="7" t="s">
        <v>5877</v>
      </c>
      <c r="C804" s="7" t="s">
        <v>5472</v>
      </c>
      <c r="D804" s="7" t="s">
        <v>5978</v>
      </c>
      <c r="E804" s="7" t="s">
        <v>5978</v>
      </c>
      <c r="F804" s="7" t="s">
        <v>5978</v>
      </c>
      <c r="G804" s="7"/>
      <c r="H804" s="7"/>
      <c r="I804" s="7"/>
      <c r="J804" s="20" t="e">
        <f>VLOOKUP(V804,Table_to_BRG!A:D,3,FALSE)</f>
        <v>#N/A</v>
      </c>
      <c r="K804" s="20" t="e">
        <f>VLOOKUP(V804,Table_to_BRG!A:D,2,FALSE)</f>
        <v>#N/A</v>
      </c>
      <c r="L804" s="20"/>
      <c r="M804" s="20"/>
      <c r="N804" s="9" t="s">
        <v>6465</v>
      </c>
      <c r="O804" s="54" t="s">
        <v>7812</v>
      </c>
      <c r="P804" s="7" t="s">
        <v>5465</v>
      </c>
      <c r="Q804" s="11" t="str">
        <f>RIGHT("00"&amp;Table362[[#This Row],[Rule '#]],3)&amp;"_"&amp;IF(Table362[[#This Row],[Entity]]="Material","MATL",LEFT(UPPER(Table362[[#This Row],[Entity]]),4))&amp;"_"&amp;MID(SUBSTITUTE(Table362[[#This Row],[Rule Name]],"_","|",3),SEARCH("|",SUBSTITUTE(Table362[[#This Row],[Rule Name]],"_","|",3))+1,LEN(Table362[[#This Row],[Rule Name]]))</f>
        <v>427_LE_Route_Referential Intgrty</v>
      </c>
      <c r="R804" s="8" t="s">
        <v>5451</v>
      </c>
      <c r="S804" s="7" t="s">
        <v>4136</v>
      </c>
      <c r="T804" s="7"/>
      <c r="U804" s="7"/>
      <c r="V804" s="7"/>
      <c r="W804" s="7" t="s">
        <v>5508</v>
      </c>
      <c r="X804" s="8"/>
      <c r="Y804" s="7" t="s">
        <v>5509</v>
      </c>
      <c r="Z804" s="7" t="s">
        <v>5510</v>
      </c>
      <c r="AA804" s="11" t="s">
        <v>5906</v>
      </c>
      <c r="AB804" s="11"/>
      <c r="AC804" s="11"/>
      <c r="AD804" s="11"/>
      <c r="AH804" s="8"/>
      <c r="AI804" s="20"/>
      <c r="AJ804" s="20"/>
      <c r="AK804" s="31"/>
      <c r="AL804" s="31"/>
    </row>
    <row r="805" spans="1:38" ht="96" hidden="1" x14ac:dyDescent="0.25">
      <c r="A805" s="14" t="s">
        <v>7458</v>
      </c>
      <c r="B805" s="7" t="s">
        <v>5877</v>
      </c>
      <c r="C805" s="7" t="s">
        <v>5472</v>
      </c>
      <c r="D805" s="7" t="s">
        <v>5978</v>
      </c>
      <c r="E805" s="7" t="s">
        <v>5978</v>
      </c>
      <c r="F805" s="7" t="s">
        <v>5978</v>
      </c>
      <c r="G805" s="7"/>
      <c r="H805" s="7"/>
      <c r="I805" s="7"/>
      <c r="J805" s="20" t="e">
        <f>VLOOKUP(V805,Table_to_BRG!A:D,3,FALSE)</f>
        <v>#N/A</v>
      </c>
      <c r="K805" s="20" t="e">
        <f>VLOOKUP(V805,Table_to_BRG!A:D,2,FALSE)</f>
        <v>#N/A</v>
      </c>
      <c r="L805" s="20"/>
      <c r="M805" s="20"/>
      <c r="N805" s="9" t="s">
        <v>6465</v>
      </c>
      <c r="O805" s="54" t="s">
        <v>7812</v>
      </c>
      <c r="P805" s="7" t="s">
        <v>5466</v>
      </c>
      <c r="Q805" s="11" t="str">
        <f>RIGHT("00"&amp;Table362[[#This Row],[Rule '#]],3)&amp;"_"&amp;IF(Table362[[#This Row],[Entity]]="Material","MATL",LEFT(UPPER(Table362[[#This Row],[Entity]]),4))&amp;"_"&amp;MID(SUBSTITUTE(Table362[[#This Row],[Rule Name]],"_","|",3),SEARCH("|",SUBSTITUTE(Table362[[#This Row],[Rule Name]],"_","|",3))+1,LEN(Table362[[#This Row],[Rule Name]]))</f>
        <v>428_LE_TZone Referential Integrity</v>
      </c>
      <c r="R805" s="8"/>
      <c r="S805" s="7" t="s">
        <v>4136</v>
      </c>
      <c r="T805" s="7"/>
      <c r="U805" s="7"/>
      <c r="V805" s="7"/>
      <c r="W805" s="7" t="s">
        <v>5483</v>
      </c>
      <c r="X805" s="8"/>
      <c r="Y805" s="7" t="s">
        <v>4152</v>
      </c>
      <c r="Z805" s="7" t="s">
        <v>2958</v>
      </c>
      <c r="AA805" s="11" t="s">
        <v>5511</v>
      </c>
      <c r="AB805" s="11"/>
      <c r="AC805" s="11"/>
      <c r="AD805" s="11"/>
      <c r="AH805" s="8"/>
      <c r="AI805" s="20"/>
      <c r="AJ805" s="20"/>
      <c r="AK805" s="31"/>
      <c r="AL805" s="31"/>
    </row>
    <row r="806" spans="1:38" ht="144" hidden="1" x14ac:dyDescent="0.25">
      <c r="A806" s="14" t="s">
        <v>7459</v>
      </c>
      <c r="B806" s="7" t="s">
        <v>5877</v>
      </c>
      <c r="C806" s="7" t="s">
        <v>5472</v>
      </c>
      <c r="D806" s="7" t="s">
        <v>5978</v>
      </c>
      <c r="E806" s="7" t="s">
        <v>5978</v>
      </c>
      <c r="F806" s="7" t="s">
        <v>5978</v>
      </c>
      <c r="G806" s="7"/>
      <c r="H806" s="7"/>
      <c r="I806" s="7"/>
      <c r="J806" s="20" t="e">
        <f>VLOOKUP(V806,Table_to_BRG!A:D,3,FALSE)</f>
        <v>#N/A</v>
      </c>
      <c r="K806" s="20" t="e">
        <f>VLOOKUP(V806,Table_to_BRG!A:D,2,FALSE)</f>
        <v>#N/A</v>
      </c>
      <c r="L806" s="20"/>
      <c r="M806" s="20"/>
      <c r="N806" s="9" t="s">
        <v>6465</v>
      </c>
      <c r="O806" s="54" t="s">
        <v>7812</v>
      </c>
      <c r="P806" s="7" t="s">
        <v>5467</v>
      </c>
      <c r="Q806" s="11" t="str">
        <f>RIGHT("00"&amp;Table362[[#This Row],[Rule '#]],3)&amp;"_"&amp;IF(Table362[[#This Row],[Entity]]="Material","MATL",LEFT(UPPER(Table362[[#This Row],[Entity]]),4))&amp;"_"&amp;MID(SUBSTITUTE(Table362[[#This Row],[Rule Name]],"_","|",3),SEARCH("|",SUBSTITUTE(Table362[[#This Row],[Rule Name]],"_","|",3))+1,LEN(Table362[[#This Row],[Rule Name]]))</f>
        <v>429_LE_Forwarding Agents_Referential Intgrty</v>
      </c>
      <c r="R806" s="8" t="s">
        <v>5451</v>
      </c>
      <c r="S806" s="7" t="s">
        <v>4136</v>
      </c>
      <c r="T806" s="7"/>
      <c r="U806" s="7"/>
      <c r="V806" s="7"/>
      <c r="W806" s="7" t="s">
        <v>5483</v>
      </c>
      <c r="X806" s="8"/>
      <c r="Y806" s="7" t="s">
        <v>5512</v>
      </c>
      <c r="Z806" s="7" t="s">
        <v>5513</v>
      </c>
      <c r="AA806" s="11" t="s">
        <v>5514</v>
      </c>
      <c r="AB806" s="11"/>
      <c r="AC806" s="11"/>
      <c r="AD806" s="11"/>
      <c r="AH806" s="8"/>
      <c r="AI806" s="20"/>
      <c r="AJ806" s="20"/>
      <c r="AK806" s="31"/>
      <c r="AL806" s="31"/>
    </row>
    <row r="807" spans="1:38" ht="84" hidden="1" x14ac:dyDescent="0.25">
      <c r="A807" s="14" t="s">
        <v>7460</v>
      </c>
      <c r="B807" s="7" t="s">
        <v>5877</v>
      </c>
      <c r="C807" s="7" t="s">
        <v>5472</v>
      </c>
      <c r="D807" s="7" t="s">
        <v>5978</v>
      </c>
      <c r="E807" s="7" t="s">
        <v>5978</v>
      </c>
      <c r="F807" s="7" t="s">
        <v>5978</v>
      </c>
      <c r="G807" s="7"/>
      <c r="H807" s="7"/>
      <c r="I807" s="7"/>
      <c r="J807" s="20" t="e">
        <f>VLOOKUP(V807,Table_to_BRG!A:D,3,FALSE)</f>
        <v>#N/A</v>
      </c>
      <c r="K807" s="20" t="e">
        <f>VLOOKUP(V807,Table_to_BRG!A:D,2,FALSE)</f>
        <v>#N/A</v>
      </c>
      <c r="L807" s="20"/>
      <c r="M807" s="20"/>
      <c r="N807" s="9" t="s">
        <v>6465</v>
      </c>
      <c r="O807" s="54" t="s">
        <v>7812</v>
      </c>
      <c r="P807" s="7" t="s">
        <v>5468</v>
      </c>
      <c r="Q807" s="11" t="str">
        <f>RIGHT("00"&amp;Table362[[#This Row],[Rule '#]],3)&amp;"_"&amp;IF(Table362[[#This Row],[Entity]]="Material","MATL",LEFT(UPPER(Table362[[#This Row],[Entity]]),4))&amp;"_"&amp;MID(SUBSTITUTE(Table362[[#This Row],[Rule Name]],"_","|",3),SEARCH("|",SUBSTITUTE(Table362[[#This Row],[Rule Name]],"_","|",3))+1,LEN(Table362[[#This Row],[Rule Name]]))</f>
        <v>430_LE_Route Stages Mandatory Fields</v>
      </c>
      <c r="R807" s="8"/>
      <c r="S807" s="7" t="s">
        <v>21</v>
      </c>
      <c r="T807" s="7"/>
      <c r="U807" s="7"/>
      <c r="V807" s="7"/>
      <c r="W807" s="7" t="s">
        <v>5515</v>
      </c>
      <c r="X807" s="8"/>
      <c r="Y807" s="7"/>
      <c r="Z807" s="7"/>
      <c r="AA807" s="11" t="s">
        <v>5516</v>
      </c>
      <c r="AB807" s="11"/>
      <c r="AC807" s="11" t="s">
        <v>6813</v>
      </c>
      <c r="AD807" s="11"/>
      <c r="AH807" s="8"/>
      <c r="AI807" s="20"/>
      <c r="AJ807" s="20"/>
      <c r="AK807" s="31"/>
      <c r="AL807" s="31"/>
    </row>
    <row r="808" spans="1:38" ht="96" hidden="1" x14ac:dyDescent="0.25">
      <c r="A808" s="14" t="s">
        <v>7461</v>
      </c>
      <c r="B808" s="7" t="s">
        <v>5877</v>
      </c>
      <c r="C808" s="7" t="s">
        <v>5472</v>
      </c>
      <c r="D808" s="7" t="s">
        <v>5978</v>
      </c>
      <c r="E808" s="7" t="s">
        <v>5978</v>
      </c>
      <c r="F808" s="7" t="s">
        <v>5978</v>
      </c>
      <c r="G808" s="7"/>
      <c r="H808" s="7"/>
      <c r="I808" s="7"/>
      <c r="J808" s="20" t="e">
        <f>VLOOKUP(V808,Table_to_BRG!A:D,3,FALSE)</f>
        <v>#N/A</v>
      </c>
      <c r="K808" s="20" t="e">
        <f>VLOOKUP(V808,Table_to_BRG!A:D,2,FALSE)</f>
        <v>#N/A</v>
      </c>
      <c r="L808" s="20"/>
      <c r="M808" s="20"/>
      <c r="N808" s="9" t="s">
        <v>6465</v>
      </c>
      <c r="O808" s="54" t="s">
        <v>7812</v>
      </c>
      <c r="P808" s="7" t="s">
        <v>5469</v>
      </c>
      <c r="Q808" s="11" t="str">
        <f>RIGHT("00"&amp;Table362[[#This Row],[Rule '#]],3)&amp;"_"&amp;IF(Table362[[#This Row],[Entity]]="Material","MATL",LEFT(UPPER(Table362[[#This Row],[Entity]]),4))&amp;"_"&amp;MID(SUBSTITUTE(Table362[[#This Row],[Rule Name]],"_","|",3),SEARCH("|",SUBSTITUTE(Table362[[#This Row],[Rule Name]],"_","|",3))+1,LEN(Table362[[#This Row],[Rule Name]]))</f>
        <v>431_LE_Storage Bins_Mandatory Fields</v>
      </c>
      <c r="R808" s="8" t="s">
        <v>5470</v>
      </c>
      <c r="S808" s="7" t="s">
        <v>21</v>
      </c>
      <c r="T808" s="7"/>
      <c r="U808" s="7"/>
      <c r="V808" s="7" t="s">
        <v>5517</v>
      </c>
      <c r="W808" s="7" t="s">
        <v>5496</v>
      </c>
      <c r="X808" s="8"/>
      <c r="Y808" s="7"/>
      <c r="Z808" s="7"/>
      <c r="AA808" s="11" t="s">
        <v>5518</v>
      </c>
      <c r="AB808" s="11"/>
      <c r="AC808" s="11" t="s">
        <v>6813</v>
      </c>
      <c r="AD808" s="11"/>
      <c r="AH808" s="8"/>
      <c r="AI808" s="20"/>
      <c r="AJ808" s="20"/>
      <c r="AK808" s="31"/>
      <c r="AL808" s="31"/>
    </row>
    <row r="809" spans="1:38" ht="48" hidden="1" x14ac:dyDescent="0.25">
      <c r="A809" s="14" t="s">
        <v>7462</v>
      </c>
      <c r="B809" s="7" t="s">
        <v>5877</v>
      </c>
      <c r="C809" s="7" t="s">
        <v>5472</v>
      </c>
      <c r="D809" s="7" t="s">
        <v>5978</v>
      </c>
      <c r="E809" s="7" t="s">
        <v>5978</v>
      </c>
      <c r="F809" s="7" t="s">
        <v>5978</v>
      </c>
      <c r="G809" s="7"/>
      <c r="H809" s="7"/>
      <c r="I809" s="7"/>
      <c r="J809" s="20" t="e">
        <f>VLOOKUP(V809,Table_to_BRG!A:D,3,FALSE)</f>
        <v>#N/A</v>
      </c>
      <c r="K809" s="20" t="e">
        <f>VLOOKUP(V809,Table_to_BRG!A:D,2,FALSE)</f>
        <v>#N/A</v>
      </c>
      <c r="L809" s="20"/>
      <c r="M809" s="20"/>
      <c r="N809" s="9" t="s">
        <v>6465</v>
      </c>
      <c r="O809" s="54" t="s">
        <v>7812</v>
      </c>
      <c r="P809" s="7" t="s">
        <v>5471</v>
      </c>
      <c r="Q809" s="11" t="str">
        <f>RIGHT("00"&amp;Table362[[#This Row],[Rule '#]],3)&amp;"_"&amp;IF(Table362[[#This Row],[Entity]]="Material","MATL",LEFT(UPPER(Table362[[#This Row],[Entity]]),4))&amp;"_"&amp;MID(SUBSTITUTE(Table362[[#This Row],[Rule Name]],"_","|",3),SEARCH("|",SUBSTITUTE(Table362[[#This Row],[Rule Name]],"_","|",3))+1,LEN(Table362[[#This Row],[Rule Name]]))</f>
        <v>432_LE_Route Description Mandatory Fields</v>
      </c>
      <c r="R809" s="8"/>
      <c r="S809" s="7" t="s">
        <v>21</v>
      </c>
      <c r="T809" s="7"/>
      <c r="U809" s="7"/>
      <c r="V809" s="7"/>
      <c r="W809" s="7" t="s">
        <v>4471</v>
      </c>
      <c r="X809" s="8"/>
      <c r="Y809" s="7"/>
      <c r="Z809" s="7"/>
      <c r="AA809" s="11" t="s">
        <v>5475</v>
      </c>
      <c r="AB809" s="11"/>
      <c r="AC809" s="11" t="s">
        <v>6813</v>
      </c>
      <c r="AD809" s="11"/>
      <c r="AH809" s="8"/>
      <c r="AI809" s="20"/>
      <c r="AJ809" s="20"/>
      <c r="AK809" s="31"/>
      <c r="AL809" s="31"/>
    </row>
    <row r="810" spans="1:38" ht="36" hidden="1" x14ac:dyDescent="0.25">
      <c r="A810" s="14" t="s">
        <v>7463</v>
      </c>
      <c r="B810" s="7" t="s">
        <v>5877</v>
      </c>
      <c r="C810" s="7" t="s">
        <v>5672</v>
      </c>
      <c r="D810" s="7" t="s">
        <v>6719</v>
      </c>
      <c r="E810" s="7" t="s">
        <v>6720</v>
      </c>
      <c r="F810" s="7" t="s">
        <v>6721</v>
      </c>
      <c r="G810" s="7"/>
      <c r="H810" s="7"/>
      <c r="I810" s="7"/>
      <c r="J810" s="20" t="str">
        <f>VLOOKUP(V810,Table_to_BRG!A:D,3,FALSE)</f>
        <v>Company Code data</v>
      </c>
      <c r="K810" s="20" t="str">
        <f>VLOOKUP(V810,Table_to_BRG!A:D,2,FALSE)</f>
        <v>Company Code</v>
      </c>
      <c r="L810" s="20"/>
      <c r="M810" s="20"/>
      <c r="N810" s="9" t="s">
        <v>6465</v>
      </c>
      <c r="O810" s="54" t="s">
        <v>7812</v>
      </c>
      <c r="P810" s="7" t="s">
        <v>5519</v>
      </c>
      <c r="Q810" s="11" t="str">
        <f>RIGHT("00"&amp;Table362[[#This Row],[Rule '#]],3)&amp;"_"&amp;IF(Table362[[#This Row],[Entity]]="Material","MATL",LEFT(UPPER(Table362[[#This Row],[Entity]]),4))&amp;"_"&amp;MID(SUBSTITUTE(Table362[[#This Row],[Rule Name]],"_","|",3),SEARCH("|",SUBSTITUTE(Table362[[#This Row],[Rule Name]],"_","|",3))+1,LEN(Table362[[#This Row],[Rule Name]]))</f>
        <v>433_SD_Reconciliation Account in General Led</v>
      </c>
      <c r="R810" s="8" t="s">
        <v>5920</v>
      </c>
      <c r="S810" s="7" t="s">
        <v>4135</v>
      </c>
      <c r="T810" s="7"/>
      <c r="U810" s="7"/>
      <c r="V810" s="7" t="s">
        <v>2740</v>
      </c>
      <c r="W810" s="7" t="s">
        <v>5673</v>
      </c>
      <c r="X810" s="8"/>
      <c r="Y810" s="7" t="s">
        <v>4271</v>
      </c>
      <c r="Z810" s="7" t="s">
        <v>4272</v>
      </c>
      <c r="AA810" s="11" t="str">
        <f>"BEGIN
     RETURN exists('DS_IS_RDS', '"&amp;Table362[[#This Row],[Lookup Table]]&amp;"', '"&amp;Table362[[#This Row],[Lookup Field]]&amp;"', "&amp;Table362[[#This Row],[IS Parameter]]&amp;");
END"</f>
        <v>BEGIN
     RETURN exists('DS_IS_RDS', 'SKB1', 'SAKNR', );
END</v>
      </c>
      <c r="AB810" s="11"/>
      <c r="AC810" s="11"/>
      <c r="AD810" s="11"/>
      <c r="AH810" s="8"/>
      <c r="AI810" s="20"/>
      <c r="AJ810" s="20"/>
      <c r="AK810" s="31"/>
      <c r="AL810" s="31"/>
    </row>
    <row r="811" spans="1:38" ht="45" hidden="1" x14ac:dyDescent="0.25">
      <c r="A811" s="14" t="s">
        <v>7464</v>
      </c>
      <c r="B811" s="7" t="s">
        <v>5877</v>
      </c>
      <c r="C811" s="7" t="s">
        <v>5672</v>
      </c>
      <c r="D811" s="7" t="s">
        <v>6719</v>
      </c>
      <c r="E811" s="7" t="s">
        <v>6720</v>
      </c>
      <c r="F811" s="7" t="s">
        <v>6721</v>
      </c>
      <c r="G811" s="7"/>
      <c r="H811" s="7"/>
      <c r="I811" s="7"/>
      <c r="J811" s="20" t="str">
        <f>VLOOKUP(V811,Table_to_BRG!A:D,3,FALSE)</f>
        <v>Company Code data</v>
      </c>
      <c r="K811" s="20" t="str">
        <f>VLOOKUP(V811,Table_to_BRG!A:D,2,FALSE)</f>
        <v>Company Code</v>
      </c>
      <c r="L811" s="20"/>
      <c r="M811" s="20"/>
      <c r="N811" s="9" t="s">
        <v>6465</v>
      </c>
      <c r="O811" s="54" t="s">
        <v>7812</v>
      </c>
      <c r="P811" s="7" t="s">
        <v>5520</v>
      </c>
      <c r="Q811" s="11" t="str">
        <f>RIGHT("00"&amp;Table362[[#This Row],[Rule '#]],3)&amp;"_"&amp;IF(Table362[[#This Row],[Entity]]="Material","MATL",LEFT(UPPER(Table362[[#This Row],[Entity]]),4))&amp;"_"&amp;MID(SUBSTITUTE(Table362[[#This Row],[Rule Name]],"_","|",3),SEARCH("|",SUBSTITUTE(Table362[[#This Row],[Rule Name]],"_","|",3))+1,LEN(Table362[[#This Row],[Rule Name]]))</f>
        <v>434_SD_Tolerance group for Parnter GL</v>
      </c>
      <c r="R811" s="8" t="s">
        <v>5921</v>
      </c>
      <c r="S811" s="7" t="s">
        <v>4135</v>
      </c>
      <c r="T811" s="7"/>
      <c r="U811" s="7"/>
      <c r="V811" s="7" t="s">
        <v>2740</v>
      </c>
      <c r="W811" s="7" t="s">
        <v>5674</v>
      </c>
      <c r="X811" s="8"/>
      <c r="Y811" s="7" t="s">
        <v>5675</v>
      </c>
      <c r="Z811" s="7" t="s">
        <v>2889</v>
      </c>
      <c r="AA811" s="11" t="str">
        <f>"BEGIN
     RETURN exists('DS_IS_RDS', '"&amp;Table362[[#This Row],[Lookup Table]]&amp;"', '"&amp;Table362[[#This Row],[Lookup Field]]&amp;"', "&amp;Table362[[#This Row],[IS Parameter]]&amp;");
END"</f>
        <v>BEGIN
     RETURN exists('DS_IS_RDS', 'T043G', 'TOGRU', );
END</v>
      </c>
      <c r="AB811" s="11"/>
      <c r="AC811" s="11"/>
      <c r="AD811" s="11"/>
      <c r="AH811" s="8"/>
      <c r="AI811" s="20"/>
      <c r="AJ811" s="20"/>
      <c r="AK811" s="31"/>
      <c r="AL811" s="31"/>
    </row>
    <row r="812" spans="1:38" ht="48" hidden="1" x14ac:dyDescent="0.25">
      <c r="A812" s="14" t="s">
        <v>7465</v>
      </c>
      <c r="B812" s="7" t="s">
        <v>5877</v>
      </c>
      <c r="C812" s="7" t="s">
        <v>5672</v>
      </c>
      <c r="D812" s="7" t="s">
        <v>6711</v>
      </c>
      <c r="E812" s="7" t="s">
        <v>6714</v>
      </c>
      <c r="F812" s="7" t="s">
        <v>6715</v>
      </c>
      <c r="G812" s="7"/>
      <c r="H812" s="7"/>
      <c r="I812" s="7"/>
      <c r="J812" s="20" t="str">
        <f>VLOOKUP(V812,Table_to_BRG!A:D,3,FALSE)</f>
        <v>General data</v>
      </c>
      <c r="K812" s="20" t="str">
        <f>VLOOKUP(V812,Table_to_BRG!A:D,2,FALSE)</f>
        <v>General</v>
      </c>
      <c r="L812" s="20"/>
      <c r="M812" s="20"/>
      <c r="N812" s="9" t="s">
        <v>6465</v>
      </c>
      <c r="O812" s="54" t="s">
        <v>7812</v>
      </c>
      <c r="P812" s="7" t="s">
        <v>5521</v>
      </c>
      <c r="Q812" s="11" t="str">
        <f>RIGHT("00"&amp;Table362[[#This Row],[Rule '#]],3)&amp;"_"&amp;IF(Table362[[#This Row],[Entity]]="Material","MATL",LEFT(UPPER(Table362[[#This Row],[Entity]]),4))&amp;"_"&amp;MID(SUBSTITUTE(Table362[[#This Row],[Rule Name]],"_","|",3),SEARCH("|",SUBSTITUTE(Table362[[#This Row],[Rule Name]],"_","|",3))+1,LEN(Table362[[#This Row],[Rule Name]]))</f>
        <v>435_SD_Attribute 8</v>
      </c>
      <c r="R812" s="8" t="s">
        <v>5522</v>
      </c>
      <c r="S812" s="7" t="s">
        <v>4135</v>
      </c>
      <c r="T812" s="7"/>
      <c r="U812" s="7"/>
      <c r="V812" s="7" t="s">
        <v>2741</v>
      </c>
      <c r="W812" s="7" t="s">
        <v>5676</v>
      </c>
      <c r="X812" s="8"/>
      <c r="Y812" s="7" t="s">
        <v>5677</v>
      </c>
      <c r="Z812" s="7" t="s">
        <v>5678</v>
      </c>
      <c r="AA812" s="11" t="s">
        <v>5679</v>
      </c>
      <c r="AB812" s="11"/>
      <c r="AC812" s="11"/>
      <c r="AD812" s="11"/>
      <c r="AH812" s="8"/>
      <c r="AI812" s="20"/>
      <c r="AJ812" s="20"/>
      <c r="AK812" s="31"/>
      <c r="AL812" s="31"/>
    </row>
    <row r="813" spans="1:38" ht="36" hidden="1" x14ac:dyDescent="0.25">
      <c r="A813" s="14" t="s">
        <v>7466</v>
      </c>
      <c r="B813" s="7" t="s">
        <v>5877</v>
      </c>
      <c r="C813" s="7" t="s">
        <v>5672</v>
      </c>
      <c r="D813" s="7" t="s">
        <v>6711</v>
      </c>
      <c r="E813" s="7" t="s">
        <v>6714</v>
      </c>
      <c r="F813" s="7" t="s">
        <v>6715</v>
      </c>
      <c r="G813" s="7"/>
      <c r="H813" s="7"/>
      <c r="I813" s="7"/>
      <c r="J813" s="20" t="str">
        <f>VLOOKUP(V813,Table_to_BRG!A:D,3,FALSE)</f>
        <v>General data</v>
      </c>
      <c r="K813" s="20" t="str">
        <f>VLOOKUP(V813,Table_to_BRG!A:D,2,FALSE)</f>
        <v>General</v>
      </c>
      <c r="L813" s="20"/>
      <c r="M813" s="20"/>
      <c r="N813" s="9" t="s">
        <v>6465</v>
      </c>
      <c r="O813" s="54" t="s">
        <v>7812</v>
      </c>
      <c r="P813" s="7" t="s">
        <v>5523</v>
      </c>
      <c r="Q813" s="11" t="str">
        <f>RIGHT("00"&amp;Table362[[#This Row],[Rule '#]],3)&amp;"_"&amp;IF(Table362[[#This Row],[Entity]]="Material","MATL",LEFT(UPPER(Table362[[#This Row],[Entity]]),4))&amp;"_"&amp;MID(SUBSTITUTE(Table362[[#This Row],[Rule Name]],"_","|",3),SEARCH("|",SUBSTITUTE(Table362[[#This Row],[Rule Name]],"_","|",3))+1,LEN(Table362[[#This Row],[Rule Name]]))</f>
        <v>436_SD_Country Key</v>
      </c>
      <c r="R813" s="8" t="s">
        <v>5524</v>
      </c>
      <c r="S813" s="7" t="s">
        <v>4135</v>
      </c>
      <c r="T813" s="7"/>
      <c r="U813" s="7"/>
      <c r="V813" s="7" t="s">
        <v>2741</v>
      </c>
      <c r="W813" s="7" t="s">
        <v>5483</v>
      </c>
      <c r="X813" s="8"/>
      <c r="Y813" s="7" t="s">
        <v>4152</v>
      </c>
      <c r="Z813" s="7" t="s">
        <v>2958</v>
      </c>
      <c r="AA813" s="11" t="str">
        <f>"BEGIN
     RETURN exists('DS_IS_RDS', '"&amp;Table362[[#This Row],[Lookup Table]]&amp;"', '"&amp;Table362[[#This Row],[Lookup Field]]&amp;"', "&amp;Table362[[#This Row],[IS Parameter]]&amp;");
END"</f>
        <v>BEGIN
     RETURN exists('DS_IS_RDS', 'T005', 'LAND1', );
END</v>
      </c>
      <c r="AB813" s="11"/>
      <c r="AC813" s="11"/>
      <c r="AD813" s="11"/>
      <c r="AH813" s="8"/>
      <c r="AI813" s="20"/>
      <c r="AJ813" s="20"/>
      <c r="AK813" s="31"/>
      <c r="AL813" s="31"/>
    </row>
    <row r="814" spans="1:38" ht="156" hidden="1" x14ac:dyDescent="0.25">
      <c r="A814" s="14" t="s">
        <v>7467</v>
      </c>
      <c r="B814" s="7" t="s">
        <v>5877</v>
      </c>
      <c r="C814" s="7" t="s">
        <v>5672</v>
      </c>
      <c r="D814" s="7" t="s">
        <v>6719</v>
      </c>
      <c r="E814" s="7" t="s">
        <v>6720</v>
      </c>
      <c r="F814" s="7" t="s">
        <v>6721</v>
      </c>
      <c r="G814" s="7"/>
      <c r="H814" s="7"/>
      <c r="I814" s="7"/>
      <c r="J814" s="20" t="str">
        <f>VLOOKUP(V814,Table_to_BRG!A:D,3,FALSE)</f>
        <v>Company Code data</v>
      </c>
      <c r="K814" s="20" t="str">
        <f>VLOOKUP(V814,Table_to_BRG!A:D,2,FALSE)</f>
        <v>Company Code</v>
      </c>
      <c r="L814" s="20"/>
      <c r="M814" s="20"/>
      <c r="N814" s="9" t="s">
        <v>6465</v>
      </c>
      <c r="O814" s="54" t="s">
        <v>7812</v>
      </c>
      <c r="P814" s="7" t="s">
        <v>5525</v>
      </c>
      <c r="Q814" s="11" t="str">
        <f>RIGHT("00"&amp;Table362[[#This Row],[Rule '#]],3)&amp;"_"&amp;IF(Table362[[#This Row],[Entity]]="Material","MATL",LEFT(UPPER(Table362[[#This Row],[Entity]]),4))&amp;"_"&amp;MID(SUBSTITUTE(Table362[[#This Row],[Rule Name]],"_","|",3),SEARCH("|",SUBSTITUTE(Table362[[#This Row],[Rule Name]],"_","|",3))+1,LEN(Table362[[#This Row],[Rule Name]]))</f>
        <v>437_SD_0003_Ma</v>
      </c>
      <c r="R814" s="8" t="s">
        <v>5526</v>
      </c>
      <c r="S814" s="7" t="s">
        <v>21</v>
      </c>
      <c r="T814" s="7"/>
      <c r="U814" s="7"/>
      <c r="V814" s="7" t="s">
        <v>2740</v>
      </c>
      <c r="W814" s="7" t="s">
        <v>4603</v>
      </c>
      <c r="X814" s="8"/>
      <c r="Y814" s="7"/>
      <c r="Z814" s="7"/>
      <c r="AA814" s="11" t="s">
        <v>5680</v>
      </c>
      <c r="AB814" s="11"/>
      <c r="AC814" s="11" t="s">
        <v>6813</v>
      </c>
      <c r="AD814" s="11"/>
      <c r="AH814" s="8"/>
      <c r="AI814" s="20"/>
      <c r="AJ814" s="20"/>
      <c r="AK814" s="31"/>
      <c r="AL814" s="31"/>
    </row>
    <row r="815" spans="1:38" ht="60" hidden="1" x14ac:dyDescent="0.25">
      <c r="A815" s="14" t="s">
        <v>7468</v>
      </c>
      <c r="B815" s="7" t="s">
        <v>5877</v>
      </c>
      <c r="C815" s="7" t="s">
        <v>5672</v>
      </c>
      <c r="D815" s="7" t="s">
        <v>6711</v>
      </c>
      <c r="E815" s="7" t="s">
        <v>6714</v>
      </c>
      <c r="F815" s="7" t="s">
        <v>6742</v>
      </c>
      <c r="G815" s="7"/>
      <c r="H815" s="7"/>
      <c r="I815" s="7"/>
      <c r="J815" s="20" t="str">
        <f>VLOOKUP(V815,Table_to_BRG!A:D,3,FALSE)</f>
        <v>Contact data</v>
      </c>
      <c r="K815" s="20" t="str">
        <f>VLOOKUP(V815,Table_to_BRG!A:D,2,FALSE)</f>
        <v>Contact partner</v>
      </c>
      <c r="L815" s="20"/>
      <c r="M815" s="20"/>
      <c r="N815" s="9" t="s">
        <v>6465</v>
      </c>
      <c r="O815" s="54" t="s">
        <v>7812</v>
      </c>
      <c r="P815" s="7" t="s">
        <v>5527</v>
      </c>
      <c r="Q815" s="11" t="str">
        <f>RIGHT("00"&amp;Table362[[#This Row],[Rule '#]],3)&amp;"_"&amp;IF(Table362[[#This Row],[Entity]]="Material","MATL",LEFT(UPPER(Table362[[#This Row],[Entity]]),4))&amp;"_"&amp;MID(SUBSTITUTE(Table362[[#This Row],[Rule Name]],"_","|",3),SEARCH("|",SUBSTITUTE(Table362[[#This Row],[Rule Name]],"_","|",3))+1,LEN(Table362[[#This Row],[Rule Name]]))</f>
        <v>438_SD_Contact person department</v>
      </c>
      <c r="R815" s="8" t="s">
        <v>5922</v>
      </c>
      <c r="S815" s="7" t="s">
        <v>4135</v>
      </c>
      <c r="T815" s="7"/>
      <c r="U815" s="7"/>
      <c r="V815" s="7" t="s">
        <v>3001</v>
      </c>
      <c r="W815" s="7" t="s">
        <v>5681</v>
      </c>
      <c r="X815" s="8"/>
      <c r="Y815" s="7" t="s">
        <v>5682</v>
      </c>
      <c r="Z815" s="7" t="s">
        <v>2994</v>
      </c>
      <c r="AA815" s="11" t="s">
        <v>5683</v>
      </c>
      <c r="AB815" s="11"/>
      <c r="AC815" s="11"/>
      <c r="AD815" s="11"/>
      <c r="AH815" s="8"/>
      <c r="AI815" s="20"/>
      <c r="AJ815" s="20"/>
      <c r="AK815" s="31"/>
      <c r="AL815" s="31"/>
    </row>
    <row r="816" spans="1:38" ht="36" hidden="1" x14ac:dyDescent="0.25">
      <c r="A816" s="14" t="s">
        <v>7469</v>
      </c>
      <c r="B816" s="7" t="s">
        <v>5877</v>
      </c>
      <c r="C816" s="7" t="s">
        <v>5672</v>
      </c>
      <c r="D816" s="7" t="s">
        <v>6711</v>
      </c>
      <c r="E816" s="7" t="s">
        <v>6714</v>
      </c>
      <c r="F816" s="7" t="s">
        <v>6724</v>
      </c>
      <c r="G816" s="7"/>
      <c r="H816" s="7"/>
      <c r="I816" s="7"/>
      <c r="J816" s="20" t="str">
        <f>VLOOKUP(V816,Table_to_BRG!A:D,3,FALSE)</f>
        <v>Customer sales data</v>
      </c>
      <c r="K816" s="20" t="str">
        <f>VLOOKUP(V816,Table_to_BRG!A:D,2,FALSE)</f>
        <v>Sales</v>
      </c>
      <c r="L816" s="20"/>
      <c r="M816" s="20"/>
      <c r="N816" s="9" t="s">
        <v>6465</v>
      </c>
      <c r="O816" s="54" t="s">
        <v>7812</v>
      </c>
      <c r="P816" s="7" t="s">
        <v>5528</v>
      </c>
      <c r="Q816" s="11" t="str">
        <f>RIGHT("00"&amp;Table362[[#This Row],[Rule '#]],3)&amp;"_"&amp;IF(Table362[[#This Row],[Entity]]="Material","MATL",LEFT(UPPER(Table362[[#This Row],[Entity]]),4))&amp;"_"&amp;MID(SUBSTITUTE(Table362[[#This Row],[Rule Name]],"_","|",3),SEARCH("|",SUBSTITUTE(Table362[[#This Row],[Rule Name]],"_","|",3))+1,LEN(Table362[[#This Row],[Rule Name]]))</f>
        <v>439_SD_Currency</v>
      </c>
      <c r="R816" s="8" t="s">
        <v>5529</v>
      </c>
      <c r="S816" s="7" t="s">
        <v>4135</v>
      </c>
      <c r="T816" s="7"/>
      <c r="U816" s="7"/>
      <c r="V816" s="7" t="s">
        <v>3334</v>
      </c>
      <c r="W816" s="7" t="s">
        <v>4440</v>
      </c>
      <c r="X816" s="8"/>
      <c r="Y816" s="7" t="s">
        <v>4148</v>
      </c>
      <c r="Z816" s="7" t="s">
        <v>2850</v>
      </c>
      <c r="AA816" s="11" t="str">
        <f>"BEGIN
     RETURN exists('DS_IS_RDS', '"&amp;Table362[[#This Row],[Lookup Table]]&amp;"', '"&amp;Table362[[#This Row],[Lookup Field]]&amp;"', "&amp;Table362[[#This Row],[IS Parameter]]&amp;");
END"</f>
        <v>BEGIN
     RETURN exists('DS_IS_RDS', 'TCURC', 'WAERS', );
END</v>
      </c>
      <c r="AB816" s="11"/>
      <c r="AC816" s="11"/>
      <c r="AD816" s="11"/>
      <c r="AH816" s="8"/>
      <c r="AI816" s="20" t="s">
        <v>7701</v>
      </c>
      <c r="AJ816" s="20"/>
      <c r="AK816" s="31"/>
      <c r="AL816" s="31"/>
    </row>
    <row r="817" spans="1:38" ht="120" hidden="1" x14ac:dyDescent="0.25">
      <c r="A817" s="14" t="s">
        <v>7470</v>
      </c>
      <c r="B817" s="7" t="s">
        <v>5877</v>
      </c>
      <c r="C817" s="7" t="s">
        <v>5672</v>
      </c>
      <c r="D817" s="7" t="s">
        <v>6719</v>
      </c>
      <c r="E817" s="7" t="s">
        <v>6720</v>
      </c>
      <c r="F817" s="7" t="s">
        <v>6721</v>
      </c>
      <c r="G817" s="7"/>
      <c r="H817" s="7"/>
      <c r="I817" s="7"/>
      <c r="J817" s="20" t="str">
        <f>VLOOKUP(V817,Table_to_BRG!A:D,3,FALSE)</f>
        <v>Company Code data</v>
      </c>
      <c r="K817" s="20" t="str">
        <f>VLOOKUP(V817,Table_to_BRG!A:D,2,FALSE)</f>
        <v>Company Code</v>
      </c>
      <c r="L817" s="20"/>
      <c r="M817" s="20"/>
      <c r="N817" s="9" t="s">
        <v>6465</v>
      </c>
      <c r="O817" s="54" t="s">
        <v>7812</v>
      </c>
      <c r="P817" s="7" t="s">
        <v>5530</v>
      </c>
      <c r="Q817" s="11" t="str">
        <f>RIGHT("00"&amp;Table362[[#This Row],[Rule '#]],3)&amp;"_"&amp;IF(Table362[[#This Row],[Entity]]="Material","MATL",LEFT(UPPER(Table362[[#This Row],[Entity]]),4))&amp;"_"&amp;MID(SUBSTITUTE(Table362[[#This Row],[Rule Name]],"_","|",3),SEARCH("|",SUBSTITUTE(Table362[[#This Row],[Rule Name]],"_","|",3))+1,LEN(Table362[[#This Row],[Rule Name]]))</f>
        <v>440_SD_Lookup Tables</v>
      </c>
      <c r="R817" s="8" t="s">
        <v>5531</v>
      </c>
      <c r="S817" s="7" t="s">
        <v>4135</v>
      </c>
      <c r="T817" s="7"/>
      <c r="U817" s="7"/>
      <c r="V817" s="7" t="s">
        <v>2740</v>
      </c>
      <c r="W817" s="7" t="s">
        <v>4603</v>
      </c>
      <c r="X817" s="8"/>
      <c r="Y817" s="7"/>
      <c r="Z817" s="7"/>
      <c r="AA817" s="11" t="s">
        <v>5907</v>
      </c>
      <c r="AB817" s="11"/>
      <c r="AC817" s="11"/>
      <c r="AD817" s="11"/>
      <c r="AH817" s="8"/>
      <c r="AI817" s="20"/>
      <c r="AJ817" s="20"/>
      <c r="AK817" s="31"/>
      <c r="AL817" s="31"/>
    </row>
    <row r="818" spans="1:38" ht="45" hidden="1" x14ac:dyDescent="0.25">
      <c r="A818" s="14" t="s">
        <v>7471</v>
      </c>
      <c r="B818" s="7" t="s">
        <v>5877</v>
      </c>
      <c r="C818" s="7" t="s">
        <v>5672</v>
      </c>
      <c r="D818" s="7" t="s">
        <v>6711</v>
      </c>
      <c r="E818" s="7" t="s">
        <v>6714</v>
      </c>
      <c r="F818" s="7" t="s">
        <v>6724</v>
      </c>
      <c r="G818" s="7"/>
      <c r="H818" s="7"/>
      <c r="I818" s="7"/>
      <c r="J818" s="20" t="str">
        <f>VLOOKUP(V818,Table_to_BRG!A:D,3,FALSE)</f>
        <v>Customer sales data</v>
      </c>
      <c r="K818" s="20" t="str">
        <f>VLOOKUP(V818,Table_to_BRG!A:D,2,FALSE)</f>
        <v>Sales</v>
      </c>
      <c r="L818" s="20"/>
      <c r="M818" s="20"/>
      <c r="N818" s="9" t="s">
        <v>6465</v>
      </c>
      <c r="O818" s="54" t="s">
        <v>7812</v>
      </c>
      <c r="P818" s="7" t="s">
        <v>5532</v>
      </c>
      <c r="Q818" s="11" t="str">
        <f>RIGHT("00"&amp;Table362[[#This Row],[Rule '#]],3)&amp;"_"&amp;IF(Table362[[#This Row],[Entity]]="Material","MATL",LEFT(UPPER(Table362[[#This Row],[Entity]]),4))&amp;"_"&amp;MID(SUBSTITUTE(Table362[[#This Row],[Rule Name]],"_","|",3),SEARCH("|",SUBSTITUTE(Table362[[#This Row],[Rule Name]],"_","|",3))+1,LEN(Table362[[#This Row],[Rule Name]]))</f>
        <v>441_SD_Exchange Rate Type</v>
      </c>
      <c r="R818" s="8" t="s">
        <v>5533</v>
      </c>
      <c r="S818" s="7" t="s">
        <v>4135</v>
      </c>
      <c r="T818" s="7"/>
      <c r="U818" s="7"/>
      <c r="V818" s="7" t="s">
        <v>3334</v>
      </c>
      <c r="W818" s="7" t="s">
        <v>5684</v>
      </c>
      <c r="X818" s="8"/>
      <c r="Y818" s="7" t="s">
        <v>5685</v>
      </c>
      <c r="Z818" s="7" t="s">
        <v>3411</v>
      </c>
      <c r="AA818" s="11" t="str">
        <f>"BEGIN
     RETURN exists('DS_IS_RDS', '"&amp;Table362[[#This Row],[Lookup Table]]&amp;"', '"&amp;Table362[[#This Row],[Lookup Field]]&amp;"', "&amp;Table362[[#This Row],[IS Parameter]]&amp;");
END"</f>
        <v>BEGIN
     RETURN exists('DS_IS_RDS', 'TCURV', 'KURST', );
END</v>
      </c>
      <c r="AB818" s="11"/>
      <c r="AC818" s="11"/>
      <c r="AD818" s="11"/>
      <c r="AH818" s="8"/>
      <c r="AI818" s="20"/>
      <c r="AJ818" s="20"/>
      <c r="AK818" s="31"/>
      <c r="AL818" s="31"/>
    </row>
    <row r="819" spans="1:38" ht="60" hidden="1" x14ac:dyDescent="0.25">
      <c r="A819" s="14" t="s">
        <v>7472</v>
      </c>
      <c r="B819" s="7" t="s">
        <v>5877</v>
      </c>
      <c r="C819" s="7" t="s">
        <v>5672</v>
      </c>
      <c r="D819" s="7" t="s">
        <v>6711</v>
      </c>
      <c r="E819" s="7" t="s">
        <v>6714</v>
      </c>
      <c r="F819" s="7" t="s">
        <v>6742</v>
      </c>
      <c r="G819" s="7"/>
      <c r="H819" s="7"/>
      <c r="I819" s="7"/>
      <c r="J819" s="20" t="str">
        <f>VLOOKUP(V819,Table_to_BRG!A:D,3,FALSE)</f>
        <v>Contact data</v>
      </c>
      <c r="K819" s="20" t="str">
        <f>VLOOKUP(V819,Table_to_BRG!A:D,2,FALSE)</f>
        <v>Contact partner</v>
      </c>
      <c r="L819" s="20"/>
      <c r="M819" s="20"/>
      <c r="N819" s="9" t="s">
        <v>6465</v>
      </c>
      <c r="O819" s="54" t="s">
        <v>7812</v>
      </c>
      <c r="P819" s="7" t="s">
        <v>5534</v>
      </c>
      <c r="Q819" s="11" t="str">
        <f>RIGHT("00"&amp;Table362[[#This Row],[Rule '#]],3)&amp;"_"&amp;IF(Table362[[#This Row],[Entity]]="Material","MATL",LEFT(UPPER(Table362[[#This Row],[Entity]]),4))&amp;"_"&amp;MID(SUBSTITUTE(Table362[[#This Row],[Rule Name]],"_","|",3),SEARCH("|",SUBSTITUTE(Table362[[#This Row],[Rule Name]],"_","|",3))+1,LEN(Table362[[#This Row],[Rule Name]]))</f>
        <v>442_SD_VIP Partner</v>
      </c>
      <c r="R819" s="8" t="s">
        <v>5923</v>
      </c>
      <c r="S819" s="7" t="s">
        <v>4135</v>
      </c>
      <c r="T819" s="7"/>
      <c r="U819" s="7"/>
      <c r="V819" s="7" t="s">
        <v>3001</v>
      </c>
      <c r="W819" s="7" t="s">
        <v>5686</v>
      </c>
      <c r="X819" s="8"/>
      <c r="Y819" s="7" t="s">
        <v>5687</v>
      </c>
      <c r="Z819" s="7" t="s">
        <v>3668</v>
      </c>
      <c r="AA819" s="11" t="s">
        <v>5688</v>
      </c>
      <c r="AB819" s="11"/>
      <c r="AC819" s="11"/>
      <c r="AD819" s="11"/>
      <c r="AH819" s="8"/>
      <c r="AI819" s="20"/>
      <c r="AJ819" s="20"/>
      <c r="AK819" s="31"/>
      <c r="AL819" s="31"/>
    </row>
    <row r="820" spans="1:38" ht="84" hidden="1" x14ac:dyDescent="0.25">
      <c r="A820" s="14" t="s">
        <v>7473</v>
      </c>
      <c r="B820" s="7" t="s">
        <v>5877</v>
      </c>
      <c r="C820" s="7" t="s">
        <v>5672</v>
      </c>
      <c r="D820" s="7" t="s">
        <v>6711</v>
      </c>
      <c r="E820" s="7" t="s">
        <v>6714</v>
      </c>
      <c r="F820" s="7" t="s">
        <v>6724</v>
      </c>
      <c r="G820" s="7"/>
      <c r="H820" s="7"/>
      <c r="I820" s="7"/>
      <c r="J820" s="20" t="str">
        <f>VLOOKUP(V820,Table_to_BRG!A:D,3,FALSE)</f>
        <v>Customer sales data</v>
      </c>
      <c r="K820" s="20" t="str">
        <f>VLOOKUP(V820,Table_to_BRG!A:D,2,FALSE)</f>
        <v>Sales</v>
      </c>
      <c r="L820" s="20"/>
      <c r="M820" s="20"/>
      <c r="N820" s="9" t="s">
        <v>6465</v>
      </c>
      <c r="O820" s="54" t="s">
        <v>7812</v>
      </c>
      <c r="P820" s="7" t="s">
        <v>5535</v>
      </c>
      <c r="Q820" s="11" t="str">
        <f>RIGHT("00"&amp;Table362[[#This Row],[Rule '#]],3)&amp;"_"&amp;IF(Table362[[#This Row],[Entity]]="Material","MATL",LEFT(UPPER(Table362[[#This Row],[Entity]]),4))&amp;"_"&amp;MID(SUBSTITUTE(Table362[[#This Row],[Rule Name]],"_","|",3),SEARCH("|",SUBSTITUTE(Table362[[#This Row],[Rule Name]],"_","|",3))+1,LEN(Table362[[#This Row],[Rule Name]]))</f>
        <v>443_SD_0003_Man</v>
      </c>
      <c r="R820" s="8" t="s">
        <v>5536</v>
      </c>
      <c r="S820" s="7" t="s">
        <v>21</v>
      </c>
      <c r="T820" s="7"/>
      <c r="U820" s="7"/>
      <c r="V820" s="7" t="s">
        <v>3334</v>
      </c>
      <c r="W820" s="7" t="s">
        <v>5689</v>
      </c>
      <c r="X820" s="8"/>
      <c r="Y820" s="7"/>
      <c r="Z820" s="7"/>
      <c r="AA820" s="11" t="s">
        <v>5690</v>
      </c>
      <c r="AB820" s="11"/>
      <c r="AC820" s="11" t="s">
        <v>6813</v>
      </c>
      <c r="AD820" s="11"/>
      <c r="AH820" s="8"/>
      <c r="AI820" s="20"/>
      <c r="AJ820" s="20"/>
      <c r="AK820" s="31"/>
      <c r="AL820" s="31"/>
    </row>
    <row r="821" spans="1:38" ht="60" hidden="1" x14ac:dyDescent="0.25">
      <c r="A821" s="14" t="s">
        <v>7474</v>
      </c>
      <c r="B821" s="7" t="s">
        <v>5877</v>
      </c>
      <c r="C821" s="7" t="s">
        <v>5672</v>
      </c>
      <c r="D821" s="7" t="s">
        <v>6711</v>
      </c>
      <c r="E821" s="7" t="s">
        <v>6714</v>
      </c>
      <c r="F821" s="7" t="s">
        <v>6742</v>
      </c>
      <c r="G821" s="7"/>
      <c r="H821" s="7"/>
      <c r="I821" s="7"/>
      <c r="J821" s="20" t="str">
        <f>VLOOKUP(V821,Table_to_BRG!A:D,3,FALSE)</f>
        <v>Contact data</v>
      </c>
      <c r="K821" s="20" t="str">
        <f>VLOOKUP(V821,Table_to_BRG!A:D,2,FALSE)</f>
        <v>Contact partner</v>
      </c>
      <c r="L821" s="20"/>
      <c r="M821" s="20"/>
      <c r="N821" s="9" t="s">
        <v>6465</v>
      </c>
      <c r="O821" s="54" t="s">
        <v>7812</v>
      </c>
      <c r="P821" s="7" t="s">
        <v>5537</v>
      </c>
      <c r="Q821" s="11" t="str">
        <f>RIGHT("00"&amp;Table362[[#This Row],[Rule '#]],3)&amp;"_"&amp;IF(Table362[[#This Row],[Entity]]="Material","MATL",LEFT(UPPER(Table362[[#This Row],[Entity]]),4))&amp;"_"&amp;MID(SUBSTITUTE(Table362[[#This Row],[Rule Name]],"_","|",3),SEARCH("|",SUBSTITUTE(Table362[[#This Row],[Rule Name]],"_","|",3))+1,LEN(Table362[[#This Row],[Rule Name]]))</f>
        <v>444_SD_Contact person: Attribute 5</v>
      </c>
      <c r="R821" s="8" t="s">
        <v>5924</v>
      </c>
      <c r="S821" s="7" t="s">
        <v>4135</v>
      </c>
      <c r="T821" s="7"/>
      <c r="U821" s="7"/>
      <c r="V821" s="7" t="s">
        <v>3001</v>
      </c>
      <c r="W821" s="7" t="s">
        <v>5691</v>
      </c>
      <c r="X821" s="8"/>
      <c r="Y821" s="7" t="s">
        <v>5692</v>
      </c>
      <c r="Z821" s="7" t="s">
        <v>5693</v>
      </c>
      <c r="AA821" s="11" t="s">
        <v>5694</v>
      </c>
      <c r="AB821" s="11"/>
      <c r="AC821" s="11"/>
      <c r="AD821" s="11"/>
      <c r="AH821" s="8"/>
      <c r="AI821" s="20"/>
      <c r="AJ821" s="20"/>
      <c r="AK821" s="31"/>
      <c r="AL821" s="31"/>
    </row>
    <row r="822" spans="1:38" ht="60" hidden="1" x14ac:dyDescent="0.25">
      <c r="A822" s="14" t="s">
        <v>7475</v>
      </c>
      <c r="B822" s="7" t="s">
        <v>5877</v>
      </c>
      <c r="C822" s="7" t="s">
        <v>5672</v>
      </c>
      <c r="D822" s="7" t="s">
        <v>6716</v>
      </c>
      <c r="E822" s="7" t="s">
        <v>6740</v>
      </c>
      <c r="F822" s="7" t="s">
        <v>6758</v>
      </c>
      <c r="G822" s="7"/>
      <c r="H822" s="7"/>
      <c r="I822" s="7"/>
      <c r="J822" s="20" t="e">
        <f>VLOOKUP(V822,Table_to_BRG!A:D,3,FALSE)</f>
        <v>#N/A</v>
      </c>
      <c r="K822" s="20" t="e">
        <f>VLOOKUP(V822,Table_to_BRG!A:D,2,FALSE)</f>
        <v>#N/A</v>
      </c>
      <c r="L822" s="20"/>
      <c r="M822" s="20"/>
      <c r="N822" s="9" t="s">
        <v>6465</v>
      </c>
      <c r="O822" s="54" t="s">
        <v>7812</v>
      </c>
      <c r="P822" s="7" t="s">
        <v>5538</v>
      </c>
      <c r="Q822" s="11" t="str">
        <f>RIGHT("00"&amp;Table362[[#This Row],[Rule '#]],3)&amp;"_"&amp;IF(Table362[[#This Row],[Entity]]="Material","MATL",LEFT(UPPER(Table362[[#This Row],[Entity]]),4))&amp;"_"&amp;MID(SUBSTITUTE(Table362[[#This Row],[Rule Name]],"_","|",3),SEARCH("|",SUBSTITUTE(Table362[[#This Row],[Rule Name]],"_","|",3))+1,LEN(Table362[[#This Row],[Rule Name]]))</f>
        <v>445_SD_Base Unit of  Measure</v>
      </c>
      <c r="R822" s="8" t="s">
        <v>5539</v>
      </c>
      <c r="S822" s="7" t="s">
        <v>4135</v>
      </c>
      <c r="T822" s="7"/>
      <c r="U822" s="7"/>
      <c r="V822" s="7" t="s">
        <v>5695</v>
      </c>
      <c r="W822" s="7" t="s">
        <v>4141</v>
      </c>
      <c r="X822" s="8"/>
      <c r="Y822" s="7" t="s">
        <v>4192</v>
      </c>
      <c r="Z822" s="7" t="s">
        <v>4143</v>
      </c>
      <c r="AA822" s="11" t="s">
        <v>5696</v>
      </c>
      <c r="AB822" s="11"/>
      <c r="AC822" s="11"/>
      <c r="AD822" s="11"/>
      <c r="AH822" s="8"/>
      <c r="AI822" s="20" t="s">
        <v>7729</v>
      </c>
      <c r="AJ822" s="20"/>
      <c r="AK822" s="31"/>
      <c r="AL822" s="31"/>
    </row>
    <row r="823" spans="1:38" ht="48" hidden="1" x14ac:dyDescent="0.25">
      <c r="A823" s="14" t="s">
        <v>7476</v>
      </c>
      <c r="B823" s="7" t="s">
        <v>5877</v>
      </c>
      <c r="C823" s="7" t="s">
        <v>5672</v>
      </c>
      <c r="D823" s="7" t="s">
        <v>5978</v>
      </c>
      <c r="E823" s="7" t="s">
        <v>5978</v>
      </c>
      <c r="F823" s="7" t="s">
        <v>5978</v>
      </c>
      <c r="G823" s="7"/>
      <c r="H823" s="7"/>
      <c r="I823" s="7"/>
      <c r="J823" s="20" t="e">
        <f>VLOOKUP(V823,Table_to_BRG!A:D,3,FALSE)</f>
        <v>#N/A</v>
      </c>
      <c r="K823" s="20" t="e">
        <f>VLOOKUP(V823,Table_to_BRG!A:D,2,FALSE)</f>
        <v>#N/A</v>
      </c>
      <c r="L823" s="20"/>
      <c r="M823" s="20"/>
      <c r="N823" s="9" t="s">
        <v>6465</v>
      </c>
      <c r="O823" s="54" t="s">
        <v>7812</v>
      </c>
      <c r="P823" s="7" t="s">
        <v>5540</v>
      </c>
      <c r="Q823" s="11" t="str">
        <f>RIGHT("00"&amp;Table362[[#This Row],[Rule '#]],3)&amp;"_"&amp;IF(Table362[[#This Row],[Entity]]="Material","MATL",LEFT(UPPER(Table362[[#This Row],[Entity]]),4))&amp;"_"&amp;MID(SUBSTITUTE(Table362[[#This Row],[Rule Name]],"_","|",3),SEARCH("|",SUBSTITUTE(Table362[[#This Row],[Rule Name]],"_","|",3))+1,LEN(Table362[[#This Row],[Rule Name]]))</f>
        <v>446_SD_Statements</v>
      </c>
      <c r="R823" s="8" t="s">
        <v>5541</v>
      </c>
      <c r="S823" s="7" t="s">
        <v>4135</v>
      </c>
      <c r="T823" s="7"/>
      <c r="U823" s="7"/>
      <c r="V823" s="7" t="s">
        <v>4236</v>
      </c>
      <c r="W823" s="7" t="s">
        <v>5697</v>
      </c>
      <c r="X823" s="8"/>
      <c r="Y823" s="7"/>
      <c r="Z823" s="7"/>
      <c r="AA823" s="11" t="s">
        <v>5698</v>
      </c>
      <c r="AB823" s="11"/>
      <c r="AC823" s="11" t="s">
        <v>6815</v>
      </c>
      <c r="AD823" s="11"/>
      <c r="AH823" s="8"/>
      <c r="AI823" s="20"/>
      <c r="AJ823" s="20"/>
      <c r="AK823" s="31"/>
      <c r="AL823" s="31"/>
    </row>
    <row r="824" spans="1:38" ht="36" hidden="1" x14ac:dyDescent="0.25">
      <c r="A824" s="14" t="s">
        <v>7477</v>
      </c>
      <c r="B824" s="7" t="s">
        <v>5877</v>
      </c>
      <c r="C824" s="7" t="s">
        <v>5672</v>
      </c>
      <c r="D824" s="7" t="s">
        <v>6719</v>
      </c>
      <c r="E824" s="7" t="s">
        <v>6720</v>
      </c>
      <c r="F824" s="7" t="s">
        <v>6721</v>
      </c>
      <c r="G824" s="7"/>
      <c r="H824" s="7"/>
      <c r="I824" s="7"/>
      <c r="J824" s="20" t="str">
        <f>VLOOKUP(V824,Table_to_BRG!A:D,3,FALSE)</f>
        <v>Company Code data</v>
      </c>
      <c r="K824" s="20" t="str">
        <f>VLOOKUP(V824,Table_to_BRG!A:D,2,FALSE)</f>
        <v>Company Code</v>
      </c>
      <c r="L824" s="20"/>
      <c r="M824" s="20"/>
      <c r="N824" s="9" t="s">
        <v>6465</v>
      </c>
      <c r="O824" s="54" t="s">
        <v>7812</v>
      </c>
      <c r="P824" s="7" t="s">
        <v>5542</v>
      </c>
      <c r="Q824" s="11" t="str">
        <f>RIGHT("00"&amp;Table362[[#This Row],[Rule '#]],3)&amp;"_"&amp;IF(Table362[[#This Row],[Entity]]="Material","MATL",LEFT(UPPER(Table362[[#This Row],[Entity]]),4))&amp;"_"&amp;MID(SUBSTITUTE(Table362[[#This Row],[Rule Name]],"_","|",3),SEARCH("|",SUBSTITUTE(Table362[[#This Row],[Rule Name]],"_","|",3))+1,LEN(Table362[[#This Row],[Rule Name]]))</f>
        <v>447_SD_Accounting clerk</v>
      </c>
      <c r="R824" s="8" t="s">
        <v>5925</v>
      </c>
      <c r="S824" s="7" t="s">
        <v>4135</v>
      </c>
      <c r="T824" s="7"/>
      <c r="U824" s="7"/>
      <c r="V824" s="7" t="s">
        <v>2740</v>
      </c>
      <c r="W824" s="7" t="s">
        <v>5699</v>
      </c>
      <c r="X824" s="8"/>
      <c r="Y824" s="7" t="s">
        <v>4233</v>
      </c>
      <c r="Z824" s="7" t="s">
        <v>2792</v>
      </c>
      <c r="AA824" s="11" t="str">
        <f>"BEGIN
     RETURN exists('DS_IS_RDS', '"&amp;Table362[[#This Row],[Lookup Table]]&amp;"', '"&amp;Table362[[#This Row],[Lookup Field]]&amp;"', "&amp;Table362[[#This Row],[IS Parameter]]&amp;");
END"</f>
        <v>BEGIN
     RETURN exists('DS_IS_RDS', 'T001S', 'BUSAB', );
END</v>
      </c>
      <c r="AB824" s="11"/>
      <c r="AC824" s="11"/>
      <c r="AD824" s="11"/>
      <c r="AH824" s="8"/>
      <c r="AI824" s="20"/>
      <c r="AJ824" s="20"/>
      <c r="AK824" s="31"/>
      <c r="AL824" s="31"/>
    </row>
    <row r="825" spans="1:38" ht="48" hidden="1" x14ac:dyDescent="0.25">
      <c r="A825" s="14" t="s">
        <v>7478</v>
      </c>
      <c r="B825" s="7" t="s">
        <v>5877</v>
      </c>
      <c r="C825" s="7" t="s">
        <v>5672</v>
      </c>
      <c r="D825" s="7" t="s">
        <v>5978</v>
      </c>
      <c r="E825" s="7" t="s">
        <v>5978</v>
      </c>
      <c r="F825" s="7" t="s">
        <v>5978</v>
      </c>
      <c r="G825" s="7"/>
      <c r="H825" s="7"/>
      <c r="I825" s="7"/>
      <c r="J825" s="20" t="e">
        <f>VLOOKUP(V825,Table_to_BRG!A:D,3,FALSE)</f>
        <v>#N/A</v>
      </c>
      <c r="K825" s="20" t="e">
        <f>VLOOKUP(V825,Table_to_BRG!A:D,2,FALSE)</f>
        <v>#N/A</v>
      </c>
      <c r="L825" s="20"/>
      <c r="M825" s="20"/>
      <c r="N825" s="9" t="s">
        <v>6465</v>
      </c>
      <c r="O825" s="54" t="s">
        <v>7812</v>
      </c>
      <c r="P825" s="7" t="s">
        <v>4308</v>
      </c>
      <c r="Q825" s="11" t="str">
        <f>RIGHT("00"&amp;Table362[[#This Row],[Rule '#]],3)&amp;"_"&amp;IF(Table362[[#This Row],[Entity]]="Material","MATL",LEFT(UPPER(Table362[[#This Row],[Entity]]),4))&amp;"_"&amp;MID(SUBSTITUTE(Table362[[#This Row],[Rule Name]],"_","|",3),SEARCH("|",SUBSTITUTE(Table362[[#This Row],[Rule Name]],"_","|",3))+1,LEN(Table362[[#This Row],[Rule Name]]))</f>
        <v>448_SD_IS_MANDATORY</v>
      </c>
      <c r="R825" s="8" t="s">
        <v>4309</v>
      </c>
      <c r="S825" s="7" t="s">
        <v>21</v>
      </c>
      <c r="T825" s="7"/>
      <c r="U825" s="7"/>
      <c r="V825" s="7"/>
      <c r="W825" s="7" t="s">
        <v>4461</v>
      </c>
      <c r="X825" s="8"/>
      <c r="Y825" s="7"/>
      <c r="Z825" s="7"/>
      <c r="AA825" s="11" t="s">
        <v>4462</v>
      </c>
      <c r="AB825" s="11"/>
      <c r="AC825" s="11"/>
      <c r="AD825" s="11"/>
      <c r="AH825" s="8"/>
      <c r="AI825" s="20"/>
      <c r="AJ825" s="20"/>
      <c r="AK825" s="31"/>
      <c r="AL825" s="31"/>
    </row>
    <row r="826" spans="1:38" ht="72" hidden="1" x14ac:dyDescent="0.25">
      <c r="A826" s="14" t="s">
        <v>7479</v>
      </c>
      <c r="B826" s="7" t="s">
        <v>5877</v>
      </c>
      <c r="C826" s="7" t="s">
        <v>5672</v>
      </c>
      <c r="D826" s="7" t="s">
        <v>6711</v>
      </c>
      <c r="E826" s="7" t="s">
        <v>6714</v>
      </c>
      <c r="F826" s="7" t="s">
        <v>6715</v>
      </c>
      <c r="G826" s="7"/>
      <c r="H826" s="7"/>
      <c r="I826" s="7"/>
      <c r="J826" s="20" t="str">
        <f>VLOOKUP(V826,Table_to_BRG!A:D,3,FALSE)</f>
        <v>General data</v>
      </c>
      <c r="K826" s="20" t="str">
        <f>VLOOKUP(V826,Table_to_BRG!A:D,2,FALSE)</f>
        <v>General</v>
      </c>
      <c r="L826" s="20"/>
      <c r="M826" s="20"/>
      <c r="N826" s="9" t="s">
        <v>6465</v>
      </c>
      <c r="O826" s="54" t="s">
        <v>7812</v>
      </c>
      <c r="P826" s="7" t="s">
        <v>5543</v>
      </c>
      <c r="Q826" s="11" t="str">
        <f>RIGHT("00"&amp;Table362[[#This Row],[Rule '#]],3)&amp;"_"&amp;IF(Table362[[#This Row],[Entity]]="Material","MATL",LEFT(UPPER(Table362[[#This Row],[Entity]]),4))&amp;"_"&amp;MID(SUBSTITUTE(Table362[[#This Row],[Rule Name]],"_","|",3),SEARCH("|",SUBSTITUTE(Table362[[#This Row],[Rule Name]],"_","|",3))+1,LEN(Table362[[#This Row],[Rule Name]]))</f>
        <v>449_SD_Transportation zone</v>
      </c>
      <c r="R826" s="8" t="s">
        <v>5544</v>
      </c>
      <c r="S826" s="7" t="s">
        <v>4135</v>
      </c>
      <c r="T826" s="7"/>
      <c r="U826" s="7"/>
      <c r="V826" s="7" t="s">
        <v>2741</v>
      </c>
      <c r="W826" s="7" t="s">
        <v>5700</v>
      </c>
      <c r="X826" s="8"/>
      <c r="Y826" s="7" t="s">
        <v>5701</v>
      </c>
      <c r="Z826" s="7" t="s">
        <v>5702</v>
      </c>
      <c r="AA826" s="11" t="s">
        <v>5908</v>
      </c>
      <c r="AB826" s="11"/>
      <c r="AC826" s="11"/>
      <c r="AD826" s="11"/>
      <c r="AH826" s="8"/>
      <c r="AI826" s="20" t="s">
        <v>7708</v>
      </c>
      <c r="AJ826" s="20"/>
      <c r="AK826" s="31"/>
      <c r="AL826" s="31"/>
    </row>
    <row r="827" spans="1:38" ht="60" hidden="1" x14ac:dyDescent="0.25">
      <c r="A827" s="14" t="s">
        <v>7480</v>
      </c>
      <c r="B827" s="7" t="s">
        <v>5877</v>
      </c>
      <c r="C827" s="7" t="s">
        <v>5672</v>
      </c>
      <c r="D827" s="7" t="s">
        <v>6711</v>
      </c>
      <c r="E827" s="7" t="s">
        <v>6714</v>
      </c>
      <c r="F827" s="7" t="s">
        <v>6742</v>
      </c>
      <c r="G827" s="7"/>
      <c r="H827" s="7"/>
      <c r="I827" s="7"/>
      <c r="J827" s="20" t="str">
        <f>VLOOKUP(V827,Table_to_BRG!A:D,3,FALSE)</f>
        <v>Contact data</v>
      </c>
      <c r="K827" s="20" t="str">
        <f>VLOOKUP(V827,Table_to_BRG!A:D,2,FALSE)</f>
        <v>Contact partner</v>
      </c>
      <c r="L827" s="20"/>
      <c r="M827" s="20"/>
      <c r="N827" s="9" t="s">
        <v>6465</v>
      </c>
      <c r="O827" s="54" t="s">
        <v>7812</v>
      </c>
      <c r="P827" s="7" t="s">
        <v>5545</v>
      </c>
      <c r="Q827" s="11" t="str">
        <f>RIGHT("00"&amp;Table362[[#This Row],[Rule '#]],3)&amp;"_"&amp;IF(Table362[[#This Row],[Entity]]="Material","MATL",LEFT(UPPER(Table362[[#This Row],[Entity]]),4))&amp;"_"&amp;MID(SUBSTITUTE(Table362[[#This Row],[Rule Name]],"_","|",3),SEARCH("|",SUBSTITUTE(Table362[[#This Row],[Rule Name]],"_","|",3))+1,LEN(Table362[[#This Row],[Rule Name]]))</f>
        <v>450_SD_Partners Authority</v>
      </c>
      <c r="R827" s="8" t="s">
        <v>5926</v>
      </c>
      <c r="S827" s="7" t="s">
        <v>4135</v>
      </c>
      <c r="T827" s="7"/>
      <c r="U827" s="7"/>
      <c r="V827" s="7" t="s">
        <v>3001</v>
      </c>
      <c r="W827" s="7" t="s">
        <v>5703</v>
      </c>
      <c r="X827" s="8"/>
      <c r="Y827" s="7" t="s">
        <v>5704</v>
      </c>
      <c r="Z827" s="7" t="s">
        <v>3672</v>
      </c>
      <c r="AA827" s="11" t="s">
        <v>5705</v>
      </c>
      <c r="AB827" s="11"/>
      <c r="AC827" s="11"/>
      <c r="AD827" s="11"/>
      <c r="AH827" s="8"/>
      <c r="AI827" s="20"/>
      <c r="AJ827" s="20"/>
      <c r="AK827" s="31"/>
      <c r="AL827" s="31"/>
    </row>
    <row r="828" spans="1:38" ht="36" hidden="1" x14ac:dyDescent="0.25">
      <c r="A828" s="14" t="s">
        <v>7481</v>
      </c>
      <c r="B828" s="7" t="s">
        <v>5877</v>
      </c>
      <c r="C828" s="7" t="s">
        <v>5672</v>
      </c>
      <c r="D828" s="7" t="s">
        <v>6716</v>
      </c>
      <c r="E828" s="7" t="s">
        <v>6717</v>
      </c>
      <c r="F828" s="7" t="s">
        <v>6723</v>
      </c>
      <c r="G828" s="7"/>
      <c r="H828" s="7"/>
      <c r="I828" s="7" t="s">
        <v>3971</v>
      </c>
      <c r="J828" s="20" t="str">
        <f>VLOOKUP(V828,Table_to_BRG!A:D,3,FALSE)</f>
        <v>Tax data</v>
      </c>
      <c r="K828" s="20" t="str">
        <f>VLOOKUP(V828,Table_to_BRG!A:D,2,FALSE)</f>
        <v>Tax indicator</v>
      </c>
      <c r="L828" s="20"/>
      <c r="M828" s="20"/>
      <c r="N828" s="9" t="s">
        <v>6465</v>
      </c>
      <c r="O828" s="54" t="s">
        <v>7812</v>
      </c>
      <c r="P828" s="7" t="s">
        <v>5546</v>
      </c>
      <c r="Q828" s="11" t="str">
        <f>RIGHT("00"&amp;Table362[[#This Row],[Rule '#]],3)&amp;"_"&amp;IF(Table362[[#This Row],[Entity]]="Material","MATL",LEFT(UPPER(Table362[[#This Row],[Entity]]),4))&amp;"_"&amp;MID(SUBSTITUTE(Table362[[#This Row],[Rule Name]],"_","|",3),SEARCH("|",SUBSTITUTE(Table362[[#This Row],[Rule Name]],"_","|",3))+1,LEN(Table362[[#This Row],[Rule Name]]))</f>
        <v>451_SD_Tax classification for customer</v>
      </c>
      <c r="R828" s="8" t="s">
        <v>5927</v>
      </c>
      <c r="S828" s="7" t="s">
        <v>4135</v>
      </c>
      <c r="T828" s="7"/>
      <c r="U828" s="7"/>
      <c r="V828" s="7" t="s">
        <v>3328</v>
      </c>
      <c r="W828" s="7" t="s">
        <v>5706</v>
      </c>
      <c r="X828" s="8"/>
      <c r="Y828" s="7" t="s">
        <v>5707</v>
      </c>
      <c r="Z828" s="7" t="s">
        <v>3305</v>
      </c>
      <c r="AA828" s="11" t="str">
        <f>"BEGIN
     RETURN exists('DS_IS_RDS', '"&amp;Table362[[#This Row],[Lookup Table]]&amp;"', '"&amp;Table362[[#This Row],[Lookup Field]]&amp;"', "&amp;Table362[[#This Row],[IS Parameter]]&amp;");
END"</f>
        <v>BEGIN
     RETURN exists('DS_IS_RDS', 'TSKD', 'TAXKD', );
END</v>
      </c>
      <c r="AB828" s="11"/>
      <c r="AC828" s="11"/>
      <c r="AD828" s="11"/>
      <c r="AH828" s="8"/>
      <c r="AI828" s="20" t="s">
        <v>7651</v>
      </c>
      <c r="AJ828" s="20"/>
      <c r="AK828" s="31"/>
      <c r="AL828" s="31"/>
    </row>
    <row r="829" spans="1:38" ht="36" hidden="1" x14ac:dyDescent="0.25">
      <c r="A829" s="14" t="s">
        <v>7482</v>
      </c>
      <c r="B829" s="7" t="s">
        <v>5877</v>
      </c>
      <c r="C829" s="7" t="s">
        <v>5672</v>
      </c>
      <c r="D829" s="7" t="s">
        <v>6711</v>
      </c>
      <c r="E829" s="7" t="s">
        <v>6714</v>
      </c>
      <c r="F829" s="7" t="s">
        <v>6715</v>
      </c>
      <c r="G829" s="7"/>
      <c r="H829" s="7"/>
      <c r="I829" s="7"/>
      <c r="J829" s="20" t="str">
        <f>VLOOKUP(V829,Table_to_BRG!A:D,3,FALSE)</f>
        <v>General data</v>
      </c>
      <c r="K829" s="20" t="str">
        <f>VLOOKUP(V829,Table_to_BRG!A:D,2,FALSE)</f>
        <v>General</v>
      </c>
      <c r="L829" s="20"/>
      <c r="M829" s="20"/>
      <c r="N829" s="9" t="s">
        <v>6465</v>
      </c>
      <c r="O829" s="54" t="s">
        <v>7812</v>
      </c>
      <c r="P829" s="7" t="s">
        <v>5547</v>
      </c>
      <c r="Q829" s="11" t="str">
        <f>RIGHT("00"&amp;Table362[[#This Row],[Rule '#]],3)&amp;"_"&amp;IF(Table362[[#This Row],[Entity]]="Material","MATL",LEFT(UPPER(Table362[[#This Row],[Entity]]),4))&amp;"_"&amp;MID(SUBSTITUTE(Table362[[#This Row],[Rule Name]],"_","|",3),SEARCH("|",SUBSTITUTE(Table362[[#This Row],[Rule Name]],"_","|",3))+1,LEN(Table362[[#This Row],[Rule Name]]))</f>
        <v>452_SD_Attribute 1</v>
      </c>
      <c r="R829" s="8" t="s">
        <v>5548</v>
      </c>
      <c r="S829" s="7" t="s">
        <v>4135</v>
      </c>
      <c r="T829" s="7"/>
      <c r="U829" s="7"/>
      <c r="V829" s="7" t="s">
        <v>2741</v>
      </c>
      <c r="W829" s="7" t="s">
        <v>5708</v>
      </c>
      <c r="X829" s="8"/>
      <c r="Y829" s="7" t="s">
        <v>5709</v>
      </c>
      <c r="Z829" s="7" t="s">
        <v>5710</v>
      </c>
      <c r="AA829" s="11" t="str">
        <f>"BEGIN
     RETURN exists('DS_IS_RDS', '"&amp;Table362[[#This Row],[Lookup Table]]&amp;"', '"&amp;Table362[[#This Row],[Lookup Field]]&amp;"', "&amp;Table362[[#This Row],[IS Parameter]]&amp;");
END"</f>
        <v>BEGIN
     RETURN exists('DS_IS_RDS', 'TVK1', 'KATR1', );
END</v>
      </c>
      <c r="AB829" s="11"/>
      <c r="AC829" s="11"/>
      <c r="AD829" s="11"/>
      <c r="AH829" s="8"/>
      <c r="AI829" s="20"/>
      <c r="AJ829" s="20"/>
      <c r="AK829" s="31"/>
      <c r="AL829" s="31"/>
    </row>
    <row r="830" spans="1:38" ht="45" hidden="1" x14ac:dyDescent="0.25">
      <c r="A830" s="14" t="s">
        <v>7483</v>
      </c>
      <c r="B830" s="7" t="s">
        <v>5877</v>
      </c>
      <c r="C830" s="7" t="s">
        <v>5672</v>
      </c>
      <c r="D830" s="7" t="s">
        <v>6719</v>
      </c>
      <c r="E830" s="7" t="s">
        <v>6740</v>
      </c>
      <c r="F830" s="7" t="s">
        <v>6749</v>
      </c>
      <c r="G830" s="7"/>
      <c r="H830" s="7"/>
      <c r="I830" s="7"/>
      <c r="J830" s="20" t="str">
        <f>VLOOKUP(V830,Table_to_BRG!A:D,3,FALSE)</f>
        <v>Partner data</v>
      </c>
      <c r="K830" s="20" t="str">
        <f>VLOOKUP(V830,Table_to_BRG!A:D,2,FALSE)</f>
        <v>Partner Functions</v>
      </c>
      <c r="L830" s="20"/>
      <c r="M830" s="20"/>
      <c r="N830" s="9" t="s">
        <v>6465</v>
      </c>
      <c r="O830" s="54" t="s">
        <v>7812</v>
      </c>
      <c r="P830" s="7" t="s">
        <v>5549</v>
      </c>
      <c r="Q830" s="11" t="str">
        <f>RIGHT("00"&amp;Table362[[#This Row],[Rule '#]],3)&amp;"_"&amp;IF(Table362[[#This Row],[Entity]]="Material","MATL",LEFT(UPPER(Table362[[#This Row],[Entity]]),4))&amp;"_"&amp;MID(SUBSTITUTE(Table362[[#This Row],[Rule Name]],"_","|",3),SEARCH("|",SUBSTITUTE(Table362[[#This Row],[Rule Name]],"_","|",3))+1,LEN(Table362[[#This Row],[Rule Name]]))</f>
        <v>453_SD_Distribution Channel</v>
      </c>
      <c r="R830" s="8" t="s">
        <v>5928</v>
      </c>
      <c r="S830" s="7" t="s">
        <v>4135</v>
      </c>
      <c r="T830" s="7"/>
      <c r="U830" s="7"/>
      <c r="V830" s="7" t="s">
        <v>3359</v>
      </c>
      <c r="W830" s="7" t="s">
        <v>5711</v>
      </c>
      <c r="X830" s="8"/>
      <c r="Y830" s="7" t="s">
        <v>4244</v>
      </c>
      <c r="Z830" s="7" t="s">
        <v>2435</v>
      </c>
      <c r="AA830" s="11" t="str">
        <f>"BEGIN
     RETURN exists('DS_IS_RDS', '"&amp;Table362[[#This Row],[Lookup Table]]&amp;"', '"&amp;Table362[[#This Row],[Lookup Field]]&amp;"', "&amp;Table362[[#This Row],[IS Parameter]]&amp;");
END"</f>
        <v>BEGIN
     RETURN exists('DS_IS_RDS', 'TVTW', 'VTWEG', );
END</v>
      </c>
      <c r="AB830" s="11"/>
      <c r="AC830" s="11"/>
      <c r="AD830" s="11"/>
      <c r="AH830" s="8"/>
      <c r="AI830" s="20"/>
      <c r="AJ830" s="20"/>
      <c r="AK830" s="31"/>
      <c r="AL830" s="31"/>
    </row>
    <row r="831" spans="1:38" ht="36" hidden="1" x14ac:dyDescent="0.25">
      <c r="A831" s="14" t="s">
        <v>7484</v>
      </c>
      <c r="B831" s="7" t="s">
        <v>5877</v>
      </c>
      <c r="C831" s="7" t="s">
        <v>5672</v>
      </c>
      <c r="D831" s="7" t="s">
        <v>6711</v>
      </c>
      <c r="E831" s="7" t="s">
        <v>6714</v>
      </c>
      <c r="F831" s="7" t="s">
        <v>6724</v>
      </c>
      <c r="G831" s="7"/>
      <c r="H831" s="7"/>
      <c r="I831" s="7"/>
      <c r="J831" s="20" t="str">
        <f>VLOOKUP(V831,Table_to_BRG!A:D,3,FALSE)</f>
        <v>Customer sales data</v>
      </c>
      <c r="K831" s="20" t="str">
        <f>VLOOKUP(V831,Table_to_BRG!A:D,2,FALSE)</f>
        <v>Sales</v>
      </c>
      <c r="L831" s="20"/>
      <c r="M831" s="20"/>
      <c r="N831" s="9" t="s">
        <v>6465</v>
      </c>
      <c r="O831" s="54" t="s">
        <v>7812</v>
      </c>
      <c r="P831" s="7" t="s">
        <v>5550</v>
      </c>
      <c r="Q831" s="11" t="str">
        <f>RIGHT("00"&amp;Table362[[#This Row],[Rule '#]],3)&amp;"_"&amp;IF(Table362[[#This Row],[Entity]]="Material","MATL",LEFT(UPPER(Table362[[#This Row],[Entity]]),4))&amp;"_"&amp;MID(SUBSTITUTE(Table362[[#This Row],[Rule Name]],"_","|",3),SEARCH("|",SUBSTITUTE(Table362[[#This Row],[Rule Name]],"_","|",3))+1,LEN(Table362[[#This Row],[Rule Name]]))</f>
        <v>454_SD_Customer group 1 Indicator</v>
      </c>
      <c r="R831" s="8" t="s">
        <v>5551</v>
      </c>
      <c r="S831" s="7" t="s">
        <v>4135</v>
      </c>
      <c r="T831" s="7"/>
      <c r="U831" s="7"/>
      <c r="V831" s="7" t="s">
        <v>3334</v>
      </c>
      <c r="W831" s="7" t="s">
        <v>5712</v>
      </c>
      <c r="X831" s="8"/>
      <c r="Y831" s="7" t="s">
        <v>5713</v>
      </c>
      <c r="Z831" s="7" t="s">
        <v>5714</v>
      </c>
      <c r="AA831" s="11" t="str">
        <f>"BEGIN
     RETURN exists('DS_IS_RDS', '"&amp;Table362[[#This Row],[Lookup Table]]&amp;"', '"&amp;Table362[[#This Row],[Lookup Field]]&amp;"', "&amp;Table362[[#This Row],[IS Parameter]]&amp;");
END"</f>
        <v>BEGIN
     RETURN exists('DS_IS_RDS', 'TVV1', 'KVGR1', );
END</v>
      </c>
      <c r="AB831" s="11"/>
      <c r="AC831" s="11"/>
      <c r="AD831" s="11"/>
      <c r="AH831" s="8"/>
      <c r="AI831" s="20"/>
      <c r="AJ831" s="20"/>
      <c r="AK831" s="31"/>
      <c r="AL831" s="31"/>
    </row>
    <row r="832" spans="1:38" ht="60" hidden="1" x14ac:dyDescent="0.25">
      <c r="A832" s="14" t="s">
        <v>7485</v>
      </c>
      <c r="B832" s="7" t="s">
        <v>5877</v>
      </c>
      <c r="C832" s="7" t="s">
        <v>5672</v>
      </c>
      <c r="D832" s="7" t="s">
        <v>6711</v>
      </c>
      <c r="E832" s="7" t="s">
        <v>6714</v>
      </c>
      <c r="F832" s="7" t="s">
        <v>6742</v>
      </c>
      <c r="G832" s="7"/>
      <c r="H832" s="7"/>
      <c r="I832" s="7"/>
      <c r="J832" s="20" t="str">
        <f>VLOOKUP(V832,Table_to_BRG!A:D,3,FALSE)</f>
        <v>Contact data</v>
      </c>
      <c r="K832" s="20" t="str">
        <f>VLOOKUP(V832,Table_to_BRG!A:D,2,FALSE)</f>
        <v>Contact partner</v>
      </c>
      <c r="L832" s="20"/>
      <c r="M832" s="20"/>
      <c r="N832" s="9" t="s">
        <v>6465</v>
      </c>
      <c r="O832" s="54" t="s">
        <v>7812</v>
      </c>
      <c r="P832" s="7" t="s">
        <v>5552</v>
      </c>
      <c r="Q832" s="11" t="str">
        <f>RIGHT("00"&amp;Table362[[#This Row],[Rule '#]],3)&amp;"_"&amp;IF(Table362[[#This Row],[Entity]]="Material","MATL",LEFT(UPPER(Table362[[#This Row],[Entity]]),4))&amp;"_"&amp;MID(SUBSTITUTE(Table362[[#This Row],[Rule Name]],"_","|",3),SEARCH("|",SUBSTITUTE(Table362[[#This Row],[Rule Name]],"_","|",3))+1,LEN(Table362[[#This Row],[Rule Name]]))</f>
        <v>455_SD_Contact person: Attribute 9</v>
      </c>
      <c r="R832" s="8" t="s">
        <v>5929</v>
      </c>
      <c r="S832" s="7" t="s">
        <v>4135</v>
      </c>
      <c r="T832" s="7"/>
      <c r="U832" s="7"/>
      <c r="V832" s="7" t="s">
        <v>3001</v>
      </c>
      <c r="W832" s="7" t="s">
        <v>5715</v>
      </c>
      <c r="X832" s="8"/>
      <c r="Y832" s="7" t="s">
        <v>5716</v>
      </c>
      <c r="Z832" s="7" t="s">
        <v>5717</v>
      </c>
      <c r="AA832" s="11" t="s">
        <v>5718</v>
      </c>
      <c r="AB832" s="11"/>
      <c r="AC832" s="11"/>
      <c r="AD832" s="11"/>
      <c r="AH832" s="8"/>
      <c r="AI832" s="20"/>
      <c r="AJ832" s="20"/>
      <c r="AK832" s="31"/>
      <c r="AL832" s="31"/>
    </row>
    <row r="833" spans="1:38" ht="45" hidden="1" x14ac:dyDescent="0.25">
      <c r="A833" s="14" t="s">
        <v>7486</v>
      </c>
      <c r="B833" s="7" t="s">
        <v>5877</v>
      </c>
      <c r="C833" s="7" t="s">
        <v>5672</v>
      </c>
      <c r="D833" s="7" t="s">
        <v>6711</v>
      </c>
      <c r="E833" s="7" t="s">
        <v>6714</v>
      </c>
      <c r="F833" s="7" t="s">
        <v>6724</v>
      </c>
      <c r="G833" s="7"/>
      <c r="H833" s="7"/>
      <c r="I833" s="7"/>
      <c r="J833" s="20" t="str">
        <f>VLOOKUP(V833,Table_to_BRG!A:D,3,FALSE)</f>
        <v>Customer sales data</v>
      </c>
      <c r="K833" s="20" t="str">
        <f>VLOOKUP(V833,Table_to_BRG!A:D,2,FALSE)</f>
        <v>Sales</v>
      </c>
      <c r="L833" s="20"/>
      <c r="M833" s="20"/>
      <c r="N833" s="9" t="s">
        <v>6465</v>
      </c>
      <c r="O833" s="54" t="s">
        <v>7812</v>
      </c>
      <c r="P833" s="7" t="s">
        <v>5553</v>
      </c>
      <c r="Q833" s="11" t="str">
        <f>RIGHT("00"&amp;Table362[[#This Row],[Rule '#]],3)&amp;"_"&amp;IF(Table362[[#This Row],[Entity]]="Material","MATL",LEFT(UPPER(Table362[[#This Row],[Entity]]),4))&amp;"_"&amp;MID(SUBSTITUTE(Table362[[#This Row],[Rule Name]],"_","|",3),SEARCH("|",SUBSTITUTE(Table362[[#This Row],[Rule Name]],"_","|",3))+1,LEN(Table362[[#This Row],[Rule Name]]))</f>
        <v>456_SD_Sales Group</v>
      </c>
      <c r="R833" s="8" t="s">
        <v>5554</v>
      </c>
      <c r="S833" s="7" t="s">
        <v>4135</v>
      </c>
      <c r="T833" s="7"/>
      <c r="U833" s="7"/>
      <c r="V833" s="7" t="s">
        <v>3334</v>
      </c>
      <c r="W833" s="7" t="s">
        <v>5719</v>
      </c>
      <c r="X833" s="8"/>
      <c r="Y833" s="7" t="s">
        <v>5720</v>
      </c>
      <c r="Z833" s="7" t="s">
        <v>3407</v>
      </c>
      <c r="AA833" s="11" t="str">
        <f>"BEGIN
     RETURN exists('DS_IS_RDS', '"&amp;Table362[[#This Row],[Lookup Table]]&amp;"', '"&amp;Table362[[#This Row],[Lookup Field]]&amp;"', "&amp;Table362[[#This Row],[IS Parameter]]&amp;");
END"</f>
        <v>BEGIN
     RETURN exists('DS_IS_RDS', 'TVBVK', 'VKGRP', );
END</v>
      </c>
      <c r="AB833" s="11"/>
      <c r="AC833" s="11"/>
      <c r="AD833" s="11"/>
      <c r="AH833" s="8"/>
      <c r="AI833" s="20" t="s">
        <v>7727</v>
      </c>
      <c r="AJ833" s="20"/>
      <c r="AK833" s="31"/>
      <c r="AL833" s="31"/>
    </row>
    <row r="834" spans="1:38" ht="36" hidden="1" x14ac:dyDescent="0.25">
      <c r="A834" s="14" t="s">
        <v>7487</v>
      </c>
      <c r="B834" s="7" t="s">
        <v>5877</v>
      </c>
      <c r="C834" s="7" t="s">
        <v>5672</v>
      </c>
      <c r="D834" s="7" t="s">
        <v>6719</v>
      </c>
      <c r="E834" s="7" t="s">
        <v>6740</v>
      </c>
      <c r="F834" s="7" t="s">
        <v>6749</v>
      </c>
      <c r="G834" s="7"/>
      <c r="H834" s="7"/>
      <c r="I834" s="7"/>
      <c r="J834" s="20" t="str">
        <f>VLOOKUP(V834,Table_to_BRG!A:D,3,FALSE)</f>
        <v>Partner data</v>
      </c>
      <c r="K834" s="20" t="str">
        <f>VLOOKUP(V834,Table_to_BRG!A:D,2,FALSE)</f>
        <v>Partner Functions</v>
      </c>
      <c r="L834" s="20"/>
      <c r="M834" s="20"/>
      <c r="N834" s="9" t="s">
        <v>6465</v>
      </c>
      <c r="O834" s="54" t="s">
        <v>7812</v>
      </c>
      <c r="P834" s="7" t="s">
        <v>5555</v>
      </c>
      <c r="Q834" s="11" t="str">
        <f>RIGHT("00"&amp;Table362[[#This Row],[Rule '#]],3)&amp;"_"&amp;IF(Table362[[#This Row],[Entity]]="Material","MATL",LEFT(UPPER(Table362[[#This Row],[Entity]]),4))&amp;"_"&amp;MID(SUBSTITUTE(Table362[[#This Row],[Rule Name]],"_","|",3),SEARCH("|",SUBSTITUTE(Table362[[#This Row],[Rule Name]],"_","|",3))+1,LEN(Table362[[#This Row],[Rule Name]]))</f>
        <v>457_SD_Sales Organization</v>
      </c>
      <c r="R834" s="8" t="s">
        <v>5930</v>
      </c>
      <c r="S834" s="7" t="s">
        <v>4135</v>
      </c>
      <c r="T834" s="7"/>
      <c r="U834" s="7"/>
      <c r="V834" s="7" t="s">
        <v>3359</v>
      </c>
      <c r="W834" s="7" t="s">
        <v>4780</v>
      </c>
      <c r="X834" s="8"/>
      <c r="Y834" s="7" t="s">
        <v>4285</v>
      </c>
      <c r="Z834" s="7" t="s">
        <v>2434</v>
      </c>
      <c r="AA834" s="11" t="str">
        <f>"BEGIN
     RETURN exists('DS_IS_RDS', '"&amp;Table362[[#This Row],[Lookup Table]]&amp;"', '"&amp;Table362[[#This Row],[Lookup Field]]&amp;"', "&amp;Table362[[#This Row],[IS Parameter]]&amp;");
END"</f>
        <v>BEGIN
     RETURN exists('DS_IS_RDS', 'TVKO', 'VKORG', );
END</v>
      </c>
      <c r="AB834" s="11"/>
      <c r="AC834" s="11"/>
      <c r="AD834" s="11"/>
      <c r="AH834" s="8"/>
      <c r="AI834" s="20" t="s">
        <v>7724</v>
      </c>
      <c r="AJ834" s="20"/>
      <c r="AK834" s="31"/>
      <c r="AL834" s="31"/>
    </row>
    <row r="835" spans="1:38" ht="36" hidden="1" x14ac:dyDescent="0.25">
      <c r="A835" s="14" t="s">
        <v>7488</v>
      </c>
      <c r="B835" s="7" t="s">
        <v>5877</v>
      </c>
      <c r="C835" s="7" t="s">
        <v>5672</v>
      </c>
      <c r="D835" s="7" t="s">
        <v>6711</v>
      </c>
      <c r="E835" s="7" t="s">
        <v>6714</v>
      </c>
      <c r="F835" s="7" t="s">
        <v>6715</v>
      </c>
      <c r="G835" s="7"/>
      <c r="H835" s="7"/>
      <c r="I835" s="7"/>
      <c r="J835" s="20" t="str">
        <f>VLOOKUP(V835,Table_to_BRG!A:D,3,FALSE)</f>
        <v>General data</v>
      </c>
      <c r="K835" s="20" t="str">
        <f>VLOOKUP(V835,Table_to_BRG!A:D,2,FALSE)</f>
        <v>General</v>
      </c>
      <c r="L835" s="20"/>
      <c r="M835" s="20"/>
      <c r="N835" s="9" t="s">
        <v>6465</v>
      </c>
      <c r="O835" s="54" t="s">
        <v>7812</v>
      </c>
      <c r="P835" s="7" t="s">
        <v>5556</v>
      </c>
      <c r="Q835" s="11" t="str">
        <f>RIGHT("00"&amp;Table362[[#This Row],[Rule '#]],3)&amp;"_"&amp;IF(Table362[[#This Row],[Entity]]="Material","MATL",LEFT(UPPER(Table362[[#This Row],[Entity]]),4))&amp;"_"&amp;MID(SUBSTITUTE(Table362[[#This Row],[Rule Name]],"_","|",3),SEARCH("|",SUBSTITUTE(Table362[[#This Row],[Rule Name]],"_","|",3))+1,LEN(Table362[[#This Row],[Rule Name]]))</f>
        <v>458_SD_Language Key</v>
      </c>
      <c r="R835" s="8" t="s">
        <v>5557</v>
      </c>
      <c r="S835" s="7" t="s">
        <v>4135</v>
      </c>
      <c r="T835" s="7"/>
      <c r="U835" s="7"/>
      <c r="V835" s="7" t="s">
        <v>2741</v>
      </c>
      <c r="W835" s="7" t="s">
        <v>4471</v>
      </c>
      <c r="X835" s="8"/>
      <c r="Y835" s="7" t="s">
        <v>4188</v>
      </c>
      <c r="Z835" s="7" t="s">
        <v>1534</v>
      </c>
      <c r="AA835" s="11" t="str">
        <f>"BEGIN
     RETURN exists('DS_IS_RDS', '"&amp;Table362[[#This Row],[Lookup Table]]&amp;"', '"&amp;Table362[[#This Row],[Lookup Field]]&amp;"', "&amp;Table362[[#This Row],[IS Parameter]]&amp;");
END"</f>
        <v>BEGIN
     RETURN exists('DS_IS_RDS', 'T002', 'SPRAS', );
END</v>
      </c>
      <c r="AB835" s="11"/>
      <c r="AC835" s="11"/>
      <c r="AD835" s="11"/>
      <c r="AH835" s="8"/>
      <c r="AI835" s="20"/>
      <c r="AJ835" s="20"/>
      <c r="AK835" s="31"/>
      <c r="AL835" s="31"/>
    </row>
    <row r="836" spans="1:38" ht="60" hidden="1" x14ac:dyDescent="0.25">
      <c r="A836" s="14" t="s">
        <v>7489</v>
      </c>
      <c r="B836" s="7" t="s">
        <v>5877</v>
      </c>
      <c r="C836" s="7" t="s">
        <v>5672</v>
      </c>
      <c r="D836" s="7" t="s">
        <v>6711</v>
      </c>
      <c r="E836" s="7" t="s">
        <v>6714</v>
      </c>
      <c r="F836" s="7" t="s">
        <v>6742</v>
      </c>
      <c r="G836" s="7"/>
      <c r="H836" s="7"/>
      <c r="I836" s="7"/>
      <c r="J836" s="20" t="str">
        <f>VLOOKUP(V836,Table_to_BRG!A:D,3,FALSE)</f>
        <v>Contact data</v>
      </c>
      <c r="K836" s="20" t="str">
        <f>VLOOKUP(V836,Table_to_BRG!A:D,2,FALSE)</f>
        <v>Contact partner</v>
      </c>
      <c r="L836" s="20"/>
      <c r="M836" s="20"/>
      <c r="N836" s="9" t="s">
        <v>6465</v>
      </c>
      <c r="O836" s="54" t="s">
        <v>7812</v>
      </c>
      <c r="P836" s="7" t="s">
        <v>5558</v>
      </c>
      <c r="Q836" s="11" t="str">
        <f>RIGHT("00"&amp;Table362[[#This Row],[Rule '#]],3)&amp;"_"&amp;IF(Table362[[#This Row],[Entity]]="Material","MATL",LEFT(UPPER(Table362[[#This Row],[Entity]]),4))&amp;"_"&amp;MID(SUBSTITUTE(Table362[[#This Row],[Rule Name]],"_","|",3),SEARCH("|",SUBSTITUTE(Table362[[#This Row],[Rule Name]],"_","|",3))+1,LEN(Table362[[#This Row],[Rule Name]]))</f>
        <v>459_SD_Call frequency</v>
      </c>
      <c r="R836" s="8" t="s">
        <v>5931</v>
      </c>
      <c r="S836" s="7" t="s">
        <v>4135</v>
      </c>
      <c r="T836" s="7"/>
      <c r="U836" s="7"/>
      <c r="V836" s="7" t="s">
        <v>3001</v>
      </c>
      <c r="W836" s="7" t="s">
        <v>5721</v>
      </c>
      <c r="X836" s="8"/>
      <c r="Y836" s="7" t="s">
        <v>5722</v>
      </c>
      <c r="Z836" s="7" t="s">
        <v>3673</v>
      </c>
      <c r="AA836" s="11" t="s">
        <v>5723</v>
      </c>
      <c r="AB836" s="11"/>
      <c r="AC836" s="11"/>
      <c r="AD836" s="11"/>
      <c r="AH836" s="8"/>
      <c r="AI836" s="20"/>
      <c r="AJ836" s="20"/>
      <c r="AK836" s="31"/>
      <c r="AL836" s="31"/>
    </row>
    <row r="837" spans="1:38" ht="36" hidden="1" x14ac:dyDescent="0.25">
      <c r="A837" s="14" t="s">
        <v>7490</v>
      </c>
      <c r="B837" s="7" t="s">
        <v>5877</v>
      </c>
      <c r="C837" s="7" t="s">
        <v>5672</v>
      </c>
      <c r="D837" s="7" t="s">
        <v>6719</v>
      </c>
      <c r="E837" s="7" t="s">
        <v>6720</v>
      </c>
      <c r="F837" s="7" t="s">
        <v>6744</v>
      </c>
      <c r="G837" s="7"/>
      <c r="H837" s="7"/>
      <c r="I837" s="7"/>
      <c r="J837" s="20" t="str">
        <f>VLOOKUP(V837,Table_to_BRG!A:D,3,FALSE)</f>
        <v>Dunning data</v>
      </c>
      <c r="K837" s="20" t="str">
        <f>VLOOKUP(V837,Table_to_BRG!A:D,2,FALSE)</f>
        <v>Dunning</v>
      </c>
      <c r="L837" s="20"/>
      <c r="M837" s="20"/>
      <c r="N837" s="9" t="s">
        <v>6465</v>
      </c>
      <c r="O837" s="54" t="s">
        <v>7812</v>
      </c>
      <c r="P837" s="7" t="s">
        <v>5559</v>
      </c>
      <c r="Q837" s="11" t="str">
        <f>RIGHT("00"&amp;Table362[[#This Row],[Rule '#]],3)&amp;"_"&amp;IF(Table362[[#This Row],[Entity]]="Material","MATL",LEFT(UPPER(Table362[[#This Row],[Entity]]),4))&amp;"_"&amp;MID(SUBSTITUTE(Table362[[#This Row],[Rule Name]],"_","|",3),SEARCH("|",SUBSTITUTE(Table362[[#This Row],[Rule Name]],"_","|",3))+1,LEN(Table362[[#This Row],[Rule Name]]))</f>
        <v>460_SD_Dunning Procedure</v>
      </c>
      <c r="R837" s="8" t="s">
        <v>5932</v>
      </c>
      <c r="S837" s="7" t="s">
        <v>4135</v>
      </c>
      <c r="T837" s="7"/>
      <c r="U837" s="7"/>
      <c r="V837" s="7" t="s">
        <v>2827</v>
      </c>
      <c r="W837" s="7" t="s">
        <v>5724</v>
      </c>
      <c r="X837" s="8"/>
      <c r="Y837" s="7" t="s">
        <v>5725</v>
      </c>
      <c r="Z837" s="7" t="s">
        <v>2786</v>
      </c>
      <c r="AA837" s="11" t="str">
        <f>"BEGIN
     RETURN exists('DS_IS_RDS', '"&amp;Table362[[#This Row],[Lookup Table]]&amp;"', '"&amp;Table362[[#This Row],[Lookup Field]]&amp;"', "&amp;Table362[[#This Row],[IS Parameter]]&amp;");
END"</f>
        <v>BEGIN
     RETURN exists('DS_IS_RDS', 'T047A', 'MAHNA', );
END</v>
      </c>
      <c r="AB837" s="11"/>
      <c r="AC837" s="11"/>
      <c r="AD837" s="11"/>
      <c r="AH837" s="8"/>
      <c r="AI837" s="20"/>
      <c r="AJ837" s="20"/>
      <c r="AK837" s="31"/>
      <c r="AL837" s="31"/>
    </row>
    <row r="838" spans="1:38" ht="72" hidden="1" x14ac:dyDescent="0.25">
      <c r="A838" s="14" t="s">
        <v>7491</v>
      </c>
      <c r="B838" s="7" t="s">
        <v>5877</v>
      </c>
      <c r="C838" s="7" t="s">
        <v>5672</v>
      </c>
      <c r="D838" s="7" t="s">
        <v>6719</v>
      </c>
      <c r="E838" s="7" t="s">
        <v>6720</v>
      </c>
      <c r="F838" s="7" t="s">
        <v>6721</v>
      </c>
      <c r="G838" s="7"/>
      <c r="H838" s="7"/>
      <c r="I838" s="7"/>
      <c r="J838" s="20" t="str">
        <f>VLOOKUP(V838,Table_to_BRG!A:D,3,FALSE)</f>
        <v>Company Code data</v>
      </c>
      <c r="K838" s="20" t="str">
        <f>VLOOKUP(V838,Table_to_BRG!A:D,2,FALSE)</f>
        <v>Company Code</v>
      </c>
      <c r="L838" s="20"/>
      <c r="M838" s="20"/>
      <c r="N838" s="9" t="s">
        <v>6465</v>
      </c>
      <c r="O838" s="54" t="s">
        <v>7812</v>
      </c>
      <c r="P838" s="7" t="s">
        <v>5560</v>
      </c>
      <c r="Q838" s="11" t="str">
        <f>RIGHT("00"&amp;Table362[[#This Row],[Rule '#]],3)&amp;"_"&amp;IF(Table362[[#This Row],[Entity]]="Material","MATL",LEFT(UPPER(Table362[[#This Row],[Entity]]),4))&amp;"_"&amp;MID(SUBSTITUTE(Table362[[#This Row],[Rule Name]],"_","|",3),SEARCH("|",SUBSTITUTE(Table362[[#This Row],[Rule Name]],"_","|",3))+1,LEN(Table362[[#This Row],[Rule Name]]))</f>
        <v>461_SD_Accounts_Statements</v>
      </c>
      <c r="R838" s="8" t="s">
        <v>5561</v>
      </c>
      <c r="S838" s="7" t="s">
        <v>4135</v>
      </c>
      <c r="T838" s="7"/>
      <c r="U838" s="7"/>
      <c r="V838" s="7" t="s">
        <v>2740</v>
      </c>
      <c r="W838" s="7" t="s">
        <v>5697</v>
      </c>
      <c r="X838" s="8"/>
      <c r="Y838" s="7" t="s">
        <v>4236</v>
      </c>
      <c r="Z838" s="7" t="s">
        <v>2794</v>
      </c>
      <c r="AA838" s="11" t="s">
        <v>5726</v>
      </c>
      <c r="AB838" s="11"/>
      <c r="AC838" s="11"/>
      <c r="AD838" s="11"/>
      <c r="AH838" s="8"/>
      <c r="AI838" s="20"/>
      <c r="AJ838" s="20"/>
      <c r="AK838" s="31"/>
      <c r="AL838" s="31"/>
    </row>
    <row r="839" spans="1:38" ht="48" hidden="1" x14ac:dyDescent="0.25">
      <c r="A839" s="14" t="s">
        <v>7492</v>
      </c>
      <c r="B839" s="7" t="s">
        <v>5877</v>
      </c>
      <c r="C839" s="7" t="s">
        <v>5672</v>
      </c>
      <c r="D839" s="7" t="s">
        <v>5978</v>
      </c>
      <c r="E839" s="7" t="s">
        <v>5978</v>
      </c>
      <c r="F839" s="7" t="s">
        <v>5978</v>
      </c>
      <c r="G839" s="7"/>
      <c r="H839" s="7"/>
      <c r="I839" s="7"/>
      <c r="J839" s="20" t="e">
        <f>VLOOKUP(V839,Table_to_BRG!A:D,3,FALSE)</f>
        <v>#N/A</v>
      </c>
      <c r="K839" s="20" t="e">
        <f>VLOOKUP(V839,Table_to_BRG!A:D,2,FALSE)</f>
        <v>#N/A</v>
      </c>
      <c r="L839" s="20"/>
      <c r="M839" s="20"/>
      <c r="N839" s="9" t="s">
        <v>6465</v>
      </c>
      <c r="O839" s="54" t="s">
        <v>7812</v>
      </c>
      <c r="P839" s="7" t="s">
        <v>4065</v>
      </c>
      <c r="Q839" s="11" t="e">
        <f>RIGHT("00"&amp;Table362[[#This Row],[Rule '#]],3)&amp;"_"&amp;IF(Table362[[#This Row],[Entity]]="Material","MATL",LEFT(UPPER(Table362[[#This Row],[Entity]]),4))&amp;"_"&amp;MID(SUBSTITUTE(Table362[[#This Row],[Rule Name]],"_","|",3),SEARCH("|",SUBSTITUTE(Table362[[#This Row],[Rule Name]],"_","|",3))+1,LEN(Table362[[#This Row],[Rule Name]]))</f>
        <v>#VALUE!</v>
      </c>
      <c r="R839" s="8"/>
      <c r="S839" s="7" t="s">
        <v>4135</v>
      </c>
      <c r="T839" s="7"/>
      <c r="U839" s="7"/>
      <c r="V839" s="7"/>
      <c r="W839" s="7" t="s">
        <v>4151</v>
      </c>
      <c r="X839" s="8"/>
      <c r="Y839" s="7"/>
      <c r="Z839" s="7"/>
      <c r="AA839" s="11" t="s">
        <v>4178</v>
      </c>
      <c r="AB839" s="11"/>
      <c r="AC839" s="11"/>
      <c r="AD839" s="11"/>
      <c r="AH839" s="8"/>
      <c r="AI839" s="20"/>
      <c r="AJ839" s="20"/>
      <c r="AK839" s="31"/>
      <c r="AL839" s="31"/>
    </row>
    <row r="840" spans="1:38" ht="36" hidden="1" x14ac:dyDescent="0.25">
      <c r="A840" s="14" t="s">
        <v>7493</v>
      </c>
      <c r="B840" s="7" t="s">
        <v>5877</v>
      </c>
      <c r="C840" s="7" t="s">
        <v>5672</v>
      </c>
      <c r="D840" s="7" t="s">
        <v>6719</v>
      </c>
      <c r="E840" s="7" t="s">
        <v>6740</v>
      </c>
      <c r="F840" s="7" t="s">
        <v>6759</v>
      </c>
      <c r="G840" s="7"/>
      <c r="H840" s="7"/>
      <c r="I840" s="7"/>
      <c r="J840" s="20" t="e">
        <f>VLOOKUP(V840,Table_to_BRG!A:D,3,FALSE)</f>
        <v>#N/A</v>
      </c>
      <c r="K840" s="20" t="e">
        <f>VLOOKUP(V840,Table_to_BRG!A:D,2,FALSE)</f>
        <v>#N/A</v>
      </c>
      <c r="L840" s="20"/>
      <c r="M840" s="20"/>
      <c r="N840" s="9" t="s">
        <v>6465</v>
      </c>
      <c r="O840" s="54" t="s">
        <v>7812</v>
      </c>
      <c r="P840" s="7" t="s">
        <v>5562</v>
      </c>
      <c r="Q840" s="11" t="str">
        <f>RIGHT("00"&amp;Table362[[#This Row],[Rule '#]],3)&amp;"_"&amp;IF(Table362[[#This Row],[Entity]]="Material","MATL",LEFT(UPPER(Table362[[#This Row],[Entity]]),4))&amp;"_"&amp;MID(SUBSTITUTE(Table362[[#This Row],[Rule Name]],"_","|",3),SEARCH("|",SUBSTITUTE(Table362[[#This Row],[Rule Name]],"_","|",3))+1,LEN(Table362[[#This Row],[Rule Name]]))</f>
        <v>463_SD_Credit management: Risk category</v>
      </c>
      <c r="R840" s="8" t="s">
        <v>5933</v>
      </c>
      <c r="S840" s="7" t="s">
        <v>4135</v>
      </c>
      <c r="T840" s="7"/>
      <c r="U840" s="7"/>
      <c r="V840" s="7" t="s">
        <v>5727</v>
      </c>
      <c r="W840" s="7" t="s">
        <v>5728</v>
      </c>
      <c r="X840" s="8"/>
      <c r="Y840" s="7" t="s">
        <v>5729</v>
      </c>
      <c r="Z840" s="7" t="s">
        <v>5730</v>
      </c>
      <c r="AA840" s="11" t="str">
        <f>"BEGIN
     RETURN exists('DS_IS_RDS', '"&amp;Table362[[#This Row],[Lookup Table]]&amp;"', '"&amp;Table362[[#This Row],[Lookup Field]]&amp;"', "&amp;Table362[[#This Row],[IS Parameter]]&amp;");
END"</f>
        <v>BEGIN
     RETURN exists('DS_IS_RDS', 'T691A', 'CTLPC', );
END</v>
      </c>
      <c r="AB840" s="11"/>
      <c r="AC840" s="11"/>
      <c r="AD840" s="11"/>
      <c r="AH840" s="8"/>
      <c r="AI840" s="20"/>
      <c r="AJ840" s="20"/>
      <c r="AK840" s="31"/>
      <c r="AL840" s="31"/>
    </row>
    <row r="841" spans="1:38" ht="36" hidden="1" x14ac:dyDescent="0.25">
      <c r="A841" s="14" t="s">
        <v>7494</v>
      </c>
      <c r="B841" s="7" t="s">
        <v>5877</v>
      </c>
      <c r="C841" s="7" t="s">
        <v>5672</v>
      </c>
      <c r="D841" s="7" t="s">
        <v>6711</v>
      </c>
      <c r="E841" s="7" t="s">
        <v>6714</v>
      </c>
      <c r="F841" s="7" t="s">
        <v>6715</v>
      </c>
      <c r="G841" s="7"/>
      <c r="H841" s="7"/>
      <c r="I841" s="7"/>
      <c r="J841" s="20" t="str">
        <f>VLOOKUP(V841,Table_to_BRG!A:D,3,FALSE)</f>
        <v>General data</v>
      </c>
      <c r="K841" s="20" t="str">
        <f>VLOOKUP(V841,Table_to_BRG!A:D,2,FALSE)</f>
        <v>General</v>
      </c>
      <c r="L841" s="20"/>
      <c r="M841" s="20"/>
      <c r="N841" s="9" t="s">
        <v>6465</v>
      </c>
      <c r="O841" s="54" t="s">
        <v>7812</v>
      </c>
      <c r="P841" s="7" t="s">
        <v>5563</v>
      </c>
      <c r="Q841" s="11" t="str">
        <f>RIGHT("00"&amp;Table362[[#This Row],[Rule '#]],3)&amp;"_"&amp;IF(Table362[[#This Row],[Entity]]="Material","MATL",LEFT(UPPER(Table362[[#This Row],[Entity]]),4))&amp;"_"&amp;MID(SUBSTITUTE(Table362[[#This Row],[Rule Name]],"_","|",3),SEARCH("|",SUBSTITUTE(Table362[[#This Row],[Rule Name]],"_","|",3))+1,LEN(Table362[[#This Row],[Rule Name]]))</f>
        <v>464_SD_Attribute 4</v>
      </c>
      <c r="R841" s="8" t="s">
        <v>5564</v>
      </c>
      <c r="S841" s="7" t="s">
        <v>4135</v>
      </c>
      <c r="T841" s="7"/>
      <c r="U841" s="7"/>
      <c r="V841" s="7" t="s">
        <v>2741</v>
      </c>
      <c r="W841" s="7" t="s">
        <v>5731</v>
      </c>
      <c r="X841" s="8"/>
      <c r="Y841" s="7" t="s">
        <v>5732</v>
      </c>
      <c r="Z841" s="7" t="s">
        <v>5733</v>
      </c>
      <c r="AA841" s="11" t="str">
        <f>"BEGIN
     RETURN exists('DS_IS_RDS', '"&amp;Table362[[#This Row],[Lookup Table]]&amp;"', '"&amp;Table362[[#This Row],[Lookup Field]]&amp;"', "&amp;Table362[[#This Row],[IS Parameter]]&amp;");
END"</f>
        <v>BEGIN
     RETURN exists('DS_IS_RDS', 'TVK4', 'KATR4', );
END</v>
      </c>
      <c r="AB841" s="11"/>
      <c r="AC841" s="11"/>
      <c r="AD841" s="11"/>
      <c r="AH841" s="8"/>
      <c r="AI841" s="20"/>
      <c r="AJ841" s="20"/>
      <c r="AK841" s="31"/>
      <c r="AL841" s="31"/>
    </row>
    <row r="842" spans="1:38" ht="120" hidden="1" x14ac:dyDescent="0.25">
      <c r="A842" s="14" t="s">
        <v>7495</v>
      </c>
      <c r="B842" s="7" t="s">
        <v>5877</v>
      </c>
      <c r="C842" s="7" t="s">
        <v>5672</v>
      </c>
      <c r="D842" s="7" t="s">
        <v>6719</v>
      </c>
      <c r="E842" s="7" t="s">
        <v>6720</v>
      </c>
      <c r="F842" s="7" t="s">
        <v>6721</v>
      </c>
      <c r="G842" s="7"/>
      <c r="H842" s="7"/>
      <c r="I842" s="7"/>
      <c r="J842" s="20" t="str">
        <f>VLOOKUP(V842,Table_to_BRG!A:D,3,FALSE)</f>
        <v>Company Code data</v>
      </c>
      <c r="K842" s="20" t="str">
        <f>VLOOKUP(V842,Table_to_BRG!A:D,2,FALSE)</f>
        <v>Company Code</v>
      </c>
      <c r="L842" s="20"/>
      <c r="M842" s="20"/>
      <c r="N842" s="9" t="s">
        <v>6465</v>
      </c>
      <c r="O842" s="54" t="s">
        <v>7812</v>
      </c>
      <c r="P842" s="7" t="s">
        <v>5565</v>
      </c>
      <c r="Q842" s="11" t="str">
        <f>RIGHT("00"&amp;Table362[[#This Row],[Rule '#]],3)&amp;"_"&amp;IF(Table362[[#This Row],[Entity]]="Material","MATL",LEFT(UPPER(Table362[[#This Row],[Entity]]),4))&amp;"_"&amp;MID(SUBSTITUTE(Table362[[#This Row],[Rule Name]],"_","|",3),SEARCH("|",SUBSTITUTE(Table362[[#This Row],[Rule Name]],"_","|",3))+1,LEN(Table362[[#This Row],[Rule Name]]))</f>
        <v>465_SD_0001_Ma</v>
      </c>
      <c r="R842" s="8" t="s">
        <v>5566</v>
      </c>
      <c r="S842" s="7" t="s">
        <v>21</v>
      </c>
      <c r="T842" s="7"/>
      <c r="U842" s="7"/>
      <c r="V842" s="7" t="s">
        <v>2740</v>
      </c>
      <c r="W842" s="7" t="s">
        <v>4603</v>
      </c>
      <c r="X842" s="8"/>
      <c r="Y842" s="7"/>
      <c r="Z842" s="7"/>
      <c r="AA842" s="11" t="s">
        <v>5909</v>
      </c>
      <c r="AB842" s="11"/>
      <c r="AC842" s="11" t="s">
        <v>6813</v>
      </c>
      <c r="AD842" s="11"/>
      <c r="AH842" s="8"/>
      <c r="AI842" s="20"/>
      <c r="AJ842" s="20"/>
      <c r="AK842" s="31"/>
      <c r="AL842" s="31"/>
    </row>
    <row r="843" spans="1:38" ht="36" hidden="1" x14ac:dyDescent="0.25">
      <c r="A843" s="14" t="s">
        <v>7496</v>
      </c>
      <c r="B843" s="7" t="s">
        <v>5877</v>
      </c>
      <c r="C843" s="7" t="s">
        <v>5672</v>
      </c>
      <c r="D843" s="7" t="s">
        <v>6711</v>
      </c>
      <c r="E843" s="7" t="s">
        <v>6714</v>
      </c>
      <c r="F843" s="7" t="s">
        <v>6724</v>
      </c>
      <c r="G843" s="7"/>
      <c r="H843" s="7"/>
      <c r="I843" s="7"/>
      <c r="J843" s="20" t="str">
        <f>VLOOKUP(V843,Table_to_BRG!A:D,3,FALSE)</f>
        <v>Customer sales data</v>
      </c>
      <c r="K843" s="20" t="str">
        <f>VLOOKUP(V843,Table_to_BRG!A:D,2,FALSE)</f>
        <v>Sales</v>
      </c>
      <c r="L843" s="20"/>
      <c r="M843" s="20"/>
      <c r="N843" s="9" t="s">
        <v>6465</v>
      </c>
      <c r="O843" s="54" t="s">
        <v>7812</v>
      </c>
      <c r="P843" s="7" t="s">
        <v>5567</v>
      </c>
      <c r="Q843" s="11" t="str">
        <f>RIGHT("00"&amp;Table362[[#This Row],[Rule '#]],3)&amp;"_"&amp;IF(Table362[[#This Row],[Entity]]="Material","MATL",LEFT(UPPER(Table362[[#This Row],[Entity]]),4))&amp;"_"&amp;MID(SUBSTITUTE(Table362[[#This Row],[Rule Name]],"_","|",3),SEARCH("|",SUBSTITUTE(Table362[[#This Row],[Rule Name]],"_","|",3))+1,LEN(Table362[[#This Row],[Rule Name]]))</f>
        <v>466_SD_Sales Office</v>
      </c>
      <c r="R843" s="8" t="s">
        <v>5568</v>
      </c>
      <c r="S843" s="7" t="s">
        <v>4135</v>
      </c>
      <c r="T843" s="7"/>
      <c r="U843" s="7"/>
      <c r="V843" s="7" t="s">
        <v>3334</v>
      </c>
      <c r="W843" s="7" t="s">
        <v>5734</v>
      </c>
      <c r="X843" s="8"/>
      <c r="Y843" s="7" t="s">
        <v>5735</v>
      </c>
      <c r="Z843" s="7" t="s">
        <v>3406</v>
      </c>
      <c r="AA843" s="11" t="str">
        <f>"BEGIN
     RETURN exists('DS_IS_RDS', '"&amp;Table362[[#This Row],[Lookup Table]]&amp;"', '"&amp;Table362[[#This Row],[Lookup Field]]&amp;"', "&amp;Table362[[#This Row],[IS Parameter]]&amp;");
END"</f>
        <v>BEGIN
     RETURN exists('DS_IS_RDS', 'TVBUR', 'VKBUR', );
END</v>
      </c>
      <c r="AB843" s="11"/>
      <c r="AC843" s="11"/>
      <c r="AD843" s="11"/>
      <c r="AH843" s="8"/>
      <c r="AI843" s="20" t="s">
        <v>7725</v>
      </c>
      <c r="AJ843" s="20"/>
      <c r="AK843" s="31"/>
      <c r="AL843" s="31"/>
    </row>
    <row r="844" spans="1:38" ht="36" hidden="1" x14ac:dyDescent="0.25">
      <c r="A844" s="14" t="s">
        <v>7497</v>
      </c>
      <c r="B844" s="7" t="s">
        <v>5877</v>
      </c>
      <c r="C844" s="7" t="s">
        <v>5672</v>
      </c>
      <c r="D844" s="7" t="s">
        <v>6711</v>
      </c>
      <c r="E844" s="7" t="s">
        <v>6714</v>
      </c>
      <c r="F844" s="7" t="s">
        <v>6724</v>
      </c>
      <c r="G844" s="7"/>
      <c r="H844" s="7"/>
      <c r="I844" s="7"/>
      <c r="J844" s="20" t="str">
        <f>VLOOKUP(V844,Table_to_BRG!A:D,3,FALSE)</f>
        <v>Customer sales data</v>
      </c>
      <c r="K844" s="20" t="str">
        <f>VLOOKUP(V844,Table_to_BRG!A:D,2,FALSE)</f>
        <v>Sales</v>
      </c>
      <c r="L844" s="20"/>
      <c r="M844" s="20"/>
      <c r="N844" s="9" t="s">
        <v>6465</v>
      </c>
      <c r="O844" s="54" t="s">
        <v>7812</v>
      </c>
      <c r="P844" s="7" t="s">
        <v>5569</v>
      </c>
      <c r="Q844" s="11" t="str">
        <f>RIGHT("00"&amp;Table362[[#This Row],[Rule '#]],3)&amp;"_"&amp;IF(Table362[[#This Row],[Entity]]="Material","MATL",LEFT(UPPER(Table362[[#This Row],[Entity]]),4))&amp;"_"&amp;MID(SUBSTITUTE(Table362[[#This Row],[Rule Name]],"_","|",3),SEARCH("|",SUBSTITUTE(Table362[[#This Row],[Rule Name]],"_","|",3))+1,LEN(Table362[[#This Row],[Rule Name]]))</f>
        <v>467_SD_Delivery Priority</v>
      </c>
      <c r="R844" s="8" t="s">
        <v>5570</v>
      </c>
      <c r="S844" s="7" t="s">
        <v>4135</v>
      </c>
      <c r="T844" s="7"/>
      <c r="U844" s="7"/>
      <c r="V844" s="7" t="s">
        <v>3334</v>
      </c>
      <c r="W844" s="7" t="s">
        <v>5736</v>
      </c>
      <c r="X844" s="8"/>
      <c r="Y844" s="7" t="s">
        <v>5737</v>
      </c>
      <c r="Z844" s="7" t="s">
        <v>3455</v>
      </c>
      <c r="AA844" s="11" t="str">
        <f>"BEGIN
     RETURN exists('DS_IS_RDS', '"&amp;Table362[[#This Row],[Lookup Table]]&amp;"', '"&amp;Table362[[#This Row],[Lookup Field]]&amp;"', "&amp;Table362[[#This Row],[IS Parameter]]&amp;");
END"</f>
        <v>BEGIN
     RETURN exists('DS_IS_RDS', 'TPRIO', 'LPRIO', );
END</v>
      </c>
      <c r="AB844" s="11"/>
      <c r="AC844" s="11"/>
      <c r="AD844" s="11"/>
      <c r="AH844" s="8"/>
      <c r="AI844" s="20"/>
      <c r="AJ844" s="20"/>
      <c r="AK844" s="31"/>
      <c r="AL844" s="31"/>
    </row>
    <row r="845" spans="1:38" ht="90" hidden="1" x14ac:dyDescent="0.25">
      <c r="A845" s="14" t="s">
        <v>7498</v>
      </c>
      <c r="B845" s="7" t="s">
        <v>5877</v>
      </c>
      <c r="C845" s="7" t="s">
        <v>5672</v>
      </c>
      <c r="D845" s="7" t="s">
        <v>6711</v>
      </c>
      <c r="E845" s="7" t="s">
        <v>6714</v>
      </c>
      <c r="F845" s="7" t="s">
        <v>6715</v>
      </c>
      <c r="G845" s="7"/>
      <c r="H845" s="7"/>
      <c r="I845" s="7"/>
      <c r="J845" s="20" t="str">
        <f>VLOOKUP(V845,Table_to_BRG!A:D,3,FALSE)</f>
        <v>General data</v>
      </c>
      <c r="K845" s="20" t="str">
        <f>VLOOKUP(V845,Table_to_BRG!A:D,2,FALSE)</f>
        <v>General</v>
      </c>
      <c r="L845" s="20"/>
      <c r="M845" s="20"/>
      <c r="N845" s="9" t="s">
        <v>6465</v>
      </c>
      <c r="O845" s="54" t="s">
        <v>7812</v>
      </c>
      <c r="P845" s="7" t="s">
        <v>5571</v>
      </c>
      <c r="Q845" s="11" t="str">
        <f>RIGHT("00"&amp;Table362[[#This Row],[Rule '#]],3)&amp;"_"&amp;IF(Table362[[#This Row],[Entity]]="Material","MATL",LEFT(UPPER(Table362[[#This Row],[Entity]]),4))&amp;"_"&amp;MID(SUBSTITUTE(Table362[[#This Row],[Rule Name]],"_","|",3),SEARCH("|",SUBSTITUTE(Table362[[#This Row],[Rule Name]],"_","|",3))+1,LEN(Table362[[#This Row],[Rule Name]]))</f>
        <v>468_SD_0003_Man</v>
      </c>
      <c r="R845" s="8" t="s">
        <v>5572</v>
      </c>
      <c r="S845" s="7" t="s">
        <v>21</v>
      </c>
      <c r="T845" s="7"/>
      <c r="U845" s="7"/>
      <c r="V845" s="7" t="s">
        <v>2741</v>
      </c>
      <c r="W845" s="7" t="s">
        <v>5483</v>
      </c>
      <c r="X845" s="8"/>
      <c r="Y845" s="7"/>
      <c r="Z845" s="7"/>
      <c r="AA845" s="11" t="s">
        <v>5910</v>
      </c>
      <c r="AB845" s="11"/>
      <c r="AC845" s="11" t="s">
        <v>6813</v>
      </c>
      <c r="AD845" s="11"/>
      <c r="AH845" s="8"/>
      <c r="AI845" s="20"/>
      <c r="AJ845" s="20"/>
      <c r="AK845" s="31"/>
      <c r="AL845" s="31"/>
    </row>
    <row r="846" spans="1:38" ht="36" hidden="1" x14ac:dyDescent="0.25">
      <c r="A846" s="14" t="s">
        <v>7499</v>
      </c>
      <c r="B846" s="7" t="s">
        <v>5877</v>
      </c>
      <c r="C846" s="7" t="s">
        <v>5672</v>
      </c>
      <c r="D846" s="7" t="s">
        <v>6719</v>
      </c>
      <c r="E846" s="7" t="s">
        <v>6740</v>
      </c>
      <c r="F846" s="7" t="s">
        <v>6759</v>
      </c>
      <c r="G846" s="7"/>
      <c r="H846" s="7"/>
      <c r="I846" s="7"/>
      <c r="J846" s="20" t="e">
        <f>VLOOKUP(V846,Table_to_BRG!A:D,3,FALSE)</f>
        <v>#N/A</v>
      </c>
      <c r="K846" s="20" t="e">
        <f>VLOOKUP(V846,Table_to_BRG!A:D,2,FALSE)</f>
        <v>#N/A</v>
      </c>
      <c r="L846" s="20"/>
      <c r="M846" s="20"/>
      <c r="N846" s="9" t="s">
        <v>6465</v>
      </c>
      <c r="O846" s="54" t="s">
        <v>7812</v>
      </c>
      <c r="P846" s="7" t="s">
        <v>5573</v>
      </c>
      <c r="Q846" s="11" t="str">
        <f>RIGHT("00"&amp;Table362[[#This Row],[Rule '#]],3)&amp;"_"&amp;IF(Table362[[#This Row],[Entity]]="Material","MATL",LEFT(UPPER(Table362[[#This Row],[Entity]]),4))&amp;"_"&amp;MID(SUBSTITUTE(Table362[[#This Row],[Rule Name]],"_","|",3),SEARCH("|",SUBSTITUTE(Table362[[#This Row],[Rule Name]],"_","|",3))+1,LEN(Table362[[#This Row],[Rule Name]]))</f>
        <v>469_SD_Credit control area</v>
      </c>
      <c r="R846" s="8" t="s">
        <v>5934</v>
      </c>
      <c r="S846" s="7" t="s">
        <v>4135</v>
      </c>
      <c r="T846" s="7"/>
      <c r="U846" s="7"/>
      <c r="V846" s="7" t="s">
        <v>5727</v>
      </c>
      <c r="W846" s="7" t="s">
        <v>5738</v>
      </c>
      <c r="X846" s="8"/>
      <c r="Y846" s="7" t="s">
        <v>5739</v>
      </c>
      <c r="Z846" s="7" t="s">
        <v>5740</v>
      </c>
      <c r="AA846" s="11" t="str">
        <f>"BEGIN
     RETURN exists('DS_IS_RDS', '"&amp;Table362[[#This Row],[Lookup Table]]&amp;"', '"&amp;Table362[[#This Row],[Lookup Field]]&amp;"', "&amp;Table362[[#This Row],[IS Parameter]]&amp;");
END"</f>
        <v>BEGIN
     RETURN exists('DS_IS_RDS', 'T014', 'KKBER', );
END</v>
      </c>
      <c r="AB846" s="11"/>
      <c r="AC846" s="11"/>
      <c r="AD846" s="11"/>
      <c r="AH846" s="8"/>
      <c r="AI846" s="20"/>
      <c r="AJ846" s="20"/>
      <c r="AK846" s="31"/>
      <c r="AL846" s="31"/>
    </row>
    <row r="847" spans="1:38" ht="36" hidden="1" x14ac:dyDescent="0.25">
      <c r="A847" s="14" t="s">
        <v>7500</v>
      </c>
      <c r="B847" s="7" t="s">
        <v>5877</v>
      </c>
      <c r="C847" s="7" t="s">
        <v>5672</v>
      </c>
      <c r="D847" s="7" t="s">
        <v>6711</v>
      </c>
      <c r="E847" s="7" t="s">
        <v>6714</v>
      </c>
      <c r="F847" s="7" t="s">
        <v>6715</v>
      </c>
      <c r="G847" s="7"/>
      <c r="H847" s="7"/>
      <c r="I847" s="7"/>
      <c r="J847" s="20" t="str">
        <f>VLOOKUP(V847,Table_to_BRG!A:D,3,FALSE)</f>
        <v>General data</v>
      </c>
      <c r="K847" s="20" t="str">
        <f>VLOOKUP(V847,Table_to_BRG!A:D,2,FALSE)</f>
        <v>General</v>
      </c>
      <c r="L847" s="20"/>
      <c r="M847" s="20"/>
      <c r="N847" s="9" t="s">
        <v>6465</v>
      </c>
      <c r="O847" s="54" t="s">
        <v>7812</v>
      </c>
      <c r="P847" s="7" t="s">
        <v>5574</v>
      </c>
      <c r="Q847" s="11" t="str">
        <f>RIGHT("00"&amp;Table362[[#This Row],[Rule '#]],3)&amp;"_"&amp;IF(Table362[[#This Row],[Entity]]="Material","MATL",LEFT(UPPER(Table362[[#This Row],[Entity]]),4))&amp;"_"&amp;MID(SUBSTITUTE(Table362[[#This Row],[Rule Name]],"_","|",3),SEARCH("|",SUBSTITUTE(Table362[[#This Row],[Rule Name]],"_","|",3))+1,LEN(Table362[[#This Row],[Rule Name]]))</f>
        <v>470_SD_Customer classification</v>
      </c>
      <c r="R847" s="8" t="s">
        <v>5575</v>
      </c>
      <c r="S847" s="7" t="s">
        <v>4135</v>
      </c>
      <c r="T847" s="7"/>
      <c r="U847" s="7"/>
      <c r="V847" s="7" t="s">
        <v>2741</v>
      </c>
      <c r="W847" s="7" t="s">
        <v>5741</v>
      </c>
      <c r="X847" s="8"/>
      <c r="Y847" s="7" t="s">
        <v>5742</v>
      </c>
      <c r="Z847" s="7" t="s">
        <v>3233</v>
      </c>
      <c r="AA847" s="11" t="str">
        <f>"BEGIN
     RETURN exists('DS_IS_RDS', '"&amp;Table362[[#This Row],[Lookup Table]]&amp;"', '"&amp;Table362[[#This Row],[Lookup Field]]&amp;"', "&amp;Table362[[#This Row],[IS Parameter]]&amp;");
END"</f>
        <v>BEGIN
     RETURN exists('DS_IS_RDS', 'TKUKL', 'KUKLA', );
END</v>
      </c>
      <c r="AB847" s="11"/>
      <c r="AC847" s="11"/>
      <c r="AD847" s="11"/>
      <c r="AH847" s="8"/>
      <c r="AI847" s="20"/>
      <c r="AJ847" s="20"/>
      <c r="AK847" s="31"/>
      <c r="AL847" s="31"/>
    </row>
    <row r="848" spans="1:38" ht="60" hidden="1" x14ac:dyDescent="0.25">
      <c r="A848" s="14" t="s">
        <v>7501</v>
      </c>
      <c r="B848" s="7" t="s">
        <v>5877</v>
      </c>
      <c r="C848" s="7" t="s">
        <v>5672</v>
      </c>
      <c r="D848" s="7" t="s">
        <v>6711</v>
      </c>
      <c r="E848" s="7" t="s">
        <v>6714</v>
      </c>
      <c r="F848" s="7" t="s">
        <v>6742</v>
      </c>
      <c r="G848" s="7"/>
      <c r="H848" s="7"/>
      <c r="I848" s="7"/>
      <c r="J848" s="20" t="str">
        <f>VLOOKUP(V848,Table_to_BRG!A:D,3,FALSE)</f>
        <v>Contact data</v>
      </c>
      <c r="K848" s="20" t="str">
        <f>VLOOKUP(V848,Table_to_BRG!A:D,2,FALSE)</f>
        <v>Contact partner</v>
      </c>
      <c r="L848" s="20"/>
      <c r="M848" s="20"/>
      <c r="N848" s="9" t="s">
        <v>6465</v>
      </c>
      <c r="O848" s="54" t="s">
        <v>7812</v>
      </c>
      <c r="P848" s="7" t="s">
        <v>5576</v>
      </c>
      <c r="Q848" s="11" t="str">
        <f>RIGHT("00"&amp;Table362[[#This Row],[Rule '#]],3)&amp;"_"&amp;IF(Table362[[#This Row],[Entity]]="Material","MATL",LEFT(UPPER(Table362[[#This Row],[Entity]]),4))&amp;"_"&amp;MID(SUBSTITUTE(Table362[[#This Row],[Rule Name]],"_","|",3),SEARCH("|",SUBSTITUTE(Table362[[#This Row],[Rule Name]],"_","|",3))+1,LEN(Table362[[#This Row],[Rule Name]]))</f>
        <v>471_SD_Marital Status Key</v>
      </c>
      <c r="R848" s="8" t="s">
        <v>5935</v>
      </c>
      <c r="S848" s="7" t="s">
        <v>4135</v>
      </c>
      <c r="T848" s="7"/>
      <c r="U848" s="7"/>
      <c r="V848" s="7" t="s">
        <v>3001</v>
      </c>
      <c r="W848" s="7" t="s">
        <v>5743</v>
      </c>
      <c r="X848" s="8"/>
      <c r="Y848" s="7" t="s">
        <v>5744</v>
      </c>
      <c r="Z848" s="7" t="s">
        <v>3670</v>
      </c>
      <c r="AA848" s="11" t="s">
        <v>5745</v>
      </c>
      <c r="AB848" s="11"/>
      <c r="AC848" s="11"/>
      <c r="AD848" s="11"/>
      <c r="AH848" s="8"/>
      <c r="AI848" s="20"/>
      <c r="AJ848" s="20"/>
      <c r="AK848" s="31"/>
      <c r="AL848" s="31"/>
    </row>
    <row r="849" spans="1:38" ht="60" hidden="1" x14ac:dyDescent="0.25">
      <c r="A849" s="14" t="s">
        <v>7502</v>
      </c>
      <c r="B849" s="7" t="s">
        <v>5877</v>
      </c>
      <c r="C849" s="7" t="s">
        <v>5672</v>
      </c>
      <c r="D849" s="7" t="s">
        <v>6711</v>
      </c>
      <c r="E849" s="7" t="s">
        <v>6714</v>
      </c>
      <c r="F849" s="7" t="s">
        <v>6742</v>
      </c>
      <c r="G849" s="7"/>
      <c r="H849" s="7"/>
      <c r="I849" s="7"/>
      <c r="J849" s="20" t="str">
        <f>VLOOKUP(V849,Table_to_BRG!A:D,3,FALSE)</f>
        <v>Contact data</v>
      </c>
      <c r="K849" s="20" t="str">
        <f>VLOOKUP(V849,Table_to_BRG!A:D,2,FALSE)</f>
        <v>Contact partner</v>
      </c>
      <c r="L849" s="20"/>
      <c r="M849" s="20"/>
      <c r="N849" s="9" t="s">
        <v>6465</v>
      </c>
      <c r="O849" s="54" t="s">
        <v>7812</v>
      </c>
      <c r="P849" s="7" t="s">
        <v>5577</v>
      </c>
      <c r="Q849" s="11" t="str">
        <f>RIGHT("00"&amp;Table362[[#This Row],[Rule '#]],3)&amp;"_"&amp;IF(Table362[[#This Row],[Entity]]="Material","MATL",LEFT(UPPER(Table362[[#This Row],[Entity]]),4))&amp;"_"&amp;MID(SUBSTITUTE(Table362[[#This Row],[Rule Name]],"_","|",3),SEARCH("|",SUBSTITUTE(Table362[[#This Row],[Rule Name]],"_","|",3))+1,LEN(Table362[[#This Row],[Rule Name]]))</f>
        <v>472_SD_Contact person: Attribute 2</v>
      </c>
      <c r="R849" s="8" t="s">
        <v>5936</v>
      </c>
      <c r="S849" s="7" t="s">
        <v>4135</v>
      </c>
      <c r="T849" s="7"/>
      <c r="U849" s="7"/>
      <c r="V849" s="7" t="s">
        <v>3001</v>
      </c>
      <c r="W849" s="7" t="s">
        <v>5746</v>
      </c>
      <c r="X849" s="8"/>
      <c r="Y849" s="7" t="s">
        <v>5747</v>
      </c>
      <c r="Z849" s="7" t="s">
        <v>5748</v>
      </c>
      <c r="AA849" s="11" t="s">
        <v>5749</v>
      </c>
      <c r="AB849" s="11"/>
      <c r="AC849" s="11"/>
      <c r="AD849" s="11"/>
      <c r="AH849" s="8"/>
      <c r="AI849" s="20"/>
      <c r="AJ849" s="20"/>
      <c r="AK849" s="31"/>
      <c r="AL849" s="31"/>
    </row>
    <row r="850" spans="1:38" ht="60" hidden="1" x14ac:dyDescent="0.25">
      <c r="A850" s="14" t="s">
        <v>7503</v>
      </c>
      <c r="B850" s="7" t="s">
        <v>5877</v>
      </c>
      <c r="C850" s="7" t="s">
        <v>5672</v>
      </c>
      <c r="D850" s="7" t="s">
        <v>6711</v>
      </c>
      <c r="E850" s="7" t="s">
        <v>6714</v>
      </c>
      <c r="F850" s="7" t="s">
        <v>6715</v>
      </c>
      <c r="G850" s="7"/>
      <c r="H850" s="7"/>
      <c r="I850" s="7"/>
      <c r="J850" s="20" t="str">
        <f>VLOOKUP(V850,Table_to_BRG!A:D,3,FALSE)</f>
        <v>General data</v>
      </c>
      <c r="K850" s="20" t="str">
        <f>VLOOKUP(V850,Table_to_BRG!A:D,2,FALSE)</f>
        <v>General</v>
      </c>
      <c r="L850" s="20"/>
      <c r="M850" s="20"/>
      <c r="N850" s="9" t="s">
        <v>6465</v>
      </c>
      <c r="O850" s="54" t="s">
        <v>7812</v>
      </c>
      <c r="P850" s="7" t="s">
        <v>5578</v>
      </c>
      <c r="Q850" s="11" t="str">
        <f>RIGHT("00"&amp;Table362[[#This Row],[Rule '#]],3)&amp;"_"&amp;IF(Table362[[#This Row],[Entity]]="Material","MATL",LEFT(UPPER(Table362[[#This Row],[Entity]]),4))&amp;"_"&amp;MID(SUBSTITUTE(Table362[[#This Row],[Rule Name]],"_","|",3),SEARCH("|",SUBSTITUTE(Table362[[#This Row],[Rule Name]],"_","|",3))+1,LEN(Table362[[#This Row],[Rule Name]]))</f>
        <v>473_SD_Attribute 10</v>
      </c>
      <c r="R850" s="8" t="s">
        <v>5579</v>
      </c>
      <c r="S850" s="7" t="s">
        <v>4135</v>
      </c>
      <c r="T850" s="7"/>
      <c r="U850" s="7"/>
      <c r="V850" s="7" t="s">
        <v>2741</v>
      </c>
      <c r="W850" s="7" t="s">
        <v>5750</v>
      </c>
      <c r="X850" s="8"/>
      <c r="Y850" s="7" t="s">
        <v>5751</v>
      </c>
      <c r="Z850" s="7" t="s">
        <v>5752</v>
      </c>
      <c r="AA850" s="11" t="s">
        <v>5753</v>
      </c>
      <c r="AB850" s="11"/>
      <c r="AC850" s="11"/>
      <c r="AD850" s="11"/>
      <c r="AH850" s="8"/>
      <c r="AI850" s="20"/>
      <c r="AJ850" s="20"/>
      <c r="AK850" s="31"/>
      <c r="AL850" s="31"/>
    </row>
    <row r="851" spans="1:38" ht="60" hidden="1" x14ac:dyDescent="0.25">
      <c r="A851" s="14" t="s">
        <v>7504</v>
      </c>
      <c r="B851" s="7" t="s">
        <v>5877</v>
      </c>
      <c r="C851" s="7" t="s">
        <v>5672</v>
      </c>
      <c r="D851" s="7" t="s">
        <v>6711</v>
      </c>
      <c r="E851" s="7" t="s">
        <v>6714</v>
      </c>
      <c r="F851" s="7" t="s">
        <v>6742</v>
      </c>
      <c r="G851" s="7"/>
      <c r="H851" s="7"/>
      <c r="I851" s="7"/>
      <c r="J851" s="20" t="str">
        <f>VLOOKUP(V851,Table_to_BRG!A:D,3,FALSE)</f>
        <v>Contact data</v>
      </c>
      <c r="K851" s="20" t="str">
        <f>VLOOKUP(V851,Table_to_BRG!A:D,2,FALSE)</f>
        <v>Contact partner</v>
      </c>
      <c r="L851" s="20"/>
      <c r="M851" s="20"/>
      <c r="N851" s="9" t="s">
        <v>6465</v>
      </c>
      <c r="O851" s="54" t="s">
        <v>7812</v>
      </c>
      <c r="P851" s="7" t="s">
        <v>5580</v>
      </c>
      <c r="Q851" s="11" t="str">
        <f>RIGHT("00"&amp;Table362[[#This Row],[Rule '#]],3)&amp;"_"&amp;IF(Table362[[#This Row],[Entity]]="Material","MATL",LEFT(UPPER(Table362[[#This Row],[Entity]]),4))&amp;"_"&amp;MID(SUBSTITUTE(Table362[[#This Row],[Rule Name]],"_","|",3),SEARCH("|",SUBSTITUTE(Table362[[#This Row],[Rule Name]],"_","|",3))+1,LEN(Table362[[#This Row],[Rule Name]]))</f>
        <v>474_SD_Contact person function</v>
      </c>
      <c r="R851" s="8" t="s">
        <v>5937</v>
      </c>
      <c r="S851" s="7" t="s">
        <v>4135</v>
      </c>
      <c r="T851" s="7"/>
      <c r="U851" s="7"/>
      <c r="V851" s="7" t="s">
        <v>3001</v>
      </c>
      <c r="W851" s="7" t="s">
        <v>5754</v>
      </c>
      <c r="X851" s="8"/>
      <c r="Y851" s="7" t="s">
        <v>5755</v>
      </c>
      <c r="Z851" s="7" t="s">
        <v>2996</v>
      </c>
      <c r="AA851" s="11" t="s">
        <v>5756</v>
      </c>
      <c r="AB851" s="11"/>
      <c r="AC851" s="11"/>
      <c r="AD851" s="11"/>
      <c r="AH851" s="8"/>
      <c r="AI851" s="20"/>
      <c r="AJ851" s="20"/>
      <c r="AK851" s="31"/>
      <c r="AL851" s="31"/>
    </row>
    <row r="852" spans="1:38" ht="348" hidden="1" x14ac:dyDescent="0.25">
      <c r="A852" s="14" t="s">
        <v>7505</v>
      </c>
      <c r="B852" s="7" t="s">
        <v>5877</v>
      </c>
      <c r="C852" s="7" t="s">
        <v>5672</v>
      </c>
      <c r="D852" s="7" t="s">
        <v>6711</v>
      </c>
      <c r="E852" s="7" t="s">
        <v>6714</v>
      </c>
      <c r="F852" s="7" t="s">
        <v>6715</v>
      </c>
      <c r="G852" s="7"/>
      <c r="H852" s="7"/>
      <c r="I852" s="7"/>
      <c r="J852" s="20" t="str">
        <f>VLOOKUP(V852,Table_to_BRG!A:D,3,FALSE)</f>
        <v>General data</v>
      </c>
      <c r="K852" s="20" t="str">
        <f>VLOOKUP(V852,Table_to_BRG!A:D,2,FALSE)</f>
        <v>General</v>
      </c>
      <c r="L852" s="20"/>
      <c r="M852" s="20"/>
      <c r="N852" s="9" t="s">
        <v>6465</v>
      </c>
      <c r="O852" s="54" t="s">
        <v>7812</v>
      </c>
      <c r="P852" s="7" t="s">
        <v>5581</v>
      </c>
      <c r="Q852" s="11" t="str">
        <f>RIGHT("00"&amp;Table362[[#This Row],[Rule '#]],3)&amp;"_"&amp;IF(Table362[[#This Row],[Entity]]="Material","MATL",LEFT(UPPER(Table362[[#This Row],[Entity]]),4))&amp;"_"&amp;MID(SUBSTITUTE(Table362[[#This Row],[Rule Name]],"_","|",3),SEARCH("|",SUBSTITUTE(Table362[[#This Row],[Rule Name]],"_","|",3))+1,LEN(Table362[[#This Row],[Rule Name]]))</f>
        <v>475_SD_ Lookup Tables</v>
      </c>
      <c r="R852" s="8" t="s">
        <v>5582</v>
      </c>
      <c r="S852" s="7" t="s">
        <v>4135</v>
      </c>
      <c r="T852" s="7"/>
      <c r="U852" s="7"/>
      <c r="V852" s="7" t="s">
        <v>2741</v>
      </c>
      <c r="W852" s="7" t="s">
        <v>5483</v>
      </c>
      <c r="X852" s="8"/>
      <c r="Y852" s="7" t="s">
        <v>5757</v>
      </c>
      <c r="Z852" s="7" t="s">
        <v>5758</v>
      </c>
      <c r="AA852" s="11" t="s">
        <v>5911</v>
      </c>
      <c r="AB852" s="11"/>
      <c r="AC852" s="11"/>
      <c r="AD852" s="11"/>
      <c r="AH852" s="8" t="s">
        <v>5917</v>
      </c>
      <c r="AI852" s="20"/>
      <c r="AJ852" s="20"/>
      <c r="AK852" s="31"/>
      <c r="AL852" s="31"/>
    </row>
    <row r="853" spans="1:38" ht="72" hidden="1" x14ac:dyDescent="0.25">
      <c r="A853" s="14" t="s">
        <v>7506</v>
      </c>
      <c r="B853" s="7" t="s">
        <v>5877</v>
      </c>
      <c r="C853" s="7" t="s">
        <v>5672</v>
      </c>
      <c r="D853" s="7" t="s">
        <v>6719</v>
      </c>
      <c r="E853" s="7" t="s">
        <v>6720</v>
      </c>
      <c r="F853" s="7" t="s">
        <v>6721</v>
      </c>
      <c r="G853" s="7"/>
      <c r="H853" s="7"/>
      <c r="I853" s="7"/>
      <c r="J853" s="20" t="str">
        <f>VLOOKUP(V853,Table_to_BRG!A:D,3,FALSE)</f>
        <v>Company Code data</v>
      </c>
      <c r="K853" s="20" t="str">
        <f>VLOOKUP(V853,Table_to_BRG!A:D,2,FALSE)</f>
        <v>Company Code</v>
      </c>
      <c r="L853" s="20"/>
      <c r="M853" s="20"/>
      <c r="N853" s="9" t="s">
        <v>6465</v>
      </c>
      <c r="O853" s="54" t="s">
        <v>7812</v>
      </c>
      <c r="P853" s="7" t="s">
        <v>5583</v>
      </c>
      <c r="Q853" s="11" t="str">
        <f>RIGHT("00"&amp;Table362[[#This Row],[Rule '#]],3)&amp;"_"&amp;IF(Table362[[#This Row],[Entity]]="Material","MATL",LEFT(UPPER(Table362[[#This Row],[Entity]]),4))&amp;"_"&amp;MID(SUBSTITUTE(Table362[[#This Row],[Rule Name]],"_","|",3),SEARCH("|",SUBSTITUTE(Table362[[#This Row],[Rule Name]],"_","|",3))+1,LEN(Table362[[#This Row],[Rule Name]]))</f>
        <v>476_SD_Accounts_Statement</v>
      </c>
      <c r="R853" s="8" t="s">
        <v>5584</v>
      </c>
      <c r="S853" s="7" t="s">
        <v>4135</v>
      </c>
      <c r="T853" s="7"/>
      <c r="U853" s="7"/>
      <c r="V853" s="7" t="s">
        <v>2740</v>
      </c>
      <c r="W853" s="7" t="s">
        <v>5697</v>
      </c>
      <c r="X853" s="8"/>
      <c r="Y853" s="7" t="s">
        <v>4236</v>
      </c>
      <c r="Z853" s="7" t="s">
        <v>2794</v>
      </c>
      <c r="AA853" s="11" t="s">
        <v>5759</v>
      </c>
      <c r="AB853" s="11"/>
      <c r="AC853" s="11"/>
      <c r="AD853" s="11"/>
      <c r="AH853" s="8"/>
      <c r="AI853" s="20"/>
      <c r="AJ853" s="20"/>
      <c r="AK853" s="31"/>
      <c r="AL853" s="31"/>
    </row>
    <row r="854" spans="1:38" ht="45" hidden="1" x14ac:dyDescent="0.25">
      <c r="A854" s="14" t="s">
        <v>7507</v>
      </c>
      <c r="B854" s="7" t="s">
        <v>5877</v>
      </c>
      <c r="C854" s="7" t="s">
        <v>5672</v>
      </c>
      <c r="D854" s="7" t="s">
        <v>6711</v>
      </c>
      <c r="E854" s="7" t="s">
        <v>6714</v>
      </c>
      <c r="F854" s="7" t="s">
        <v>6715</v>
      </c>
      <c r="G854" s="7"/>
      <c r="H854" s="7"/>
      <c r="I854" s="7"/>
      <c r="J854" s="20" t="str">
        <f>VLOOKUP(V854,Table_to_BRG!A:D,3,FALSE)</f>
        <v>General data</v>
      </c>
      <c r="K854" s="20" t="str">
        <f>VLOOKUP(V854,Table_to_BRG!A:D,2,FALSE)</f>
        <v>General</v>
      </c>
      <c r="L854" s="20"/>
      <c r="M854" s="20"/>
      <c r="N854" s="9" t="s">
        <v>6465</v>
      </c>
      <c r="O854" s="54" t="s">
        <v>7812</v>
      </c>
      <c r="P854" s="7" t="s">
        <v>5585</v>
      </c>
      <c r="Q854" s="11" t="str">
        <f>RIGHT("00"&amp;Table362[[#This Row],[Rule '#]],3)&amp;"_"&amp;IF(Table362[[#This Row],[Entity]]="Material","MATL",LEFT(UPPER(Table362[[#This Row],[Entity]]),4))&amp;"_"&amp;MID(SUBSTITUTE(Table362[[#This Row],[Rule Name]],"_","|",3),SEARCH("|",SUBSTITUTE(Table362[[#This Row],[Rule Name]],"_","|",3))+1,LEN(Table362[[#This Row],[Rule Name]]))</f>
        <v>477_SD_Central order block for customer</v>
      </c>
      <c r="R854" s="8" t="s">
        <v>5586</v>
      </c>
      <c r="S854" s="7" t="s">
        <v>4135</v>
      </c>
      <c r="T854" s="7"/>
      <c r="U854" s="7"/>
      <c r="V854" s="7" t="s">
        <v>2741</v>
      </c>
      <c r="W854" s="7" t="s">
        <v>5760</v>
      </c>
      <c r="X854" s="8"/>
      <c r="Y854" s="7"/>
      <c r="Z854" s="7"/>
      <c r="AA854" s="11" t="s">
        <v>5761</v>
      </c>
      <c r="AB854" s="11"/>
      <c r="AC854" s="11" t="s">
        <v>6813</v>
      </c>
      <c r="AD854" s="11"/>
      <c r="AH854" s="8"/>
      <c r="AI854" s="20"/>
      <c r="AJ854" s="20"/>
      <c r="AK854" s="31"/>
      <c r="AL854" s="31"/>
    </row>
    <row r="855" spans="1:38" ht="36" hidden="1" x14ac:dyDescent="0.25">
      <c r="A855" s="14" t="s">
        <v>7508</v>
      </c>
      <c r="B855" s="7" t="s">
        <v>5877</v>
      </c>
      <c r="C855" s="7" t="s">
        <v>5672</v>
      </c>
      <c r="D855" s="7" t="s">
        <v>6711</v>
      </c>
      <c r="E855" s="7" t="s">
        <v>6714</v>
      </c>
      <c r="F855" s="7" t="s">
        <v>6724</v>
      </c>
      <c r="G855" s="7"/>
      <c r="H855" s="7"/>
      <c r="I855" s="7"/>
      <c r="J855" s="20" t="str">
        <f>VLOOKUP(V855,Table_to_BRG!A:D,3,FALSE)</f>
        <v>Customer sales data</v>
      </c>
      <c r="K855" s="20" t="str">
        <f>VLOOKUP(V855,Table_to_BRG!A:D,2,FALSE)</f>
        <v>Sales</v>
      </c>
      <c r="L855" s="20"/>
      <c r="M855" s="20"/>
      <c r="N855" s="9" t="s">
        <v>6465</v>
      </c>
      <c r="O855" s="54" t="s">
        <v>7812</v>
      </c>
      <c r="P855" s="7" t="s">
        <v>5587</v>
      </c>
      <c r="Q855" s="11" t="str">
        <f>RIGHT("00"&amp;Table362[[#This Row],[Rule '#]],3)&amp;"_"&amp;IF(Table362[[#This Row],[Entity]]="Material","MATL",LEFT(UPPER(Table362[[#This Row],[Entity]]),4))&amp;"_"&amp;MID(SUBSTITUTE(Table362[[#This Row],[Rule Name]],"_","|",3),SEARCH("|",SUBSTITUTE(Table362[[#This Row],[Rule Name]],"_","|",3))+1,LEN(Table362[[#This Row],[Rule Name]]))</f>
        <v>478_SD_Alt. Cred.Cntl.Area</v>
      </c>
      <c r="R855" s="8" t="s">
        <v>5588</v>
      </c>
      <c r="S855" s="7" t="s">
        <v>4135</v>
      </c>
      <c r="T855" s="7"/>
      <c r="U855" s="7"/>
      <c r="V855" s="7" t="s">
        <v>3334</v>
      </c>
      <c r="W855" s="7" t="s">
        <v>5762</v>
      </c>
      <c r="X855" s="8"/>
      <c r="Y855" s="7" t="s">
        <v>5763</v>
      </c>
      <c r="Z855" s="7" t="s">
        <v>5764</v>
      </c>
      <c r="AA855" s="11" t="str">
        <f>"BEGIN
     RETURN exists('DS_IS_RDS', '"&amp;Table362[[#This Row],[Lookup Table]]&amp;"', '"&amp;Table362[[#This Row],[Lookup Field]]&amp;"', "&amp;Table362[[#This Row],[IS Parameter]]&amp;");
END"</f>
        <v>BEGIN
     RETURN exists('DS_IS_RDS', 'TVV2', 'KVGR2', );
END</v>
      </c>
      <c r="AB855" s="11"/>
      <c r="AC855" s="11"/>
      <c r="AD855" s="11"/>
      <c r="AH855" s="8"/>
      <c r="AI855" s="20"/>
      <c r="AJ855" s="20"/>
      <c r="AK855" s="31"/>
      <c r="AL855" s="31"/>
    </row>
    <row r="856" spans="1:38" ht="36" hidden="1" x14ac:dyDescent="0.25">
      <c r="A856" s="14" t="s">
        <v>7509</v>
      </c>
      <c r="B856" s="7" t="s">
        <v>5877</v>
      </c>
      <c r="C856" s="7" t="s">
        <v>5672</v>
      </c>
      <c r="D856" s="7" t="s">
        <v>6711</v>
      </c>
      <c r="E856" s="7" t="s">
        <v>6714</v>
      </c>
      <c r="F856" s="7" t="s">
        <v>6724</v>
      </c>
      <c r="G856" s="7"/>
      <c r="H856" s="7"/>
      <c r="I856" s="7"/>
      <c r="J856" s="20" t="str">
        <f>VLOOKUP(V856,Table_to_BRG!A:D,3,FALSE)</f>
        <v>Customer sales data</v>
      </c>
      <c r="K856" s="20" t="str">
        <f>VLOOKUP(V856,Table_to_BRG!A:D,2,FALSE)</f>
        <v>Sales</v>
      </c>
      <c r="L856" s="20"/>
      <c r="M856" s="20"/>
      <c r="N856" s="9" t="s">
        <v>6465</v>
      </c>
      <c r="O856" s="54" t="s">
        <v>7812</v>
      </c>
      <c r="P856" s="7" t="s">
        <v>5589</v>
      </c>
      <c r="Q856" s="11" t="str">
        <f>RIGHT("00"&amp;Table362[[#This Row],[Rule '#]],3)&amp;"_"&amp;IF(Table362[[#This Row],[Entity]]="Material","MATL",LEFT(UPPER(Table362[[#This Row],[Entity]]),4))&amp;"_"&amp;MID(SUBSTITUTE(Table362[[#This Row],[Rule Name]],"_","|",3),SEARCH("|",SUBSTITUTE(Table362[[#This Row],[Rule Name]],"_","|",3))+1,LEN(Table362[[#This Row],[Rule Name]]))</f>
        <v>479_SD_Shipping Conditions</v>
      </c>
      <c r="R856" s="8" t="s">
        <v>5590</v>
      </c>
      <c r="S856" s="7" t="s">
        <v>4135</v>
      </c>
      <c r="T856" s="7"/>
      <c r="U856" s="7"/>
      <c r="V856" s="7" t="s">
        <v>3334</v>
      </c>
      <c r="W856" s="7" t="s">
        <v>5765</v>
      </c>
      <c r="X856" s="8"/>
      <c r="Y856" s="7" t="s">
        <v>5766</v>
      </c>
      <c r="Z856" s="7" t="s">
        <v>3457</v>
      </c>
      <c r="AA856" s="11" t="str">
        <f>"BEGIN
     RETURN exists('DS_IS_RDS', '"&amp;Table362[[#This Row],[Lookup Table]]&amp;"', '"&amp;Table362[[#This Row],[Lookup Field]]&amp;"', "&amp;Table362[[#This Row],[IS Parameter]]&amp;");
END"</f>
        <v>BEGIN
     RETURN exists('DS_IS_RDS', 'TVSB', 'VSBED', );
END</v>
      </c>
      <c r="AB856" s="11"/>
      <c r="AC856" s="11"/>
      <c r="AD856" s="11"/>
      <c r="AH856" s="8"/>
      <c r="AI856" s="20"/>
      <c r="AJ856" s="20"/>
      <c r="AK856" s="31"/>
      <c r="AL856" s="31"/>
    </row>
    <row r="857" spans="1:38" ht="36" hidden="1" x14ac:dyDescent="0.25">
      <c r="A857" s="14" t="s">
        <v>7510</v>
      </c>
      <c r="B857" s="7" t="s">
        <v>5877</v>
      </c>
      <c r="C857" s="7" t="s">
        <v>5672</v>
      </c>
      <c r="D857" s="7" t="s">
        <v>6711</v>
      </c>
      <c r="E857" s="7" t="s">
        <v>6714</v>
      </c>
      <c r="F857" s="7" t="s">
        <v>6724</v>
      </c>
      <c r="G857" s="7"/>
      <c r="H857" s="7"/>
      <c r="I857" s="7"/>
      <c r="J857" s="20" t="str">
        <f>VLOOKUP(V857,Table_to_BRG!A:D,3,FALSE)</f>
        <v>Customer sales data</v>
      </c>
      <c r="K857" s="20" t="str">
        <f>VLOOKUP(V857,Table_to_BRG!A:D,2,FALSE)</f>
        <v>Sales</v>
      </c>
      <c r="L857" s="20"/>
      <c r="M857" s="20"/>
      <c r="N857" s="9" t="s">
        <v>6465</v>
      </c>
      <c r="O857" s="54" t="s">
        <v>7812</v>
      </c>
      <c r="P857" s="7" t="s">
        <v>5591</v>
      </c>
      <c r="Q857" s="11" t="str">
        <f>RIGHT("00"&amp;Table362[[#This Row],[Rule '#]],3)&amp;"_"&amp;IF(Table362[[#This Row],[Entity]]="Material","MATL",LEFT(UPPER(Table362[[#This Row],[Entity]]),4))&amp;"_"&amp;MID(SUBSTITUTE(Table362[[#This Row],[Rule Name]],"_","|",3),SEARCH("|",SUBSTITUTE(Table362[[#This Row],[Rule Name]],"_","|",3))+1,LEN(Table362[[#This Row],[Rule Name]]))</f>
        <v>480_SD_0002_Man</v>
      </c>
      <c r="R857" s="8" t="s">
        <v>3466</v>
      </c>
      <c r="S857" s="7" t="s">
        <v>21</v>
      </c>
      <c r="T857" s="7"/>
      <c r="U857" s="7"/>
      <c r="V857" s="7" t="s">
        <v>3334</v>
      </c>
      <c r="W857" s="7" t="s">
        <v>5765</v>
      </c>
      <c r="X857" s="8"/>
      <c r="Y857" s="7"/>
      <c r="Z857" s="7"/>
      <c r="AA857" s="11" t="s">
        <v>5912</v>
      </c>
      <c r="AB857" s="11"/>
      <c r="AC857" s="11" t="s">
        <v>6813</v>
      </c>
      <c r="AD857" s="11"/>
      <c r="AH857" s="8"/>
      <c r="AI857" s="20"/>
      <c r="AJ857" s="20"/>
      <c r="AK857" s="31"/>
      <c r="AL857" s="31"/>
    </row>
    <row r="858" spans="1:38" ht="36" hidden="1" x14ac:dyDescent="0.25">
      <c r="A858" s="14" t="s">
        <v>7511</v>
      </c>
      <c r="B858" s="7" t="s">
        <v>5877</v>
      </c>
      <c r="C858" s="7" t="s">
        <v>5672</v>
      </c>
      <c r="D858" s="7" t="s">
        <v>6711</v>
      </c>
      <c r="E858" s="7" t="s">
        <v>6714</v>
      </c>
      <c r="F858" s="7" t="s">
        <v>6724</v>
      </c>
      <c r="G858" s="7"/>
      <c r="H858" s="7"/>
      <c r="I858" s="7"/>
      <c r="J858" s="20" t="str">
        <f>VLOOKUP(V858,Table_to_BRG!A:D,3,FALSE)</f>
        <v>Customer sales data</v>
      </c>
      <c r="K858" s="20" t="str">
        <f>VLOOKUP(V858,Table_to_BRG!A:D,2,FALSE)</f>
        <v>Sales</v>
      </c>
      <c r="L858" s="20"/>
      <c r="M858" s="20"/>
      <c r="N858" s="9" t="s">
        <v>6465</v>
      </c>
      <c r="O858" s="54" t="s">
        <v>7812</v>
      </c>
      <c r="P858" s="7" t="s">
        <v>5592</v>
      </c>
      <c r="Q858" s="11" t="str">
        <f>RIGHT("00"&amp;Table362[[#This Row],[Rule '#]],3)&amp;"_"&amp;IF(Table362[[#This Row],[Entity]]="Material","MATL",LEFT(UPPER(Table362[[#This Row],[Entity]]),4))&amp;"_"&amp;MID(SUBSTITUTE(Table362[[#This Row],[Rule Name]],"_","|",3),SEARCH("|",SUBSTITUTE(Table362[[#This Row],[Rule Name]],"_","|",3))+1,LEN(Table362[[#This Row],[Rule Name]]))</f>
        <v>481_SD_Sales Organization</v>
      </c>
      <c r="R858" s="8" t="s">
        <v>5593</v>
      </c>
      <c r="S858" s="7" t="s">
        <v>4135</v>
      </c>
      <c r="T858" s="7"/>
      <c r="U858" s="7"/>
      <c r="V858" s="7" t="s">
        <v>3334</v>
      </c>
      <c r="W858" s="7" t="s">
        <v>4780</v>
      </c>
      <c r="X858" s="8"/>
      <c r="Y858" s="7" t="s">
        <v>4285</v>
      </c>
      <c r="Z858" s="7" t="s">
        <v>2434</v>
      </c>
      <c r="AA858" s="11" t="str">
        <f>"BEGIN
     RETURN exists('DS_IS_RDS', '"&amp;Table362[[#This Row],[Lookup Table]]&amp;"', '"&amp;Table362[[#This Row],[Lookup Field]]&amp;"', "&amp;Table362[[#This Row],[IS Parameter]]&amp;");
END"</f>
        <v>BEGIN
     RETURN exists('DS_IS_RDS', 'TVKO', 'VKORG', );
END</v>
      </c>
      <c r="AB858" s="11"/>
      <c r="AC858" s="11"/>
      <c r="AD858" s="11"/>
      <c r="AH858" s="8"/>
      <c r="AI858" s="20" t="s">
        <v>7724</v>
      </c>
      <c r="AJ858" s="20"/>
      <c r="AK858" s="31"/>
      <c r="AL858" s="31"/>
    </row>
    <row r="859" spans="1:38" ht="60" hidden="1" x14ac:dyDescent="0.25">
      <c r="A859" s="14" t="s">
        <v>7512</v>
      </c>
      <c r="B859" s="7" t="s">
        <v>5877</v>
      </c>
      <c r="C859" s="7" t="s">
        <v>5672</v>
      </c>
      <c r="D859" s="7" t="s">
        <v>6711</v>
      </c>
      <c r="E859" s="7" t="s">
        <v>6714</v>
      </c>
      <c r="F859" s="7" t="s">
        <v>6715</v>
      </c>
      <c r="G859" s="7"/>
      <c r="H859" s="7"/>
      <c r="I859" s="7"/>
      <c r="J859" s="20" t="str">
        <f>VLOOKUP(V859,Table_to_BRG!A:D,3,FALSE)</f>
        <v>General data</v>
      </c>
      <c r="K859" s="20" t="str">
        <f>VLOOKUP(V859,Table_to_BRG!A:D,2,FALSE)</f>
        <v>General</v>
      </c>
      <c r="L859" s="20"/>
      <c r="M859" s="20"/>
      <c r="N859" s="9" t="s">
        <v>6465</v>
      </c>
      <c r="O859" s="54" t="s">
        <v>7812</v>
      </c>
      <c r="P859" s="7" t="s">
        <v>5594</v>
      </c>
      <c r="Q859" s="11" t="str">
        <f>RIGHT("00"&amp;Table362[[#This Row],[Rule '#]],3)&amp;"_"&amp;IF(Table362[[#This Row],[Entity]]="Material","MATL",LEFT(UPPER(Table362[[#This Row],[Entity]]),4))&amp;"_"&amp;MID(SUBSTITUTE(Table362[[#This Row],[Rule Name]],"_","|",3),SEARCH("|",SUBSTITUTE(Table362[[#This Row],[Rule Name]],"_","|",3))+1,LEN(Table362[[#This Row],[Rule Name]]))</f>
        <v>482_SD_Attribute 5</v>
      </c>
      <c r="R859" s="8" t="s">
        <v>5595</v>
      </c>
      <c r="S859" s="7" t="s">
        <v>4135</v>
      </c>
      <c r="T859" s="7"/>
      <c r="U859" s="7"/>
      <c r="V859" s="7" t="s">
        <v>2741</v>
      </c>
      <c r="W859" s="7" t="s">
        <v>5767</v>
      </c>
      <c r="X859" s="8"/>
      <c r="Y859" s="7" t="s">
        <v>5768</v>
      </c>
      <c r="Z859" s="7" t="s">
        <v>5769</v>
      </c>
      <c r="AA859" s="11" t="s">
        <v>5770</v>
      </c>
      <c r="AB859" s="11"/>
      <c r="AC859" s="11"/>
      <c r="AD859" s="11"/>
      <c r="AH859" s="8"/>
      <c r="AI859" s="20"/>
      <c r="AJ859" s="20"/>
      <c r="AK859" s="31"/>
      <c r="AL859" s="31"/>
    </row>
    <row r="860" spans="1:38" ht="36" hidden="1" x14ac:dyDescent="0.25">
      <c r="A860" s="14" t="s">
        <v>7513</v>
      </c>
      <c r="B860" s="7" t="s">
        <v>5877</v>
      </c>
      <c r="C860" s="7" t="s">
        <v>5672</v>
      </c>
      <c r="D860" s="7" t="s">
        <v>6719</v>
      </c>
      <c r="E860" s="7" t="s">
        <v>6720</v>
      </c>
      <c r="F860" s="7" t="s">
        <v>6744</v>
      </c>
      <c r="G860" s="7"/>
      <c r="H860" s="7"/>
      <c r="I860" s="7"/>
      <c r="J860" s="20" t="str">
        <f>VLOOKUP(V860,Table_to_BRG!A:D,3,FALSE)</f>
        <v>Dunning data</v>
      </c>
      <c r="K860" s="20" t="str">
        <f>VLOOKUP(V860,Table_to_BRG!A:D,2,FALSE)</f>
        <v>Dunning</v>
      </c>
      <c r="L860" s="20"/>
      <c r="M860" s="20"/>
      <c r="N860" s="9" t="s">
        <v>6465</v>
      </c>
      <c r="O860" s="54" t="s">
        <v>7812</v>
      </c>
      <c r="P860" s="7" t="s">
        <v>5596</v>
      </c>
      <c r="Q860" s="11" t="str">
        <f>RIGHT("00"&amp;Table362[[#This Row],[Rule '#]],3)&amp;"_"&amp;IF(Table362[[#This Row],[Entity]]="Material","MATL",LEFT(UPPER(Table362[[#This Row],[Entity]]),4))&amp;"_"&amp;MID(SUBSTITUTE(Table362[[#This Row],[Rule Name]],"_","|",3),SEARCH("|",SUBSTITUTE(Table362[[#This Row],[Rule Name]],"_","|",3))+1,LEN(Table362[[#This Row],[Rule Name]]))</f>
        <v>483_SD_Dunning block</v>
      </c>
      <c r="R860" s="8" t="s">
        <v>5938</v>
      </c>
      <c r="S860" s="7" t="s">
        <v>4135</v>
      </c>
      <c r="T860" s="7"/>
      <c r="U860" s="7"/>
      <c r="V860" s="7" t="s">
        <v>2827</v>
      </c>
      <c r="W860" s="7" t="s">
        <v>5771</v>
      </c>
      <c r="X860" s="8"/>
      <c r="Y860" s="7" t="s">
        <v>5772</v>
      </c>
      <c r="Z860" s="7" t="s">
        <v>2787</v>
      </c>
      <c r="AA860" s="11" t="str">
        <f>"BEGIN
     RETURN exists('DS_IS_RDS', '"&amp;Table362[[#This Row],[Lookup Table]]&amp;"', '"&amp;Table362[[#This Row],[Lookup Field]]&amp;"', "&amp;Table362[[#This Row],[IS Parameter]]&amp;");
END"</f>
        <v>BEGIN
     RETURN exists('DS_IS_RDS', 'T040S', 'MANSP', );
END</v>
      </c>
      <c r="AB860" s="11"/>
      <c r="AC860" s="11"/>
      <c r="AD860" s="11"/>
      <c r="AH860" s="8"/>
      <c r="AI860" s="20"/>
      <c r="AJ860" s="20"/>
      <c r="AK860" s="31"/>
      <c r="AL860" s="31"/>
    </row>
    <row r="861" spans="1:38" ht="36" hidden="1" x14ac:dyDescent="0.25">
      <c r="A861" s="14" t="s">
        <v>7514</v>
      </c>
      <c r="B861" s="7" t="s">
        <v>5877</v>
      </c>
      <c r="C861" s="7" t="s">
        <v>5672</v>
      </c>
      <c r="D861" s="7" t="s">
        <v>6719</v>
      </c>
      <c r="E861" s="7" t="s">
        <v>6720</v>
      </c>
      <c r="F861" s="7" t="s">
        <v>6721</v>
      </c>
      <c r="G861" s="7"/>
      <c r="H861" s="7"/>
      <c r="I861" s="7"/>
      <c r="J861" s="20" t="str">
        <f>VLOOKUP(V861,Table_to_BRG!A:D,3,FALSE)</f>
        <v>Company Code data</v>
      </c>
      <c r="K861" s="20" t="str">
        <f>VLOOKUP(V861,Table_to_BRG!A:D,2,FALSE)</f>
        <v>Company Code</v>
      </c>
      <c r="L861" s="20"/>
      <c r="M861" s="20"/>
      <c r="N861" s="9" t="s">
        <v>6465</v>
      </c>
      <c r="O861" s="54" t="s">
        <v>7812</v>
      </c>
      <c r="P861" s="7" t="s">
        <v>5597</v>
      </c>
      <c r="Q861" s="11" t="str">
        <f>RIGHT("00"&amp;Table362[[#This Row],[Rule '#]],3)&amp;"_"&amp;IF(Table362[[#This Row],[Entity]]="Material","MATL",LEFT(UPPER(Table362[[#This Row],[Entity]]),4))&amp;"_"&amp;MID(SUBSTITUTE(Table362[[#This Row],[Rule Name]],"_","|",3),SEARCH("|",SUBSTITUTE(Table362[[#This Row],[Rule Name]],"_","|",3))+1,LEN(Table362[[#This Row],[Rule Name]]))</f>
        <v>484_SD_Short Key for a House Bank</v>
      </c>
      <c r="R861" s="8" t="s">
        <v>5939</v>
      </c>
      <c r="S861" s="7" t="s">
        <v>4135</v>
      </c>
      <c r="T861" s="7"/>
      <c r="U861" s="7"/>
      <c r="V861" s="7" t="s">
        <v>2740</v>
      </c>
      <c r="W861" s="7" t="s">
        <v>5773</v>
      </c>
      <c r="X861" s="8"/>
      <c r="Y861" s="7" t="s">
        <v>5774</v>
      </c>
      <c r="Z861" s="7" t="s">
        <v>2897</v>
      </c>
      <c r="AA861" s="11" t="str">
        <f>"BEGIN
     RETURN exists('DS_IS_RDS', '"&amp;Table362[[#This Row],[Lookup Table]]&amp;"', '"&amp;Table362[[#This Row],[Lookup Field]]&amp;"', "&amp;Table362[[#This Row],[IS Parameter]]&amp;");
END"</f>
        <v>BEGIN
     RETURN exists('DS_IS_RDS', 'T012', 'HBKID', );
END</v>
      </c>
      <c r="AB861" s="11"/>
      <c r="AC861" s="11"/>
      <c r="AD861" s="11"/>
      <c r="AH861" s="8"/>
      <c r="AI861" s="20"/>
      <c r="AJ861" s="20"/>
      <c r="AK861" s="31"/>
      <c r="AL861" s="31"/>
    </row>
    <row r="862" spans="1:38" ht="36" hidden="1" x14ac:dyDescent="0.25">
      <c r="A862" s="14" t="s">
        <v>7515</v>
      </c>
      <c r="B862" s="7" t="s">
        <v>5877</v>
      </c>
      <c r="C862" s="7" t="s">
        <v>5672</v>
      </c>
      <c r="D862" s="7" t="s">
        <v>6711</v>
      </c>
      <c r="E862" s="7" t="s">
        <v>6714</v>
      </c>
      <c r="F862" s="7" t="s">
        <v>6724</v>
      </c>
      <c r="G862" s="7"/>
      <c r="H862" s="7"/>
      <c r="I862" s="7"/>
      <c r="J862" s="20" t="str">
        <f>VLOOKUP(V862,Table_to_BRG!A:D,3,FALSE)</f>
        <v>Customer sales data</v>
      </c>
      <c r="K862" s="20" t="str">
        <f>VLOOKUP(V862,Table_to_BRG!A:D,2,FALSE)</f>
        <v>Sales</v>
      </c>
      <c r="L862" s="20"/>
      <c r="M862" s="20"/>
      <c r="N862" s="9" t="s">
        <v>6465</v>
      </c>
      <c r="O862" s="54" t="s">
        <v>7812</v>
      </c>
      <c r="P862" s="7" t="s">
        <v>5598</v>
      </c>
      <c r="Q862" s="11" t="str">
        <f>RIGHT("00"&amp;Table362[[#This Row],[Rule '#]],3)&amp;"_"&amp;IF(Table362[[#This Row],[Entity]]="Material","MATL",LEFT(UPPER(Table362[[#This Row],[Entity]]),4))&amp;"_"&amp;MID(SUBSTITUTE(Table362[[#This Row],[Rule Name]],"_","|",3),SEARCH("|",SUBSTITUTE(Table362[[#This Row],[Rule Name]],"_","|",3))+1,LEN(Table362[[#This Row],[Rule Name]]))</f>
        <v>485_SD_Pricing procedure assigned to this cu</v>
      </c>
      <c r="R862" s="8" t="s">
        <v>5599</v>
      </c>
      <c r="S862" s="7" t="s">
        <v>4135</v>
      </c>
      <c r="T862" s="7"/>
      <c r="U862" s="7"/>
      <c r="V862" s="7" t="s">
        <v>3334</v>
      </c>
      <c r="W862" s="7" t="s">
        <v>5775</v>
      </c>
      <c r="X862" s="8"/>
      <c r="Y862" s="7" t="s">
        <v>5776</v>
      </c>
      <c r="Z862" s="7" t="s">
        <v>3415</v>
      </c>
      <c r="AA862" s="11" t="str">
        <f>"BEGIN
     RETURN exists('DS_IS_RDS', '"&amp;Table362[[#This Row],[Lookup Table]]&amp;"', '"&amp;Table362[[#This Row],[Lookup Field]]&amp;"', "&amp;Table362[[#This Row],[IS Parameter]]&amp;");
END"</f>
        <v>BEGIN
     RETURN exists('DS_IS_RDS', 'TVKD', 'KALKS', );
END</v>
      </c>
      <c r="AB862" s="11"/>
      <c r="AC862" s="11"/>
      <c r="AD862" s="11"/>
      <c r="AH862" s="8"/>
      <c r="AI862" s="20"/>
      <c r="AJ862" s="20"/>
      <c r="AK862" s="31"/>
      <c r="AL862" s="31"/>
    </row>
    <row r="863" spans="1:38" ht="60" hidden="1" x14ac:dyDescent="0.25">
      <c r="A863" s="14" t="s">
        <v>7516</v>
      </c>
      <c r="B863" s="7" t="s">
        <v>5877</v>
      </c>
      <c r="C863" s="7" t="s">
        <v>5672</v>
      </c>
      <c r="D863" s="7" t="s">
        <v>6711</v>
      </c>
      <c r="E863" s="7" t="s">
        <v>6714</v>
      </c>
      <c r="F863" s="7" t="s">
        <v>6715</v>
      </c>
      <c r="G863" s="7"/>
      <c r="H863" s="7"/>
      <c r="I863" s="7"/>
      <c r="J863" s="20" t="str">
        <f>VLOOKUP(V863,Table_to_BRG!A:D,3,FALSE)</f>
        <v>General data</v>
      </c>
      <c r="K863" s="20" t="str">
        <f>VLOOKUP(V863,Table_to_BRG!A:D,2,FALSE)</f>
        <v>General</v>
      </c>
      <c r="L863" s="20"/>
      <c r="M863" s="20"/>
      <c r="N863" s="9" t="s">
        <v>6465</v>
      </c>
      <c r="O863" s="54" t="s">
        <v>7812</v>
      </c>
      <c r="P863" s="7" t="s">
        <v>5600</v>
      </c>
      <c r="Q863" s="11" t="str">
        <f>RIGHT("00"&amp;Table362[[#This Row],[Rule '#]],3)&amp;"_"&amp;IF(Table362[[#This Row],[Entity]]="Material","MATL",LEFT(UPPER(Table362[[#This Row],[Entity]]),4))&amp;"_"&amp;MID(SUBSTITUTE(Table362[[#This Row],[Rule Name]],"_","|",3),SEARCH("|",SUBSTITUTE(Table362[[#This Row],[Rule Name]],"_","|",3))+1,LEN(Table362[[#This Row],[Rule Name]]))</f>
        <v>486_SD_Attribute 6</v>
      </c>
      <c r="R863" s="8" t="s">
        <v>5601</v>
      </c>
      <c r="S863" s="7" t="s">
        <v>4135</v>
      </c>
      <c r="T863" s="7"/>
      <c r="U863" s="7"/>
      <c r="V863" s="7" t="s">
        <v>2741</v>
      </c>
      <c r="W863" s="7" t="s">
        <v>5777</v>
      </c>
      <c r="X863" s="8"/>
      <c r="Y863" s="7" t="s">
        <v>5778</v>
      </c>
      <c r="Z863" s="7" t="s">
        <v>5779</v>
      </c>
      <c r="AA863" s="11" t="s">
        <v>5780</v>
      </c>
      <c r="AB863" s="11"/>
      <c r="AC863" s="11"/>
      <c r="AD863" s="11"/>
      <c r="AH863" s="8"/>
      <c r="AI863" s="20"/>
      <c r="AJ863" s="20"/>
      <c r="AK863" s="31"/>
      <c r="AL863" s="31"/>
    </row>
    <row r="864" spans="1:38" ht="72" hidden="1" x14ac:dyDescent="0.25">
      <c r="A864" s="14" t="s">
        <v>7517</v>
      </c>
      <c r="B864" s="7" t="s">
        <v>5877</v>
      </c>
      <c r="C864" s="7" t="s">
        <v>5672</v>
      </c>
      <c r="D864" s="7" t="s">
        <v>6719</v>
      </c>
      <c r="E864" s="7" t="s">
        <v>6720</v>
      </c>
      <c r="F864" s="7" t="s">
        <v>6721</v>
      </c>
      <c r="G864" s="7"/>
      <c r="H864" s="7"/>
      <c r="I864" s="7"/>
      <c r="J864" s="20" t="str">
        <f>VLOOKUP(V864,Table_to_BRG!A:D,3,FALSE)</f>
        <v>Company Code data</v>
      </c>
      <c r="K864" s="20" t="str">
        <f>VLOOKUP(V864,Table_to_BRG!A:D,2,FALSE)</f>
        <v>Company Code</v>
      </c>
      <c r="L864" s="20"/>
      <c r="M864" s="20"/>
      <c r="N864" s="9" t="s">
        <v>6465</v>
      </c>
      <c r="O864" s="54" t="s">
        <v>7812</v>
      </c>
      <c r="P864" s="7" t="s">
        <v>5542</v>
      </c>
      <c r="Q864" s="11" t="str">
        <f>RIGHT("00"&amp;Table362[[#This Row],[Rule '#]],3)&amp;"_"&amp;IF(Table362[[#This Row],[Entity]]="Material","MATL",LEFT(UPPER(Table362[[#This Row],[Entity]]),4))&amp;"_"&amp;MID(SUBSTITUTE(Table362[[#This Row],[Rule Name]],"_","|",3),SEARCH("|",SUBSTITUTE(Table362[[#This Row],[Rule Name]],"_","|",3))+1,LEN(Table362[[#This Row],[Rule Name]]))</f>
        <v>487_SD_Accounting clerk</v>
      </c>
      <c r="R864" s="8" t="s">
        <v>5602</v>
      </c>
      <c r="S864" s="7" t="s">
        <v>4135</v>
      </c>
      <c r="T864" s="7"/>
      <c r="U864" s="7"/>
      <c r="V864" s="7" t="s">
        <v>2740</v>
      </c>
      <c r="W864" s="7" t="s">
        <v>5699</v>
      </c>
      <c r="X864" s="8"/>
      <c r="Y864" s="7" t="s">
        <v>4233</v>
      </c>
      <c r="Z864" s="7" t="s">
        <v>2792</v>
      </c>
      <c r="AA864" s="11" t="s">
        <v>5781</v>
      </c>
      <c r="AB864" s="11"/>
      <c r="AC864" s="11"/>
      <c r="AD864" s="11"/>
      <c r="AH864" s="8"/>
      <c r="AI864" s="20"/>
      <c r="AJ864" s="20"/>
      <c r="AK864" s="31"/>
      <c r="AL864" s="31"/>
    </row>
    <row r="865" spans="1:38" ht="36" hidden="1" x14ac:dyDescent="0.25">
      <c r="A865" s="14" t="s">
        <v>7518</v>
      </c>
      <c r="B865" s="7" t="s">
        <v>5877</v>
      </c>
      <c r="C865" s="7" t="s">
        <v>5672</v>
      </c>
      <c r="D865" s="7" t="s">
        <v>6719</v>
      </c>
      <c r="E865" s="7" t="s">
        <v>6720</v>
      </c>
      <c r="F865" s="7" t="s">
        <v>6721</v>
      </c>
      <c r="G865" s="7"/>
      <c r="H865" s="7"/>
      <c r="I865" s="7"/>
      <c r="J865" s="20" t="str">
        <f>VLOOKUP(V865,Table_to_BRG!A:D,3,FALSE)</f>
        <v>Company Code data</v>
      </c>
      <c r="K865" s="20" t="str">
        <f>VLOOKUP(V865,Table_to_BRG!A:D,2,FALSE)</f>
        <v>Company Code</v>
      </c>
      <c r="L865" s="20"/>
      <c r="M865" s="20"/>
      <c r="N865" s="9" t="s">
        <v>6465</v>
      </c>
      <c r="O865" s="54" t="s">
        <v>7812</v>
      </c>
      <c r="P865" s="7" t="s">
        <v>5603</v>
      </c>
      <c r="Q865" s="11" t="str">
        <f>RIGHT("00"&amp;Table362[[#This Row],[Rule '#]],3)&amp;"_"&amp;IF(Table362[[#This Row],[Entity]]="Material","MATL",LEFT(UPPER(Table362[[#This Row],[Entity]]),4))&amp;"_"&amp;MID(SUBSTITUTE(Table362[[#This Row],[Rule Name]],"_","|",3),SEARCH("|",SUBSTITUTE(Table362[[#This Row],[Rule Name]],"_","|",3))+1,LEN(Table362[[#This Row],[Rule Name]]))</f>
        <v>488_SD_Company Code</v>
      </c>
      <c r="R865" s="8" t="s">
        <v>5940</v>
      </c>
      <c r="S865" s="7" t="s">
        <v>4135</v>
      </c>
      <c r="T865" s="7"/>
      <c r="U865" s="7"/>
      <c r="V865" s="7" t="s">
        <v>2740</v>
      </c>
      <c r="W865" s="7" t="s">
        <v>4592</v>
      </c>
      <c r="X865" s="8"/>
      <c r="Y865" s="7" t="s">
        <v>2739</v>
      </c>
      <c r="Z865" s="7" t="s">
        <v>2706</v>
      </c>
      <c r="AA865" s="11" t="str">
        <f>"BEGIN
     RETURN exists('DS_IS_RDS', '"&amp;Table362[[#This Row],[Lookup Table]]&amp;"', '"&amp;Table362[[#This Row],[Lookup Field]]&amp;"', "&amp;Table362[[#This Row],[IS Parameter]]&amp;");
END"</f>
        <v>BEGIN
     RETURN exists('DS_IS_RDS', 'T001', 'BUKRS', );
END</v>
      </c>
      <c r="AB865" s="11"/>
      <c r="AC865" s="11"/>
      <c r="AD865" s="11"/>
      <c r="AH865" s="8"/>
      <c r="AI865" s="20"/>
      <c r="AJ865" s="20"/>
      <c r="AK865" s="31"/>
      <c r="AL865" s="31"/>
    </row>
    <row r="866" spans="1:38" ht="60" hidden="1" x14ac:dyDescent="0.25">
      <c r="A866" s="14" t="s">
        <v>7519</v>
      </c>
      <c r="B866" s="7" t="s">
        <v>5877</v>
      </c>
      <c r="C866" s="7" t="s">
        <v>5672</v>
      </c>
      <c r="D866" s="7" t="s">
        <v>6711</v>
      </c>
      <c r="E866" s="7" t="s">
        <v>6714</v>
      </c>
      <c r="F866" s="7" t="s">
        <v>6742</v>
      </c>
      <c r="G866" s="7"/>
      <c r="H866" s="7"/>
      <c r="I866" s="7"/>
      <c r="J866" s="20" t="str">
        <f>VLOOKUP(V866,Table_to_BRG!A:D,3,FALSE)</f>
        <v>Contact data</v>
      </c>
      <c r="K866" s="20" t="str">
        <f>VLOOKUP(V866,Table_to_BRG!A:D,2,FALSE)</f>
        <v>Contact partner</v>
      </c>
      <c r="L866" s="20"/>
      <c r="M866" s="20"/>
      <c r="N866" s="9" t="s">
        <v>6465</v>
      </c>
      <c r="O866" s="54" t="s">
        <v>7812</v>
      </c>
      <c r="P866" s="7" t="s">
        <v>5604</v>
      </c>
      <c r="Q866" s="11" t="str">
        <f>RIGHT("00"&amp;Table362[[#This Row],[Rule '#]],3)&amp;"_"&amp;IF(Table362[[#This Row],[Entity]]="Material","MATL",LEFT(UPPER(Table362[[#This Row],[Entity]]),4))&amp;"_"&amp;MID(SUBSTITUTE(Table362[[#This Row],[Rule Name]],"_","|",3),SEARCH("|",SUBSTITUTE(Table362[[#This Row],[Rule Name]],"_","|",3))+1,LEN(Table362[[#This Row],[Rule Name]]))</f>
        <v>489_SD_Contact person: Attribute 7</v>
      </c>
      <c r="R866" s="8" t="s">
        <v>5941</v>
      </c>
      <c r="S866" s="7" t="s">
        <v>4135</v>
      </c>
      <c r="T866" s="7"/>
      <c r="U866" s="7"/>
      <c r="V866" s="7" t="s">
        <v>3001</v>
      </c>
      <c r="W866" s="7" t="s">
        <v>5782</v>
      </c>
      <c r="X866" s="8"/>
      <c r="Y866" s="7" t="s">
        <v>5783</v>
      </c>
      <c r="Z866" s="7" t="s">
        <v>5784</v>
      </c>
      <c r="AA866" s="11" t="s">
        <v>5785</v>
      </c>
      <c r="AB866" s="11"/>
      <c r="AC866" s="11"/>
      <c r="AD866" s="11"/>
      <c r="AH866" s="8"/>
      <c r="AI866" s="20"/>
      <c r="AJ866" s="20"/>
      <c r="AK866" s="31"/>
      <c r="AL866" s="31"/>
    </row>
    <row r="867" spans="1:38" ht="48" hidden="1" x14ac:dyDescent="0.25">
      <c r="A867" s="14" t="s">
        <v>7520</v>
      </c>
      <c r="B867" s="7" t="s">
        <v>5877</v>
      </c>
      <c r="C867" s="7" t="s">
        <v>5672</v>
      </c>
      <c r="D867" s="7" t="s">
        <v>6711</v>
      </c>
      <c r="E867" s="7" t="s">
        <v>6714</v>
      </c>
      <c r="F867" s="7" t="s">
        <v>6715</v>
      </c>
      <c r="G867" s="7"/>
      <c r="H867" s="7"/>
      <c r="I867" s="7"/>
      <c r="J867" s="20" t="str">
        <f>VLOOKUP(V867,Table_to_BRG!A:D,3,FALSE)</f>
        <v>General data</v>
      </c>
      <c r="K867" s="20" t="str">
        <f>VLOOKUP(V867,Table_to_BRG!A:D,2,FALSE)</f>
        <v>General</v>
      </c>
      <c r="L867" s="20"/>
      <c r="M867" s="20"/>
      <c r="N867" s="9" t="s">
        <v>6465</v>
      </c>
      <c r="O867" s="54" t="s">
        <v>7812</v>
      </c>
      <c r="P867" s="7" t="s">
        <v>5605</v>
      </c>
      <c r="Q867" s="11" t="str">
        <f>RIGHT("00"&amp;Table362[[#This Row],[Rule '#]],3)&amp;"_"&amp;IF(Table362[[#This Row],[Entity]]="Material","MATL",LEFT(UPPER(Table362[[#This Row],[Entity]]),4))&amp;"_"&amp;MID(SUBSTITUTE(Table362[[#This Row],[Rule Name]],"_","|",3),SEARCH("|",SUBSTITUTE(Table362[[#This Row],[Rule Name]],"_","|",3))+1,LEN(Table362[[#This Row],[Rule Name]]))</f>
        <v>490_SD_Attribute 9</v>
      </c>
      <c r="R867" s="8" t="s">
        <v>5606</v>
      </c>
      <c r="S867" s="7" t="s">
        <v>4135</v>
      </c>
      <c r="T867" s="7"/>
      <c r="U867" s="7"/>
      <c r="V867" s="7" t="s">
        <v>2741</v>
      </c>
      <c r="W867" s="7" t="s">
        <v>5786</v>
      </c>
      <c r="X867" s="8"/>
      <c r="Y867" s="7" t="s">
        <v>5787</v>
      </c>
      <c r="Z867" s="7" t="s">
        <v>5788</v>
      </c>
      <c r="AA867" s="11" t="s">
        <v>5789</v>
      </c>
      <c r="AB867" s="11"/>
      <c r="AC867" s="11"/>
      <c r="AD867" s="11"/>
      <c r="AH867" s="8"/>
      <c r="AI867" s="20"/>
      <c r="AJ867" s="20"/>
      <c r="AK867" s="31"/>
      <c r="AL867" s="31"/>
    </row>
    <row r="868" spans="1:38" ht="60" hidden="1" x14ac:dyDescent="0.25">
      <c r="A868" s="14" t="s">
        <v>7521</v>
      </c>
      <c r="B868" s="7" t="s">
        <v>5877</v>
      </c>
      <c r="C868" s="7" t="s">
        <v>5672</v>
      </c>
      <c r="D868" s="7" t="s">
        <v>5978</v>
      </c>
      <c r="E868" s="7" t="s">
        <v>5978</v>
      </c>
      <c r="F868" s="7" t="s">
        <v>5978</v>
      </c>
      <c r="G868" s="7"/>
      <c r="H868" s="7"/>
      <c r="I868" s="7"/>
      <c r="J868" s="20" t="e">
        <f>VLOOKUP(V868,Table_to_BRG!A:D,3,FALSE)</f>
        <v>#N/A</v>
      </c>
      <c r="K868" s="20" t="e">
        <f>VLOOKUP(V868,Table_to_BRG!A:D,2,FALSE)</f>
        <v>#N/A</v>
      </c>
      <c r="L868" s="20"/>
      <c r="M868" s="20"/>
      <c r="N868" s="9" t="s">
        <v>6465</v>
      </c>
      <c r="O868" s="54" t="s">
        <v>7812</v>
      </c>
      <c r="P868" s="7" t="s">
        <v>5607</v>
      </c>
      <c r="Q868" s="11" t="e">
        <f>RIGHT("00"&amp;Table362[[#This Row],[Rule '#]],3)&amp;"_"&amp;IF(Table362[[#This Row],[Entity]]="Material","MATL",LEFT(UPPER(Table362[[#This Row],[Entity]]),4))&amp;"_"&amp;MID(SUBSTITUTE(Table362[[#This Row],[Rule Name]],"_","|",3),SEARCH("|",SUBSTITUTE(Table362[[#This Row],[Rule Name]],"_","|",3))+1,LEN(Table362[[#This Row],[Rule Name]]))</f>
        <v>#VALUE!</v>
      </c>
      <c r="R868" s="8" t="s">
        <v>5608</v>
      </c>
      <c r="S868" s="7" t="s">
        <v>4136</v>
      </c>
      <c r="T868" s="7"/>
      <c r="U868" s="7"/>
      <c r="V868" s="7"/>
      <c r="W868" s="7" t="s">
        <v>5790</v>
      </c>
      <c r="X868" s="8"/>
      <c r="Y868" s="7"/>
      <c r="Z868" s="7"/>
      <c r="AA868" s="11" t="s">
        <v>5791</v>
      </c>
      <c r="AB868" s="11"/>
      <c r="AC868" s="11" t="s">
        <v>6812</v>
      </c>
      <c r="AD868" s="11"/>
      <c r="AH868" s="8"/>
      <c r="AI868" s="20"/>
      <c r="AJ868" s="20"/>
      <c r="AK868" s="31"/>
      <c r="AL868" s="31"/>
    </row>
    <row r="869" spans="1:38" ht="36" hidden="1" x14ac:dyDescent="0.25">
      <c r="A869" s="14" t="s">
        <v>7522</v>
      </c>
      <c r="B869" s="7" t="s">
        <v>5877</v>
      </c>
      <c r="C869" s="7" t="s">
        <v>5672</v>
      </c>
      <c r="D869" s="7" t="s">
        <v>6719</v>
      </c>
      <c r="E869" s="7" t="s">
        <v>6720</v>
      </c>
      <c r="F869" s="7" t="s">
        <v>6721</v>
      </c>
      <c r="G869" s="7"/>
      <c r="H869" s="7"/>
      <c r="I869" s="7"/>
      <c r="J869" s="20" t="str">
        <f>VLOOKUP(V869,Table_to_BRG!A:D,3,FALSE)</f>
        <v>Company Code data</v>
      </c>
      <c r="K869" s="20" t="str">
        <f>VLOOKUP(V869,Table_to_BRG!A:D,2,FALSE)</f>
        <v>Company Code</v>
      </c>
      <c r="L869" s="20"/>
      <c r="M869" s="20"/>
      <c r="N869" s="9" t="s">
        <v>6465</v>
      </c>
      <c r="O869" s="54" t="s">
        <v>7812</v>
      </c>
      <c r="P869" s="7" t="s">
        <v>5609</v>
      </c>
      <c r="Q869" s="11" t="str">
        <f>RIGHT("00"&amp;Table362[[#This Row],[Rule '#]],3)&amp;"_"&amp;IF(Table362[[#This Row],[Entity]]="Material","MATL",LEFT(UPPER(Table362[[#This Row],[Entity]]),4))&amp;"_"&amp;MID(SUBSTITUTE(Table362[[#This Row],[Rule Name]],"_","|",3),SEARCH("|",SUBSTITUTE(Table362[[#This Row],[Rule Name]],"_","|",3))+1,LEN(Table362[[#This Row],[Rule Name]]))</f>
        <v>492_SD_Planning group</v>
      </c>
      <c r="R869" s="8" t="s">
        <v>5942</v>
      </c>
      <c r="S869" s="7" t="s">
        <v>4135</v>
      </c>
      <c r="T869" s="7"/>
      <c r="U869" s="7"/>
      <c r="V869" s="7" t="s">
        <v>2740</v>
      </c>
      <c r="W869" s="7" t="s">
        <v>5792</v>
      </c>
      <c r="X869" s="8"/>
      <c r="Y869" s="7" t="s">
        <v>4260</v>
      </c>
      <c r="Z869" s="7" t="s">
        <v>4261</v>
      </c>
      <c r="AA869" s="11" t="str">
        <f>"BEGIN
     RETURN exists('DS_IS_RDS', '"&amp;Table362[[#This Row],[Lookup Table]]&amp;"', '"&amp;Table362[[#This Row],[Lookup Field]]&amp;"', "&amp;Table362[[#This Row],[IS Parameter]]&amp;");
END"</f>
        <v>BEGIN
     RETURN exists('DS_IS_RDS', 'T035', 'GRUPP', );
END</v>
      </c>
      <c r="AB869" s="11"/>
      <c r="AC869" s="11"/>
      <c r="AD869" s="11"/>
      <c r="AH869" s="8"/>
      <c r="AI869" s="20"/>
      <c r="AJ869" s="20"/>
      <c r="AK869" s="31"/>
      <c r="AL869" s="31"/>
    </row>
    <row r="870" spans="1:38" ht="168" hidden="1" x14ac:dyDescent="0.25">
      <c r="A870" s="14" t="s">
        <v>7523</v>
      </c>
      <c r="B870" s="7" t="s">
        <v>5877</v>
      </c>
      <c r="C870" s="7" t="s">
        <v>5672</v>
      </c>
      <c r="D870" s="7" t="s">
        <v>6711</v>
      </c>
      <c r="E870" s="7" t="s">
        <v>6714</v>
      </c>
      <c r="F870" s="7" t="s">
        <v>6715</v>
      </c>
      <c r="G870" s="7"/>
      <c r="H870" s="7"/>
      <c r="I870" s="7"/>
      <c r="J870" s="20" t="str">
        <f>VLOOKUP(V870,Table_to_BRG!A:D,3,FALSE)</f>
        <v>General data</v>
      </c>
      <c r="K870" s="20" t="str">
        <f>VLOOKUP(V870,Table_to_BRG!A:D,2,FALSE)</f>
        <v>General</v>
      </c>
      <c r="L870" s="20"/>
      <c r="M870" s="20"/>
      <c r="N870" s="9" t="s">
        <v>6465</v>
      </c>
      <c r="O870" s="54" t="s">
        <v>7812</v>
      </c>
      <c r="P870" s="7" t="s">
        <v>5610</v>
      </c>
      <c r="Q870" s="11" t="str">
        <f>RIGHT("00"&amp;Table362[[#This Row],[Rule '#]],3)&amp;"_"&amp;IF(Table362[[#This Row],[Entity]]="Material","MATL",LEFT(UPPER(Table362[[#This Row],[Entity]]),4))&amp;"_"&amp;MID(SUBSTITUTE(Table362[[#This Row],[Rule Name]],"_","|",3),SEARCH("|",SUBSTITUTE(Table362[[#This Row],[Rule Name]],"_","|",3))+1,LEN(Table362[[#This Row],[Rule Name]]))</f>
        <v>493_SD_0002_Man</v>
      </c>
      <c r="R870" s="8" t="s">
        <v>5611</v>
      </c>
      <c r="S870" s="7" t="s">
        <v>21</v>
      </c>
      <c r="T870" s="7"/>
      <c r="U870" s="7"/>
      <c r="V870" s="7" t="s">
        <v>2741</v>
      </c>
      <c r="W870" s="7" t="s">
        <v>5483</v>
      </c>
      <c r="X870" s="8"/>
      <c r="Y870" s="7"/>
      <c r="Z870" s="7"/>
      <c r="AA870" s="11" t="s">
        <v>5913</v>
      </c>
      <c r="AB870" s="11"/>
      <c r="AC870" s="11"/>
      <c r="AD870" s="11"/>
      <c r="AH870" s="8" t="s">
        <v>5918</v>
      </c>
      <c r="AI870" s="20"/>
      <c r="AJ870" s="20"/>
      <c r="AK870" s="31"/>
      <c r="AL870" s="31"/>
    </row>
    <row r="871" spans="1:38" ht="60" hidden="1" x14ac:dyDescent="0.25">
      <c r="A871" s="14" t="s">
        <v>7524</v>
      </c>
      <c r="B871" s="7" t="s">
        <v>5877</v>
      </c>
      <c r="C871" s="7" t="s">
        <v>5672</v>
      </c>
      <c r="D871" s="7" t="s">
        <v>6711</v>
      </c>
      <c r="E871" s="7" t="s">
        <v>6714</v>
      </c>
      <c r="F871" s="7" t="s">
        <v>6742</v>
      </c>
      <c r="G871" s="7"/>
      <c r="H871" s="7"/>
      <c r="I871" s="7"/>
      <c r="J871" s="20" t="str">
        <f>VLOOKUP(V871,Table_to_BRG!A:D,3,FALSE)</f>
        <v>Contact data</v>
      </c>
      <c r="K871" s="20" t="str">
        <f>VLOOKUP(V871,Table_to_BRG!A:D,2,FALSE)</f>
        <v>Contact partner</v>
      </c>
      <c r="L871" s="20"/>
      <c r="M871" s="20"/>
      <c r="N871" s="9" t="s">
        <v>6465</v>
      </c>
      <c r="O871" s="54" t="s">
        <v>7812</v>
      </c>
      <c r="P871" s="7" t="s">
        <v>5612</v>
      </c>
      <c r="Q871" s="11" t="str">
        <f>RIGHT("00"&amp;Table362[[#This Row],[Rule '#]],3)&amp;"_"&amp;IF(Table362[[#This Row],[Entity]]="Material","MATL",LEFT(UPPER(Table362[[#This Row],[Entity]]),4))&amp;"_"&amp;MID(SUBSTITUTE(Table362[[#This Row],[Rule Name]],"_","|",3),SEARCH("|",SUBSTITUTE(Table362[[#This Row],[Rule Name]],"_","|",3))+1,LEN(Table362[[#This Row],[Rule Name]]))</f>
        <v>494_SD_Contact person: Attribute 3</v>
      </c>
      <c r="R871" s="8" t="s">
        <v>5943</v>
      </c>
      <c r="S871" s="7" t="s">
        <v>4135</v>
      </c>
      <c r="T871" s="7"/>
      <c r="U871" s="7"/>
      <c r="V871" s="7" t="s">
        <v>3001</v>
      </c>
      <c r="W871" s="7" t="s">
        <v>5793</v>
      </c>
      <c r="X871" s="8"/>
      <c r="Y871" s="7" t="s">
        <v>5794</v>
      </c>
      <c r="Z871" s="7" t="s">
        <v>5795</v>
      </c>
      <c r="AA871" s="11" t="s">
        <v>5796</v>
      </c>
      <c r="AB871" s="11"/>
      <c r="AC871" s="11"/>
      <c r="AD871" s="11"/>
      <c r="AH871" s="8"/>
      <c r="AI871" s="20"/>
      <c r="AJ871" s="20"/>
      <c r="AK871" s="31"/>
      <c r="AL871" s="31"/>
    </row>
    <row r="872" spans="1:38" ht="36" hidden="1" x14ac:dyDescent="0.25">
      <c r="A872" s="14" t="s">
        <v>7525</v>
      </c>
      <c r="B872" s="7" t="s">
        <v>5877</v>
      </c>
      <c r="C872" s="7" t="s">
        <v>5672</v>
      </c>
      <c r="D872" s="7" t="s">
        <v>6711</v>
      </c>
      <c r="E872" s="7" t="s">
        <v>6714</v>
      </c>
      <c r="F872" s="7" t="s">
        <v>6724</v>
      </c>
      <c r="G872" s="7"/>
      <c r="H872" s="7"/>
      <c r="I872" s="7"/>
      <c r="J872" s="20" t="str">
        <f>VLOOKUP(V872,Table_to_BRG!A:D,3,FALSE)</f>
        <v>Customer sales data</v>
      </c>
      <c r="K872" s="20" t="str">
        <f>VLOOKUP(V872,Table_to_BRG!A:D,2,FALSE)</f>
        <v>Sales</v>
      </c>
      <c r="L872" s="20"/>
      <c r="M872" s="20"/>
      <c r="N872" s="9" t="s">
        <v>6465</v>
      </c>
      <c r="O872" s="54" t="s">
        <v>7812</v>
      </c>
      <c r="P872" s="7" t="s">
        <v>5613</v>
      </c>
      <c r="Q872" s="11" t="str">
        <f>RIGHT("00"&amp;Table362[[#This Row],[Rule '#]],3)&amp;"_"&amp;IF(Table362[[#This Row],[Entity]]="Material","MATL",LEFT(UPPER(Table362[[#This Row],[Entity]]),4))&amp;"_"&amp;MID(SUBSTITUTE(Table362[[#This Row],[Rule Name]],"_","|",3),SEARCH("|",SUBSTITUTE(Table362[[#This Row],[Rule Name]],"_","|",3))+1,LEN(Table362[[#This Row],[Rule Name]]))</f>
        <v>495_SD_Customer Statistics Group</v>
      </c>
      <c r="R872" s="8" t="s">
        <v>5614</v>
      </c>
      <c r="S872" s="7" t="s">
        <v>4135</v>
      </c>
      <c r="T872" s="7"/>
      <c r="U872" s="7"/>
      <c r="V872" s="7" t="s">
        <v>3334</v>
      </c>
      <c r="W872" s="7" t="s">
        <v>5797</v>
      </c>
      <c r="X872" s="8"/>
      <c r="Y872" s="7" t="s">
        <v>5798</v>
      </c>
      <c r="Z872" s="7" t="s">
        <v>5799</v>
      </c>
      <c r="AA872" s="11" t="str">
        <f>"BEGIN
     RETURN exists('DS_IS_RDS', '"&amp;Table362[[#This Row],[Lookup Table]]&amp;"', '"&amp;Table362[[#This Row],[Lookup Field]]&amp;"', "&amp;Table362[[#This Row],[IS Parameter]]&amp;");
END"</f>
        <v>BEGIN
     RETURN exists('DS_IS_RDS', 'TVSD', 'STGKU', );
END</v>
      </c>
      <c r="AB872" s="11"/>
      <c r="AC872" s="11"/>
      <c r="AD872" s="11"/>
      <c r="AH872" s="8"/>
      <c r="AI872" s="20"/>
      <c r="AJ872" s="20"/>
      <c r="AK872" s="31"/>
      <c r="AL872" s="31"/>
    </row>
    <row r="873" spans="1:38" ht="45" hidden="1" x14ac:dyDescent="0.25">
      <c r="A873" s="14" t="s">
        <v>7526</v>
      </c>
      <c r="B873" s="7" t="s">
        <v>5877</v>
      </c>
      <c r="C873" s="7" t="s">
        <v>5672</v>
      </c>
      <c r="D873" s="7" t="s">
        <v>6711</v>
      </c>
      <c r="E873" s="7" t="s">
        <v>6714</v>
      </c>
      <c r="F873" s="7" t="s">
        <v>6724</v>
      </c>
      <c r="G873" s="7"/>
      <c r="H873" s="7"/>
      <c r="I873" s="7"/>
      <c r="J873" s="20" t="str">
        <f>VLOOKUP(V873,Table_to_BRG!A:D,3,FALSE)</f>
        <v>Customer sales data</v>
      </c>
      <c r="K873" s="20" t="str">
        <f>VLOOKUP(V873,Table_to_BRG!A:D,2,FALSE)</f>
        <v>Sales</v>
      </c>
      <c r="L873" s="20"/>
      <c r="M873" s="20"/>
      <c r="N873" s="9" t="s">
        <v>6465</v>
      </c>
      <c r="O873" s="54" t="s">
        <v>7812</v>
      </c>
      <c r="P873" s="7" t="s">
        <v>5615</v>
      </c>
      <c r="Q873" s="11" t="str">
        <f>RIGHT("00"&amp;Table362[[#This Row],[Rule '#]],3)&amp;"_"&amp;IF(Table362[[#This Row],[Entity]]="Material","MATL",LEFT(UPPER(Table362[[#This Row],[Entity]]),4))&amp;"_"&amp;MID(SUBSTITUTE(Table362[[#This Row],[Rule Name]],"_","|",3),SEARCH("|",SUBSTITUTE(Table362[[#This Row],[Rule Name]],"_","|",3))+1,LEN(Table362[[#This Row],[Rule Name]]))</f>
        <v>496_SD_Delivering Plant Own or External</v>
      </c>
      <c r="R873" s="8" t="s">
        <v>5616</v>
      </c>
      <c r="S873" s="7" t="s">
        <v>4135</v>
      </c>
      <c r="T873" s="7"/>
      <c r="U873" s="7"/>
      <c r="V873" s="7" t="s">
        <v>3334</v>
      </c>
      <c r="W873" s="7" t="s">
        <v>5800</v>
      </c>
      <c r="X873" s="8"/>
      <c r="Y873" s="7" t="s">
        <v>5801</v>
      </c>
      <c r="Z873" s="7" t="s">
        <v>1495</v>
      </c>
      <c r="AA873" s="11" t="str">
        <f>"BEGIN
     RETURN exists('DS_IS_RDS', '"&amp;Table362[[#This Row],[Lookup Table]]&amp;"', '"&amp;Table362[[#This Row],[Lookup Field]]&amp;"', "&amp;Table362[[#This Row],[IS Parameter]]&amp;");
END"</f>
        <v>BEGIN
     RETURN exists('DS_IS_RDS', 'TVKWZ', 'WERKS', );
END</v>
      </c>
      <c r="AB873" s="11"/>
      <c r="AC873" s="11"/>
      <c r="AD873" s="11"/>
      <c r="AH873" s="8"/>
      <c r="AI873" s="20"/>
      <c r="AJ873" s="20"/>
      <c r="AK873" s="31"/>
      <c r="AL873" s="31"/>
    </row>
    <row r="874" spans="1:38" ht="45" hidden="1" x14ac:dyDescent="0.25">
      <c r="A874" s="14" t="s">
        <v>7527</v>
      </c>
      <c r="B874" s="7" t="s">
        <v>5877</v>
      </c>
      <c r="C874" s="7" t="s">
        <v>5672</v>
      </c>
      <c r="D874" s="7" t="s">
        <v>6719</v>
      </c>
      <c r="E874" s="7" t="s">
        <v>6720</v>
      </c>
      <c r="F874" s="7" t="s">
        <v>6721</v>
      </c>
      <c r="G874" s="7"/>
      <c r="H874" s="7"/>
      <c r="I874" s="7"/>
      <c r="J874" s="20" t="str">
        <f>VLOOKUP(V874,Table_to_BRG!A:D,3,FALSE)</f>
        <v>Company Code data</v>
      </c>
      <c r="K874" s="20" t="str">
        <f>VLOOKUP(V874,Table_to_BRG!A:D,2,FALSE)</f>
        <v>Company Code</v>
      </c>
      <c r="L874" s="20"/>
      <c r="M874" s="20"/>
      <c r="N874" s="9" t="s">
        <v>6465</v>
      </c>
      <c r="O874" s="54" t="s">
        <v>7812</v>
      </c>
      <c r="P874" s="7" t="s">
        <v>5617</v>
      </c>
      <c r="Q874" s="11" t="str">
        <f>RIGHT("00"&amp;Table362[[#This Row],[Rule '#]],3)&amp;"_"&amp;IF(Table362[[#This Row],[Entity]]="Material","MATL",LEFT(UPPER(Table362[[#This Row],[Entity]]),4))&amp;"_"&amp;MID(SUBSTITUTE(Table362[[#This Row],[Rule Name]],"_","|",3),SEARCH("|",SUBSTITUTE(Table362[[#This Row],[Rule Name]],"_","|",3))+1,LEN(Table362[[#This Row],[Rule Name]]))</f>
        <v>497_SD_Block Key for Payment</v>
      </c>
      <c r="R874" s="8" t="s">
        <v>5944</v>
      </c>
      <c r="S874" s="7" t="s">
        <v>4135</v>
      </c>
      <c r="T874" s="7"/>
      <c r="U874" s="7"/>
      <c r="V874" s="7" t="s">
        <v>2740</v>
      </c>
      <c r="W874" s="7" t="s">
        <v>5802</v>
      </c>
      <c r="X874" s="8"/>
      <c r="Y874" s="7" t="s">
        <v>4203</v>
      </c>
      <c r="Z874" s="7" t="s">
        <v>2895</v>
      </c>
      <c r="AA874" s="11" t="str">
        <f>"BEGIN
     RETURN exists('DS_IS_RDS', '"&amp;Table362[[#This Row],[Lookup Table]]&amp;"', '"&amp;Table362[[#This Row],[Lookup Field]]&amp;"', "&amp;Table362[[#This Row],[IS Parameter]]&amp;");
END"</f>
        <v>BEGIN
     RETURN exists('DS_IS_RDS', 'T008', 'ZAHLS', );
END</v>
      </c>
      <c r="AB874" s="11"/>
      <c r="AC874" s="11"/>
      <c r="AD874" s="11"/>
      <c r="AH874" s="8"/>
      <c r="AI874" s="20"/>
      <c r="AJ874" s="20"/>
      <c r="AK874" s="31"/>
      <c r="AL874" s="31"/>
    </row>
    <row r="875" spans="1:38" ht="36" hidden="1" x14ac:dyDescent="0.25">
      <c r="A875" s="14" t="s">
        <v>7528</v>
      </c>
      <c r="B875" s="7" t="s">
        <v>5877</v>
      </c>
      <c r="C875" s="7" t="s">
        <v>5672</v>
      </c>
      <c r="D875" s="7" t="s">
        <v>6711</v>
      </c>
      <c r="E875" s="7" t="s">
        <v>6714</v>
      </c>
      <c r="F875" s="7" t="s">
        <v>6715</v>
      </c>
      <c r="G875" s="7"/>
      <c r="H875" s="7"/>
      <c r="I875" s="7"/>
      <c r="J875" s="20" t="str">
        <f>VLOOKUP(V875,Table_to_BRG!A:D,3,FALSE)</f>
        <v>General data</v>
      </c>
      <c r="K875" s="20" t="str">
        <f>VLOOKUP(V875,Table_to_BRG!A:D,2,FALSE)</f>
        <v>General</v>
      </c>
      <c r="L875" s="20"/>
      <c r="M875" s="20"/>
      <c r="N875" s="9" t="s">
        <v>6465</v>
      </c>
      <c r="O875" s="54" t="s">
        <v>7812</v>
      </c>
      <c r="P875" s="7" t="s">
        <v>5618</v>
      </c>
      <c r="Q875" s="11" t="str">
        <f>RIGHT("00"&amp;Table362[[#This Row],[Rule '#]],3)&amp;"_"&amp;IF(Table362[[#This Row],[Entity]]="Material","MATL",LEFT(UPPER(Table362[[#This Row],[Entity]]),4))&amp;"_"&amp;MID(SUBSTITUTE(Table362[[#This Row],[Rule Name]],"_","|",3),SEARCH("|",SUBSTITUTE(Table362[[#This Row],[Rule Name]],"_","|",3))+1,LEN(Table362[[#This Row],[Rule Name]]))</f>
        <v>498_SD_Region</v>
      </c>
      <c r="R875" s="8" t="s">
        <v>5619</v>
      </c>
      <c r="S875" s="7" t="s">
        <v>4135</v>
      </c>
      <c r="T875" s="7"/>
      <c r="U875" s="7"/>
      <c r="V875" s="7" t="s">
        <v>2741</v>
      </c>
      <c r="W875" s="7" t="s">
        <v>5803</v>
      </c>
      <c r="X875" s="8"/>
      <c r="Y875" s="7" t="s">
        <v>4225</v>
      </c>
      <c r="Z875" s="7" t="s">
        <v>4226</v>
      </c>
      <c r="AA875" s="11" t="str">
        <f>"BEGIN
     RETURN exists('DS_IS_RDS', '"&amp;Table362[[#This Row],[Lookup Table]]&amp;"', '"&amp;Table362[[#This Row],[Lookup Field]]&amp;"', "&amp;Table362[[#This Row],[IS Parameter]]&amp;");
END"</f>
        <v>BEGIN
     RETURN exists('DS_IS_RDS', 'T005S', 'BLAND', );
END</v>
      </c>
      <c r="AB875" s="11"/>
      <c r="AC875" s="11"/>
      <c r="AD875" s="11"/>
      <c r="AH875" s="8"/>
      <c r="AI875" s="20" t="s">
        <v>7680</v>
      </c>
      <c r="AJ875" s="20"/>
      <c r="AK875" s="31"/>
      <c r="AL875" s="31"/>
    </row>
    <row r="876" spans="1:38" ht="36" hidden="1" x14ac:dyDescent="0.25">
      <c r="A876" s="14" t="s">
        <v>7529</v>
      </c>
      <c r="B876" s="7" t="s">
        <v>5877</v>
      </c>
      <c r="C876" s="7" t="s">
        <v>5672</v>
      </c>
      <c r="D876" s="7" t="s">
        <v>6719</v>
      </c>
      <c r="E876" s="7" t="s">
        <v>6720</v>
      </c>
      <c r="F876" s="7" t="s">
        <v>6721</v>
      </c>
      <c r="G876" s="7"/>
      <c r="H876" s="7"/>
      <c r="I876" s="7"/>
      <c r="J876" s="20" t="str">
        <f>VLOOKUP(V876,Table_to_BRG!A:D,3,FALSE)</f>
        <v>Company Code data</v>
      </c>
      <c r="K876" s="20" t="str">
        <f>VLOOKUP(V876,Table_to_BRG!A:D,2,FALSE)</f>
        <v>Company Code</v>
      </c>
      <c r="L876" s="20"/>
      <c r="M876" s="20"/>
      <c r="N876" s="9" t="s">
        <v>6465</v>
      </c>
      <c r="O876" s="54" t="s">
        <v>7812</v>
      </c>
      <c r="P876" s="7" t="s">
        <v>5620</v>
      </c>
      <c r="Q876" s="11" t="str">
        <f>RIGHT("00"&amp;Table362[[#This Row],[Rule '#]],3)&amp;"_"&amp;IF(Table362[[#This Row],[Entity]]="Material","MATL",LEFT(UPPER(Table362[[#This Row],[Entity]]),4))&amp;"_"&amp;MID(SUBSTITUTE(Table362[[#This Row],[Rule Name]],"_","|",3),SEARCH("|",SUBSTITUTE(Table362[[#This Row],[Rule Name]],"_","|",3))+1,LEN(Table362[[#This Row],[Rule Name]]))</f>
        <v>499_SD_Key for sorting according to assignme</v>
      </c>
      <c r="R876" s="8" t="s">
        <v>5945</v>
      </c>
      <c r="S876" s="7" t="s">
        <v>4135</v>
      </c>
      <c r="T876" s="7"/>
      <c r="U876" s="7"/>
      <c r="V876" s="7" t="s">
        <v>2740</v>
      </c>
      <c r="W876" s="7" t="s">
        <v>4603</v>
      </c>
      <c r="X876" s="8"/>
      <c r="Y876" s="7" t="s">
        <v>4182</v>
      </c>
      <c r="Z876" s="7" t="s">
        <v>2709</v>
      </c>
      <c r="AA876" s="11" t="str">
        <f>"BEGIN
     RETURN exists('DS_IS_RDS', '"&amp;Table362[[#This Row],[Lookup Table]]&amp;"', '"&amp;Table362[[#This Row],[Lookup Field]]&amp;"', "&amp;Table362[[#This Row],[IS Parameter]]&amp;");
END"</f>
        <v>BEGIN
     RETURN exists('DS_IS_RDS', 'TZUN', 'ZUAWA', );
END</v>
      </c>
      <c r="AB876" s="11"/>
      <c r="AC876" s="11"/>
      <c r="AD876" s="11"/>
      <c r="AH876" s="8"/>
      <c r="AI876" s="20"/>
      <c r="AJ876" s="20"/>
      <c r="AK876" s="31"/>
      <c r="AL876" s="31"/>
    </row>
    <row r="877" spans="1:38" ht="36" hidden="1" x14ac:dyDescent="0.25">
      <c r="A877" s="14" t="s">
        <v>7530</v>
      </c>
      <c r="B877" s="7" t="s">
        <v>5877</v>
      </c>
      <c r="C877" s="7" t="s">
        <v>5672</v>
      </c>
      <c r="D877" s="7" t="s">
        <v>6711</v>
      </c>
      <c r="E877" s="7" t="s">
        <v>6714</v>
      </c>
      <c r="F877" s="7" t="s">
        <v>6724</v>
      </c>
      <c r="G877" s="7"/>
      <c r="H877" s="7"/>
      <c r="I877" s="7"/>
      <c r="J877" s="20" t="str">
        <f>VLOOKUP(V877,Table_to_BRG!A:D,3,FALSE)</f>
        <v>Customer sales data</v>
      </c>
      <c r="K877" s="20" t="str">
        <f>VLOOKUP(V877,Table_to_BRG!A:D,2,FALSE)</f>
        <v>Sales</v>
      </c>
      <c r="L877" s="20"/>
      <c r="M877" s="20"/>
      <c r="N877" s="9" t="s">
        <v>6465</v>
      </c>
      <c r="O877" s="54" t="s">
        <v>7812</v>
      </c>
      <c r="P877" s="7" t="s">
        <v>5621</v>
      </c>
      <c r="Q877" s="11" t="str">
        <f>RIGHT("00"&amp;Table362[[#This Row],[Rule '#]],3)&amp;"_"&amp;IF(Table362[[#This Row],[Entity]]="Material","MATL",LEFT(UPPER(Table362[[#This Row],[Entity]]),4))&amp;"_"&amp;MID(SUBSTITUTE(Table362[[#This Row],[Rule Name]],"_","|",3),SEARCH("|",SUBSTITUTE(Table362[[#This Row],[Rule Name]],"_","|",3))+1,LEN(Table362[[#This Row],[Rule Name]]))</f>
        <v>500_SD_Approved International Trader status</v>
      </c>
      <c r="R877" s="8" t="s">
        <v>5622</v>
      </c>
      <c r="S877" s="7" t="s">
        <v>4135</v>
      </c>
      <c r="T877" s="7"/>
      <c r="U877" s="7"/>
      <c r="V877" s="7" t="s">
        <v>3334</v>
      </c>
      <c r="W877" s="7" t="s">
        <v>5804</v>
      </c>
      <c r="X877" s="8"/>
      <c r="Y877" s="7" t="s">
        <v>5805</v>
      </c>
      <c r="Z877" s="7" t="s">
        <v>5806</v>
      </c>
      <c r="AA877" s="11" t="str">
        <f>"BEGIN
     RETURN exists('DS_IS_RDS', '"&amp;Table362[[#This Row],[Lookup Table]]&amp;"', '"&amp;Table362[[#This Row],[Lookup Field]]&amp;"', "&amp;Table362[[#This Row],[IS Parameter]]&amp;");
END"</f>
        <v>BEGIN
     RETURN exists('DS_IS_RDS', 'TVV3', 'KVGR3', );
END</v>
      </c>
      <c r="AB877" s="11"/>
      <c r="AC877" s="11"/>
      <c r="AD877" s="11"/>
      <c r="AH877" s="8"/>
      <c r="AI877" s="20"/>
      <c r="AJ877" s="20"/>
      <c r="AK877" s="31"/>
      <c r="AL877" s="31"/>
    </row>
    <row r="878" spans="1:38" ht="36" hidden="1" x14ac:dyDescent="0.25">
      <c r="A878" s="14" t="s">
        <v>7531</v>
      </c>
      <c r="B878" s="7" t="s">
        <v>5877</v>
      </c>
      <c r="C878" s="7" t="s">
        <v>5672</v>
      </c>
      <c r="D878" s="7" t="s">
        <v>6711</v>
      </c>
      <c r="E878" s="7" t="s">
        <v>6714</v>
      </c>
      <c r="F878" s="7" t="s">
        <v>6724</v>
      </c>
      <c r="G878" s="7"/>
      <c r="H878" s="7"/>
      <c r="I878" s="7"/>
      <c r="J878" s="20" t="str">
        <f>VLOOKUP(V878,Table_to_BRG!A:D,3,FALSE)</f>
        <v>Customer sales data</v>
      </c>
      <c r="K878" s="20" t="str">
        <f>VLOOKUP(V878,Table_to_BRG!A:D,2,FALSE)</f>
        <v>Sales</v>
      </c>
      <c r="L878" s="20"/>
      <c r="M878" s="20"/>
      <c r="N878" s="9" t="s">
        <v>6465</v>
      </c>
      <c r="O878" s="54" t="s">
        <v>7812</v>
      </c>
      <c r="P878" s="7" t="s">
        <v>5623</v>
      </c>
      <c r="Q878" s="11" t="str">
        <f>RIGHT("00"&amp;Table362[[#This Row],[Rule '#]],3)&amp;"_"&amp;IF(Table362[[#This Row],[Entity]]="Material","MATL",LEFT(UPPER(Table362[[#This Row],[Entity]]),4))&amp;"_"&amp;MID(SUBSTITUTE(Table362[[#This Row],[Rule Name]],"_","|",3),SEARCH("|",SUBSTITUTE(Table362[[#This Row],[Rule Name]],"_","|",3))+1,LEN(Table362[[#This Row],[Rule Name]]))</f>
        <v>501_SD_Invoice dates calendar</v>
      </c>
      <c r="R878" s="8" t="s">
        <v>5624</v>
      </c>
      <c r="S878" s="7" t="s">
        <v>4135</v>
      </c>
      <c r="T878" s="7"/>
      <c r="U878" s="7"/>
      <c r="V878" s="7" t="s">
        <v>3334</v>
      </c>
      <c r="W878" s="7" t="s">
        <v>5807</v>
      </c>
      <c r="X878" s="8"/>
      <c r="Y878" s="7" t="s">
        <v>4956</v>
      </c>
      <c r="Z878" s="7" t="s">
        <v>4957</v>
      </c>
      <c r="AA878" s="11" t="str">
        <f>"BEGIN
     RETURN exists('DS_IS_RDS', '"&amp;Table362[[#This Row],[Lookup Table]]&amp;"', '"&amp;Table362[[#This Row],[Lookup Field]]&amp;"', "&amp;Table362[[#This Row],[IS Parameter]]&amp;");
END"</f>
        <v>BEGIN
     RETURN exists('DS_IS_RDS', 'TFACD', 'IDENT', );
END</v>
      </c>
      <c r="AB878" s="11"/>
      <c r="AC878" s="11"/>
      <c r="AD878" s="11"/>
      <c r="AH878" s="8"/>
      <c r="AI878" s="20"/>
      <c r="AJ878" s="20"/>
      <c r="AK878" s="31"/>
      <c r="AL878" s="31"/>
    </row>
    <row r="879" spans="1:38" ht="36" hidden="1" x14ac:dyDescent="0.25">
      <c r="A879" s="14" t="s">
        <v>7532</v>
      </c>
      <c r="B879" s="7" t="s">
        <v>5877</v>
      </c>
      <c r="C879" s="7" t="s">
        <v>5672</v>
      </c>
      <c r="D879" s="7" t="s">
        <v>6711</v>
      </c>
      <c r="E879" s="7" t="s">
        <v>6714</v>
      </c>
      <c r="F879" s="7" t="s">
        <v>6724</v>
      </c>
      <c r="G879" s="7"/>
      <c r="H879" s="7"/>
      <c r="I879" s="7"/>
      <c r="J879" s="20" t="str">
        <f>VLOOKUP(V879,Table_to_BRG!A:D,3,FALSE)</f>
        <v>Customer sales data</v>
      </c>
      <c r="K879" s="20" t="str">
        <f>VLOOKUP(V879,Table_to_BRG!A:D,2,FALSE)</f>
        <v>Sales</v>
      </c>
      <c r="L879" s="20"/>
      <c r="M879" s="20"/>
      <c r="N879" s="9" t="s">
        <v>6465</v>
      </c>
      <c r="O879" s="54" t="s">
        <v>7812</v>
      </c>
      <c r="P879" s="7" t="s">
        <v>5625</v>
      </c>
      <c r="Q879" s="11" t="str">
        <f>RIGHT("00"&amp;Table362[[#This Row],[Rule '#]],3)&amp;"_"&amp;IF(Table362[[#This Row],[Entity]]="Material","MATL",LEFT(UPPER(Table362[[#This Row],[Entity]]),4))&amp;"_"&amp;MID(SUBSTITUTE(Table362[[#This Row],[Rule Name]],"_","|",3),SEARCH("|",SUBSTITUTE(Table362[[#This Row],[Rule Name]],"_","|",3))+1,LEN(Table362[[#This Row],[Rule Name]]))</f>
        <v>502_SD_Incoterms Part 1</v>
      </c>
      <c r="R879" s="8" t="s">
        <v>5626</v>
      </c>
      <c r="S879" s="7" t="s">
        <v>4135</v>
      </c>
      <c r="T879" s="7"/>
      <c r="U879" s="7"/>
      <c r="V879" s="7" t="s">
        <v>3334</v>
      </c>
      <c r="W879" s="7" t="s">
        <v>5808</v>
      </c>
      <c r="X879" s="8"/>
      <c r="Y879" s="7" t="s">
        <v>4214</v>
      </c>
      <c r="Z879" s="7" t="s">
        <v>5809</v>
      </c>
      <c r="AA879" s="11" t="str">
        <f>"BEGIN
     RETURN exists('DS_IS_RDS', '"&amp;Table362[[#This Row],[Lookup Table]]&amp;"', '"&amp;Table362[[#This Row],[Lookup Field]]&amp;"', "&amp;Table362[[#This Row],[IS Parameter]]&amp;");
END"</f>
        <v>BEGIN
     RETURN exists('DS_IS_RDS', 'TINC', 'iNCO1', );
END</v>
      </c>
      <c r="AB879" s="11"/>
      <c r="AC879" s="11"/>
      <c r="AD879" s="11"/>
      <c r="AH879" s="8"/>
      <c r="AI879" s="20"/>
      <c r="AJ879" s="20"/>
      <c r="AK879" s="31"/>
      <c r="AL879" s="31"/>
    </row>
    <row r="880" spans="1:38" ht="36" hidden="1" x14ac:dyDescent="0.25">
      <c r="A880" s="14" t="s">
        <v>7533</v>
      </c>
      <c r="B880" s="7" t="s">
        <v>5877</v>
      </c>
      <c r="C880" s="7" t="s">
        <v>5672</v>
      </c>
      <c r="D880" s="7" t="s">
        <v>6719</v>
      </c>
      <c r="E880" s="7" t="s">
        <v>6740</v>
      </c>
      <c r="F880" s="7" t="s">
        <v>6759</v>
      </c>
      <c r="G880" s="7"/>
      <c r="H880" s="7"/>
      <c r="I880" s="7"/>
      <c r="J880" s="20" t="e">
        <f>VLOOKUP(V880,Table_to_BRG!A:D,3,FALSE)</f>
        <v>#N/A</v>
      </c>
      <c r="K880" s="20" t="e">
        <f>VLOOKUP(V880,Table_to_BRG!A:D,2,FALSE)</f>
        <v>#N/A</v>
      </c>
      <c r="L880" s="20"/>
      <c r="M880" s="20"/>
      <c r="N880" s="9" t="s">
        <v>6465</v>
      </c>
      <c r="O880" s="54" t="s">
        <v>7812</v>
      </c>
      <c r="P880" s="7" t="s">
        <v>5627</v>
      </c>
      <c r="Q880" s="11" t="str">
        <f>RIGHT("00"&amp;Table362[[#This Row],[Rule '#]],3)&amp;"_"&amp;IF(Table362[[#This Row],[Entity]]="Material","MATL",LEFT(UPPER(Table362[[#This Row],[Entity]]),4))&amp;"_"&amp;MID(SUBSTITUTE(Table362[[#This Row],[Rule Name]],"_","|",3),SEARCH("|",SUBSTITUTE(Table362[[#This Row],[Rule Name]],"_","|",3))+1,LEN(Table362[[#This Row],[Rule Name]]))</f>
        <v>503_SD_Customer Credit Group</v>
      </c>
      <c r="R880" s="8" t="s">
        <v>5946</v>
      </c>
      <c r="S880" s="7" t="s">
        <v>4135</v>
      </c>
      <c r="T880" s="7"/>
      <c r="U880" s="7"/>
      <c r="V880" s="7" t="s">
        <v>5727</v>
      </c>
      <c r="W880" s="7" t="s">
        <v>5810</v>
      </c>
      <c r="X880" s="8"/>
      <c r="Y880" s="7" t="s">
        <v>5811</v>
      </c>
      <c r="Z880" s="7" t="s">
        <v>4261</v>
      </c>
      <c r="AA880" s="11" t="str">
        <f>"BEGIN
     RETURN exists('DS_IS_RDS', '"&amp;Table362[[#This Row],[Lookup Table]]&amp;"', '"&amp;Table362[[#This Row],[Lookup Field]]&amp;"', "&amp;Table362[[#This Row],[IS Parameter]]&amp;");
END"</f>
        <v>BEGIN
     RETURN exists('DS_IS_RDS', 'T691B', 'GRUPP', );
END</v>
      </c>
      <c r="AB880" s="11"/>
      <c r="AC880" s="11"/>
      <c r="AD880" s="11"/>
      <c r="AH880" s="8"/>
      <c r="AI880" s="20"/>
      <c r="AJ880" s="20"/>
      <c r="AK880" s="31"/>
      <c r="AL880" s="31"/>
    </row>
    <row r="881" spans="1:38" ht="36" hidden="1" x14ac:dyDescent="0.25">
      <c r="A881" s="14" t="s">
        <v>7534</v>
      </c>
      <c r="B881" s="7" t="s">
        <v>5877</v>
      </c>
      <c r="C881" s="7" t="s">
        <v>5672</v>
      </c>
      <c r="D881" s="7" t="s">
        <v>6711</v>
      </c>
      <c r="E881" s="7" t="s">
        <v>6714</v>
      </c>
      <c r="F881" s="7" t="s">
        <v>6724</v>
      </c>
      <c r="G881" s="7"/>
      <c r="H881" s="7"/>
      <c r="I881" s="7"/>
      <c r="J881" s="20" t="str">
        <f>VLOOKUP(V881,Table_to_BRG!A:D,3,FALSE)</f>
        <v>Customer sales data</v>
      </c>
      <c r="K881" s="20" t="str">
        <f>VLOOKUP(V881,Table_to_BRG!A:D,2,FALSE)</f>
        <v>Sales</v>
      </c>
      <c r="L881" s="20"/>
      <c r="M881" s="20"/>
      <c r="N881" s="9" t="s">
        <v>6465</v>
      </c>
      <c r="O881" s="54" t="s">
        <v>7812</v>
      </c>
      <c r="P881" s="7" t="s">
        <v>5628</v>
      </c>
      <c r="Q881" s="11" t="str">
        <f>RIGHT("00"&amp;Table362[[#This Row],[Rule '#]],3)&amp;"_"&amp;IF(Table362[[#This Row],[Entity]]="Material","MATL",LEFT(UPPER(Table362[[#This Row],[Entity]]),4))&amp;"_"&amp;MID(SUBSTITUTE(Table362[[#This Row],[Rule Name]],"_","|",3),SEARCH("|",SUBSTITUTE(Table362[[#This Row],[Rule Name]],"_","|",3))+1,LEN(Table362[[#This Row],[Rule Name]]))</f>
        <v>504_SD_Sales district</v>
      </c>
      <c r="R881" s="8" t="s">
        <v>5629</v>
      </c>
      <c r="S881" s="7" t="s">
        <v>4135</v>
      </c>
      <c r="T881" s="7"/>
      <c r="U881" s="7"/>
      <c r="V881" s="7" t="s">
        <v>3334</v>
      </c>
      <c r="W881" s="7" t="s">
        <v>5812</v>
      </c>
      <c r="X881" s="8"/>
      <c r="Y881" s="7" t="s">
        <v>5813</v>
      </c>
      <c r="Z881" s="7" t="s">
        <v>3404</v>
      </c>
      <c r="AA881" s="11" t="str">
        <f>"BEGIN
     RETURN exists('DS_IS_RDS', '"&amp;Table362[[#This Row],[Lookup Table]]&amp;"', '"&amp;Table362[[#This Row],[Lookup Field]]&amp;"', "&amp;Table362[[#This Row],[IS Parameter]]&amp;");
END"</f>
        <v>BEGIN
     RETURN exists('DS_IS_RDS', 'T171', 'BZIRK', );
END</v>
      </c>
      <c r="AB881" s="11"/>
      <c r="AC881" s="11"/>
      <c r="AD881" s="11"/>
      <c r="AH881" s="8"/>
      <c r="AI881" s="20" t="s">
        <v>7726</v>
      </c>
      <c r="AJ881" s="20"/>
      <c r="AK881" s="31"/>
      <c r="AL881" s="31"/>
    </row>
    <row r="882" spans="1:38" ht="48" hidden="1" x14ac:dyDescent="0.25">
      <c r="A882" s="14" t="s">
        <v>7535</v>
      </c>
      <c r="B882" s="7" t="s">
        <v>5877</v>
      </c>
      <c r="C882" s="7" t="s">
        <v>5672</v>
      </c>
      <c r="D882" s="7" t="s">
        <v>6711</v>
      </c>
      <c r="E882" s="7" t="s">
        <v>6714</v>
      </c>
      <c r="F882" s="7" t="s">
        <v>6715</v>
      </c>
      <c r="G882" s="7"/>
      <c r="H882" s="7"/>
      <c r="I882" s="7"/>
      <c r="J882" s="20" t="str">
        <f>VLOOKUP(V882,Table_to_BRG!A:D,3,FALSE)</f>
        <v>General data</v>
      </c>
      <c r="K882" s="20" t="str">
        <f>VLOOKUP(V882,Table_to_BRG!A:D,2,FALSE)</f>
        <v>General</v>
      </c>
      <c r="L882" s="20"/>
      <c r="M882" s="20"/>
      <c r="N882" s="9" t="s">
        <v>6465</v>
      </c>
      <c r="O882" s="54" t="s">
        <v>7812</v>
      </c>
      <c r="P882" s="7" t="s">
        <v>5630</v>
      </c>
      <c r="Q882" s="11" t="str">
        <f>RIGHT("00"&amp;Table362[[#This Row],[Rule '#]],3)&amp;"_"&amp;IF(Table362[[#This Row],[Entity]]="Material","MATL",LEFT(UPPER(Table362[[#This Row],[Entity]]),4))&amp;"_"&amp;MID(SUBSTITUTE(Table362[[#This Row],[Rule Name]],"_","|",3),SEARCH("|",SUBSTITUTE(Table362[[#This Row],[Rule Name]],"_","|",3))+1,LEN(Table362[[#This Row],[Rule Name]]))</f>
        <v>505_SD_Attribute 7</v>
      </c>
      <c r="R882" s="8" t="s">
        <v>5631</v>
      </c>
      <c r="S882" s="7" t="s">
        <v>4135</v>
      </c>
      <c r="T882" s="7"/>
      <c r="U882" s="7"/>
      <c r="V882" s="7" t="s">
        <v>2741</v>
      </c>
      <c r="W882" s="7" t="s">
        <v>5814</v>
      </c>
      <c r="X882" s="8"/>
      <c r="Y882" s="7" t="s">
        <v>5815</v>
      </c>
      <c r="Z882" s="7" t="s">
        <v>5816</v>
      </c>
      <c r="AA882" s="11" t="s">
        <v>5817</v>
      </c>
      <c r="AB882" s="11"/>
      <c r="AC882" s="11"/>
      <c r="AD882" s="11"/>
      <c r="AH882" s="8"/>
      <c r="AI882" s="20"/>
      <c r="AJ882" s="20"/>
      <c r="AK882" s="31"/>
      <c r="AL882" s="31"/>
    </row>
    <row r="883" spans="1:38" ht="60" hidden="1" x14ac:dyDescent="0.25">
      <c r="A883" s="14" t="s">
        <v>7536</v>
      </c>
      <c r="B883" s="7" t="s">
        <v>5877</v>
      </c>
      <c r="C883" s="7" t="s">
        <v>5672</v>
      </c>
      <c r="D883" s="7" t="s">
        <v>6711</v>
      </c>
      <c r="E883" s="7" t="s">
        <v>6714</v>
      </c>
      <c r="F883" s="7" t="s">
        <v>6742</v>
      </c>
      <c r="G883" s="7"/>
      <c r="H883" s="7"/>
      <c r="I883" s="7"/>
      <c r="J883" s="20" t="str">
        <f>VLOOKUP(V883,Table_to_BRG!A:D,3,FALSE)</f>
        <v>Contact data</v>
      </c>
      <c r="K883" s="20" t="str">
        <f>VLOOKUP(V883,Table_to_BRG!A:D,2,FALSE)</f>
        <v>Contact partner</v>
      </c>
      <c r="L883" s="20"/>
      <c r="M883" s="20"/>
      <c r="N883" s="9" t="s">
        <v>6465</v>
      </c>
      <c r="O883" s="54" t="s">
        <v>7812</v>
      </c>
      <c r="P883" s="7" t="s">
        <v>5632</v>
      </c>
      <c r="Q883" s="11" t="str">
        <f>RIGHT("00"&amp;Table362[[#This Row],[Rule '#]],3)&amp;"_"&amp;IF(Table362[[#This Row],[Entity]]="Material","MATL",LEFT(UPPER(Table362[[#This Row],[Entity]]),4))&amp;"_"&amp;MID(SUBSTITUTE(Table362[[#This Row],[Rule Name]],"_","|",3),SEARCH("|",SUBSTITUTE(Table362[[#This Row],[Rule Name]],"_","|",3))+1,LEN(Table362[[#This Row],[Rule Name]]))</f>
        <v>506_SD_Contact person: Attribute 4</v>
      </c>
      <c r="R883" s="8" t="s">
        <v>5947</v>
      </c>
      <c r="S883" s="7" t="s">
        <v>4135</v>
      </c>
      <c r="T883" s="7"/>
      <c r="U883" s="7"/>
      <c r="V883" s="7" t="s">
        <v>3001</v>
      </c>
      <c r="W883" s="7" t="s">
        <v>5818</v>
      </c>
      <c r="X883" s="8"/>
      <c r="Y883" s="7" t="s">
        <v>5819</v>
      </c>
      <c r="Z883" s="7" t="s">
        <v>5820</v>
      </c>
      <c r="AA883" s="11" t="s">
        <v>5821</v>
      </c>
      <c r="AB883" s="11"/>
      <c r="AC883" s="11"/>
      <c r="AD883" s="11"/>
      <c r="AH883" s="8"/>
      <c r="AI883" s="20"/>
      <c r="AJ883" s="20"/>
      <c r="AK883" s="31"/>
      <c r="AL883" s="31"/>
    </row>
    <row r="884" spans="1:38" ht="60" hidden="1" x14ac:dyDescent="0.25">
      <c r="A884" s="14" t="s">
        <v>7537</v>
      </c>
      <c r="B884" s="7" t="s">
        <v>5877</v>
      </c>
      <c r="C884" s="7" t="s">
        <v>5672</v>
      </c>
      <c r="D884" s="7" t="s">
        <v>6711</v>
      </c>
      <c r="E884" s="7" t="s">
        <v>6714</v>
      </c>
      <c r="F884" s="7" t="s">
        <v>6742</v>
      </c>
      <c r="G884" s="7"/>
      <c r="H884" s="7"/>
      <c r="I884" s="7"/>
      <c r="J884" s="20" t="str">
        <f>VLOOKUP(V884,Table_to_BRG!A:D,3,FALSE)</f>
        <v>Contact data</v>
      </c>
      <c r="K884" s="20" t="str">
        <f>VLOOKUP(V884,Table_to_BRG!A:D,2,FALSE)</f>
        <v>Contact partner</v>
      </c>
      <c r="L884" s="20"/>
      <c r="M884" s="20"/>
      <c r="N884" s="9" t="s">
        <v>6465</v>
      </c>
      <c r="O884" s="54" t="s">
        <v>7812</v>
      </c>
      <c r="P884" s="7" t="s">
        <v>5633</v>
      </c>
      <c r="Q884" s="11" t="str">
        <f>RIGHT("00"&amp;Table362[[#This Row],[Rule '#]],3)&amp;"_"&amp;IF(Table362[[#This Row],[Entity]]="Material","MATL",LEFT(UPPER(Table362[[#This Row],[Entity]]),4))&amp;"_"&amp;MID(SUBSTITUTE(Table362[[#This Row],[Rule Name]],"_","|",3),SEARCH("|",SUBSTITUTE(Table362[[#This Row],[Rule Name]],"_","|",3))+1,LEN(Table362[[#This Row],[Rule Name]]))</f>
        <v>507_SD_Buying habits</v>
      </c>
      <c r="R884" s="8" t="s">
        <v>5948</v>
      </c>
      <c r="S884" s="7" t="s">
        <v>4135</v>
      </c>
      <c r="T884" s="7"/>
      <c r="U884" s="7"/>
      <c r="V884" s="7" t="s">
        <v>3001</v>
      </c>
      <c r="W884" s="7" t="s">
        <v>5822</v>
      </c>
      <c r="X884" s="8"/>
      <c r="Y884" s="7" t="s">
        <v>5823</v>
      </c>
      <c r="Z884" s="7" t="s">
        <v>3674</v>
      </c>
      <c r="AA884" s="11" t="s">
        <v>5824</v>
      </c>
      <c r="AB884" s="11"/>
      <c r="AC884" s="11"/>
      <c r="AD884" s="11"/>
      <c r="AH884" s="8"/>
      <c r="AI884" s="20"/>
      <c r="AJ884" s="20"/>
      <c r="AK884" s="31"/>
      <c r="AL884" s="31"/>
    </row>
    <row r="885" spans="1:38" ht="36" hidden="1" x14ac:dyDescent="0.25">
      <c r="A885" s="14" t="s">
        <v>7538</v>
      </c>
      <c r="B885" s="7" t="s">
        <v>5877</v>
      </c>
      <c r="C885" s="7" t="s">
        <v>5672</v>
      </c>
      <c r="D885" s="7" t="s">
        <v>6719</v>
      </c>
      <c r="E885" s="7" t="s">
        <v>6740</v>
      </c>
      <c r="F885" s="7" t="s">
        <v>6749</v>
      </c>
      <c r="G885" s="7"/>
      <c r="H885" s="7"/>
      <c r="I885" s="7"/>
      <c r="J885" s="20" t="str">
        <f>VLOOKUP(V885,Table_to_BRG!A:D,3,FALSE)</f>
        <v>Partner data</v>
      </c>
      <c r="K885" s="20" t="str">
        <f>VLOOKUP(V885,Table_to_BRG!A:D,2,FALSE)</f>
        <v>Partner Functions</v>
      </c>
      <c r="L885" s="20"/>
      <c r="M885" s="20"/>
      <c r="N885" s="9" t="s">
        <v>6465</v>
      </c>
      <c r="O885" s="54" t="s">
        <v>7812</v>
      </c>
      <c r="P885" s="7" t="s">
        <v>5634</v>
      </c>
      <c r="Q885" s="11" t="str">
        <f>RIGHT("00"&amp;Table362[[#This Row],[Rule '#]],3)&amp;"_"&amp;IF(Table362[[#This Row],[Entity]]="Material","MATL",LEFT(UPPER(Table362[[#This Row],[Entity]]),4))&amp;"_"&amp;MID(SUBSTITUTE(Table362[[#This Row],[Rule Name]],"_","|",3),SEARCH("|",SUBSTITUTE(Table362[[#This Row],[Rule Name]],"_","|",3))+1,LEN(Table362[[#This Row],[Rule Name]]))</f>
        <v>508_SD_Division</v>
      </c>
      <c r="R885" s="8" t="s">
        <v>5949</v>
      </c>
      <c r="S885" s="7" t="s">
        <v>4135</v>
      </c>
      <c r="T885" s="7"/>
      <c r="U885" s="7"/>
      <c r="V885" s="7" t="s">
        <v>3359</v>
      </c>
      <c r="W885" s="7" t="s">
        <v>5825</v>
      </c>
      <c r="X885" s="8"/>
      <c r="Y885" s="7" t="s">
        <v>5380</v>
      </c>
      <c r="Z885" s="7" t="s">
        <v>1498</v>
      </c>
      <c r="AA885" s="11" t="str">
        <f>"BEGIN
     RETURN exists('DS_IS_RDS', '"&amp;Table362[[#This Row],[Lookup Table]]&amp;"', '"&amp;Table362[[#This Row],[Lookup Field]]&amp;"', "&amp;Table362[[#This Row],[IS Parameter]]&amp;");
END"</f>
        <v>BEGIN
     RETURN exists('DS_IS_RDS', 'TSPA', 'SPART', );
END</v>
      </c>
      <c r="AB885" s="11"/>
      <c r="AC885" s="11"/>
      <c r="AD885" s="11"/>
      <c r="AH885" s="8"/>
      <c r="AI885" s="20" t="s">
        <v>7704</v>
      </c>
      <c r="AJ885" s="20"/>
      <c r="AK885" s="31"/>
      <c r="AL885" s="31"/>
    </row>
    <row r="886" spans="1:38" ht="192" hidden="1" x14ac:dyDescent="0.25">
      <c r="A886" s="14" t="s">
        <v>7539</v>
      </c>
      <c r="B886" s="7" t="s">
        <v>5877</v>
      </c>
      <c r="C886" s="7" t="s">
        <v>5672</v>
      </c>
      <c r="D886" s="7" t="s">
        <v>6719</v>
      </c>
      <c r="E886" s="7" t="s">
        <v>6720</v>
      </c>
      <c r="F886" s="7" t="s">
        <v>6721</v>
      </c>
      <c r="G886" s="7"/>
      <c r="H886" s="7"/>
      <c r="I886" s="7"/>
      <c r="J886" s="20" t="str">
        <f>VLOOKUP(V886,Table_to_BRG!A:D,3,FALSE)</f>
        <v>Company Code data</v>
      </c>
      <c r="K886" s="20" t="str">
        <f>VLOOKUP(V886,Table_to_BRG!A:D,2,FALSE)</f>
        <v>Company Code</v>
      </c>
      <c r="L886" s="20"/>
      <c r="M886" s="20"/>
      <c r="N886" s="9" t="s">
        <v>6465</v>
      </c>
      <c r="O886" s="54" t="s">
        <v>7812</v>
      </c>
      <c r="P886" s="7" t="s">
        <v>5635</v>
      </c>
      <c r="Q886" s="11" t="e">
        <f>RIGHT("00"&amp;Table362[[#This Row],[Rule '#]],3)&amp;"_"&amp;IF(Table362[[#This Row],[Entity]]="Material","MATL",LEFT(UPPER(Table362[[#This Row],[Entity]]),4))&amp;"_"&amp;MID(SUBSTITUTE(Table362[[#This Row],[Rule Name]],"_","|",3),SEARCH("|",SUBSTITUTE(Table362[[#This Row],[Rule Name]],"_","|",3))+1,LEN(Table362[[#This Row],[Rule Name]]))</f>
        <v>#VALUE!</v>
      </c>
      <c r="R886" s="8"/>
      <c r="S886" s="7" t="s">
        <v>4135</v>
      </c>
      <c r="T886" s="7"/>
      <c r="U886" s="7"/>
      <c r="V886" s="7" t="s">
        <v>2740</v>
      </c>
      <c r="W886" s="7" t="s">
        <v>4603</v>
      </c>
      <c r="X886" s="8"/>
      <c r="Y886" s="7" t="s">
        <v>4182</v>
      </c>
      <c r="Z886" s="7" t="s">
        <v>2709</v>
      </c>
      <c r="AA886" s="11" t="s">
        <v>5914</v>
      </c>
      <c r="AB886" s="11"/>
      <c r="AC886" s="11"/>
      <c r="AD886" s="11"/>
      <c r="AH886" s="8"/>
      <c r="AI886" s="20"/>
      <c r="AJ886" s="20"/>
      <c r="AK886" s="31"/>
      <c r="AL886" s="31"/>
    </row>
    <row r="887" spans="1:38" ht="168" hidden="1" x14ac:dyDescent="0.25">
      <c r="A887" s="14" t="s">
        <v>7540</v>
      </c>
      <c r="B887" s="7" t="s">
        <v>5877</v>
      </c>
      <c r="C887" s="7" t="s">
        <v>5672</v>
      </c>
      <c r="D887" s="7" t="s">
        <v>6711</v>
      </c>
      <c r="E887" s="7" t="s">
        <v>6714</v>
      </c>
      <c r="F887" s="7" t="s">
        <v>6715</v>
      </c>
      <c r="G887" s="7"/>
      <c r="H887" s="7"/>
      <c r="I887" s="7"/>
      <c r="J887" s="20" t="str">
        <f>VLOOKUP(V887,Table_to_BRG!A:D,3,FALSE)</f>
        <v>General data</v>
      </c>
      <c r="K887" s="20" t="str">
        <f>VLOOKUP(V887,Table_to_BRG!A:D,2,FALSE)</f>
        <v>General</v>
      </c>
      <c r="L887" s="20"/>
      <c r="M887" s="20"/>
      <c r="N887" s="9" t="s">
        <v>6465</v>
      </c>
      <c r="O887" s="54" t="s">
        <v>7812</v>
      </c>
      <c r="P887" s="7" t="s">
        <v>5636</v>
      </c>
      <c r="Q887" s="11" t="str">
        <f>RIGHT("00"&amp;Table362[[#This Row],[Rule '#]],3)&amp;"_"&amp;IF(Table362[[#This Row],[Entity]]="Material","MATL",LEFT(UPPER(Table362[[#This Row],[Entity]]),4))&amp;"_"&amp;MID(SUBSTITUTE(Table362[[#This Row],[Rule Name]],"_","|",3),SEARCH("|",SUBSTITUTE(Table362[[#This Row],[Rule Name]],"_","|",3))+1,LEN(Table362[[#This Row],[Rule Name]]))</f>
        <v>510_SD_0001_Man</v>
      </c>
      <c r="R887" s="8" t="s">
        <v>5637</v>
      </c>
      <c r="S887" s="7" t="s">
        <v>21</v>
      </c>
      <c r="T887" s="7"/>
      <c r="U887" s="7"/>
      <c r="V887" s="7" t="s">
        <v>2741</v>
      </c>
      <c r="W887" s="7" t="s">
        <v>5483</v>
      </c>
      <c r="X887" s="8"/>
      <c r="Y887" s="7"/>
      <c r="Z887" s="7"/>
      <c r="AA887" s="11" t="s">
        <v>5913</v>
      </c>
      <c r="AB887" s="11"/>
      <c r="AC887" s="11" t="s">
        <v>6664</v>
      </c>
      <c r="AD887" s="11"/>
      <c r="AH887" s="8" t="s">
        <v>5918</v>
      </c>
      <c r="AI887" s="20"/>
      <c r="AJ887" s="20"/>
      <c r="AK887" s="31"/>
      <c r="AL887" s="31"/>
    </row>
    <row r="888" spans="1:38" ht="45" hidden="1" x14ac:dyDescent="0.25">
      <c r="A888" s="14" t="s">
        <v>7541</v>
      </c>
      <c r="B888" s="7" t="s">
        <v>5877</v>
      </c>
      <c r="C888" s="7" t="s">
        <v>5672</v>
      </c>
      <c r="D888" s="7" t="s">
        <v>6719</v>
      </c>
      <c r="E888" s="7" t="s">
        <v>6720</v>
      </c>
      <c r="F888" s="7" t="s">
        <v>6721</v>
      </c>
      <c r="G888" s="7"/>
      <c r="H888" s="7"/>
      <c r="I888" s="7"/>
      <c r="J888" s="20" t="str">
        <f>VLOOKUP(V888,Table_to_BRG!A:D,3,FALSE)</f>
        <v>Company Code data</v>
      </c>
      <c r="K888" s="20" t="str">
        <f>VLOOKUP(V888,Table_to_BRG!A:D,2,FALSE)</f>
        <v>Company Code</v>
      </c>
      <c r="L888" s="20"/>
      <c r="M888" s="20"/>
      <c r="N888" s="9" t="s">
        <v>6465</v>
      </c>
      <c r="O888" s="54" t="s">
        <v>7812</v>
      </c>
      <c r="P888" s="7" t="s">
        <v>5638</v>
      </c>
      <c r="Q888" s="11" t="str">
        <f>RIGHT("00"&amp;Table362[[#This Row],[Rule '#]],3)&amp;"_"&amp;IF(Table362[[#This Row],[Entity]]="Material","MATL",LEFT(UPPER(Table362[[#This Row],[Entity]]),4))&amp;"_"&amp;MID(SUBSTITUTE(Table362[[#This Row],[Rule Name]],"_","|",3),SEARCH("|",SUBSTITUTE(Table362[[#This Row],[Rule Name]],"_","|",3))+1,LEN(Table362[[#This Row],[Rule Name]]))</f>
        <v>511_SD_Indicator for periodic account statem</v>
      </c>
      <c r="R888" s="8" t="s">
        <v>5950</v>
      </c>
      <c r="S888" s="7" t="s">
        <v>4135</v>
      </c>
      <c r="T888" s="7"/>
      <c r="U888" s="7"/>
      <c r="V888" s="7" t="s">
        <v>2740</v>
      </c>
      <c r="W888" s="7" t="s">
        <v>5697</v>
      </c>
      <c r="X888" s="8"/>
      <c r="Y888" s="7" t="s">
        <v>4236</v>
      </c>
      <c r="Z888" s="7" t="s">
        <v>2794</v>
      </c>
      <c r="AA888" s="11" t="str">
        <f>"BEGIN
     RETURN exists('DS_IS_RDS', '"&amp;Table362[[#This Row],[Lookup Table]]&amp;"', '"&amp;Table362[[#This Row],[Lookup Field]]&amp;"', "&amp;Table362[[#This Row],[IS Parameter]]&amp;");
END"</f>
        <v>BEGIN
     RETURN exists('DS_IS_RDS', 'T048K', 'XAUSZ', );
END</v>
      </c>
      <c r="AB888" s="11"/>
      <c r="AC888" s="11"/>
      <c r="AD888" s="11"/>
      <c r="AH888" s="8"/>
      <c r="AI888" s="20"/>
      <c r="AJ888" s="20"/>
      <c r="AK888" s="31"/>
      <c r="AL888" s="31"/>
    </row>
    <row r="889" spans="1:38" ht="45" hidden="1" x14ac:dyDescent="0.25">
      <c r="A889" s="14" t="s">
        <v>7542</v>
      </c>
      <c r="B889" s="7" t="s">
        <v>5877</v>
      </c>
      <c r="C889" s="7" t="s">
        <v>5672</v>
      </c>
      <c r="D889" s="7" t="s">
        <v>6716</v>
      </c>
      <c r="E889" s="7" t="s">
        <v>6717</v>
      </c>
      <c r="F889" s="7" t="s">
        <v>6723</v>
      </c>
      <c r="G889" s="7"/>
      <c r="H889" s="7"/>
      <c r="I889" s="7" t="s">
        <v>3971</v>
      </c>
      <c r="J889" s="20" t="str">
        <f>VLOOKUP(V889,Table_to_BRG!A:D,3,FALSE)</f>
        <v>Tax data</v>
      </c>
      <c r="K889" s="20" t="str">
        <f>VLOOKUP(V889,Table_to_BRG!A:D,2,FALSE)</f>
        <v>Tax indicator</v>
      </c>
      <c r="L889" s="20"/>
      <c r="M889" s="20"/>
      <c r="N889" s="9" t="s">
        <v>6465</v>
      </c>
      <c r="O889" s="54" t="s">
        <v>7812</v>
      </c>
      <c r="P889" s="7" t="s">
        <v>5639</v>
      </c>
      <c r="Q889" s="11" t="str">
        <f>RIGHT("00"&amp;Table362[[#This Row],[Rule '#]],3)&amp;"_"&amp;IF(Table362[[#This Row],[Entity]]="Material","MATL",LEFT(UPPER(Table362[[#This Row],[Entity]]),4))&amp;"_"&amp;MID(SUBSTITUTE(Table362[[#This Row],[Rule Name]],"_","|",3),SEARCH("|",SUBSTITUTE(Table362[[#This Row],[Rule Name]],"_","|",3))+1,LEN(Table362[[#This Row],[Rule Name]]))</f>
        <v>512_SD_Tax category</v>
      </c>
      <c r="R889" s="8" t="s">
        <v>5951</v>
      </c>
      <c r="S889" s="7" t="s">
        <v>4135</v>
      </c>
      <c r="T889" s="7"/>
      <c r="U889" s="7"/>
      <c r="V889" s="7" t="s">
        <v>3328</v>
      </c>
      <c r="W889" s="7" t="s">
        <v>5826</v>
      </c>
      <c r="X889" s="8"/>
      <c r="Y889" s="7" t="s">
        <v>5827</v>
      </c>
      <c r="Z889" s="7" t="s">
        <v>5828</v>
      </c>
      <c r="AA889" s="11" t="str">
        <f>"BEGIN
     RETURN exists('DS_IS_RDS', '"&amp;Table362[[#This Row],[Lookup Table]]&amp;"', '"&amp;Table362[[#This Row],[Lookup Field]]&amp;"', "&amp;Table362[[#This Row],[IS Parameter]]&amp;");
END"</f>
        <v>BEGIN
     RETURN exists('DS_IS_RDS', 'T685A', 'KSCHL', );
END</v>
      </c>
      <c r="AB889" s="11"/>
      <c r="AC889" s="11"/>
      <c r="AD889" s="11"/>
      <c r="AH889" s="8"/>
      <c r="AI889" s="20" t="s">
        <v>7653</v>
      </c>
      <c r="AJ889" s="20"/>
      <c r="AK889" s="31"/>
      <c r="AL889" s="31"/>
    </row>
    <row r="890" spans="1:38" ht="45" hidden="1" x14ac:dyDescent="0.25">
      <c r="A890" s="14" t="s">
        <v>7543</v>
      </c>
      <c r="B890" s="7" t="s">
        <v>5877</v>
      </c>
      <c r="C890" s="7" t="s">
        <v>5672</v>
      </c>
      <c r="D890" s="7" t="s">
        <v>6719</v>
      </c>
      <c r="E890" s="7" t="s">
        <v>6740</v>
      </c>
      <c r="F890" s="7" t="s">
        <v>6759</v>
      </c>
      <c r="G890" s="7"/>
      <c r="H890" s="7"/>
      <c r="I890" s="7"/>
      <c r="J890" s="20" t="e">
        <f>VLOOKUP(V890,Table_to_BRG!A:D,3,FALSE)</f>
        <v>#N/A</v>
      </c>
      <c r="K890" s="20" t="e">
        <f>VLOOKUP(V890,Table_to_BRG!A:D,2,FALSE)</f>
        <v>#N/A</v>
      </c>
      <c r="L890" s="20"/>
      <c r="M890" s="20"/>
      <c r="N890" s="9" t="s">
        <v>6465</v>
      </c>
      <c r="O890" s="54" t="s">
        <v>7812</v>
      </c>
      <c r="P890" s="7" t="s">
        <v>5640</v>
      </c>
      <c r="Q890" s="11" t="str">
        <f>RIGHT("00"&amp;Table362[[#This Row],[Rule '#]],3)&amp;"_"&amp;IF(Table362[[#This Row],[Entity]]="Material","MATL",LEFT(UPPER(Table362[[#This Row],[Entity]]),4))&amp;"_"&amp;MID(SUBSTITUTE(Table362[[#This Row],[Rule Name]],"_","|",3),SEARCH("|",SUBSTITUTE(Table362[[#This Row],[Rule Name]],"_","|",3))+1,LEN(Table362[[#This Row],[Rule Name]]))</f>
        <v>513_SD_Credit representative group for credi</v>
      </c>
      <c r="R890" s="8" t="s">
        <v>5952</v>
      </c>
      <c r="S890" s="7" t="s">
        <v>4135</v>
      </c>
      <c r="T890" s="7"/>
      <c r="U890" s="7"/>
      <c r="V890" s="7" t="s">
        <v>5727</v>
      </c>
      <c r="W890" s="7" t="s">
        <v>5829</v>
      </c>
      <c r="X890" s="8"/>
      <c r="Y890" s="7" t="s">
        <v>5830</v>
      </c>
      <c r="Z890" s="7" t="s">
        <v>5831</v>
      </c>
      <c r="AA890" s="11" t="str">
        <f>"BEGIN
     RETURN exists('DS_IS_RDS', '"&amp;Table362[[#This Row],[Lookup Table]]&amp;"', '"&amp;Table362[[#This Row],[Lookup Field]]&amp;"', "&amp;Table362[[#This Row],[IS Parameter]]&amp;");
END"</f>
        <v>BEGIN
     RETURN exists('DS_IS_RDS', 'T024B', 'SBGRP', );
END</v>
      </c>
      <c r="AB890" s="11"/>
      <c r="AC890" s="11"/>
      <c r="AD890" s="11"/>
      <c r="AH890" s="8"/>
      <c r="AI890" s="20"/>
      <c r="AJ890" s="20"/>
      <c r="AK890" s="31"/>
      <c r="AL890" s="31"/>
    </row>
    <row r="891" spans="1:38" ht="144" hidden="1" x14ac:dyDescent="0.25">
      <c r="A891" s="14" t="s">
        <v>7544</v>
      </c>
      <c r="B891" s="7" t="s">
        <v>5877</v>
      </c>
      <c r="C891" s="7" t="s">
        <v>5672</v>
      </c>
      <c r="D891" s="7" t="s">
        <v>6719</v>
      </c>
      <c r="E891" s="7" t="s">
        <v>6740</v>
      </c>
      <c r="F891" s="7" t="s">
        <v>6749</v>
      </c>
      <c r="G891" s="7"/>
      <c r="H891" s="7"/>
      <c r="I891" s="7"/>
      <c r="J891" s="20" t="str">
        <f>VLOOKUP(V891,Table_to_BRG!A:D,3,FALSE)</f>
        <v>Partner data</v>
      </c>
      <c r="K891" s="20" t="str">
        <f>VLOOKUP(V891,Table_to_BRG!A:D,2,FALSE)</f>
        <v>Partner Functions</v>
      </c>
      <c r="L891" s="20"/>
      <c r="M891" s="20"/>
      <c r="N891" s="9" t="s">
        <v>6465</v>
      </c>
      <c r="O891" s="54" t="s">
        <v>7812</v>
      </c>
      <c r="P891" s="7" t="s">
        <v>5641</v>
      </c>
      <c r="Q891" s="11" t="str">
        <f>RIGHT("00"&amp;Table362[[#This Row],[Rule '#]],3)&amp;"_"&amp;IF(Table362[[#This Row],[Entity]]="Material","MATL",LEFT(UPPER(Table362[[#This Row],[Entity]]),4))&amp;"_"&amp;MID(SUBSTITUTE(Table362[[#This Row],[Rule Name]],"_","|",3),SEARCH("|",SUBSTITUTE(Table362[[#This Row],[Rule Name]],"_","|",3))+1,LEN(Table362[[#This Row],[Rule Name]]))</f>
        <v>514_SD_Man</v>
      </c>
      <c r="R891" s="8" t="s">
        <v>5642</v>
      </c>
      <c r="S891" s="7" t="s">
        <v>21</v>
      </c>
      <c r="T891" s="7"/>
      <c r="U891" s="7"/>
      <c r="V891" s="7" t="s">
        <v>3359</v>
      </c>
      <c r="W891" s="7" t="s">
        <v>5832</v>
      </c>
      <c r="X891" s="8"/>
      <c r="Y891" s="7"/>
      <c r="Z891" s="7"/>
      <c r="AA891" s="11" t="s">
        <v>5833</v>
      </c>
      <c r="AB891" s="11"/>
      <c r="AC891" s="11"/>
      <c r="AD891" s="11"/>
      <c r="AH891" s="8" t="s">
        <v>5919</v>
      </c>
      <c r="AI891" s="20"/>
      <c r="AJ891" s="20"/>
      <c r="AK891" s="31"/>
      <c r="AL891" s="31"/>
    </row>
    <row r="892" spans="1:38" ht="60" hidden="1" x14ac:dyDescent="0.25">
      <c r="A892" s="14" t="s">
        <v>7545</v>
      </c>
      <c r="B892" s="7" t="s">
        <v>5877</v>
      </c>
      <c r="C892" s="7" t="s">
        <v>5672</v>
      </c>
      <c r="D892" s="7" t="s">
        <v>6711</v>
      </c>
      <c r="E892" s="7" t="s">
        <v>6714</v>
      </c>
      <c r="F892" s="7" t="s">
        <v>6724</v>
      </c>
      <c r="G892" s="7"/>
      <c r="H892" s="7"/>
      <c r="I892" s="7"/>
      <c r="J892" s="20" t="str">
        <f>VLOOKUP(V892,Table_to_BRG!A:D,3,FALSE)</f>
        <v>Customer sales data</v>
      </c>
      <c r="K892" s="20" t="str">
        <f>VLOOKUP(V892,Table_to_BRG!A:D,2,FALSE)</f>
        <v>Sales</v>
      </c>
      <c r="L892" s="20"/>
      <c r="M892" s="20"/>
      <c r="N892" s="9" t="s">
        <v>6465</v>
      </c>
      <c r="O892" s="54" t="s">
        <v>7812</v>
      </c>
      <c r="P892" s="7" t="s">
        <v>5643</v>
      </c>
      <c r="Q892" s="11" t="str">
        <f>RIGHT("00"&amp;Table362[[#This Row],[Rule '#]],3)&amp;"_"&amp;IF(Table362[[#This Row],[Entity]]="Material","MATL",LEFT(UPPER(Table362[[#This Row],[Entity]]),4))&amp;"_"&amp;MID(SUBSTITUTE(Table362[[#This Row],[Rule Name]],"_","|",3),SEARCH("|",SUBSTITUTE(Table362[[#This Row],[Rule Name]],"_","|",3))+1,LEN(Table362[[#This Row],[Rule Name]]))</f>
        <v>515_SD_Customer payment guarantee procedure</v>
      </c>
      <c r="R892" s="8" t="s">
        <v>5644</v>
      </c>
      <c r="S892" s="7" t="s">
        <v>4135</v>
      </c>
      <c r="T892" s="7"/>
      <c r="U892" s="7"/>
      <c r="V892" s="7" t="s">
        <v>3334</v>
      </c>
      <c r="W892" s="7" t="s">
        <v>5834</v>
      </c>
      <c r="X892" s="8"/>
      <c r="Y892" s="7" t="s">
        <v>5835</v>
      </c>
      <c r="Z892" s="7" t="s">
        <v>5836</v>
      </c>
      <c r="AA892" s="11" t="s">
        <v>5837</v>
      </c>
      <c r="AB892" s="11"/>
      <c r="AC892" s="11"/>
      <c r="AD892" s="11"/>
      <c r="AH892" s="8"/>
      <c r="AI892" s="20"/>
      <c r="AJ892" s="20"/>
      <c r="AK892" s="31"/>
      <c r="AL892" s="31"/>
    </row>
    <row r="893" spans="1:38" ht="186.6" hidden="1" customHeight="1" x14ac:dyDescent="0.25">
      <c r="A893" s="14" t="s">
        <v>7546</v>
      </c>
      <c r="B893" s="7" t="s">
        <v>5877</v>
      </c>
      <c r="C893" s="7" t="s">
        <v>5672</v>
      </c>
      <c r="D893" s="7" t="s">
        <v>6711</v>
      </c>
      <c r="E893" s="7" t="s">
        <v>6714</v>
      </c>
      <c r="F893" s="7" t="s">
        <v>6724</v>
      </c>
      <c r="G893" s="7"/>
      <c r="H893" s="7"/>
      <c r="I893" s="7"/>
      <c r="J893" s="20" t="str">
        <f>VLOOKUP(V893,Table_to_BRG!A:D,3,FALSE)</f>
        <v>Customer sales data</v>
      </c>
      <c r="K893" s="20" t="str">
        <f>VLOOKUP(V893,Table_to_BRG!A:D,2,FALSE)</f>
        <v>Sales</v>
      </c>
      <c r="L893" s="20"/>
      <c r="M893" s="20"/>
      <c r="N893" s="9" t="s">
        <v>6465</v>
      </c>
      <c r="O893" s="54" t="s">
        <v>7812</v>
      </c>
      <c r="P893" s="7" t="s">
        <v>5645</v>
      </c>
      <c r="Q893" s="11" t="str">
        <f>RIGHT("00"&amp;Table362[[#This Row],[Rule '#]],3)&amp;"_"&amp;IF(Table362[[#This Row],[Entity]]="Material","MATL",LEFT(UPPER(Table362[[#This Row],[Entity]]),4))&amp;"_"&amp;MID(SUBSTITUTE(Table362[[#This Row],[Rule Name]],"_","|",3),SEARCH("|",SUBSTITUTE(Table362[[#This Row],[Rule Name]],"_","|",3))+1,LEN(Table362[[#This Row],[Rule Name]]))</f>
        <v>516_SD_0001_Man</v>
      </c>
      <c r="R893" s="8" t="s">
        <v>5646</v>
      </c>
      <c r="S893" s="7" t="s">
        <v>21</v>
      </c>
      <c r="T893" s="7"/>
      <c r="U893" s="7"/>
      <c r="V893" s="7" t="s">
        <v>3334</v>
      </c>
      <c r="W893" s="7" t="s">
        <v>4780</v>
      </c>
      <c r="X893" s="8"/>
      <c r="Y893" s="7"/>
      <c r="Z893" s="7"/>
      <c r="AA893" s="11" t="s">
        <v>5915</v>
      </c>
      <c r="AB893" s="11"/>
      <c r="AC893" s="11" t="s">
        <v>6813</v>
      </c>
      <c r="AD893" s="11"/>
      <c r="AH893" s="8"/>
      <c r="AI893" s="20"/>
      <c r="AJ893" s="20"/>
      <c r="AK893" s="31"/>
      <c r="AL893" s="31"/>
    </row>
    <row r="894" spans="1:38" ht="72" hidden="1" x14ac:dyDescent="0.25">
      <c r="A894" s="14" t="s">
        <v>7547</v>
      </c>
      <c r="B894" s="7" t="s">
        <v>5877</v>
      </c>
      <c r="C894" s="7" t="s">
        <v>5672</v>
      </c>
      <c r="D894" s="7" t="s">
        <v>6711</v>
      </c>
      <c r="E894" s="7" t="s">
        <v>6714</v>
      </c>
      <c r="F894" s="7" t="s">
        <v>6724</v>
      </c>
      <c r="G894" s="7"/>
      <c r="H894" s="7"/>
      <c r="I894" s="7"/>
      <c r="J894" s="20" t="str">
        <f>VLOOKUP(V894,Table_to_BRG!A:D,3,FALSE)</f>
        <v>Customer sales data</v>
      </c>
      <c r="K894" s="20" t="str">
        <f>VLOOKUP(V894,Table_to_BRG!A:D,2,FALSE)</f>
        <v>Sales</v>
      </c>
      <c r="L894" s="20"/>
      <c r="M894" s="20"/>
      <c r="N894" s="9" t="s">
        <v>6465</v>
      </c>
      <c r="O894" s="54" t="s">
        <v>7812</v>
      </c>
      <c r="P894" s="7" t="s">
        <v>5647</v>
      </c>
      <c r="Q894" s="11" t="str">
        <f>RIGHT("00"&amp;Table362[[#This Row],[Rule '#]],3)&amp;"_"&amp;IF(Table362[[#This Row],[Entity]]="Material","MATL",LEFT(UPPER(Table362[[#This Row],[Entity]]),4))&amp;"_"&amp;MID(SUBSTITUTE(Table362[[#This Row],[Rule Name]],"_","|",3),SEARCH("|",SUBSTITUTE(Table362[[#This Row],[Rule Name]],"_","|",3))+1,LEN(Table362[[#This Row],[Rule Name]]))</f>
        <v>517_SD_Customer delivery block SA</v>
      </c>
      <c r="R894" s="8" t="s">
        <v>5648</v>
      </c>
      <c r="S894" s="7" t="s">
        <v>4135</v>
      </c>
      <c r="T894" s="7"/>
      <c r="U894" s="7"/>
      <c r="V894" s="7" t="s">
        <v>3334</v>
      </c>
      <c r="W894" s="7" t="s">
        <v>5838</v>
      </c>
      <c r="X894" s="8"/>
      <c r="Y894" s="7" t="s">
        <v>5839</v>
      </c>
      <c r="Z894" s="7" t="s">
        <v>5840</v>
      </c>
      <c r="AA894" s="11" t="s">
        <v>5841</v>
      </c>
      <c r="AB894" s="11"/>
      <c r="AC894" s="11"/>
      <c r="AD894" s="11"/>
      <c r="AH894" s="8"/>
      <c r="AI894" s="20"/>
      <c r="AJ894" s="20"/>
      <c r="AK894" s="31"/>
      <c r="AL894" s="31"/>
    </row>
    <row r="895" spans="1:38" ht="36" hidden="1" x14ac:dyDescent="0.25">
      <c r="A895" s="14" t="s">
        <v>7548</v>
      </c>
      <c r="B895" s="7" t="s">
        <v>5877</v>
      </c>
      <c r="C895" s="7" t="s">
        <v>5672</v>
      </c>
      <c r="D895" s="7" t="s">
        <v>6711</v>
      </c>
      <c r="E895" s="7" t="s">
        <v>6714</v>
      </c>
      <c r="F895" s="7" t="s">
        <v>6724</v>
      </c>
      <c r="G895" s="7"/>
      <c r="H895" s="7"/>
      <c r="I895" s="7"/>
      <c r="J895" s="20" t="str">
        <f>VLOOKUP(V895,Table_to_BRG!A:D,3,FALSE)</f>
        <v>Customer sales data</v>
      </c>
      <c r="K895" s="20" t="str">
        <f>VLOOKUP(V895,Table_to_BRG!A:D,2,FALSE)</f>
        <v>Sales</v>
      </c>
      <c r="L895" s="20"/>
      <c r="M895" s="20"/>
      <c r="N895" s="9" t="s">
        <v>6465</v>
      </c>
      <c r="O895" s="54" t="s">
        <v>7812</v>
      </c>
      <c r="P895" s="7" t="s">
        <v>5649</v>
      </c>
      <c r="Q895" s="11" t="str">
        <f>RIGHT("00"&amp;Table362[[#This Row],[Rule '#]],3)&amp;"_"&amp;IF(Table362[[#This Row],[Entity]]="Material","MATL",LEFT(UPPER(Table362[[#This Row],[Entity]]),4))&amp;"_"&amp;MID(SUBSTITUTE(Table362[[#This Row],[Rule Name]],"_","|",3),SEARCH("|",SUBSTITUTE(Table362[[#This Row],[Rule Name]],"_","|",3))+1,LEN(Table362[[#This Row],[Rule Name]]))</f>
        <v>518_SD_Unit of Measure Group</v>
      </c>
      <c r="R895" s="8" t="s">
        <v>5650</v>
      </c>
      <c r="S895" s="7" t="s">
        <v>4135</v>
      </c>
      <c r="T895" s="7"/>
      <c r="U895" s="7"/>
      <c r="V895" s="7" t="s">
        <v>3334</v>
      </c>
      <c r="W895" s="7" t="s">
        <v>5842</v>
      </c>
      <c r="X895" s="8"/>
      <c r="Y895" s="7" t="s">
        <v>5843</v>
      </c>
      <c r="Z895" s="7" t="s">
        <v>2063</v>
      </c>
      <c r="AA895" s="11" t="str">
        <f>"BEGIN
     RETURN exists('DS_IS_RDS', '"&amp;Table362[[#This Row],[Lookup Table]]&amp;"', '"&amp;Table362[[#This Row],[Lookup Field]]&amp;"', "&amp;Table362[[#This Row],[IS Parameter]]&amp;");
END"</f>
        <v>BEGIN
     RETURN exists('DS_IS_RDS', 'TWMEG', 'MEGRU', );
END</v>
      </c>
      <c r="AB895" s="11"/>
      <c r="AC895" s="11"/>
      <c r="AD895" s="11"/>
      <c r="AH895" s="8"/>
      <c r="AI895" s="20" t="s">
        <v>7730</v>
      </c>
      <c r="AJ895" s="20"/>
      <c r="AK895" s="31"/>
      <c r="AL895" s="31"/>
    </row>
    <row r="896" spans="1:38" ht="36" hidden="1" x14ac:dyDescent="0.25">
      <c r="A896" s="14" t="s">
        <v>7549</v>
      </c>
      <c r="B896" s="7" t="s">
        <v>5877</v>
      </c>
      <c r="C896" s="7" t="s">
        <v>5672</v>
      </c>
      <c r="D896" s="7" t="s">
        <v>6719</v>
      </c>
      <c r="E896" s="7" t="s">
        <v>6740</v>
      </c>
      <c r="F896" s="7" t="s">
        <v>6759</v>
      </c>
      <c r="G896" s="7"/>
      <c r="H896" s="7"/>
      <c r="I896" s="7"/>
      <c r="J896" s="20" t="e">
        <f>VLOOKUP(V896,Table_to_BRG!A:D,3,FALSE)</f>
        <v>#N/A</v>
      </c>
      <c r="K896" s="20" t="e">
        <f>VLOOKUP(V896,Table_to_BRG!A:D,2,FALSE)</f>
        <v>#N/A</v>
      </c>
      <c r="L896" s="20"/>
      <c r="M896" s="20"/>
      <c r="N896" s="9" t="s">
        <v>6465</v>
      </c>
      <c r="O896" s="54" t="s">
        <v>7812</v>
      </c>
      <c r="P896" s="7" t="s">
        <v>5651</v>
      </c>
      <c r="Q896" s="11" t="str">
        <f>RIGHT("00"&amp;Table362[[#This Row],[Rule '#]],3)&amp;"_"&amp;IF(Table362[[#This Row],[Entity]]="Material","MATL",LEFT(UPPER(Table362[[#This Row],[Entity]]),4))&amp;"_"&amp;MID(SUBSTITUTE(Table362[[#This Row],[Rule Name]],"_","|",3),SEARCH("|",SUBSTITUTE(Table362[[#This Row],[Rule Name]],"_","|",3))+1,LEN(Table362[[#This Row],[Rule Name]]))</f>
        <v>519_SD_Currency of recommended credit limit</v>
      </c>
      <c r="R896" s="8" t="s">
        <v>5953</v>
      </c>
      <c r="S896" s="7" t="s">
        <v>4135</v>
      </c>
      <c r="T896" s="7"/>
      <c r="U896" s="7"/>
      <c r="V896" s="7" t="s">
        <v>5727</v>
      </c>
      <c r="W896" s="7" t="s">
        <v>5844</v>
      </c>
      <c r="X896" s="8"/>
      <c r="Y896" s="7" t="s">
        <v>4148</v>
      </c>
      <c r="Z896" s="7" t="s">
        <v>2850</v>
      </c>
      <c r="AA896" s="11" t="str">
        <f>"BEGIN
     RETURN exists('DS_IS_RDS', '"&amp;Table362[[#This Row],[Lookup Table]]&amp;"', '"&amp;Table362[[#This Row],[Lookup Field]]&amp;"', "&amp;Table362[[#This Row],[IS Parameter]]&amp;");
END"</f>
        <v>BEGIN
     RETURN exists('DS_IS_RDS', 'TCURC', 'WAERS', );
END</v>
      </c>
      <c r="AB896" s="11"/>
      <c r="AC896" s="11"/>
      <c r="AD896" s="11"/>
      <c r="AH896" s="8"/>
      <c r="AI896" s="20" t="s">
        <v>7700</v>
      </c>
      <c r="AJ896" s="20"/>
      <c r="AK896" s="31"/>
      <c r="AL896" s="31"/>
    </row>
    <row r="897" spans="1:38" ht="48" hidden="1" x14ac:dyDescent="0.25">
      <c r="A897" s="14" t="s">
        <v>7550</v>
      </c>
      <c r="B897" s="7" t="s">
        <v>5877</v>
      </c>
      <c r="C897" s="7" t="s">
        <v>5672</v>
      </c>
      <c r="D897" s="7" t="s">
        <v>6711</v>
      </c>
      <c r="E897" s="7" t="s">
        <v>6714</v>
      </c>
      <c r="F897" s="7" t="s">
        <v>6715</v>
      </c>
      <c r="G897" s="7"/>
      <c r="H897" s="7"/>
      <c r="I897" s="7"/>
      <c r="J897" s="20" t="str">
        <f>VLOOKUP(V897,Table_to_BRG!A:D,3,FALSE)</f>
        <v>General data</v>
      </c>
      <c r="K897" s="20" t="str">
        <f>VLOOKUP(V897,Table_to_BRG!A:D,2,FALSE)</f>
        <v>General</v>
      </c>
      <c r="L897" s="20"/>
      <c r="M897" s="20"/>
      <c r="N897" s="9" t="s">
        <v>6465</v>
      </c>
      <c r="O897" s="54" t="s">
        <v>7812</v>
      </c>
      <c r="P897" s="7" t="s">
        <v>5652</v>
      </c>
      <c r="Q897" s="11" t="str">
        <f>RIGHT("00"&amp;Table362[[#This Row],[Rule '#]],3)&amp;"_"&amp;IF(Table362[[#This Row],[Entity]]="Material","MATL",LEFT(UPPER(Table362[[#This Row],[Entity]]),4))&amp;"_"&amp;MID(SUBSTITUTE(Table362[[#This Row],[Rule Name]],"_","|",3),SEARCH("|",SUBSTITUTE(Table362[[#This Row],[Rule Name]],"_","|",3))+1,LEN(Table362[[#This Row],[Rule Name]]))</f>
        <v>520_SD_County Code</v>
      </c>
      <c r="R897" s="8" t="s">
        <v>5653</v>
      </c>
      <c r="S897" s="7" t="s">
        <v>4135</v>
      </c>
      <c r="T897" s="7"/>
      <c r="U897" s="7"/>
      <c r="V897" s="7" t="s">
        <v>2741</v>
      </c>
      <c r="W897" s="7" t="s">
        <v>5845</v>
      </c>
      <c r="X897" s="8"/>
      <c r="Y897" s="7" t="s">
        <v>5846</v>
      </c>
      <c r="Z897" s="7" t="s">
        <v>3061</v>
      </c>
      <c r="AA897" s="11" t="s">
        <v>5847</v>
      </c>
      <c r="AB897" s="11"/>
      <c r="AC897" s="11"/>
      <c r="AD897" s="11"/>
      <c r="AH897" s="8"/>
      <c r="AI897" s="20"/>
      <c r="AJ897" s="20"/>
      <c r="AK897" s="31"/>
      <c r="AL897" s="31"/>
    </row>
    <row r="898" spans="1:38" ht="60" hidden="1" x14ac:dyDescent="0.25">
      <c r="A898" s="14" t="s">
        <v>7551</v>
      </c>
      <c r="B898" s="7" t="s">
        <v>5877</v>
      </c>
      <c r="C898" s="7" t="s">
        <v>5672</v>
      </c>
      <c r="D898" s="7" t="s">
        <v>5978</v>
      </c>
      <c r="E898" s="7" t="s">
        <v>5978</v>
      </c>
      <c r="F898" s="7" t="s">
        <v>5978</v>
      </c>
      <c r="G898" s="7"/>
      <c r="H898" s="7"/>
      <c r="I898" s="7"/>
      <c r="J898" s="20" t="e">
        <f>VLOOKUP(V898,Table_to_BRG!A:D,3,FALSE)</f>
        <v>#N/A</v>
      </c>
      <c r="K898" s="20" t="e">
        <f>VLOOKUP(V898,Table_to_BRG!A:D,2,FALSE)</f>
        <v>#N/A</v>
      </c>
      <c r="L898" s="20"/>
      <c r="M898" s="20"/>
      <c r="N898" s="9" t="s">
        <v>6465</v>
      </c>
      <c r="O898" s="54" t="s">
        <v>7812</v>
      </c>
      <c r="P898" s="7" t="s">
        <v>5654</v>
      </c>
      <c r="Q898" s="11" t="str">
        <f>RIGHT("00"&amp;Table362[[#This Row],[Rule '#]],3)&amp;"_"&amp;IF(Table362[[#This Row],[Entity]]="Material","MATL",LEFT(UPPER(Table362[[#This Row],[Entity]]),4))&amp;"_"&amp;MID(SUBSTITUTE(Table362[[#This Row],[Rule Name]],"_","|",3),SEARCH("|",SUBSTITUTE(Table362[[#This Row],[Rule Name]],"_","|",3))+1,LEN(Table362[[#This Row],[Rule Name]]))</f>
        <v>521_SD_Delivery Priority</v>
      </c>
      <c r="R898" s="8" t="s">
        <v>5655</v>
      </c>
      <c r="S898" s="7" t="s">
        <v>4135</v>
      </c>
      <c r="T898" s="7"/>
      <c r="U898" s="7"/>
      <c r="V898" s="7"/>
      <c r="W898" s="7" t="s">
        <v>5736</v>
      </c>
      <c r="X898" s="8"/>
      <c r="Y898" s="7" t="s">
        <v>5737</v>
      </c>
      <c r="Z898" s="7" t="s">
        <v>3455</v>
      </c>
      <c r="AA898" s="11" t="s">
        <v>5848</v>
      </c>
      <c r="AB898" s="11"/>
      <c r="AC898" s="11"/>
      <c r="AD898" s="11"/>
      <c r="AH898" s="8"/>
      <c r="AI898" s="20"/>
      <c r="AJ898" s="20"/>
      <c r="AK898" s="31"/>
      <c r="AL898" s="31"/>
    </row>
    <row r="899" spans="1:38" ht="36" hidden="1" x14ac:dyDescent="0.25">
      <c r="A899" s="14" t="s">
        <v>7552</v>
      </c>
      <c r="B899" s="7" t="s">
        <v>5877</v>
      </c>
      <c r="C899" s="7" t="s">
        <v>5672</v>
      </c>
      <c r="D899" s="7" t="s">
        <v>6711</v>
      </c>
      <c r="E899" s="7" t="s">
        <v>6714</v>
      </c>
      <c r="F899" s="7" t="s">
        <v>6724</v>
      </c>
      <c r="G899" s="7"/>
      <c r="H899" s="7"/>
      <c r="I899" s="7"/>
      <c r="J899" s="20" t="str">
        <f>VLOOKUP(V899,Table_to_BRG!A:D,3,FALSE)</f>
        <v>Customer sales data</v>
      </c>
      <c r="K899" s="20" t="str">
        <f>VLOOKUP(V899,Table_to_BRG!A:D,2,FALSE)</f>
        <v>Sales</v>
      </c>
      <c r="L899" s="20"/>
      <c r="M899" s="20"/>
      <c r="N899" s="9" t="s">
        <v>6465</v>
      </c>
      <c r="O899" s="54" t="s">
        <v>7812</v>
      </c>
      <c r="P899" s="7" t="s">
        <v>5656</v>
      </c>
      <c r="Q899" s="11" t="str">
        <f>RIGHT("00"&amp;Table362[[#This Row],[Rule '#]],3)&amp;"_"&amp;IF(Table362[[#This Row],[Entity]]="Material","MATL",LEFT(UPPER(Table362[[#This Row],[Entity]]),4))&amp;"_"&amp;MID(SUBSTITUTE(Table362[[#This Row],[Rule Name]],"_","|",3),SEARCH("|",SUBSTITUTE(Table362[[#This Row],[Rule Name]],"_","|",3))+1,LEN(Table362[[#This Row],[Rule Name]]))</f>
        <v>522_SD_Account assignment group for this cus</v>
      </c>
      <c r="R899" s="8" t="s">
        <v>5657</v>
      </c>
      <c r="S899" s="7" t="s">
        <v>4135</v>
      </c>
      <c r="T899" s="7"/>
      <c r="U899" s="7"/>
      <c r="V899" s="7" t="s">
        <v>3334</v>
      </c>
      <c r="W899" s="7" t="s">
        <v>5689</v>
      </c>
      <c r="X899" s="8"/>
      <c r="Y899" s="7" t="s">
        <v>5849</v>
      </c>
      <c r="Z899" s="7" t="s">
        <v>3301</v>
      </c>
      <c r="AA899" s="11" t="str">
        <f>"BEGIN
     RETURN exists('DS_IS_RDS', '"&amp;Table362[[#This Row],[Lookup Table]]&amp;"', '"&amp;Table362[[#This Row],[Lookup Field]]&amp;"', "&amp;Table362[[#This Row],[IS Parameter]]&amp;");
END"</f>
        <v>BEGIN
     RETURN exists('DS_IS_RDS', 'TVKT', 'KTGRD', );
END</v>
      </c>
      <c r="AB899" s="11"/>
      <c r="AC899" s="11"/>
      <c r="AD899" s="11"/>
      <c r="AH899" s="8"/>
      <c r="AI899" s="20"/>
      <c r="AJ899" s="20"/>
      <c r="AK899" s="31"/>
      <c r="AL899" s="31"/>
    </row>
    <row r="900" spans="1:38" ht="60" hidden="1" x14ac:dyDescent="0.25">
      <c r="A900" s="14" t="s">
        <v>7553</v>
      </c>
      <c r="B900" s="7" t="s">
        <v>5877</v>
      </c>
      <c r="C900" s="7" t="s">
        <v>5672</v>
      </c>
      <c r="D900" s="7" t="s">
        <v>6711</v>
      </c>
      <c r="E900" s="7" t="s">
        <v>6714</v>
      </c>
      <c r="F900" s="7" t="s">
        <v>6742</v>
      </c>
      <c r="G900" s="7"/>
      <c r="H900" s="7"/>
      <c r="I900" s="7"/>
      <c r="J900" s="20" t="str">
        <f>VLOOKUP(V900,Table_to_BRG!A:D,3,FALSE)</f>
        <v>Contact data</v>
      </c>
      <c r="K900" s="20" t="str">
        <f>VLOOKUP(V900,Table_to_BRG!A:D,2,FALSE)</f>
        <v>Contact partner</v>
      </c>
      <c r="L900" s="20"/>
      <c r="M900" s="20"/>
      <c r="N900" s="9" t="s">
        <v>6465</v>
      </c>
      <c r="O900" s="54" t="s">
        <v>7812</v>
      </c>
      <c r="P900" s="7" t="s">
        <v>5658</v>
      </c>
      <c r="Q900" s="11" t="str">
        <f>RIGHT("00"&amp;Table362[[#This Row],[Rule '#]],3)&amp;"_"&amp;IF(Table362[[#This Row],[Entity]]="Material","MATL",LEFT(UPPER(Table362[[#This Row],[Entity]]),4))&amp;"_"&amp;MID(SUBSTITUTE(Table362[[#This Row],[Rule Name]],"_","|",3),SEARCH("|",SUBSTITUTE(Table362[[#This Row],[Rule Name]],"_","|",3))+1,LEN(Table362[[#This Row],[Rule Name]]))</f>
        <v>523_SD_Contact person: Attribute 6</v>
      </c>
      <c r="R900" s="8" t="s">
        <v>5954</v>
      </c>
      <c r="S900" s="7" t="s">
        <v>4135</v>
      </c>
      <c r="T900" s="7"/>
      <c r="U900" s="7"/>
      <c r="V900" s="7" t="s">
        <v>3001</v>
      </c>
      <c r="W900" s="7" t="s">
        <v>5850</v>
      </c>
      <c r="X900" s="8"/>
      <c r="Y900" s="7" t="s">
        <v>5851</v>
      </c>
      <c r="Z900" s="7" t="s">
        <v>5852</v>
      </c>
      <c r="AA900" s="11" t="s">
        <v>5853</v>
      </c>
      <c r="AB900" s="11"/>
      <c r="AC900" s="11"/>
      <c r="AD900" s="11"/>
      <c r="AH900" s="8"/>
      <c r="AI900" s="20"/>
      <c r="AJ900" s="20"/>
      <c r="AK900" s="31"/>
      <c r="AL900" s="31"/>
    </row>
    <row r="901" spans="1:38" ht="90" hidden="1" x14ac:dyDescent="0.25">
      <c r="A901" s="14" t="s">
        <v>7554</v>
      </c>
      <c r="B901" s="7" t="s">
        <v>5877</v>
      </c>
      <c r="C901" s="7" t="s">
        <v>5672</v>
      </c>
      <c r="D901" s="7" t="s">
        <v>6711</v>
      </c>
      <c r="E901" s="7" t="s">
        <v>6714</v>
      </c>
      <c r="F901" s="7" t="s">
        <v>6715</v>
      </c>
      <c r="G901" s="7"/>
      <c r="H901" s="7"/>
      <c r="I901" s="7"/>
      <c r="J901" s="20" t="str">
        <f>VLOOKUP(V901,Table_to_BRG!A:D,3,FALSE)</f>
        <v>General data</v>
      </c>
      <c r="K901" s="20" t="str">
        <f>VLOOKUP(V901,Table_to_BRG!A:D,2,FALSE)</f>
        <v>General</v>
      </c>
      <c r="L901" s="20"/>
      <c r="M901" s="20"/>
      <c r="N901" s="9" t="s">
        <v>6465</v>
      </c>
      <c r="O901" s="54" t="s">
        <v>7812</v>
      </c>
      <c r="P901" s="7" t="s">
        <v>5659</v>
      </c>
      <c r="Q901" s="11" t="str">
        <f>RIGHT("00"&amp;Table362[[#This Row],[Rule '#]],3)&amp;"_"&amp;IF(Table362[[#This Row],[Entity]]="Material","MATL",LEFT(UPPER(Table362[[#This Row],[Entity]]),4))&amp;"_"&amp;MID(SUBSTITUTE(Table362[[#This Row],[Rule Name]],"_","|",3),SEARCH("|",SUBSTITUTE(Table362[[#This Row],[Rule Name]],"_","|",3))+1,LEN(Table362[[#This Row],[Rule Name]]))</f>
        <v>524_SD_0004_Man</v>
      </c>
      <c r="R901" s="8" t="s">
        <v>5660</v>
      </c>
      <c r="S901" s="7" t="s">
        <v>21</v>
      </c>
      <c r="T901" s="7"/>
      <c r="U901" s="7"/>
      <c r="V901" s="7" t="s">
        <v>2741</v>
      </c>
      <c r="W901" s="7" t="s">
        <v>5483</v>
      </c>
      <c r="X901" s="8"/>
      <c r="Y901" s="7"/>
      <c r="Z901" s="7"/>
      <c r="AA901" s="11" t="s">
        <v>5910</v>
      </c>
      <c r="AB901" s="11"/>
      <c r="AC901" s="11" t="s">
        <v>6813</v>
      </c>
      <c r="AD901" s="11"/>
      <c r="AH901" s="8"/>
      <c r="AI901" s="20"/>
      <c r="AJ901" s="20"/>
      <c r="AK901" s="31"/>
      <c r="AL901" s="31"/>
    </row>
    <row r="902" spans="1:38" ht="36" hidden="1" x14ac:dyDescent="0.25">
      <c r="A902" s="14" t="s">
        <v>7555</v>
      </c>
      <c r="B902" s="7" t="s">
        <v>5877</v>
      </c>
      <c r="C902" s="7" t="s">
        <v>5672</v>
      </c>
      <c r="D902" s="7" t="s">
        <v>6711</v>
      </c>
      <c r="E902" s="7" t="s">
        <v>6714</v>
      </c>
      <c r="F902" s="7" t="s">
        <v>6715</v>
      </c>
      <c r="G902" s="7"/>
      <c r="H902" s="7"/>
      <c r="I902" s="7"/>
      <c r="J902" s="20" t="str">
        <f>VLOOKUP(V902,Table_to_BRG!A:D,3,FALSE)</f>
        <v>General data</v>
      </c>
      <c r="K902" s="20" t="str">
        <f>VLOOKUP(V902,Table_to_BRG!A:D,2,FALSE)</f>
        <v>General</v>
      </c>
      <c r="L902" s="20"/>
      <c r="M902" s="20"/>
      <c r="N902" s="9" t="s">
        <v>6465</v>
      </c>
      <c r="O902" s="54" t="s">
        <v>7812</v>
      </c>
      <c r="P902" s="7" t="s">
        <v>5661</v>
      </c>
      <c r="Q902" s="11" t="str">
        <f>RIGHT("00"&amp;Table362[[#This Row],[Rule '#]],3)&amp;"_"&amp;IF(Table362[[#This Row],[Entity]]="Material","MATL",LEFT(UPPER(Table362[[#This Row],[Entity]]),4))&amp;"_"&amp;MID(SUBSTITUTE(Table362[[#This Row],[Rule Name]],"_","|",3),SEARCH("|",SUBSTITUTE(Table362[[#This Row],[Rule Name]],"_","|",3))+1,LEN(Table362[[#This Row],[Rule Name]]))</f>
        <v>525_SD_Attribute 3</v>
      </c>
      <c r="R902" s="8" t="s">
        <v>5662</v>
      </c>
      <c r="S902" s="7" t="s">
        <v>4135</v>
      </c>
      <c r="T902" s="7"/>
      <c r="U902" s="7"/>
      <c r="V902" s="7" t="s">
        <v>2741</v>
      </c>
      <c r="W902" s="7" t="s">
        <v>5854</v>
      </c>
      <c r="X902" s="8"/>
      <c r="Y902" s="7" t="s">
        <v>5855</v>
      </c>
      <c r="Z902" s="7" t="s">
        <v>5856</v>
      </c>
      <c r="AA902" s="11" t="str">
        <f>"BEGIN
     RETURN exists('DS_IS_RDS', '"&amp;Table362[[#This Row],[Lookup Table]]&amp;"', '"&amp;Table362[[#This Row],[Lookup Field]]&amp;"', "&amp;Table362[[#This Row],[IS Parameter]]&amp;");
END"</f>
        <v>BEGIN
     RETURN exists('DS_IS_RDS', 'TVK3', 'KATR3', );
END</v>
      </c>
      <c r="AB902" s="11"/>
      <c r="AC902" s="11"/>
      <c r="AD902" s="11"/>
      <c r="AH902" s="8"/>
      <c r="AI902" s="20"/>
      <c r="AJ902" s="20"/>
      <c r="AK902" s="31"/>
      <c r="AL902" s="31"/>
    </row>
    <row r="903" spans="1:38" ht="60" hidden="1" x14ac:dyDescent="0.25">
      <c r="A903" s="14" t="s">
        <v>7556</v>
      </c>
      <c r="B903" s="7" t="s">
        <v>5877</v>
      </c>
      <c r="C903" s="7" t="s">
        <v>5672</v>
      </c>
      <c r="D903" s="7" t="s">
        <v>6711</v>
      </c>
      <c r="E903" s="7" t="s">
        <v>6714</v>
      </c>
      <c r="F903" s="7" t="s">
        <v>6742</v>
      </c>
      <c r="G903" s="7"/>
      <c r="H903" s="7"/>
      <c r="I903" s="7"/>
      <c r="J903" s="20" t="str">
        <f>VLOOKUP(V903,Table_to_BRG!A:D,3,FALSE)</f>
        <v>Contact data</v>
      </c>
      <c r="K903" s="20" t="str">
        <f>VLOOKUP(V903,Table_to_BRG!A:D,2,FALSE)</f>
        <v>Contact partner</v>
      </c>
      <c r="L903" s="20"/>
      <c r="M903" s="20"/>
      <c r="N903" s="9" t="s">
        <v>6465</v>
      </c>
      <c r="O903" s="54" t="s">
        <v>7812</v>
      </c>
      <c r="P903" s="7" t="s">
        <v>5663</v>
      </c>
      <c r="Q903" s="11" t="str">
        <f>RIGHT("00"&amp;Table362[[#This Row],[Rule '#]],3)&amp;"_"&amp;IF(Table362[[#This Row],[Entity]]="Material","MATL",LEFT(UPPER(Table362[[#This Row],[Entity]]),4))&amp;"_"&amp;MID(SUBSTITUTE(Table362[[#This Row],[Rule Name]],"_","|",3),SEARCH("|",SUBSTITUTE(Table362[[#This Row],[Rule Name]],"_","|",3))+1,LEN(Table362[[#This Row],[Rule Name]]))</f>
        <v>526_SD_Contact person: Attribute 8</v>
      </c>
      <c r="R903" s="8" t="s">
        <v>5955</v>
      </c>
      <c r="S903" s="7" t="s">
        <v>4135</v>
      </c>
      <c r="T903" s="7"/>
      <c r="U903" s="7"/>
      <c r="V903" s="7" t="s">
        <v>3001</v>
      </c>
      <c r="W903" s="7" t="s">
        <v>5857</v>
      </c>
      <c r="X903" s="8"/>
      <c r="Y903" s="7" t="s">
        <v>5858</v>
      </c>
      <c r="Z903" s="7" t="s">
        <v>5859</v>
      </c>
      <c r="AA903" s="11" t="s">
        <v>5860</v>
      </c>
      <c r="AB903" s="11"/>
      <c r="AC903" s="11"/>
      <c r="AD903" s="11"/>
      <c r="AH903" s="8"/>
      <c r="AI903" s="20"/>
      <c r="AJ903" s="20"/>
      <c r="AK903" s="31"/>
      <c r="AL903" s="31"/>
    </row>
    <row r="904" spans="1:38" ht="36" hidden="1" x14ac:dyDescent="0.25">
      <c r="A904" s="14" t="s">
        <v>7557</v>
      </c>
      <c r="B904" s="7" t="s">
        <v>5877</v>
      </c>
      <c r="C904" s="7" t="s">
        <v>5672</v>
      </c>
      <c r="D904" s="7" t="s">
        <v>6711</v>
      </c>
      <c r="E904" s="7" t="s">
        <v>6714</v>
      </c>
      <c r="F904" s="7" t="s">
        <v>6724</v>
      </c>
      <c r="G904" s="7"/>
      <c r="H904" s="7"/>
      <c r="I904" s="7"/>
      <c r="J904" s="20" t="str">
        <f>VLOOKUP(V904,Table_to_BRG!A:D,3,FALSE)</f>
        <v>Customer sales data</v>
      </c>
      <c r="K904" s="20" t="str">
        <f>VLOOKUP(V904,Table_to_BRG!A:D,2,FALSE)</f>
        <v>Sales</v>
      </c>
      <c r="L904" s="20"/>
      <c r="M904" s="20"/>
      <c r="N904" s="9" t="s">
        <v>6465</v>
      </c>
      <c r="O904" s="54" t="s">
        <v>7812</v>
      </c>
      <c r="P904" s="7" t="s">
        <v>5664</v>
      </c>
      <c r="Q904" s="11" t="str">
        <f>RIGHT("00"&amp;Table362[[#This Row],[Rule '#]],3)&amp;"_"&amp;IF(Table362[[#This Row],[Entity]]="Material","MATL",LEFT(UPPER(Table362[[#This Row],[Entity]]),4))&amp;"_"&amp;MID(SUBSTITUTE(Table362[[#This Row],[Rule Name]],"_","|",3),SEARCH("|",SUBSTITUTE(Table362[[#This Row],[Rule Name]],"_","|",3))+1,LEN(Table362[[#This Row],[Rule Name]]))</f>
        <v>527_SD_Customer group</v>
      </c>
      <c r="R904" s="8" t="s">
        <v>5665</v>
      </c>
      <c r="S904" s="7" t="s">
        <v>4135</v>
      </c>
      <c r="T904" s="7"/>
      <c r="U904" s="7"/>
      <c r="V904" s="7" t="s">
        <v>3334</v>
      </c>
      <c r="W904" s="7" t="s">
        <v>5861</v>
      </c>
      <c r="X904" s="8"/>
      <c r="Y904" s="7" t="s">
        <v>5862</v>
      </c>
      <c r="Z904" s="7" t="s">
        <v>3409</v>
      </c>
      <c r="AA904" s="11" t="str">
        <f>"BEGIN
     RETURN exists('DS_IS_RDS', '"&amp;Table362[[#This Row],[Lookup Table]]&amp;"', '"&amp;Table362[[#This Row],[Lookup Field]]&amp;"', "&amp;Table362[[#This Row],[IS Parameter]]&amp;");
END"</f>
        <v>BEGIN
     RETURN exists('DS_IS_RDS', 'T151', 'KDGRP', );
END</v>
      </c>
      <c r="AB904" s="11"/>
      <c r="AC904" s="11"/>
      <c r="AD904" s="11"/>
      <c r="AH904" s="8"/>
      <c r="AI904" s="20"/>
      <c r="AJ904" s="20"/>
      <c r="AK904" s="31"/>
      <c r="AL904" s="31"/>
    </row>
    <row r="905" spans="1:38" ht="60" hidden="1" x14ac:dyDescent="0.25">
      <c r="A905" s="14" t="s">
        <v>7558</v>
      </c>
      <c r="B905" s="7" t="s">
        <v>5877</v>
      </c>
      <c r="C905" s="7" t="s">
        <v>5672</v>
      </c>
      <c r="D905" s="7" t="s">
        <v>6711</v>
      </c>
      <c r="E905" s="7" t="s">
        <v>6714</v>
      </c>
      <c r="F905" s="7" t="s">
        <v>6742</v>
      </c>
      <c r="G905" s="7"/>
      <c r="H905" s="7"/>
      <c r="I905" s="7"/>
      <c r="J905" s="20" t="str">
        <f>VLOOKUP(V905,Table_to_BRG!A:D,3,FALSE)</f>
        <v>Contact data</v>
      </c>
      <c r="K905" s="20" t="str">
        <f>VLOOKUP(V905,Table_to_BRG!A:D,2,FALSE)</f>
        <v>Contact partner</v>
      </c>
      <c r="L905" s="20"/>
      <c r="M905" s="20"/>
      <c r="N905" s="9" t="s">
        <v>6465</v>
      </c>
      <c r="O905" s="54" t="s">
        <v>7812</v>
      </c>
      <c r="P905" s="7" t="s">
        <v>5666</v>
      </c>
      <c r="Q905" s="11" t="str">
        <f>RIGHT("00"&amp;Table362[[#This Row],[Rule '#]],3)&amp;"_"&amp;IF(Table362[[#This Row],[Entity]]="Material","MATL",LEFT(UPPER(Table362[[#This Row],[Entity]]),4))&amp;"_"&amp;MID(SUBSTITUTE(Table362[[#This Row],[Rule Name]],"_","|",3),SEARCH("|",SUBSTITUTE(Table362[[#This Row],[Rule Name]],"_","|",3))+1,LEN(Table362[[#This Row],[Rule Name]]))</f>
        <v>528_SD_Contact person: Attribute 10</v>
      </c>
      <c r="R905" s="8" t="s">
        <v>5956</v>
      </c>
      <c r="S905" s="7" t="s">
        <v>4135</v>
      </c>
      <c r="T905" s="7"/>
      <c r="U905" s="7"/>
      <c r="V905" s="7" t="s">
        <v>3001</v>
      </c>
      <c r="W905" s="7" t="s">
        <v>5863</v>
      </c>
      <c r="X905" s="8"/>
      <c r="Y905" s="7" t="s">
        <v>5864</v>
      </c>
      <c r="Z905" s="7" t="s">
        <v>5865</v>
      </c>
      <c r="AA905" s="11" t="s">
        <v>5866</v>
      </c>
      <c r="AB905" s="11"/>
      <c r="AC905" s="11"/>
      <c r="AD905" s="11"/>
      <c r="AH905" s="8"/>
      <c r="AI905" s="20"/>
      <c r="AJ905" s="20"/>
      <c r="AK905" s="31"/>
      <c r="AL905" s="31"/>
    </row>
    <row r="906" spans="1:38" ht="36" hidden="1" x14ac:dyDescent="0.25">
      <c r="A906" s="14" t="s">
        <v>7559</v>
      </c>
      <c r="B906" s="7" t="s">
        <v>5877</v>
      </c>
      <c r="C906" s="7" t="s">
        <v>5672</v>
      </c>
      <c r="D906" s="7" t="s">
        <v>6719</v>
      </c>
      <c r="E906" s="7" t="s">
        <v>6720</v>
      </c>
      <c r="F906" s="7" t="s">
        <v>6744</v>
      </c>
      <c r="G906" s="7"/>
      <c r="H906" s="7"/>
      <c r="I906" s="7"/>
      <c r="J906" s="20" t="str">
        <f>VLOOKUP(V906,Table_to_BRG!A:D,3,FALSE)</f>
        <v>Dunning data</v>
      </c>
      <c r="K906" s="20" t="str">
        <f>VLOOKUP(V906,Table_to_BRG!A:D,2,FALSE)</f>
        <v>Dunning</v>
      </c>
      <c r="L906" s="20"/>
      <c r="M906" s="20"/>
      <c r="N906" s="9" t="s">
        <v>6465</v>
      </c>
      <c r="O906" s="54" t="s">
        <v>7812</v>
      </c>
      <c r="P906" s="7" t="s">
        <v>5667</v>
      </c>
      <c r="Q906" s="11" t="str">
        <f>RIGHT("00"&amp;Table362[[#This Row],[Rule '#]],3)&amp;"_"&amp;IF(Table362[[#This Row],[Entity]]="Material","MATL",LEFT(UPPER(Table362[[#This Row],[Entity]]),4))&amp;"_"&amp;MID(SUBSTITUTE(Table362[[#This Row],[Rule Name]],"_","|",3),SEARCH("|",SUBSTITUTE(Table362[[#This Row],[Rule Name]],"_","|",3))+1,LEN(Table362[[#This Row],[Rule Name]]))</f>
        <v>529_SD_Dunning clerk</v>
      </c>
      <c r="R906" s="8" t="s">
        <v>5957</v>
      </c>
      <c r="S906" s="7" t="s">
        <v>4135</v>
      </c>
      <c r="T906" s="7"/>
      <c r="U906" s="7"/>
      <c r="V906" s="7" t="s">
        <v>2827</v>
      </c>
      <c r="W906" s="7" t="s">
        <v>5699</v>
      </c>
      <c r="X906" s="8"/>
      <c r="Y906" s="7" t="s">
        <v>4233</v>
      </c>
      <c r="Z906" s="7" t="s">
        <v>2792</v>
      </c>
      <c r="AA906" s="11" t="str">
        <f>"BEGIN
     RETURN exists('DS_IS_RDS', '"&amp;Table362[[#This Row],[Lookup Table]]&amp;"', '"&amp;Table362[[#This Row],[Lookup Field]]&amp;"', "&amp;Table362[[#This Row],[IS Parameter]]&amp;");
END"</f>
        <v>BEGIN
     RETURN exists('DS_IS_RDS', 'T001S', 'BUSAB', );
END</v>
      </c>
      <c r="AB906" s="11"/>
      <c r="AC906" s="11"/>
      <c r="AD906" s="11"/>
      <c r="AH906" s="8"/>
      <c r="AI906" s="20"/>
      <c r="AJ906" s="20"/>
      <c r="AK906" s="31"/>
      <c r="AL906" s="31"/>
    </row>
    <row r="907" spans="1:38" ht="60" hidden="1" x14ac:dyDescent="0.25">
      <c r="A907" s="14" t="s">
        <v>7560</v>
      </c>
      <c r="B907" s="7" t="s">
        <v>5877</v>
      </c>
      <c r="C907" s="7" t="s">
        <v>5672</v>
      </c>
      <c r="D907" s="7" t="s">
        <v>6711</v>
      </c>
      <c r="E907" s="7" t="s">
        <v>6714</v>
      </c>
      <c r="F907" s="7" t="s">
        <v>6742</v>
      </c>
      <c r="G907" s="7"/>
      <c r="H907" s="7"/>
      <c r="I907" s="7"/>
      <c r="J907" s="20" t="str">
        <f>VLOOKUP(V907,Table_to_BRG!A:D,3,FALSE)</f>
        <v>Contact data</v>
      </c>
      <c r="K907" s="20" t="str">
        <f>VLOOKUP(V907,Table_to_BRG!A:D,2,FALSE)</f>
        <v>Contact partner</v>
      </c>
      <c r="L907" s="20"/>
      <c r="M907" s="20"/>
      <c r="N907" s="9" t="s">
        <v>6465</v>
      </c>
      <c r="O907" s="54" t="s">
        <v>7812</v>
      </c>
      <c r="P907" s="7" t="s">
        <v>5668</v>
      </c>
      <c r="Q907" s="11" t="str">
        <f>RIGHT("00"&amp;Table362[[#This Row],[Rule '#]],3)&amp;"_"&amp;IF(Table362[[#This Row],[Entity]]="Material","MATL",LEFT(UPPER(Table362[[#This Row],[Entity]]),4))&amp;"_"&amp;MID(SUBSTITUTE(Table362[[#This Row],[Rule Name]],"_","|",3),SEARCH("|",SUBSTITUTE(Table362[[#This Row],[Rule Name]],"_","|",3))+1,LEN(Table362[[#This Row],[Rule Name]]))</f>
        <v>530_SD_Partner language</v>
      </c>
      <c r="R907" s="8" t="s">
        <v>5958</v>
      </c>
      <c r="S907" s="7" t="s">
        <v>4135</v>
      </c>
      <c r="T907" s="7"/>
      <c r="U907" s="7"/>
      <c r="V907" s="7" t="s">
        <v>3001</v>
      </c>
      <c r="W907" s="7" t="s">
        <v>5867</v>
      </c>
      <c r="X907" s="8"/>
      <c r="Y907" s="7" t="s">
        <v>4188</v>
      </c>
      <c r="Z907" s="7" t="s">
        <v>1534</v>
      </c>
      <c r="AA907" s="11" t="s">
        <v>5868</v>
      </c>
      <c r="AB907" s="11"/>
      <c r="AC907" s="11"/>
      <c r="AD907" s="11"/>
      <c r="AH907" s="8"/>
      <c r="AI907" s="20"/>
      <c r="AJ907" s="20"/>
      <c r="AK907" s="31"/>
      <c r="AL907" s="31"/>
    </row>
    <row r="908" spans="1:38" ht="60" hidden="1" x14ac:dyDescent="0.25">
      <c r="A908" s="14" t="s">
        <v>7561</v>
      </c>
      <c r="B908" s="7" t="s">
        <v>5877</v>
      </c>
      <c r="C908" s="7" t="s">
        <v>5672</v>
      </c>
      <c r="D908" s="7" t="s">
        <v>6711</v>
      </c>
      <c r="E908" s="7" t="s">
        <v>6714</v>
      </c>
      <c r="F908" s="7" t="s">
        <v>6742</v>
      </c>
      <c r="G908" s="7"/>
      <c r="H908" s="7"/>
      <c r="I908" s="7"/>
      <c r="J908" s="20" t="str">
        <f>VLOOKUP(V908,Table_to_BRG!A:D,3,FALSE)</f>
        <v>Contact data</v>
      </c>
      <c r="K908" s="20" t="str">
        <f>VLOOKUP(V908,Table_to_BRG!A:D,2,FALSE)</f>
        <v>Contact partner</v>
      </c>
      <c r="L908" s="20"/>
      <c r="M908" s="20"/>
      <c r="N908" s="9" t="s">
        <v>6465</v>
      </c>
      <c r="O908" s="54" t="s">
        <v>7812</v>
      </c>
      <c r="P908" s="7" t="s">
        <v>5669</v>
      </c>
      <c r="Q908" s="11" t="str">
        <f>RIGHT("00"&amp;Table362[[#This Row],[Rule '#]],3)&amp;"_"&amp;IF(Table362[[#This Row],[Entity]]="Material","MATL",LEFT(UPPER(Table362[[#This Row],[Entity]]),4))&amp;"_"&amp;MID(SUBSTITUTE(Table362[[#This Row],[Rule Name]],"_","|",3),SEARCH("|",SUBSTITUTE(Table362[[#This Row],[Rule Name]],"_","|",3))+1,LEN(Table362[[#This Row],[Rule Name]]))</f>
        <v>531_SD_Contact person: Attribute 1</v>
      </c>
      <c r="R908" s="8" t="s">
        <v>5959</v>
      </c>
      <c r="S908" s="7" t="s">
        <v>4135</v>
      </c>
      <c r="T908" s="7"/>
      <c r="U908" s="7"/>
      <c r="V908" s="7" t="s">
        <v>3001</v>
      </c>
      <c r="W908" s="7" t="s">
        <v>5869</v>
      </c>
      <c r="X908" s="8"/>
      <c r="Y908" s="7" t="s">
        <v>5870</v>
      </c>
      <c r="Z908" s="7" t="s">
        <v>5871</v>
      </c>
      <c r="AA908" s="11" t="s">
        <v>5872</v>
      </c>
      <c r="AB908" s="11"/>
      <c r="AC908" s="11"/>
      <c r="AD908" s="11"/>
      <c r="AH908" s="8"/>
      <c r="AI908" s="20"/>
      <c r="AJ908" s="20"/>
      <c r="AK908" s="31"/>
      <c r="AL908" s="31"/>
    </row>
    <row r="909" spans="1:38" ht="72" hidden="1" x14ac:dyDescent="0.25">
      <c r="A909" s="14" t="s">
        <v>7562</v>
      </c>
      <c r="B909" s="7" t="s">
        <v>5877</v>
      </c>
      <c r="C909" s="7" t="s">
        <v>5672</v>
      </c>
      <c r="D909" s="7" t="s">
        <v>6711</v>
      </c>
      <c r="E909" s="7" t="s">
        <v>6714</v>
      </c>
      <c r="F909" s="7" t="s">
        <v>6715</v>
      </c>
      <c r="G909" s="7"/>
      <c r="H909" s="7"/>
      <c r="I909" s="7"/>
      <c r="J909" s="20" t="str">
        <f>VLOOKUP(V909,Table_to_BRG!A:D,3,FALSE)</f>
        <v>General data</v>
      </c>
      <c r="K909" s="20" t="str">
        <f>VLOOKUP(V909,Table_to_BRG!A:D,2,FALSE)</f>
        <v>General</v>
      </c>
      <c r="L909" s="20"/>
      <c r="M909" s="20"/>
      <c r="N909" s="9" t="s">
        <v>6465</v>
      </c>
      <c r="O909" s="54" t="s">
        <v>7812</v>
      </c>
      <c r="P909" s="7" t="s">
        <v>5670</v>
      </c>
      <c r="Q909" s="11" t="str">
        <f>RIGHT("00"&amp;Table362[[#This Row],[Rule '#]],3)&amp;"_"&amp;IF(Table362[[#This Row],[Entity]]="Material","MATL",LEFT(UPPER(Table362[[#This Row],[Entity]]),4))&amp;"_"&amp;MID(SUBSTITUTE(Table362[[#This Row],[Rule Name]],"_","|",3),SEARCH("|",SUBSTITUTE(Table362[[#This Row],[Rule Name]],"_","|",3))+1,LEN(Table362[[#This Row],[Rule Name]]))</f>
        <v>532_SD_Central order billing for customer</v>
      </c>
      <c r="R909" s="8" t="s">
        <v>5671</v>
      </c>
      <c r="S909" s="7" t="s">
        <v>4135</v>
      </c>
      <c r="T909" s="7"/>
      <c r="U909" s="7"/>
      <c r="V909" s="7" t="s">
        <v>2741</v>
      </c>
      <c r="W909" s="7" t="s">
        <v>5873</v>
      </c>
      <c r="X909" s="8"/>
      <c r="Y909" s="7" t="s">
        <v>5874</v>
      </c>
      <c r="Z909" s="7" t="s">
        <v>5875</v>
      </c>
      <c r="AA909" s="11" t="s">
        <v>5876</v>
      </c>
      <c r="AB909" s="11"/>
      <c r="AC909" s="11"/>
      <c r="AD909" s="11"/>
      <c r="AH909" s="8"/>
      <c r="AI909" s="20"/>
      <c r="AJ909" s="20"/>
      <c r="AK909" s="31"/>
      <c r="AL909" s="31"/>
    </row>
    <row r="910" spans="1:38" ht="48" hidden="1" x14ac:dyDescent="0.25">
      <c r="A910" s="9" t="s">
        <v>6945</v>
      </c>
      <c r="B910" s="7" t="s">
        <v>6106</v>
      </c>
      <c r="C910" s="7" t="s">
        <v>16</v>
      </c>
      <c r="D910" s="7" t="s">
        <v>6711</v>
      </c>
      <c r="E910" s="7" t="s">
        <v>6714</v>
      </c>
      <c r="F910" s="7" t="s">
        <v>6715</v>
      </c>
      <c r="G910" s="7" t="s">
        <v>6361</v>
      </c>
      <c r="H910" s="7" t="s">
        <v>3967</v>
      </c>
      <c r="I910" s="7" t="s">
        <v>6107</v>
      </c>
      <c r="J910" s="20" t="str">
        <f>VLOOKUP(V910,Table_to_BRG!A:D,3,FALSE)</f>
        <v>General data</v>
      </c>
      <c r="K910" s="20" t="str">
        <f>VLOOKUP(V910,Table_to_BRG!A:D,2,FALSE)</f>
        <v>General</v>
      </c>
      <c r="L910" s="20"/>
      <c r="M910" s="20"/>
      <c r="N910" s="9" t="s">
        <v>6465</v>
      </c>
      <c r="O910" s="54" t="s">
        <v>7812</v>
      </c>
      <c r="P910" s="7" t="s">
        <v>6108</v>
      </c>
      <c r="Q910" s="11" t="str">
        <f>RIGHT("00"&amp;Table362[[#This Row],[Rule '#]],3)&amp;"_"&amp;IF(Table362[[#This Row],[Entity]]="Material","MATL",LEFT(UPPER(Table362[[#This Row],[Entity]]),4))&amp;"_"&amp;MID(SUBSTITUTE(Table362[[#This Row],[Rule Name]],"_","|",3),SEARCH("|",SUBSTITUTE(Table362[[#This Row],[Rule Name]],"_","|",3))+1,LEN(Table362[[#This Row],[Rule Name]]))</f>
        <v>000_CUST_PO_BOX</v>
      </c>
      <c r="R910" s="8" t="s">
        <v>6109</v>
      </c>
      <c r="S910" s="7" t="s">
        <v>139</v>
      </c>
      <c r="T910" s="7"/>
      <c r="U910" s="7"/>
      <c r="V910" s="7" t="s">
        <v>2741</v>
      </c>
      <c r="W910" s="7" t="s">
        <v>2955</v>
      </c>
      <c r="X910" s="8" t="s">
        <v>3138</v>
      </c>
      <c r="Y910" s="7"/>
      <c r="Z910" s="7"/>
      <c r="AA910" s="11" t="s">
        <v>6110</v>
      </c>
      <c r="AB910" s="11"/>
      <c r="AC910" s="11"/>
      <c r="AD910" s="11"/>
      <c r="AE910" s="13" t="s">
        <v>6111</v>
      </c>
      <c r="AH910" s="8"/>
      <c r="AI910" s="20"/>
      <c r="AJ910" s="20"/>
      <c r="AK910" s="31"/>
      <c r="AL910" s="31"/>
    </row>
    <row r="911" spans="1:38" ht="45" hidden="1" x14ac:dyDescent="0.25">
      <c r="A911" s="9" t="s">
        <v>6946</v>
      </c>
      <c r="B911" s="7" t="s">
        <v>6106</v>
      </c>
      <c r="C911" s="7" t="s">
        <v>16</v>
      </c>
      <c r="D911" s="7" t="s">
        <v>6711</v>
      </c>
      <c r="E911" s="7" t="s">
        <v>6714</v>
      </c>
      <c r="F911" s="7" t="s">
        <v>6715</v>
      </c>
      <c r="G911" s="7" t="s">
        <v>6361</v>
      </c>
      <c r="H911" s="7" t="s">
        <v>3967</v>
      </c>
      <c r="I911" s="7" t="s">
        <v>6107</v>
      </c>
      <c r="J911" s="20" t="str">
        <f>VLOOKUP(V911,Table_to_BRG!A:D,3,FALSE)</f>
        <v>General data</v>
      </c>
      <c r="K911" s="20" t="str">
        <f>VLOOKUP(V911,Table_to_BRG!A:D,2,FALSE)</f>
        <v>General</v>
      </c>
      <c r="L911" s="20"/>
      <c r="M911" s="20"/>
      <c r="N911" s="9" t="s">
        <v>6465</v>
      </c>
      <c r="O911" s="54" t="s">
        <v>7812</v>
      </c>
      <c r="P911" s="7" t="s">
        <v>6112</v>
      </c>
      <c r="Q911" s="11" t="str">
        <f>RIGHT("00"&amp;Table362[[#This Row],[Rule '#]],3)&amp;"_"&amp;IF(Table362[[#This Row],[Entity]]="Material","MATL",LEFT(UPPER(Table362[[#This Row],[Entity]]),4))&amp;"_"&amp;MID(SUBSTITUTE(Table362[[#This Row],[Rule Name]],"_","|",3),SEARCH("|",SUBSTITUTE(Table362[[#This Row],[Rule Name]],"_","|",3))+1,LEN(Table362[[#This Row],[Rule Name]]))</f>
        <v>001_CUST_ATTN</v>
      </c>
      <c r="R911" s="8" t="s">
        <v>6113</v>
      </c>
      <c r="S911" s="7" t="s">
        <v>139</v>
      </c>
      <c r="T911" s="7"/>
      <c r="U911" s="7"/>
      <c r="V911" s="7" t="s">
        <v>2741</v>
      </c>
      <c r="W911" s="7" t="s">
        <v>2955</v>
      </c>
      <c r="X911" s="8" t="s">
        <v>3138</v>
      </c>
      <c r="Y911" s="7"/>
      <c r="Z911" s="7"/>
      <c r="AA911" s="11" t="s">
        <v>6114</v>
      </c>
      <c r="AB911" s="11"/>
      <c r="AC911" s="11"/>
      <c r="AD911" s="11"/>
      <c r="AE911" s="13" t="s">
        <v>6111</v>
      </c>
      <c r="AH911" s="8"/>
      <c r="AI911" s="20"/>
      <c r="AJ911" s="20"/>
      <c r="AK911" s="31"/>
      <c r="AL911" s="31"/>
    </row>
    <row r="912" spans="1:38" ht="45" hidden="1" x14ac:dyDescent="0.25">
      <c r="A912" s="9" t="s">
        <v>6947</v>
      </c>
      <c r="B912" s="7" t="s">
        <v>6106</v>
      </c>
      <c r="C912" s="7" t="s">
        <v>16</v>
      </c>
      <c r="D912" s="7" t="s">
        <v>6711</v>
      </c>
      <c r="E912" s="7" t="s">
        <v>6714</v>
      </c>
      <c r="F912" s="7" t="s">
        <v>6715</v>
      </c>
      <c r="G912" s="7" t="s">
        <v>6361</v>
      </c>
      <c r="H912" s="7" t="s">
        <v>3967</v>
      </c>
      <c r="I912" s="7" t="s">
        <v>6107</v>
      </c>
      <c r="J912" s="20" t="str">
        <f>VLOOKUP(V912,Table_to_BRG!A:D,3,FALSE)</f>
        <v>General data</v>
      </c>
      <c r="K912" s="20" t="str">
        <f>VLOOKUP(V912,Table_to_BRG!A:D,2,FALSE)</f>
        <v>General</v>
      </c>
      <c r="L912" s="20"/>
      <c r="M912" s="20"/>
      <c r="N912" s="9" t="s">
        <v>6465</v>
      </c>
      <c r="O912" s="54" t="s">
        <v>7812</v>
      </c>
      <c r="P912" s="7" t="s">
        <v>6115</v>
      </c>
      <c r="Q912" s="11" t="str">
        <f>RIGHT("00"&amp;Table362[[#This Row],[Rule '#]],3)&amp;"_"&amp;IF(Table362[[#This Row],[Entity]]="Material","MATL",LEFT(UPPER(Table362[[#This Row],[Entity]]),4))&amp;"_"&amp;MID(SUBSTITUTE(Table362[[#This Row],[Rule Name]],"_","|",3),SEARCH("|",SUBSTITUTE(Table362[[#This Row],[Rule Name]],"_","|",3))+1,LEN(Table362[[#This Row],[Rule Name]]))</f>
        <v>002_CUST_POBOX_NULL</v>
      </c>
      <c r="R912" s="8" t="s">
        <v>6116</v>
      </c>
      <c r="S912" s="7" t="s">
        <v>4135</v>
      </c>
      <c r="T912" s="7"/>
      <c r="U912" s="7"/>
      <c r="V912" s="7" t="s">
        <v>2741</v>
      </c>
      <c r="W912" s="7" t="s">
        <v>2955</v>
      </c>
      <c r="X912" s="8" t="s">
        <v>3138</v>
      </c>
      <c r="Y912" s="7"/>
      <c r="Z912" s="7"/>
      <c r="AA912" s="11" t="s">
        <v>6117</v>
      </c>
      <c r="AB912" s="11"/>
      <c r="AC912" s="11"/>
      <c r="AD912" s="11"/>
      <c r="AE912" s="13" t="s">
        <v>6111</v>
      </c>
      <c r="AH912" s="8"/>
      <c r="AI912" s="20"/>
      <c r="AJ912" s="20"/>
      <c r="AK912" s="31"/>
      <c r="AL912" s="31"/>
    </row>
    <row r="913" spans="1:38" ht="45" hidden="1" x14ac:dyDescent="0.25">
      <c r="A913" s="9" t="s">
        <v>6948</v>
      </c>
      <c r="B913" s="7" t="s">
        <v>6106</v>
      </c>
      <c r="C913" s="7" t="s">
        <v>16</v>
      </c>
      <c r="D913" s="7" t="s">
        <v>6711</v>
      </c>
      <c r="E913" s="7" t="s">
        <v>6714</v>
      </c>
      <c r="F913" s="7" t="s">
        <v>6715</v>
      </c>
      <c r="G913" s="7" t="s">
        <v>6361</v>
      </c>
      <c r="H913" s="7" t="s">
        <v>3967</v>
      </c>
      <c r="I913" s="7" t="s">
        <v>6107</v>
      </c>
      <c r="J913" s="20" t="str">
        <f>VLOOKUP(V913,Table_to_BRG!A:D,3,FALSE)</f>
        <v>General data</v>
      </c>
      <c r="K913" s="20" t="str">
        <f>VLOOKUP(V913,Table_to_BRG!A:D,2,FALSE)</f>
        <v>General</v>
      </c>
      <c r="L913" s="20"/>
      <c r="M913" s="20"/>
      <c r="N913" s="9" t="s">
        <v>6465</v>
      </c>
      <c r="O913" s="54" t="s">
        <v>7812</v>
      </c>
      <c r="P913" s="7" t="s">
        <v>6118</v>
      </c>
      <c r="Q913" s="11" t="str">
        <f>RIGHT("00"&amp;Table362[[#This Row],[Rule '#]],3)&amp;"_"&amp;IF(Table362[[#This Row],[Entity]]="Material","MATL",LEFT(UPPER(Table362[[#This Row],[Entity]]),4))&amp;"_"&amp;MID(SUBSTITUTE(Table362[[#This Row],[Rule Name]],"_","|",3),SEARCH("|",SUBSTITUTE(Table362[[#This Row],[Rule Name]],"_","|",3))+1,LEN(Table362[[#This Row],[Rule Name]]))</f>
        <v>003_CUST_STREET_NULL</v>
      </c>
      <c r="R913" s="8" t="s">
        <v>6119</v>
      </c>
      <c r="S913" s="7" t="s">
        <v>21</v>
      </c>
      <c r="T913" s="7"/>
      <c r="U913" s="7"/>
      <c r="V913" s="7" t="s">
        <v>2741</v>
      </c>
      <c r="W913" s="7" t="s">
        <v>2955</v>
      </c>
      <c r="X913" s="8" t="s">
        <v>3138</v>
      </c>
      <c r="Y913" s="7"/>
      <c r="Z913" s="7"/>
      <c r="AA913" s="11" t="s">
        <v>6120</v>
      </c>
      <c r="AB913" s="11"/>
      <c r="AC913" s="11"/>
      <c r="AD913" s="11"/>
      <c r="AE913" s="13" t="s">
        <v>6111</v>
      </c>
      <c r="AH913" s="8"/>
      <c r="AI913" s="20"/>
      <c r="AJ913" s="20"/>
      <c r="AK913" s="31"/>
      <c r="AL913" s="31"/>
    </row>
    <row r="914" spans="1:38" ht="60" hidden="1" x14ac:dyDescent="0.25">
      <c r="A914" s="9" t="s">
        <v>6949</v>
      </c>
      <c r="B914" s="7" t="s">
        <v>6106</v>
      </c>
      <c r="C914" s="7" t="s">
        <v>16</v>
      </c>
      <c r="D914" s="7" t="s">
        <v>6711</v>
      </c>
      <c r="E914" s="7" t="s">
        <v>6714</v>
      </c>
      <c r="F914" s="7" t="s">
        <v>6715</v>
      </c>
      <c r="G914" s="7" t="s">
        <v>6361</v>
      </c>
      <c r="H914" s="7" t="s">
        <v>3967</v>
      </c>
      <c r="I914" s="7" t="s">
        <v>6107</v>
      </c>
      <c r="J914" s="20" t="str">
        <f>VLOOKUP(V914,Table_to_BRG!A:D,3,FALSE)</f>
        <v>General data</v>
      </c>
      <c r="K914" s="20" t="str">
        <f>VLOOKUP(V914,Table_to_BRG!A:D,2,FALSE)</f>
        <v>General</v>
      </c>
      <c r="L914" s="20"/>
      <c r="M914" s="20"/>
      <c r="N914" s="9" t="s">
        <v>6465</v>
      </c>
      <c r="O914" s="54" t="s">
        <v>7812</v>
      </c>
      <c r="P914" s="7" t="s">
        <v>6121</v>
      </c>
      <c r="Q914" s="11" t="str">
        <f>RIGHT("00"&amp;Table362[[#This Row],[Rule '#]],3)&amp;"_"&amp;IF(Table362[[#This Row],[Entity]]="Material","MATL",LEFT(UPPER(Table362[[#This Row],[Entity]]),4))&amp;"_"&amp;MID(SUBSTITUTE(Table362[[#This Row],[Rule Name]],"_","|",3),SEARCH("|",SUBSTITUTE(Table362[[#This Row],[Rule Name]],"_","|",3))+1,LEN(Table362[[#This Row],[Rule Name]]))</f>
        <v>004_CUST_DUMMY</v>
      </c>
      <c r="R914" s="8" t="s">
        <v>6122</v>
      </c>
      <c r="S914" s="7" t="s">
        <v>139</v>
      </c>
      <c r="T914" s="7"/>
      <c r="U914" s="7"/>
      <c r="V914" s="7" t="s">
        <v>2741</v>
      </c>
      <c r="W914" s="7" t="s">
        <v>2955</v>
      </c>
      <c r="X914" s="8" t="s">
        <v>3138</v>
      </c>
      <c r="Y914" s="7"/>
      <c r="Z914" s="7"/>
      <c r="AA914" s="11" t="s">
        <v>6123</v>
      </c>
      <c r="AB914" s="11"/>
      <c r="AC914" s="11"/>
      <c r="AD914" s="11"/>
      <c r="AE914" s="13" t="s">
        <v>6111</v>
      </c>
      <c r="AH914" s="8"/>
      <c r="AI914" s="20"/>
      <c r="AJ914" s="20"/>
      <c r="AK914" s="31"/>
      <c r="AL914" s="31"/>
    </row>
    <row r="915" spans="1:38" ht="72" hidden="1" x14ac:dyDescent="0.25">
      <c r="A915" s="9" t="s">
        <v>6950</v>
      </c>
      <c r="B915" s="7" t="s">
        <v>6106</v>
      </c>
      <c r="C915" s="7" t="s">
        <v>16</v>
      </c>
      <c r="D915" s="7" t="s">
        <v>6711</v>
      </c>
      <c r="E915" s="7" t="s">
        <v>6714</v>
      </c>
      <c r="F915" s="7" t="s">
        <v>6715</v>
      </c>
      <c r="G915" s="7" t="s">
        <v>6361</v>
      </c>
      <c r="H915" s="7" t="s">
        <v>2981</v>
      </c>
      <c r="I915" s="7" t="s">
        <v>6124</v>
      </c>
      <c r="J915" s="20" t="str">
        <f>VLOOKUP(V915,Table_to_BRG!A:D,3,FALSE)</f>
        <v>General data</v>
      </c>
      <c r="K915" s="20" t="str">
        <f>VLOOKUP(V915,Table_to_BRG!A:D,2,FALSE)</f>
        <v>General</v>
      </c>
      <c r="L915" s="20"/>
      <c r="M915" s="20"/>
      <c r="N915" s="9" t="s">
        <v>6465</v>
      </c>
      <c r="O915" s="54" t="s">
        <v>7812</v>
      </c>
      <c r="P915" s="7" t="s">
        <v>6125</v>
      </c>
      <c r="Q915" s="11" t="str">
        <f>RIGHT("00"&amp;Table362[[#This Row],[Rule '#]],3)&amp;"_"&amp;IF(Table362[[#This Row],[Entity]]="Material","MATL",LEFT(UPPER(Table362[[#This Row],[Entity]]),4))&amp;"_"&amp;MID(SUBSTITUTE(Table362[[#This Row],[Rule Name]],"_","|",3),SEARCH("|",SUBSTITUTE(Table362[[#This Row],[Rule Name]],"_","|",3))+1,LEN(Table362[[#This Row],[Rule Name]]))</f>
        <v>005_CUST_INVALID_CHAR</v>
      </c>
      <c r="R915" s="8" t="s">
        <v>6126</v>
      </c>
      <c r="S915" s="7" t="s">
        <v>139</v>
      </c>
      <c r="T915" s="7"/>
      <c r="U915" s="7"/>
      <c r="V915" s="7" t="s">
        <v>2741</v>
      </c>
      <c r="W915" s="7" t="s">
        <v>2704</v>
      </c>
      <c r="X915" s="8" t="s">
        <v>1390</v>
      </c>
      <c r="Y915" s="7"/>
      <c r="Z915" s="7"/>
      <c r="AA915" s="11" t="s">
        <v>6127</v>
      </c>
      <c r="AB915" s="11"/>
      <c r="AC915" s="11"/>
      <c r="AD915" s="11"/>
      <c r="AE915" s="13" t="s">
        <v>6128</v>
      </c>
      <c r="AH915" s="8"/>
      <c r="AI915" s="20"/>
      <c r="AJ915" s="20"/>
      <c r="AK915" s="31"/>
      <c r="AL915" s="31"/>
    </row>
    <row r="916" spans="1:38" ht="48" hidden="1" x14ac:dyDescent="0.25">
      <c r="A916" s="9" t="s">
        <v>6951</v>
      </c>
      <c r="B916" s="7" t="s">
        <v>6106</v>
      </c>
      <c r="C916" s="7" t="s">
        <v>16</v>
      </c>
      <c r="D916" s="7" t="s">
        <v>6711</v>
      </c>
      <c r="E916" s="7" t="s">
        <v>6714</v>
      </c>
      <c r="F916" s="7" t="s">
        <v>6715</v>
      </c>
      <c r="G916" s="7" t="s">
        <v>6361</v>
      </c>
      <c r="H916" s="7" t="s">
        <v>2981</v>
      </c>
      <c r="I916" s="7" t="s">
        <v>6124</v>
      </c>
      <c r="J916" s="20" t="str">
        <f>VLOOKUP(V916,Table_to_BRG!A:D,3,FALSE)</f>
        <v>General data</v>
      </c>
      <c r="K916" s="20" t="str">
        <f>VLOOKUP(V916,Table_to_BRG!A:D,2,FALSE)</f>
        <v>General</v>
      </c>
      <c r="L916" s="20"/>
      <c r="M916" s="20"/>
      <c r="N916" s="9" t="s">
        <v>6465</v>
      </c>
      <c r="O916" s="54" t="s">
        <v>7812</v>
      </c>
      <c r="P916" s="7" t="s">
        <v>6129</v>
      </c>
      <c r="Q916" s="11" t="str">
        <f>RIGHT("00"&amp;Table362[[#This Row],[Rule '#]],3)&amp;"_"&amp;IF(Table362[[#This Row],[Entity]]="Material","MATL",LEFT(UPPER(Table362[[#This Row],[Entity]]),4))&amp;"_"&amp;MID(SUBSTITUTE(Table362[[#This Row],[Rule Name]],"_","|",3),SEARCH("|",SUBSTITUTE(Table362[[#This Row],[Rule Name]],"_","|",3))+1,LEN(Table362[[#This Row],[Rule Name]]))</f>
        <v>006_CUST_CAPS</v>
      </c>
      <c r="R916" s="8" t="s">
        <v>6130</v>
      </c>
      <c r="S916" s="7" t="s">
        <v>139</v>
      </c>
      <c r="T916" s="7"/>
      <c r="U916" s="7"/>
      <c r="V916" s="7" t="s">
        <v>2741</v>
      </c>
      <c r="W916" s="7" t="s">
        <v>2704</v>
      </c>
      <c r="X916" s="8" t="s">
        <v>1390</v>
      </c>
      <c r="Y916" s="7"/>
      <c r="Z916" s="7"/>
      <c r="AA916" s="11" t="s">
        <v>6131</v>
      </c>
      <c r="AB916" s="11"/>
      <c r="AC916" s="11"/>
      <c r="AD916" s="11"/>
      <c r="AE916" s="13" t="s">
        <v>6128</v>
      </c>
      <c r="AH916" s="8"/>
      <c r="AI916" s="20"/>
      <c r="AJ916" s="20"/>
      <c r="AK916" s="31"/>
      <c r="AL916" s="31"/>
    </row>
    <row r="917" spans="1:38" ht="60" hidden="1" x14ac:dyDescent="0.25">
      <c r="A917" s="9" t="s">
        <v>6952</v>
      </c>
      <c r="B917" s="7" t="s">
        <v>6106</v>
      </c>
      <c r="C917" s="7" t="s">
        <v>16</v>
      </c>
      <c r="D917" s="7" t="s">
        <v>6711</v>
      </c>
      <c r="E917" s="7" t="s">
        <v>6714</v>
      </c>
      <c r="F917" s="7" t="s">
        <v>6715</v>
      </c>
      <c r="G917" s="7" t="s">
        <v>6361</v>
      </c>
      <c r="H917" s="7" t="s">
        <v>2981</v>
      </c>
      <c r="I917" s="7" t="s">
        <v>6124</v>
      </c>
      <c r="J917" s="20" t="str">
        <f>VLOOKUP(V917,Table_to_BRG!A:D,3,FALSE)</f>
        <v>General data</v>
      </c>
      <c r="K917" s="20" t="str">
        <f>VLOOKUP(V917,Table_to_BRG!A:D,2,FALSE)</f>
        <v>General</v>
      </c>
      <c r="L917" s="20"/>
      <c r="M917" s="20"/>
      <c r="N917" s="9" t="s">
        <v>6465</v>
      </c>
      <c r="O917" s="54" t="s">
        <v>7812</v>
      </c>
      <c r="P917" s="7" t="s">
        <v>6132</v>
      </c>
      <c r="Q917" s="11" t="str">
        <f>RIGHT("00"&amp;Table362[[#This Row],[Rule '#]],3)&amp;"_"&amp;IF(Table362[[#This Row],[Entity]]="Material","MATL",LEFT(UPPER(Table362[[#This Row],[Entity]]),4))&amp;"_"&amp;MID(SUBSTITUTE(Table362[[#This Row],[Rule Name]],"_","|",3),SEARCH("|",SUBSTITUTE(Table362[[#This Row],[Rule Name]],"_","|",3))+1,LEN(Table362[[#This Row],[Rule Name]]))</f>
        <v>007_CUST_Char35</v>
      </c>
      <c r="R917" s="8" t="s">
        <v>6133</v>
      </c>
      <c r="S917" s="7" t="s">
        <v>139</v>
      </c>
      <c r="T917" s="7"/>
      <c r="U917" s="7"/>
      <c r="V917" s="7" t="s">
        <v>2741</v>
      </c>
      <c r="W917" s="7" t="s">
        <v>2704</v>
      </c>
      <c r="X917" s="8" t="s">
        <v>1390</v>
      </c>
      <c r="Y917" s="7"/>
      <c r="Z917" s="7"/>
      <c r="AA917" s="11" t="s">
        <v>6134</v>
      </c>
      <c r="AB917" s="11"/>
      <c r="AC917" s="11"/>
      <c r="AD917" s="11"/>
      <c r="AE917" s="13" t="s">
        <v>6128</v>
      </c>
      <c r="AH917" s="8"/>
      <c r="AI917" s="20"/>
      <c r="AJ917" s="20"/>
      <c r="AK917" s="31"/>
      <c r="AL917" s="31"/>
    </row>
    <row r="918" spans="1:38" ht="48" hidden="1" x14ac:dyDescent="0.25">
      <c r="A918" s="9" t="s">
        <v>6953</v>
      </c>
      <c r="B918" s="7" t="s">
        <v>6106</v>
      </c>
      <c r="C918" s="7" t="s">
        <v>16</v>
      </c>
      <c r="D918" s="7" t="s">
        <v>6711</v>
      </c>
      <c r="E918" s="7" t="s">
        <v>6714</v>
      </c>
      <c r="F918" s="7" t="s">
        <v>6715</v>
      </c>
      <c r="G918" s="7" t="s">
        <v>6361</v>
      </c>
      <c r="H918" s="7" t="s">
        <v>2981</v>
      </c>
      <c r="I918" s="7" t="s">
        <v>6124</v>
      </c>
      <c r="J918" s="20" t="str">
        <f>VLOOKUP(V918,Table_to_BRG!A:D,3,FALSE)</f>
        <v>General data</v>
      </c>
      <c r="K918" s="20" t="str">
        <f>VLOOKUP(V918,Table_to_BRG!A:D,2,FALSE)</f>
        <v>General</v>
      </c>
      <c r="L918" s="20"/>
      <c r="M918" s="20"/>
      <c r="N918" s="9" t="s">
        <v>6465</v>
      </c>
      <c r="O918" s="54" t="s">
        <v>7812</v>
      </c>
      <c r="P918" s="7" t="s">
        <v>6135</v>
      </c>
      <c r="Q918" s="11" t="str">
        <f>RIGHT("00"&amp;Table362[[#This Row],[Rule '#]],3)&amp;"_"&amp;IF(Table362[[#This Row],[Entity]]="Material","MATL",LEFT(UPPER(Table362[[#This Row],[Entity]]),4))&amp;"_"&amp;MID(SUBSTITUTE(Table362[[#This Row],[Rule Name]],"_","|",3),SEARCH("|",SUBSTITUTE(Table362[[#This Row],[Rule Name]],"_","|",3))+1,LEN(Table362[[#This Row],[Rule Name]]))</f>
        <v>008_CUST_DASH</v>
      </c>
      <c r="R918" s="8" t="s">
        <v>6136</v>
      </c>
      <c r="S918" s="7" t="s">
        <v>139</v>
      </c>
      <c r="T918" s="7"/>
      <c r="U918" s="7"/>
      <c r="V918" s="7" t="s">
        <v>2741</v>
      </c>
      <c r="W918" s="7" t="s">
        <v>2704</v>
      </c>
      <c r="X918" s="8" t="s">
        <v>1390</v>
      </c>
      <c r="Y918" s="7"/>
      <c r="Z918" s="7"/>
      <c r="AA918" s="11" t="s">
        <v>6137</v>
      </c>
      <c r="AB918" s="11"/>
      <c r="AC918" s="11"/>
      <c r="AD918" s="11"/>
      <c r="AE918" s="13" t="s">
        <v>6128</v>
      </c>
      <c r="AH918" s="8"/>
      <c r="AI918" s="20"/>
      <c r="AJ918" s="20"/>
      <c r="AK918" s="31"/>
      <c r="AL918" s="31"/>
    </row>
    <row r="919" spans="1:38" ht="60" hidden="1" x14ac:dyDescent="0.25">
      <c r="A919" s="9" t="s">
        <v>6954</v>
      </c>
      <c r="B919" s="7" t="s">
        <v>6106</v>
      </c>
      <c r="C919" s="7" t="s">
        <v>16</v>
      </c>
      <c r="D919" s="7" t="s">
        <v>6711</v>
      </c>
      <c r="E919" s="7" t="s">
        <v>6714</v>
      </c>
      <c r="F919" s="7" t="s">
        <v>6715</v>
      </c>
      <c r="G919" s="7" t="s">
        <v>6361</v>
      </c>
      <c r="H919" s="7" t="s">
        <v>2981</v>
      </c>
      <c r="I919" s="7" t="s">
        <v>6124</v>
      </c>
      <c r="J919" s="20" t="str">
        <f>VLOOKUP(V919,Table_to_BRG!A:D,3,FALSE)</f>
        <v>General data</v>
      </c>
      <c r="K919" s="20" t="str">
        <f>VLOOKUP(V919,Table_to_BRG!A:D,2,FALSE)</f>
        <v>General</v>
      </c>
      <c r="L919" s="20"/>
      <c r="M919" s="20"/>
      <c r="N919" s="9" t="s">
        <v>6465</v>
      </c>
      <c r="O919" s="54" t="s">
        <v>7812</v>
      </c>
      <c r="P919" s="7" t="s">
        <v>6138</v>
      </c>
      <c r="Q919" s="11" t="str">
        <f>RIGHT("00"&amp;Table362[[#This Row],[Rule '#]],3)&amp;"_"&amp;IF(Table362[[#This Row],[Entity]]="Material","MATL",LEFT(UPPER(Table362[[#This Row],[Entity]]),4))&amp;"_"&amp;MID(SUBSTITUTE(Table362[[#This Row],[Rule Name]],"_","|",3),SEARCH("|",SUBSTITUTE(Table362[[#This Row],[Rule Name]],"_","|",3))+1,LEN(Table362[[#This Row],[Rule Name]]))</f>
        <v>009_CUST_NA</v>
      </c>
      <c r="R919" s="8" t="s">
        <v>6139</v>
      </c>
      <c r="S919" s="7" t="s">
        <v>139</v>
      </c>
      <c r="T919" s="7"/>
      <c r="U919" s="7"/>
      <c r="V919" s="7" t="s">
        <v>2741</v>
      </c>
      <c r="W919" s="7" t="s">
        <v>2704</v>
      </c>
      <c r="X919" s="8" t="s">
        <v>1390</v>
      </c>
      <c r="Y919" s="7"/>
      <c r="Z919" s="7"/>
      <c r="AA919" s="11" t="s">
        <v>6140</v>
      </c>
      <c r="AB919" s="11"/>
      <c r="AC919" s="11"/>
      <c r="AD919" s="11"/>
      <c r="AE919" s="13" t="s">
        <v>6128</v>
      </c>
      <c r="AH919" s="8"/>
      <c r="AI919" s="20"/>
      <c r="AJ919" s="20"/>
      <c r="AK919" s="31"/>
      <c r="AL919" s="31"/>
    </row>
    <row r="920" spans="1:38" ht="48" hidden="1" x14ac:dyDescent="0.25">
      <c r="A920" s="9" t="s">
        <v>6955</v>
      </c>
      <c r="B920" s="7" t="s">
        <v>6106</v>
      </c>
      <c r="C920" s="7" t="s">
        <v>16</v>
      </c>
      <c r="D920" s="7" t="s">
        <v>6711</v>
      </c>
      <c r="E920" s="7" t="s">
        <v>6714</v>
      </c>
      <c r="F920" s="7" t="s">
        <v>6715</v>
      </c>
      <c r="G920" s="7" t="s">
        <v>6361</v>
      </c>
      <c r="H920" s="7" t="s">
        <v>6107</v>
      </c>
      <c r="I920" s="7" t="s">
        <v>1395</v>
      </c>
      <c r="J920" s="20" t="str">
        <f>VLOOKUP(V920,Table_to_BRG!A:D,3,FALSE)</f>
        <v>General data</v>
      </c>
      <c r="K920" s="20" t="str">
        <f>VLOOKUP(V920,Table_to_BRG!A:D,2,FALSE)</f>
        <v>General</v>
      </c>
      <c r="L920" s="20"/>
      <c r="M920" s="20"/>
      <c r="N920" s="9" t="s">
        <v>6465</v>
      </c>
      <c r="O920" s="54" t="s">
        <v>7812</v>
      </c>
      <c r="P920" s="7" t="s">
        <v>6141</v>
      </c>
      <c r="Q920" s="11" t="str">
        <f>RIGHT("00"&amp;Table362[[#This Row],[Rule '#]],3)&amp;"_"&amp;IF(Table362[[#This Row],[Entity]]="Material","MATL",LEFT(UPPER(Table362[[#This Row],[Entity]]),4))&amp;"_"&amp;MID(SUBSTITUTE(Table362[[#This Row],[Rule Name]],"_","|",3),SEARCH("|",SUBSTITUTE(Table362[[#This Row],[Rule Name]],"_","|",3))+1,LEN(Table362[[#This Row],[Rule Name]]))</f>
        <v>010_CUST_NULL</v>
      </c>
      <c r="R920" s="8" t="s">
        <v>6142</v>
      </c>
      <c r="S920" s="7" t="s">
        <v>21</v>
      </c>
      <c r="T920" s="7"/>
      <c r="U920" s="7"/>
      <c r="V920" s="7" t="s">
        <v>2741</v>
      </c>
      <c r="W920" s="7" t="s">
        <v>2959</v>
      </c>
      <c r="X920" s="8" t="s">
        <v>1395</v>
      </c>
      <c r="Y920" s="7"/>
      <c r="Z920" s="7"/>
      <c r="AA920" s="11" t="s">
        <v>6143</v>
      </c>
      <c r="AB920" s="11"/>
      <c r="AC920" s="11"/>
      <c r="AD920" s="11"/>
      <c r="AE920" s="13" t="s">
        <v>6144</v>
      </c>
      <c r="AH920" s="8"/>
      <c r="AI920" s="20"/>
      <c r="AJ920" s="20"/>
      <c r="AK920" s="31"/>
      <c r="AL920" s="31"/>
    </row>
    <row r="921" spans="1:38" ht="60" hidden="1" x14ac:dyDescent="0.25">
      <c r="A921" s="9" t="s">
        <v>6956</v>
      </c>
      <c r="B921" s="7" t="s">
        <v>6106</v>
      </c>
      <c r="C921" s="7" t="s">
        <v>16</v>
      </c>
      <c r="D921" s="7" t="s">
        <v>6711</v>
      </c>
      <c r="E921" s="7" t="s">
        <v>6714</v>
      </c>
      <c r="F921" s="7" t="s">
        <v>6715</v>
      </c>
      <c r="G921" s="7" t="s">
        <v>6361</v>
      </c>
      <c r="H921" s="7" t="s">
        <v>6107</v>
      </c>
      <c r="I921" s="7" t="s">
        <v>1395</v>
      </c>
      <c r="J921" s="20" t="str">
        <f>VLOOKUP(V921,Table_to_BRG!A:D,3,FALSE)</f>
        <v>General data</v>
      </c>
      <c r="K921" s="20" t="str">
        <f>VLOOKUP(V921,Table_to_BRG!A:D,2,FALSE)</f>
        <v>General</v>
      </c>
      <c r="L921" s="20"/>
      <c r="M921" s="20"/>
      <c r="N921" s="9" t="s">
        <v>6465</v>
      </c>
      <c r="O921" s="54" t="s">
        <v>7812</v>
      </c>
      <c r="P921" s="7" t="s">
        <v>6145</v>
      </c>
      <c r="Q921" s="11" t="str">
        <f>RIGHT("00"&amp;Table362[[#This Row],[Rule '#]],3)&amp;"_"&amp;IF(Table362[[#This Row],[Entity]]="Material","MATL",LEFT(UPPER(Table362[[#This Row],[Entity]]),4))&amp;"_"&amp;MID(SUBSTITUTE(Table362[[#This Row],[Rule Name]],"_","|",3),SEARCH("|",SUBSTITUTE(Table362[[#This Row],[Rule Name]],"_","|",3))+1,LEN(Table362[[#This Row],[Rule Name]]))</f>
        <v>011_CUST_INVALID_CHAR</v>
      </c>
      <c r="R921" s="8" t="s">
        <v>6146</v>
      </c>
      <c r="S921" s="7" t="s">
        <v>139</v>
      </c>
      <c r="T921" s="7"/>
      <c r="U921" s="7"/>
      <c r="V921" s="7" t="s">
        <v>2741</v>
      </c>
      <c r="W921" s="7" t="s">
        <v>2959</v>
      </c>
      <c r="X921" s="8" t="s">
        <v>1395</v>
      </c>
      <c r="Y921" s="7"/>
      <c r="Z921" s="7"/>
      <c r="AA921" s="11" t="s">
        <v>6147</v>
      </c>
      <c r="AB921" s="11"/>
      <c r="AC921" s="11"/>
      <c r="AD921" s="11"/>
      <c r="AE921" s="13" t="s">
        <v>6144</v>
      </c>
      <c r="AH921" s="8"/>
      <c r="AI921" s="20"/>
      <c r="AJ921" s="20"/>
      <c r="AK921" s="31"/>
      <c r="AL921" s="31"/>
    </row>
    <row r="922" spans="1:38" ht="48" hidden="1" x14ac:dyDescent="0.25">
      <c r="A922" s="9" t="s">
        <v>6957</v>
      </c>
      <c r="B922" s="7" t="s">
        <v>6106</v>
      </c>
      <c r="C922" s="7" t="s">
        <v>16</v>
      </c>
      <c r="D922" s="7" t="s">
        <v>6711</v>
      </c>
      <c r="E922" s="7" t="s">
        <v>6714</v>
      </c>
      <c r="F922" s="7" t="s">
        <v>6715</v>
      </c>
      <c r="G922" s="7" t="s">
        <v>6361</v>
      </c>
      <c r="H922" s="7" t="s">
        <v>2981</v>
      </c>
      <c r="I922" s="7" t="s">
        <v>6124</v>
      </c>
      <c r="J922" s="20" t="str">
        <f>VLOOKUP(V922,Table_to_BRG!A:D,3,FALSE)</f>
        <v>General data</v>
      </c>
      <c r="K922" s="20" t="str">
        <f>VLOOKUP(V922,Table_to_BRG!A:D,2,FALSE)</f>
        <v>General</v>
      </c>
      <c r="L922" s="20"/>
      <c r="M922" s="20"/>
      <c r="N922" s="9" t="s">
        <v>6465</v>
      </c>
      <c r="O922" s="54" t="s">
        <v>7812</v>
      </c>
      <c r="P922" s="7" t="s">
        <v>6148</v>
      </c>
      <c r="Q922" s="11" t="str">
        <f>RIGHT("00"&amp;Table362[[#This Row],[Rule '#]],3)&amp;"_"&amp;IF(Table362[[#This Row],[Entity]]="Material","MATL",LEFT(UPPER(Table362[[#This Row],[Entity]]),4))&amp;"_"&amp;MID(SUBSTITUTE(Table362[[#This Row],[Rule Name]],"_","|",3),SEARCH("|",SUBSTITUTE(Table362[[#This Row],[Rule Name]],"_","|",3))+1,LEN(Table362[[#This Row],[Rule Name]]))</f>
        <v>012_CUST_CAPS</v>
      </c>
      <c r="R922" s="8" t="s">
        <v>6149</v>
      </c>
      <c r="S922" s="7" t="s">
        <v>139</v>
      </c>
      <c r="T922" s="7"/>
      <c r="U922" s="7"/>
      <c r="V922" s="7" t="s">
        <v>2741</v>
      </c>
      <c r="W922" s="7" t="s">
        <v>3645</v>
      </c>
      <c r="X922" s="8" t="s">
        <v>3619</v>
      </c>
      <c r="Y922" s="7"/>
      <c r="Z922" s="7"/>
      <c r="AA922" s="11" t="s">
        <v>6150</v>
      </c>
      <c r="AB922" s="11"/>
      <c r="AC922" s="11"/>
      <c r="AD922" s="11"/>
      <c r="AE922" s="13" t="s">
        <v>6151</v>
      </c>
      <c r="AH922" s="8"/>
      <c r="AI922" s="20"/>
      <c r="AJ922" s="20"/>
      <c r="AK922" s="31"/>
      <c r="AL922" s="31"/>
    </row>
    <row r="923" spans="1:38" ht="84" hidden="1" x14ac:dyDescent="0.25">
      <c r="A923" s="9" t="s">
        <v>6958</v>
      </c>
      <c r="B923" s="7" t="s">
        <v>6106</v>
      </c>
      <c r="C923" s="7" t="s">
        <v>16</v>
      </c>
      <c r="D923" s="7" t="s">
        <v>6711</v>
      </c>
      <c r="E923" s="7" t="s">
        <v>6714</v>
      </c>
      <c r="F923" s="7" t="s">
        <v>6715</v>
      </c>
      <c r="G923" s="7" t="s">
        <v>6361</v>
      </c>
      <c r="H923" s="7" t="s">
        <v>2981</v>
      </c>
      <c r="I923" s="7" t="s">
        <v>6124</v>
      </c>
      <c r="J923" s="20" t="str">
        <f>VLOOKUP(V923,Table_to_BRG!A:D,3,FALSE)</f>
        <v>General data</v>
      </c>
      <c r="K923" s="20" t="str">
        <f>VLOOKUP(V923,Table_to_BRG!A:D,2,FALSE)</f>
        <v>General</v>
      </c>
      <c r="L923" s="20"/>
      <c r="M923" s="20"/>
      <c r="N923" s="9" t="s">
        <v>6465</v>
      </c>
      <c r="O923" s="54" t="s">
        <v>7812</v>
      </c>
      <c r="P923" s="7" t="s">
        <v>6152</v>
      </c>
      <c r="Q923" s="11" t="str">
        <f>RIGHT("00"&amp;Table362[[#This Row],[Rule '#]],3)&amp;"_"&amp;IF(Table362[[#This Row],[Entity]]="Material","MATL",LEFT(UPPER(Table362[[#This Row],[Entity]]),4))&amp;"_"&amp;MID(SUBSTITUTE(Table362[[#This Row],[Rule Name]],"_","|",3),SEARCH("|",SUBSTITUTE(Table362[[#This Row],[Rule Name]],"_","|",3))+1,LEN(Table362[[#This Row],[Rule Name]]))</f>
        <v>013_CUST_STE_FLOOR</v>
      </c>
      <c r="R923" s="8" t="s">
        <v>6153</v>
      </c>
      <c r="S923" s="7" t="s">
        <v>4135</v>
      </c>
      <c r="T923" s="7"/>
      <c r="U923" s="7"/>
      <c r="V923" s="7" t="s">
        <v>2741</v>
      </c>
      <c r="W923" s="7" t="s">
        <v>3645</v>
      </c>
      <c r="X923" s="8" t="s">
        <v>3619</v>
      </c>
      <c r="Y923" s="7"/>
      <c r="Z923" s="7"/>
      <c r="AA923" s="11" t="s">
        <v>6154</v>
      </c>
      <c r="AB923" s="11"/>
      <c r="AC923" s="11"/>
      <c r="AD923" s="11"/>
      <c r="AE923" s="13" t="s">
        <v>6151</v>
      </c>
      <c r="AH923" s="8"/>
      <c r="AI923" s="20"/>
      <c r="AJ923" s="20"/>
      <c r="AK923" s="31"/>
      <c r="AL923" s="31"/>
    </row>
    <row r="924" spans="1:38" ht="48" hidden="1" x14ac:dyDescent="0.25">
      <c r="A924" s="9" t="s">
        <v>6959</v>
      </c>
      <c r="B924" s="7" t="s">
        <v>6106</v>
      </c>
      <c r="C924" s="7" t="s">
        <v>16</v>
      </c>
      <c r="D924" s="7" t="s">
        <v>6711</v>
      </c>
      <c r="E924" s="7" t="s">
        <v>6714</v>
      </c>
      <c r="F924" s="7" t="s">
        <v>6715</v>
      </c>
      <c r="G924" s="7" t="s">
        <v>6361</v>
      </c>
      <c r="H924" s="7" t="s">
        <v>2981</v>
      </c>
      <c r="I924" s="7" t="s">
        <v>6124</v>
      </c>
      <c r="J924" s="20" t="str">
        <f>VLOOKUP(V924,Table_to_BRG!A:D,3,FALSE)</f>
        <v>General data</v>
      </c>
      <c r="K924" s="20" t="str">
        <f>VLOOKUP(V924,Table_to_BRG!A:D,2,FALSE)</f>
        <v>General</v>
      </c>
      <c r="L924" s="20"/>
      <c r="M924" s="20"/>
      <c r="N924" s="9" t="s">
        <v>6465</v>
      </c>
      <c r="O924" s="54" t="s">
        <v>7812</v>
      </c>
      <c r="P924" s="7" t="s">
        <v>6155</v>
      </c>
      <c r="Q924" s="11" t="str">
        <f>RIGHT("00"&amp;Table362[[#This Row],[Rule '#]],3)&amp;"_"&amp;IF(Table362[[#This Row],[Entity]]="Material","MATL",LEFT(UPPER(Table362[[#This Row],[Entity]]),4))&amp;"_"&amp;MID(SUBSTITUTE(Table362[[#This Row],[Rule Name]],"_","|",3),SEARCH("|",SUBSTITUTE(Table362[[#This Row],[Rule Name]],"_","|",3))+1,LEN(Table362[[#This Row],[Rule Name]]))</f>
        <v>014_CUST_ATTN</v>
      </c>
      <c r="R924" s="8" t="s">
        <v>6156</v>
      </c>
      <c r="S924" s="7" t="s">
        <v>139</v>
      </c>
      <c r="T924" s="7"/>
      <c r="U924" s="7"/>
      <c r="V924" s="7" t="s">
        <v>2741</v>
      </c>
      <c r="W924" s="7" t="s">
        <v>3645</v>
      </c>
      <c r="X924" s="8" t="s">
        <v>3619</v>
      </c>
      <c r="Y924" s="7"/>
      <c r="Z924" s="7"/>
      <c r="AA924" s="11" t="s">
        <v>6157</v>
      </c>
      <c r="AB924" s="11"/>
      <c r="AC924" s="11"/>
      <c r="AD924" s="11"/>
      <c r="AE924" s="13" t="s">
        <v>6151</v>
      </c>
      <c r="AH924" s="8"/>
      <c r="AI924" s="20"/>
      <c r="AJ924" s="20"/>
      <c r="AK924" s="31"/>
      <c r="AL924" s="31"/>
    </row>
    <row r="925" spans="1:38" ht="48" hidden="1" x14ac:dyDescent="0.25">
      <c r="A925" s="9" t="s">
        <v>6960</v>
      </c>
      <c r="B925" s="7" t="s">
        <v>6106</v>
      </c>
      <c r="C925" s="7" t="s">
        <v>16</v>
      </c>
      <c r="D925" s="7" t="s">
        <v>6711</v>
      </c>
      <c r="E925" s="7" t="s">
        <v>6714</v>
      </c>
      <c r="F925" s="7" t="s">
        <v>6715</v>
      </c>
      <c r="G925" s="7" t="s">
        <v>6361</v>
      </c>
      <c r="H925" s="7" t="s">
        <v>2981</v>
      </c>
      <c r="I925" s="7" t="s">
        <v>6124</v>
      </c>
      <c r="J925" s="20" t="str">
        <f>VLOOKUP(V925,Table_to_BRG!A:D,3,FALSE)</f>
        <v>General data</v>
      </c>
      <c r="K925" s="20" t="str">
        <f>VLOOKUP(V925,Table_to_BRG!A:D,2,FALSE)</f>
        <v>General</v>
      </c>
      <c r="L925" s="20"/>
      <c r="M925" s="20"/>
      <c r="N925" s="9" t="s">
        <v>6465</v>
      </c>
      <c r="O925" s="54" t="s">
        <v>7812</v>
      </c>
      <c r="P925" s="7" t="s">
        <v>6158</v>
      </c>
      <c r="Q925" s="11" t="str">
        <f>RIGHT("00"&amp;Table362[[#This Row],[Rule '#]],3)&amp;"_"&amp;IF(Table362[[#This Row],[Entity]]="Material","MATL",LEFT(UPPER(Table362[[#This Row],[Entity]]),4))&amp;"_"&amp;MID(SUBSTITUTE(Table362[[#This Row],[Rule Name]],"_","|",3),SEARCH("|",SUBSTITUTE(Table362[[#This Row],[Rule Name]],"_","|",3))+1,LEN(Table362[[#This Row],[Rule Name]]))</f>
        <v>015_CUST_Caps</v>
      </c>
      <c r="R925" s="8" t="s">
        <v>6159</v>
      </c>
      <c r="S925" s="7" t="s">
        <v>139</v>
      </c>
      <c r="T925" s="7"/>
      <c r="U925" s="7"/>
      <c r="V925" s="7" t="s">
        <v>2741</v>
      </c>
      <c r="W925" s="7" t="s">
        <v>2954</v>
      </c>
      <c r="X925" s="8" t="s">
        <v>2929</v>
      </c>
      <c r="Y925" s="7"/>
      <c r="Z925" s="7"/>
      <c r="AA925" s="11" t="s">
        <v>6160</v>
      </c>
      <c r="AB925" s="11"/>
      <c r="AC925" s="11"/>
      <c r="AD925" s="11"/>
      <c r="AE925" s="13" t="s">
        <v>6151</v>
      </c>
      <c r="AH925" s="8"/>
      <c r="AI925" s="20"/>
      <c r="AJ925" s="20"/>
      <c r="AK925" s="31"/>
      <c r="AL925" s="31"/>
    </row>
    <row r="926" spans="1:38" ht="60" hidden="1" x14ac:dyDescent="0.25">
      <c r="A926" s="9" t="s">
        <v>6961</v>
      </c>
      <c r="B926" s="7" t="s">
        <v>6106</v>
      </c>
      <c r="C926" s="7" t="s">
        <v>16</v>
      </c>
      <c r="D926" s="7" t="s">
        <v>6711</v>
      </c>
      <c r="E926" s="7" t="s">
        <v>6714</v>
      </c>
      <c r="F926" s="7" t="s">
        <v>6715</v>
      </c>
      <c r="G926" s="7" t="s">
        <v>6361</v>
      </c>
      <c r="H926" s="7" t="s">
        <v>2981</v>
      </c>
      <c r="I926" s="7" t="s">
        <v>6124</v>
      </c>
      <c r="J926" s="20" t="str">
        <f>VLOOKUP(V926,Table_to_BRG!A:D,3,FALSE)</f>
        <v>General data</v>
      </c>
      <c r="K926" s="20" t="str">
        <f>VLOOKUP(V926,Table_to_BRG!A:D,2,FALSE)</f>
        <v>General</v>
      </c>
      <c r="L926" s="20"/>
      <c r="M926" s="20"/>
      <c r="N926" s="9" t="s">
        <v>6465</v>
      </c>
      <c r="O926" s="54" t="s">
        <v>7812</v>
      </c>
      <c r="P926" s="7" t="s">
        <v>6161</v>
      </c>
      <c r="Q926" s="11" t="str">
        <f>RIGHT("00"&amp;Table362[[#This Row],[Rule '#]],3)&amp;"_"&amp;IF(Table362[[#This Row],[Entity]]="Material","MATL",LEFT(UPPER(Table362[[#This Row],[Entity]]),4))&amp;"_"&amp;MID(SUBSTITUTE(Table362[[#This Row],[Rule Name]],"_","|",3),SEARCH("|",SUBSTITUTE(Table362[[#This Row],[Rule Name]],"_","|",3))+1,LEN(Table362[[#This Row],[Rule Name]]))</f>
        <v>016_CUST_Char35</v>
      </c>
      <c r="R926" s="8" t="s">
        <v>6162</v>
      </c>
      <c r="S926" s="7" t="s">
        <v>139</v>
      </c>
      <c r="T926" s="7"/>
      <c r="U926" s="7"/>
      <c r="V926" s="7" t="s">
        <v>2741</v>
      </c>
      <c r="W926" s="7" t="s">
        <v>2954</v>
      </c>
      <c r="X926" s="8" t="s">
        <v>2929</v>
      </c>
      <c r="Y926" s="7"/>
      <c r="Z926" s="7"/>
      <c r="AA926" s="11" t="s">
        <v>6163</v>
      </c>
      <c r="AB926" s="11"/>
      <c r="AC926" s="11"/>
      <c r="AD926" s="11"/>
      <c r="AE926" s="13" t="s">
        <v>6151</v>
      </c>
      <c r="AH926" s="8"/>
      <c r="AI926" s="20"/>
      <c r="AJ926" s="20"/>
      <c r="AK926" s="31"/>
      <c r="AL926" s="31"/>
    </row>
    <row r="927" spans="1:38" ht="72" hidden="1" x14ac:dyDescent="0.25">
      <c r="A927" s="9" t="s">
        <v>6962</v>
      </c>
      <c r="B927" s="7" t="s">
        <v>6106</v>
      </c>
      <c r="C927" s="7" t="s">
        <v>16</v>
      </c>
      <c r="D927" s="7" t="s">
        <v>6711</v>
      </c>
      <c r="E927" s="7" t="s">
        <v>6714</v>
      </c>
      <c r="F927" s="7" t="s">
        <v>6715</v>
      </c>
      <c r="G927" s="7" t="s">
        <v>6361</v>
      </c>
      <c r="H927" s="7" t="s">
        <v>6638</v>
      </c>
      <c r="I927" s="7" t="s">
        <v>6124</v>
      </c>
      <c r="J927" s="20" t="str">
        <f>VLOOKUP(V927,Table_to_BRG!A:D,3,FALSE)</f>
        <v>General data</v>
      </c>
      <c r="K927" s="20" t="str">
        <f>VLOOKUP(V927,Table_to_BRG!A:D,2,FALSE)</f>
        <v>General</v>
      </c>
      <c r="L927" s="20"/>
      <c r="M927" s="20"/>
      <c r="N927" s="9" t="s">
        <v>6465</v>
      </c>
      <c r="O927" s="54" t="s">
        <v>7812</v>
      </c>
      <c r="P927" s="7" t="s">
        <v>6164</v>
      </c>
      <c r="Q927" s="11" t="e">
        <f>RIGHT("00"&amp;Table362[[#This Row],[Rule '#]],3)&amp;"_"&amp;IF(Table362[[#This Row],[Entity]]="Material","MATL",LEFT(UPPER(Table362[[#This Row],[Entity]]),4))&amp;"_"&amp;MID(SUBSTITUTE(Table362[[#This Row],[Rule Name]],"_","|",3),SEARCH("|",SUBSTITUTE(Table362[[#This Row],[Rule Name]],"_","|",3))+1,LEN(Table362[[#This Row],[Rule Name]]))</f>
        <v>#VALUE!</v>
      </c>
      <c r="R927" s="8" t="s">
        <v>6165</v>
      </c>
      <c r="S927" s="7" t="s">
        <v>139</v>
      </c>
      <c r="T927" s="7"/>
      <c r="U927" s="7"/>
      <c r="V927" s="7" t="s">
        <v>2741</v>
      </c>
      <c r="W927" s="7" t="s">
        <v>2954</v>
      </c>
      <c r="X927" s="8" t="s">
        <v>2929</v>
      </c>
      <c r="Y927" s="7"/>
      <c r="Z927" s="7"/>
      <c r="AA927" s="11" t="s">
        <v>6166</v>
      </c>
      <c r="AB927" s="11"/>
      <c r="AC927" s="11"/>
      <c r="AD927" s="11"/>
      <c r="AE927" s="13" t="s">
        <v>6151</v>
      </c>
      <c r="AH927" s="8"/>
      <c r="AI927" s="20"/>
      <c r="AJ927" s="20"/>
      <c r="AK927" s="31"/>
      <c r="AL927" s="31"/>
    </row>
    <row r="928" spans="1:38" ht="60" hidden="1" x14ac:dyDescent="0.25">
      <c r="A928" s="9" t="s">
        <v>6963</v>
      </c>
      <c r="B928" s="7" t="s">
        <v>6106</v>
      </c>
      <c r="C928" s="7" t="s">
        <v>16</v>
      </c>
      <c r="D928" s="7" t="s">
        <v>6711</v>
      </c>
      <c r="E928" s="7" t="s">
        <v>6714</v>
      </c>
      <c r="F928" s="7" t="s">
        <v>6715</v>
      </c>
      <c r="G928" s="7" t="s">
        <v>6361</v>
      </c>
      <c r="H928" s="7" t="s">
        <v>2981</v>
      </c>
      <c r="I928" s="7" t="s">
        <v>3967</v>
      </c>
      <c r="J928" s="20" t="str">
        <f>VLOOKUP(V928,Table_to_BRG!A:D,3,FALSE)</f>
        <v>General data</v>
      </c>
      <c r="K928" s="20" t="str">
        <f>VLOOKUP(V928,Table_to_BRG!A:D,2,FALSE)</f>
        <v>General</v>
      </c>
      <c r="L928" s="20"/>
      <c r="M928" s="20"/>
      <c r="N928" s="9" t="s">
        <v>6465</v>
      </c>
      <c r="O928" s="54" t="s">
        <v>7812</v>
      </c>
      <c r="P928" s="7" t="s">
        <v>6167</v>
      </c>
      <c r="Q928" s="11" t="e">
        <f>RIGHT("00"&amp;Table362[[#This Row],[Rule '#]],3)&amp;"_"&amp;IF(Table362[[#This Row],[Entity]]="Material","MATL",LEFT(UPPER(Table362[[#This Row],[Entity]]),4))&amp;"_"&amp;MID(SUBSTITUTE(Table362[[#This Row],[Rule Name]],"_","|",3),SEARCH("|",SUBSTITUTE(Table362[[#This Row],[Rule Name]],"_","|",3))+1,LEN(Table362[[#This Row],[Rule Name]]))</f>
        <v>#VALUE!</v>
      </c>
      <c r="R928" s="8" t="s">
        <v>6168</v>
      </c>
      <c r="S928" s="7" t="s">
        <v>139</v>
      </c>
      <c r="T928" s="7"/>
      <c r="U928" s="7"/>
      <c r="V928" s="7" t="s">
        <v>2741</v>
      </c>
      <c r="W928" s="7" t="s">
        <v>2954</v>
      </c>
      <c r="X928" s="8" t="s">
        <v>2929</v>
      </c>
      <c r="Y928" s="7"/>
      <c r="Z928" s="7"/>
      <c r="AA928" s="11" t="s">
        <v>6169</v>
      </c>
      <c r="AB928" s="11"/>
      <c r="AC928" s="11"/>
      <c r="AD928" s="11"/>
      <c r="AE928" s="13" t="s">
        <v>6151</v>
      </c>
      <c r="AH928" s="8"/>
      <c r="AI928" s="20"/>
      <c r="AJ928" s="20"/>
      <c r="AK928" s="31"/>
      <c r="AL928" s="31"/>
    </row>
    <row r="929" spans="1:38" ht="48" hidden="1" x14ac:dyDescent="0.25">
      <c r="A929" s="9" t="s">
        <v>6964</v>
      </c>
      <c r="B929" s="7" t="s">
        <v>6106</v>
      </c>
      <c r="C929" s="7" t="s">
        <v>16</v>
      </c>
      <c r="D929" s="7" t="s">
        <v>6711</v>
      </c>
      <c r="E929" s="7" t="s">
        <v>6714</v>
      </c>
      <c r="F929" s="7" t="s">
        <v>6715</v>
      </c>
      <c r="G929" s="7" t="s">
        <v>6361</v>
      </c>
      <c r="H929" s="7" t="s">
        <v>1454</v>
      </c>
      <c r="I929" s="7" t="s">
        <v>1454</v>
      </c>
      <c r="J929" s="20" t="str">
        <f>VLOOKUP(V929,Table_to_BRG!A:D,3,FALSE)</f>
        <v>General data</v>
      </c>
      <c r="K929" s="20" t="str">
        <f>VLOOKUP(V929,Table_to_BRG!A:D,2,FALSE)</f>
        <v>General</v>
      </c>
      <c r="L929" s="20"/>
      <c r="M929" s="20"/>
      <c r="N929" s="9" t="s">
        <v>6465</v>
      </c>
      <c r="O929" s="54" t="s">
        <v>7812</v>
      </c>
      <c r="P929" s="7" t="s">
        <v>6170</v>
      </c>
      <c r="Q929" s="11" t="e">
        <f>RIGHT("00"&amp;Table362[[#This Row],[Rule '#]],3)&amp;"_"&amp;IF(Table362[[#This Row],[Entity]]="Material","MATL",LEFT(UPPER(Table362[[#This Row],[Entity]]),4))&amp;"_"&amp;MID(SUBSTITUTE(Table362[[#This Row],[Rule Name]],"_","|",3),SEARCH("|",SUBSTITUTE(Table362[[#This Row],[Rule Name]],"_","|",3))+1,LEN(Table362[[#This Row],[Rule Name]]))</f>
        <v>#VALUE!</v>
      </c>
      <c r="R929" s="8" t="s">
        <v>6171</v>
      </c>
      <c r="S929" s="7" t="s">
        <v>4135</v>
      </c>
      <c r="T929" s="7"/>
      <c r="U929" s="7"/>
      <c r="V929" s="7" t="s">
        <v>2741</v>
      </c>
      <c r="W929" s="7" t="s">
        <v>2703</v>
      </c>
      <c r="X929" s="8" t="s">
        <v>1454</v>
      </c>
      <c r="Y929" s="7"/>
      <c r="Z929" s="7"/>
      <c r="AA929" s="11" t="s">
        <v>6172</v>
      </c>
      <c r="AB929" s="11"/>
      <c r="AC929" s="11"/>
      <c r="AD929" s="11"/>
      <c r="AE929" s="13" t="s">
        <v>6173</v>
      </c>
      <c r="AH929" s="8"/>
      <c r="AI929" s="20"/>
      <c r="AJ929" s="20"/>
      <c r="AK929" s="31"/>
      <c r="AL929" s="31"/>
    </row>
    <row r="930" spans="1:38" ht="96" hidden="1" x14ac:dyDescent="0.25">
      <c r="A930" s="9" t="s">
        <v>6965</v>
      </c>
      <c r="B930" s="7" t="s">
        <v>6106</v>
      </c>
      <c r="C930" s="7" t="s">
        <v>16</v>
      </c>
      <c r="D930" s="7" t="s">
        <v>6711</v>
      </c>
      <c r="E930" s="7" t="s">
        <v>6714</v>
      </c>
      <c r="F930" s="7" t="s">
        <v>6715</v>
      </c>
      <c r="G930" s="7" t="s">
        <v>6361</v>
      </c>
      <c r="H930" s="7" t="s">
        <v>1454</v>
      </c>
      <c r="I930" s="7" t="s">
        <v>1454</v>
      </c>
      <c r="J930" s="20" t="str">
        <f>VLOOKUP(V930,Table_to_BRG!A:D,3,FALSE)</f>
        <v>General data</v>
      </c>
      <c r="K930" s="20" t="str">
        <f>VLOOKUP(V930,Table_to_BRG!A:D,2,FALSE)</f>
        <v>General</v>
      </c>
      <c r="L930" s="20"/>
      <c r="M930" s="20"/>
      <c r="N930" s="9" t="s">
        <v>6465</v>
      </c>
      <c r="O930" s="54" t="s">
        <v>7812</v>
      </c>
      <c r="P930" s="7" t="s">
        <v>6174</v>
      </c>
      <c r="Q930" s="11" t="str">
        <f>RIGHT("00"&amp;Table362[[#This Row],[Rule '#]],3)&amp;"_"&amp;IF(Table362[[#This Row],[Entity]]="Material","MATL",LEFT(UPPER(Table362[[#This Row],[Entity]]),4))&amp;"_"&amp;MID(SUBSTITUTE(Table362[[#This Row],[Rule Name]],"_","|",3),SEARCH("|",SUBSTITUTE(Table362[[#This Row],[Rule Name]],"_","|",3))+1,LEN(Table362[[#This Row],[Rule Name]]))</f>
        <v>020_CUST_AL_AT_BE</v>
      </c>
      <c r="R930" s="8" t="s">
        <v>6175</v>
      </c>
      <c r="S930" s="7" t="s">
        <v>4135</v>
      </c>
      <c r="T930" s="7"/>
      <c r="U930" s="7"/>
      <c r="V930" s="7" t="s">
        <v>2741</v>
      </c>
      <c r="W930" s="7" t="s">
        <v>2703</v>
      </c>
      <c r="X930" s="8" t="s">
        <v>1454</v>
      </c>
      <c r="Y930" s="7"/>
      <c r="Z930" s="7"/>
      <c r="AA930" s="11" t="s">
        <v>6176</v>
      </c>
      <c r="AB930" s="11"/>
      <c r="AC930" s="11"/>
      <c r="AD930" s="11"/>
      <c r="AE930" s="13" t="s">
        <v>6173</v>
      </c>
      <c r="AH930" s="8"/>
      <c r="AI930" s="20"/>
      <c r="AJ930" s="20"/>
      <c r="AK930" s="31"/>
      <c r="AL930" s="31"/>
    </row>
    <row r="931" spans="1:38" ht="48" hidden="1" x14ac:dyDescent="0.25">
      <c r="A931" s="9" t="s">
        <v>6966</v>
      </c>
      <c r="B931" s="7" t="s">
        <v>6106</v>
      </c>
      <c r="C931" s="7" t="s">
        <v>16</v>
      </c>
      <c r="D931" s="7" t="s">
        <v>6711</v>
      </c>
      <c r="E931" s="7" t="s">
        <v>6714</v>
      </c>
      <c r="F931" s="7" t="s">
        <v>6715</v>
      </c>
      <c r="G931" s="7" t="s">
        <v>6361</v>
      </c>
      <c r="H931" s="7" t="s">
        <v>1454</v>
      </c>
      <c r="I931" s="7" t="s">
        <v>1454</v>
      </c>
      <c r="J931" s="20" t="str">
        <f>VLOOKUP(V931,Table_to_BRG!A:D,3,FALSE)</f>
        <v>General data</v>
      </c>
      <c r="K931" s="20" t="str">
        <f>VLOOKUP(V931,Table_to_BRG!A:D,2,FALSE)</f>
        <v>General</v>
      </c>
      <c r="L931" s="20"/>
      <c r="M931" s="20"/>
      <c r="N931" s="9" t="s">
        <v>6465</v>
      </c>
      <c r="O931" s="54" t="s">
        <v>7812</v>
      </c>
      <c r="P931" s="7" t="s">
        <v>6177</v>
      </c>
      <c r="Q931" s="11" t="str">
        <f>RIGHT("00"&amp;Table362[[#This Row],[Rule '#]],3)&amp;"_"&amp;IF(Table362[[#This Row],[Entity]]="Material","MATL",LEFT(UPPER(Table362[[#This Row],[Entity]]),4))&amp;"_"&amp;MID(SUBSTITUTE(Table362[[#This Row],[Rule Name]],"_","|",3),SEARCH("|",SUBSTITUTE(Table362[[#This Row],[Rule Name]],"_","|",3))+1,LEN(Table362[[#This Row],[Rule Name]]))</f>
        <v>021_CUST_US_CA</v>
      </c>
      <c r="R931" s="8" t="s">
        <v>6178</v>
      </c>
      <c r="S931" s="7" t="s">
        <v>4135</v>
      </c>
      <c r="T931" s="7"/>
      <c r="U931" s="7"/>
      <c r="V931" s="7" t="s">
        <v>2741</v>
      </c>
      <c r="W931" s="7" t="s">
        <v>2703</v>
      </c>
      <c r="X931" s="8" t="s">
        <v>1454</v>
      </c>
      <c r="Y931" s="7"/>
      <c r="Z931" s="7"/>
      <c r="AA931" s="11" t="s">
        <v>6179</v>
      </c>
      <c r="AB931" s="11"/>
      <c r="AC931" s="11"/>
      <c r="AD931" s="11"/>
      <c r="AE931" s="13" t="s">
        <v>6173</v>
      </c>
      <c r="AH931" s="8"/>
      <c r="AI931" s="20"/>
      <c r="AJ931" s="20"/>
      <c r="AK931" s="31"/>
      <c r="AL931" s="31"/>
    </row>
    <row r="932" spans="1:38" ht="36" hidden="1" x14ac:dyDescent="0.25">
      <c r="A932" s="9" t="s">
        <v>6967</v>
      </c>
      <c r="B932" s="7" t="s">
        <v>6106</v>
      </c>
      <c r="C932" s="7" t="s">
        <v>16</v>
      </c>
      <c r="D932" s="7" t="s">
        <v>6711</v>
      </c>
      <c r="E932" s="7" t="s">
        <v>6714</v>
      </c>
      <c r="F932" s="7" t="s">
        <v>6715</v>
      </c>
      <c r="G932" s="7" t="s">
        <v>6361</v>
      </c>
      <c r="H932" s="7" t="s">
        <v>1454</v>
      </c>
      <c r="I932" s="7" t="s">
        <v>1454</v>
      </c>
      <c r="J932" s="20" t="str">
        <f>VLOOKUP(V932,Table_to_BRG!A:D,3,FALSE)</f>
        <v>General data</v>
      </c>
      <c r="K932" s="20" t="str">
        <f>VLOOKUP(V932,Table_to_BRG!A:D,2,FALSE)</f>
        <v>General</v>
      </c>
      <c r="L932" s="20"/>
      <c r="M932" s="20"/>
      <c r="N932" s="9" t="s">
        <v>6465</v>
      </c>
      <c r="O932" s="54" t="s">
        <v>7812</v>
      </c>
      <c r="P932" s="7" t="s">
        <v>6180</v>
      </c>
      <c r="Q932" s="11" t="str">
        <f>RIGHT("00"&amp;Table362[[#This Row],[Rule '#]],3)&amp;"_"&amp;IF(Table362[[#This Row],[Entity]]="Material","MATL",LEFT(UPPER(Table362[[#This Row],[Entity]]),4))&amp;"_"&amp;MID(SUBSTITUTE(Table362[[#This Row],[Rule Name]],"_","|",3),SEARCH("|",SUBSTITUTE(Table362[[#This Row],[Rule Name]],"_","|",3))+1,LEN(Table362[[#This Row],[Rule Name]]))</f>
        <v>022_CUST_US_PR</v>
      </c>
      <c r="R932" s="8" t="s">
        <v>6181</v>
      </c>
      <c r="S932" s="7" t="s">
        <v>4135</v>
      </c>
      <c r="T932" s="7"/>
      <c r="U932" s="7"/>
      <c r="V932" s="7" t="s">
        <v>2741</v>
      </c>
      <c r="W932" s="7" t="s">
        <v>2703</v>
      </c>
      <c r="X932" s="8" t="s">
        <v>1454</v>
      </c>
      <c r="Y932" s="7"/>
      <c r="Z932" s="7"/>
      <c r="AA932" s="11" t="s">
        <v>6182</v>
      </c>
      <c r="AB932" s="11"/>
      <c r="AC932" s="11"/>
      <c r="AD932" s="11"/>
      <c r="AE932" s="13" t="s">
        <v>6173</v>
      </c>
      <c r="AH932" s="8"/>
      <c r="AI932" s="20"/>
      <c r="AJ932" s="20"/>
      <c r="AK932" s="31"/>
      <c r="AL932" s="31"/>
    </row>
    <row r="933" spans="1:38" ht="132" hidden="1" x14ac:dyDescent="0.25">
      <c r="A933" s="9" t="s">
        <v>6968</v>
      </c>
      <c r="B933" s="7" t="s">
        <v>6106</v>
      </c>
      <c r="C933" s="7" t="s">
        <v>16</v>
      </c>
      <c r="D933" s="7" t="s">
        <v>6711</v>
      </c>
      <c r="E933" s="7" t="s">
        <v>6714</v>
      </c>
      <c r="F933" s="7" t="s">
        <v>6715</v>
      </c>
      <c r="G933" s="7" t="s">
        <v>6361</v>
      </c>
      <c r="H933" s="7" t="s">
        <v>1454</v>
      </c>
      <c r="I933" s="7" t="s">
        <v>1454</v>
      </c>
      <c r="J933" s="20" t="str">
        <f>VLOOKUP(V933,Table_to_BRG!A:D,3,FALSE)</f>
        <v>General data</v>
      </c>
      <c r="K933" s="20" t="str">
        <f>VLOOKUP(V933,Table_to_BRG!A:D,2,FALSE)</f>
        <v>General</v>
      </c>
      <c r="L933" s="20"/>
      <c r="M933" s="20"/>
      <c r="N933" s="9" t="s">
        <v>6465</v>
      </c>
      <c r="O933" s="54" t="s">
        <v>7812</v>
      </c>
      <c r="P933" s="7" t="s">
        <v>6183</v>
      </c>
      <c r="Q933" s="11" t="str">
        <f>RIGHT("00"&amp;Table362[[#This Row],[Rule '#]],3)&amp;"_"&amp;IF(Table362[[#This Row],[Entity]]="Material","MATL",LEFT(UPPER(Table362[[#This Row],[Entity]]),4))&amp;"_"&amp;MID(SUBSTITUTE(Table362[[#This Row],[Rule Name]],"_","|",3),SEARCH("|",SUBSTITUTE(Table362[[#This Row],[Rule Name]],"_","|",3))+1,LEN(Table362[[#This Row],[Rule Name]]))</f>
        <v>023_CUST_AG_AR_AW</v>
      </c>
      <c r="R933" s="8" t="s">
        <v>6184</v>
      </c>
      <c r="S933" s="7" t="s">
        <v>4135</v>
      </c>
      <c r="T933" s="7"/>
      <c r="U933" s="7"/>
      <c r="V933" s="7" t="s">
        <v>2741</v>
      </c>
      <c r="W933" s="7" t="s">
        <v>2703</v>
      </c>
      <c r="X933" s="8" t="s">
        <v>1454</v>
      </c>
      <c r="Y933" s="7"/>
      <c r="Z933" s="7"/>
      <c r="AA933" s="11" t="s">
        <v>6185</v>
      </c>
      <c r="AB933" s="11"/>
      <c r="AC933" s="11"/>
      <c r="AD933" s="11"/>
      <c r="AE933" s="13" t="s">
        <v>6173</v>
      </c>
      <c r="AH933" s="8"/>
      <c r="AI933" s="20"/>
      <c r="AJ933" s="20"/>
      <c r="AK933" s="31"/>
      <c r="AL933" s="31"/>
    </row>
    <row r="934" spans="1:38" ht="36" hidden="1" x14ac:dyDescent="0.25">
      <c r="A934" s="9" t="s">
        <v>6969</v>
      </c>
      <c r="B934" s="7" t="s">
        <v>6106</v>
      </c>
      <c r="C934" s="7" t="s">
        <v>16</v>
      </c>
      <c r="D934" s="7" t="s">
        <v>6711</v>
      </c>
      <c r="E934" s="7" t="s">
        <v>6714</v>
      </c>
      <c r="F934" s="7" t="s">
        <v>6715</v>
      </c>
      <c r="G934" s="7" t="s">
        <v>6361</v>
      </c>
      <c r="H934" s="7" t="s">
        <v>1454</v>
      </c>
      <c r="I934" s="7" t="s">
        <v>1454</v>
      </c>
      <c r="J934" s="20" t="str">
        <f>VLOOKUP(V934,Table_to_BRG!A:D,3,FALSE)</f>
        <v>General data</v>
      </c>
      <c r="K934" s="20" t="str">
        <f>VLOOKUP(V934,Table_to_BRG!A:D,2,FALSE)</f>
        <v>General</v>
      </c>
      <c r="L934" s="20"/>
      <c r="M934" s="20"/>
      <c r="N934" s="9" t="s">
        <v>6465</v>
      </c>
      <c r="O934" s="54" t="s">
        <v>7812</v>
      </c>
      <c r="P934" s="7" t="s">
        <v>6186</v>
      </c>
      <c r="Q934" s="11" t="str">
        <f>RIGHT("00"&amp;Table362[[#This Row],[Rule '#]],3)&amp;"_"&amp;IF(Table362[[#This Row],[Entity]]="Material","MATL",LEFT(UPPER(Table362[[#This Row],[Entity]]),4))&amp;"_"&amp;MID(SUBSTITUTE(Table362[[#This Row],[Rule Name]],"_","|",3),SEARCH("|",SUBSTITUTE(Table362[[#This Row],[Rule Name]],"_","|",3))+1,LEN(Table362[[#This Row],[Rule Name]]))</f>
        <v>024_CUST_PR</v>
      </c>
      <c r="R934" s="8" t="s">
        <v>6187</v>
      </c>
      <c r="S934" s="7" t="s">
        <v>4135</v>
      </c>
      <c r="T934" s="7"/>
      <c r="U934" s="7"/>
      <c r="V934" s="7" t="s">
        <v>2741</v>
      </c>
      <c r="W934" s="7" t="s">
        <v>2703</v>
      </c>
      <c r="X934" s="8" t="s">
        <v>1454</v>
      </c>
      <c r="Y934" s="7"/>
      <c r="Z934" s="7"/>
      <c r="AA934" s="11" t="s">
        <v>6188</v>
      </c>
      <c r="AB934" s="11"/>
      <c r="AC934" s="11"/>
      <c r="AD934" s="11"/>
      <c r="AE934" s="13" t="s">
        <v>6173</v>
      </c>
      <c r="AH934" s="8"/>
      <c r="AI934" s="20"/>
      <c r="AJ934" s="20"/>
      <c r="AK934" s="31"/>
      <c r="AL934" s="31"/>
    </row>
    <row r="935" spans="1:38" ht="36" hidden="1" x14ac:dyDescent="0.25">
      <c r="A935" s="9" t="s">
        <v>6970</v>
      </c>
      <c r="B935" s="7" t="s">
        <v>6106</v>
      </c>
      <c r="C935" s="7" t="s">
        <v>16</v>
      </c>
      <c r="D935" s="7" t="s">
        <v>6711</v>
      </c>
      <c r="E935" s="7" t="s">
        <v>6714</v>
      </c>
      <c r="F935" s="7" t="s">
        <v>6715</v>
      </c>
      <c r="G935" s="7" t="s">
        <v>6361</v>
      </c>
      <c r="H935" s="7" t="s">
        <v>1454</v>
      </c>
      <c r="I935" s="7" t="s">
        <v>1454</v>
      </c>
      <c r="J935" s="20" t="str">
        <f>VLOOKUP(V935,Table_to_BRG!A:D,3,FALSE)</f>
        <v>General data</v>
      </c>
      <c r="K935" s="20" t="str">
        <f>VLOOKUP(V935,Table_to_BRG!A:D,2,FALSE)</f>
        <v>General</v>
      </c>
      <c r="L935" s="20"/>
      <c r="M935" s="20"/>
      <c r="N935" s="9" t="s">
        <v>6465</v>
      </c>
      <c r="O935" s="54" t="s">
        <v>7812</v>
      </c>
      <c r="P935" s="7" t="s">
        <v>6189</v>
      </c>
      <c r="Q935" s="11" t="str">
        <f>RIGHT("00"&amp;Table362[[#This Row],[Rule '#]],3)&amp;"_"&amp;IF(Table362[[#This Row],[Entity]]="Material","MATL",LEFT(UPPER(Table362[[#This Row],[Entity]]),4))&amp;"_"&amp;MID(SUBSTITUTE(Table362[[#This Row],[Rule Name]],"_","|",3),SEARCH("|",SUBSTITUTE(Table362[[#This Row],[Rule Name]],"_","|",3))+1,LEN(Table362[[#This Row],[Rule Name]]))</f>
        <v>025_CUST_IT</v>
      </c>
      <c r="R935" s="8" t="s">
        <v>6190</v>
      </c>
      <c r="S935" s="7" t="s">
        <v>4135</v>
      </c>
      <c r="T935" s="7"/>
      <c r="U935" s="7"/>
      <c r="V935" s="7" t="s">
        <v>2741</v>
      </c>
      <c r="W935" s="7" t="s">
        <v>2703</v>
      </c>
      <c r="X935" s="8" t="s">
        <v>1454</v>
      </c>
      <c r="Y935" s="7"/>
      <c r="Z935" s="7"/>
      <c r="AA935" s="11" t="s">
        <v>6191</v>
      </c>
      <c r="AB935" s="11"/>
      <c r="AC935" s="11"/>
      <c r="AD935" s="11"/>
      <c r="AE935" s="13" t="s">
        <v>6173</v>
      </c>
      <c r="AH935" s="8"/>
      <c r="AI935" s="20"/>
      <c r="AJ935" s="20"/>
      <c r="AK935" s="31"/>
      <c r="AL935" s="31"/>
    </row>
    <row r="936" spans="1:38" ht="96" hidden="1" x14ac:dyDescent="0.25">
      <c r="A936" s="9" t="s">
        <v>6971</v>
      </c>
      <c r="B936" s="7" t="s">
        <v>6106</v>
      </c>
      <c r="C936" s="7" t="s">
        <v>16</v>
      </c>
      <c r="D936" s="7" t="s">
        <v>6711</v>
      </c>
      <c r="E936" s="7" t="s">
        <v>6714</v>
      </c>
      <c r="F936" s="7" t="s">
        <v>6715</v>
      </c>
      <c r="G936" s="7" t="s">
        <v>6361</v>
      </c>
      <c r="H936" s="7" t="s">
        <v>1454</v>
      </c>
      <c r="I936" s="7" t="s">
        <v>1454</v>
      </c>
      <c r="J936" s="20" t="str">
        <f>VLOOKUP(V936,Table_to_BRG!A:D,3,FALSE)</f>
        <v>General data</v>
      </c>
      <c r="K936" s="20" t="str">
        <f>VLOOKUP(V936,Table_to_BRG!A:D,2,FALSE)</f>
        <v>General</v>
      </c>
      <c r="L936" s="20"/>
      <c r="M936" s="20"/>
      <c r="N936" s="9" t="s">
        <v>6465</v>
      </c>
      <c r="O936" s="54" t="s">
        <v>7812</v>
      </c>
      <c r="P936" s="7" t="s">
        <v>6192</v>
      </c>
      <c r="Q936" s="11" t="e">
        <f>RIGHT("00"&amp;Table362[[#This Row],[Rule '#]],3)&amp;"_"&amp;IF(Table362[[#This Row],[Entity]]="Material","MATL",LEFT(UPPER(Table362[[#This Row],[Entity]]),4))&amp;"_"&amp;MID(SUBSTITUTE(Table362[[#This Row],[Rule Name]],"_","|",3),SEARCH("|",SUBSTITUTE(Table362[[#This Row],[Rule Name]],"_","|",3))+1,LEN(Table362[[#This Row],[Rule Name]]))</f>
        <v>#VALUE!</v>
      </c>
      <c r="R936" s="8" t="s">
        <v>6193</v>
      </c>
      <c r="S936" s="7" t="s">
        <v>4135</v>
      </c>
      <c r="T936" s="7"/>
      <c r="U936" s="7"/>
      <c r="V936" s="7" t="s">
        <v>2741</v>
      </c>
      <c r="W936" s="7" t="s">
        <v>2703</v>
      </c>
      <c r="X936" s="8" t="s">
        <v>1454</v>
      </c>
      <c r="Y936" s="7"/>
      <c r="Z936" s="7"/>
      <c r="AA936" s="11" t="s">
        <v>6194</v>
      </c>
      <c r="AB936" s="11"/>
      <c r="AC936" s="11"/>
      <c r="AD936" s="11"/>
      <c r="AE936" s="13" t="s">
        <v>6173</v>
      </c>
      <c r="AH936" s="8"/>
      <c r="AI936" s="20"/>
      <c r="AJ936" s="20"/>
      <c r="AK936" s="31"/>
      <c r="AL936" s="31"/>
    </row>
    <row r="937" spans="1:38" ht="48" hidden="1" x14ac:dyDescent="0.25">
      <c r="A937" s="9" t="s">
        <v>6972</v>
      </c>
      <c r="B937" s="7" t="s">
        <v>6106</v>
      </c>
      <c r="C937" s="7" t="s">
        <v>16</v>
      </c>
      <c r="D937" s="7" t="s">
        <v>6711</v>
      </c>
      <c r="E937" s="7" t="s">
        <v>6714</v>
      </c>
      <c r="F937" s="7" t="s">
        <v>6715</v>
      </c>
      <c r="G937" s="7" t="s">
        <v>6361</v>
      </c>
      <c r="H937" s="7" t="s">
        <v>1454</v>
      </c>
      <c r="I937" s="7" t="s">
        <v>1454</v>
      </c>
      <c r="J937" s="20" t="str">
        <f>VLOOKUP(V937,Table_to_BRG!A:D,3,FALSE)</f>
        <v>General data</v>
      </c>
      <c r="K937" s="20" t="str">
        <f>VLOOKUP(V937,Table_to_BRG!A:D,2,FALSE)</f>
        <v>General</v>
      </c>
      <c r="L937" s="20"/>
      <c r="M937" s="20"/>
      <c r="N937" s="9" t="s">
        <v>6465</v>
      </c>
      <c r="O937" s="54" t="s">
        <v>7812</v>
      </c>
      <c r="P937" s="7" t="s">
        <v>6195</v>
      </c>
      <c r="Q937" s="11" t="str">
        <f>RIGHT("00"&amp;Table362[[#This Row],[Rule '#]],3)&amp;"_"&amp;IF(Table362[[#This Row],[Entity]]="Material","MATL",LEFT(UPPER(Table362[[#This Row],[Entity]]),4))&amp;"_"&amp;MID(SUBSTITUTE(Table362[[#This Row],[Rule Name]],"_","|",3),SEARCH("|",SUBSTITUTE(Table362[[#This Row],[Rule Name]],"_","|",3))+1,LEN(Table362[[#This Row],[Rule Name]]))</f>
        <v>027_CUST_Customer</v>
      </c>
      <c r="R937" s="8" t="s">
        <v>6196</v>
      </c>
      <c r="S937" s="7" t="s">
        <v>4135</v>
      </c>
      <c r="T937" s="7"/>
      <c r="U937" s="7"/>
      <c r="V937" s="7" t="s">
        <v>2741</v>
      </c>
      <c r="W937" s="7" t="s">
        <v>2703</v>
      </c>
      <c r="X937" s="8" t="s">
        <v>1454</v>
      </c>
      <c r="Y937" s="7"/>
      <c r="Z937" s="7"/>
      <c r="AA937" s="11" t="s">
        <v>6197</v>
      </c>
      <c r="AB937" s="11"/>
      <c r="AC937" s="11"/>
      <c r="AD937" s="11"/>
      <c r="AE937" s="13" t="s">
        <v>6173</v>
      </c>
      <c r="AH937" s="8"/>
      <c r="AI937" s="20"/>
      <c r="AJ937" s="20"/>
      <c r="AK937" s="31"/>
      <c r="AL937" s="31"/>
    </row>
    <row r="938" spans="1:38" ht="48" hidden="1" x14ac:dyDescent="0.25">
      <c r="A938" s="9" t="s">
        <v>6973</v>
      </c>
      <c r="B938" s="7" t="s">
        <v>6106</v>
      </c>
      <c r="C938" s="7" t="s">
        <v>16</v>
      </c>
      <c r="D938" s="7" t="s">
        <v>6711</v>
      </c>
      <c r="E938" s="7" t="s">
        <v>6714</v>
      </c>
      <c r="F938" s="7" t="s">
        <v>6715</v>
      </c>
      <c r="G938" s="7" t="s">
        <v>6361</v>
      </c>
      <c r="H938" s="7" t="s">
        <v>6107</v>
      </c>
      <c r="I938" s="7" t="s">
        <v>1203</v>
      </c>
      <c r="J938" s="20" t="str">
        <f>VLOOKUP(V938,Table_to_BRG!A:D,3,FALSE)</f>
        <v>General data</v>
      </c>
      <c r="K938" s="20" t="str">
        <f>VLOOKUP(V938,Table_to_BRG!A:D,2,FALSE)</f>
        <v>General</v>
      </c>
      <c r="L938" s="20"/>
      <c r="M938" s="20"/>
      <c r="N938" s="9" t="s">
        <v>6465</v>
      </c>
      <c r="O938" s="54" t="s">
        <v>7812</v>
      </c>
      <c r="P938" s="7" t="s">
        <v>6198</v>
      </c>
      <c r="Q938" s="11" t="str">
        <f>RIGHT("00"&amp;Table362[[#This Row],[Rule '#]],3)&amp;"_"&amp;IF(Table362[[#This Row],[Entity]]="Material","MATL",LEFT(UPPER(Table362[[#This Row],[Entity]]),4))&amp;"_"&amp;MID(SUBSTITUTE(Table362[[#This Row],[Rule Name]],"_","|",3),SEARCH("|",SUBSTITUTE(Table362[[#This Row],[Rule Name]],"_","|",3))+1,LEN(Table362[[#This Row],[Rule Name]]))</f>
        <v>028_CUST_Null</v>
      </c>
      <c r="R938" s="8" t="s">
        <v>6199</v>
      </c>
      <c r="S938" s="7" t="s">
        <v>4135</v>
      </c>
      <c r="T938" s="7"/>
      <c r="U938" s="7"/>
      <c r="V938" s="7" t="s">
        <v>2741</v>
      </c>
      <c r="W938" s="7" t="s">
        <v>2705</v>
      </c>
      <c r="X938" s="8" t="s">
        <v>1203</v>
      </c>
      <c r="Y938" s="7"/>
      <c r="Z938" s="7"/>
      <c r="AA938" s="11" t="s">
        <v>6200</v>
      </c>
      <c r="AB938" s="11"/>
      <c r="AC938" s="11"/>
      <c r="AD938" s="11"/>
      <c r="AE938" s="13" t="s">
        <v>6201</v>
      </c>
      <c r="AH938" s="8"/>
      <c r="AI938" s="20"/>
      <c r="AJ938" s="20"/>
      <c r="AK938" s="31"/>
      <c r="AL938" s="31"/>
    </row>
    <row r="939" spans="1:38" ht="48" hidden="1" x14ac:dyDescent="0.25">
      <c r="A939" s="9" t="s">
        <v>6974</v>
      </c>
      <c r="B939" s="7" t="s">
        <v>6106</v>
      </c>
      <c r="C939" s="7" t="s">
        <v>16</v>
      </c>
      <c r="D939" s="7" t="s">
        <v>6711</v>
      </c>
      <c r="E939" s="7" t="s">
        <v>6714</v>
      </c>
      <c r="F939" s="7" t="s">
        <v>6715</v>
      </c>
      <c r="G939" s="7" t="s">
        <v>6361</v>
      </c>
      <c r="H939" s="7" t="s">
        <v>6107</v>
      </c>
      <c r="I939" s="7" t="s">
        <v>1203</v>
      </c>
      <c r="J939" s="20" t="str">
        <f>VLOOKUP(V939,Table_to_BRG!A:D,3,FALSE)</f>
        <v>General data</v>
      </c>
      <c r="K939" s="20" t="str">
        <f>VLOOKUP(V939,Table_to_BRG!A:D,2,FALSE)</f>
        <v>General</v>
      </c>
      <c r="L939" s="20"/>
      <c r="M939" s="20"/>
      <c r="N939" s="9" t="s">
        <v>6465</v>
      </c>
      <c r="O939" s="54" t="s">
        <v>7812</v>
      </c>
      <c r="P939" s="7" t="s">
        <v>6202</v>
      </c>
      <c r="Q939" s="11" t="str">
        <f>RIGHT("00"&amp;Table362[[#This Row],[Rule '#]],3)&amp;"_"&amp;IF(Table362[[#This Row],[Entity]]="Material","MATL",LEFT(UPPER(Table362[[#This Row],[Entity]]),4))&amp;"_"&amp;MID(SUBSTITUTE(Table362[[#This Row],[Rule Name]],"_","|",3),SEARCH("|",SUBSTITUTE(Table362[[#This Row],[Rule Name]],"_","|",3))+1,LEN(Table362[[#This Row],[Rule Name]]))</f>
        <v>029_CUST_Caps</v>
      </c>
      <c r="R939" s="8" t="s">
        <v>6203</v>
      </c>
      <c r="S939" s="7" t="s">
        <v>139</v>
      </c>
      <c r="T939" s="7"/>
      <c r="U939" s="7"/>
      <c r="V939" s="7" t="s">
        <v>2741</v>
      </c>
      <c r="W939" s="7" t="s">
        <v>2705</v>
      </c>
      <c r="X939" s="8" t="s">
        <v>1203</v>
      </c>
      <c r="Y939" s="7"/>
      <c r="Z939" s="7"/>
      <c r="AA939" s="11" t="s">
        <v>6204</v>
      </c>
      <c r="AB939" s="11"/>
      <c r="AC939" s="11"/>
      <c r="AD939" s="11"/>
      <c r="AE939" s="13" t="s">
        <v>6201</v>
      </c>
      <c r="AH939" s="8"/>
      <c r="AI939" s="20"/>
      <c r="AJ939" s="20"/>
      <c r="AK939" s="31"/>
      <c r="AL939" s="31"/>
    </row>
    <row r="940" spans="1:38" ht="60" hidden="1" x14ac:dyDescent="0.25">
      <c r="A940" s="9" t="s">
        <v>6975</v>
      </c>
      <c r="B940" s="7" t="s">
        <v>6106</v>
      </c>
      <c r="C940" s="7" t="s">
        <v>16</v>
      </c>
      <c r="D940" s="7" t="s">
        <v>6711</v>
      </c>
      <c r="E940" s="7" t="s">
        <v>6714</v>
      </c>
      <c r="F940" s="7" t="s">
        <v>6715</v>
      </c>
      <c r="G940" s="7" t="s">
        <v>6361</v>
      </c>
      <c r="H940" s="7" t="s">
        <v>6107</v>
      </c>
      <c r="I940" s="7" t="s">
        <v>1203</v>
      </c>
      <c r="J940" s="20" t="str">
        <f>VLOOKUP(V940,Table_to_BRG!A:D,3,FALSE)</f>
        <v>General data</v>
      </c>
      <c r="K940" s="20" t="str">
        <f>VLOOKUP(V940,Table_to_BRG!A:D,2,FALSE)</f>
        <v>General</v>
      </c>
      <c r="L940" s="20"/>
      <c r="M940" s="20"/>
      <c r="N940" s="9" t="s">
        <v>6465</v>
      </c>
      <c r="O940" s="54" t="s">
        <v>7812</v>
      </c>
      <c r="P940" s="7" t="s">
        <v>6205</v>
      </c>
      <c r="Q940" s="11" t="str">
        <f>RIGHT("00"&amp;Table362[[#This Row],[Rule '#]],3)&amp;"_"&amp;IF(Table362[[#This Row],[Entity]]="Material","MATL",LEFT(UPPER(Table362[[#This Row],[Entity]]),4))&amp;"_"&amp;MID(SUBSTITUTE(Table362[[#This Row],[Rule Name]],"_","|",3),SEARCH("|",SUBSTITUTE(Table362[[#This Row],[Rule Name]],"_","|",3))+1,LEN(Table362[[#This Row],[Rule Name]]))</f>
        <v>030_CUST_INVALID_CHAR</v>
      </c>
      <c r="R940" s="8" t="s">
        <v>6206</v>
      </c>
      <c r="S940" s="7" t="s">
        <v>139</v>
      </c>
      <c r="T940" s="7"/>
      <c r="U940" s="7"/>
      <c r="V940" s="7" t="s">
        <v>2741</v>
      </c>
      <c r="W940" s="7" t="s">
        <v>2705</v>
      </c>
      <c r="X940" s="8" t="s">
        <v>1203</v>
      </c>
      <c r="Y940" s="7"/>
      <c r="Z940" s="7"/>
      <c r="AA940" s="11" t="s">
        <v>6207</v>
      </c>
      <c r="AB940" s="11"/>
      <c r="AC940" s="11"/>
      <c r="AD940" s="11"/>
      <c r="AE940" s="13" t="s">
        <v>6201</v>
      </c>
      <c r="AH940" s="8"/>
      <c r="AI940" s="20"/>
      <c r="AJ940" s="20"/>
      <c r="AK940" s="31"/>
      <c r="AL940" s="31"/>
    </row>
    <row r="941" spans="1:38" ht="48" hidden="1" x14ac:dyDescent="0.25">
      <c r="A941" s="9" t="s">
        <v>6976</v>
      </c>
      <c r="B941" s="7" t="s">
        <v>6106</v>
      </c>
      <c r="C941" s="7" t="s">
        <v>16</v>
      </c>
      <c r="D941" s="7" t="s">
        <v>6711</v>
      </c>
      <c r="E941" s="7" t="s">
        <v>6714</v>
      </c>
      <c r="F941" s="7" t="s">
        <v>6715</v>
      </c>
      <c r="G941" s="7" t="s">
        <v>6361</v>
      </c>
      <c r="H941" s="7" t="s">
        <v>6107</v>
      </c>
      <c r="I941" s="7" t="s">
        <v>1203</v>
      </c>
      <c r="J941" s="20" t="str">
        <f>VLOOKUP(V941,Table_to_BRG!A:D,3,FALSE)</f>
        <v>General data</v>
      </c>
      <c r="K941" s="20" t="str">
        <f>VLOOKUP(V941,Table_to_BRG!A:D,2,FALSE)</f>
        <v>General</v>
      </c>
      <c r="L941" s="20"/>
      <c r="M941" s="20"/>
      <c r="N941" s="9" t="s">
        <v>6465</v>
      </c>
      <c r="O941" s="54" t="s">
        <v>7812</v>
      </c>
      <c r="P941" s="7" t="s">
        <v>6208</v>
      </c>
      <c r="Q941" s="11" t="str">
        <f>RIGHT("00"&amp;Table362[[#This Row],[Rule '#]],3)&amp;"_"&amp;IF(Table362[[#This Row],[Entity]]="Material","MATL",LEFT(UPPER(Table362[[#This Row],[Entity]]),4))&amp;"_"&amp;MID(SUBSTITUTE(Table362[[#This Row],[Rule Name]],"_","|",3),SEARCH("|",SUBSTITUTE(Table362[[#This Row],[Rule Name]],"_","|",3))+1,LEN(Table362[[#This Row],[Rule Name]]))</f>
        <v>031_CUST_CEDEX</v>
      </c>
      <c r="R941" s="8" t="s">
        <v>6209</v>
      </c>
      <c r="S941" s="7" t="s">
        <v>4135</v>
      </c>
      <c r="T941" s="7"/>
      <c r="U941" s="7"/>
      <c r="V941" s="7" t="s">
        <v>2741</v>
      </c>
      <c r="W941" s="7" t="s">
        <v>2705</v>
      </c>
      <c r="X941" s="8" t="s">
        <v>1203</v>
      </c>
      <c r="Y941" s="7"/>
      <c r="Z941" s="7"/>
      <c r="AA941" s="11" t="s">
        <v>6210</v>
      </c>
      <c r="AB941" s="11"/>
      <c r="AC941" s="11"/>
      <c r="AD941" s="11"/>
      <c r="AE941" s="13" t="s">
        <v>6201</v>
      </c>
      <c r="AH941" s="8"/>
      <c r="AI941" s="20"/>
      <c r="AJ941" s="20"/>
      <c r="AK941" s="31"/>
      <c r="AL941" s="31"/>
    </row>
    <row r="942" spans="1:38" s="19" customFormat="1" ht="60" hidden="1" x14ac:dyDescent="0.25">
      <c r="A942" s="9" t="s">
        <v>6977</v>
      </c>
      <c r="B942" s="15" t="s">
        <v>6106</v>
      </c>
      <c r="C942" s="15" t="s">
        <v>16</v>
      </c>
      <c r="D942" s="15" t="s">
        <v>6711</v>
      </c>
      <c r="E942" s="15" t="s">
        <v>6714</v>
      </c>
      <c r="F942" s="15" t="s">
        <v>6715</v>
      </c>
      <c r="G942" s="15" t="s">
        <v>6361</v>
      </c>
      <c r="H942" s="15" t="s">
        <v>6107</v>
      </c>
      <c r="I942" s="15" t="s">
        <v>6635</v>
      </c>
      <c r="J942" s="27" t="str">
        <f>VLOOKUP(V942,Table_to_BRG!A:D,3,FALSE)</f>
        <v>General data</v>
      </c>
      <c r="K942" s="27" t="str">
        <f>VLOOKUP(V942,Table_to_BRG!A:D,2,FALSE)</f>
        <v>General</v>
      </c>
      <c r="L942" s="27"/>
      <c r="M942" s="27"/>
      <c r="N942" s="14" t="s">
        <v>6465</v>
      </c>
      <c r="O942" s="54" t="str">
        <f>"Superceded by rule "&amp;A996&amp;", "&amp;A998</f>
        <v>Superceded by rule 376, 378</v>
      </c>
      <c r="P942" s="16" t="s">
        <v>6847</v>
      </c>
      <c r="Q942" s="17" t="str">
        <f>RIGHT("00"&amp;Table362[[#This Row],[Rule '#]],3)&amp;"_"&amp;IF(Table362[[#This Row],[Entity]]="Material","MATL",LEFT(UPPER(Table362[[#This Row],[Entity]]),4))&amp;"_"&amp;MID(SUBSTITUTE(Table362[[#This Row],[Rule Name]],"_","|",3),SEARCH("|",SUBSTITUTE(Table362[[#This Row],[Rule Name]],"_","|",3))+1,LEN(Table362[[#This Row],[Rule Name]]))</f>
        <v>032_CUST_AR</v>
      </c>
      <c r="R942" s="16" t="s">
        <v>6211</v>
      </c>
      <c r="S942" s="15" t="s">
        <v>139</v>
      </c>
      <c r="T942" s="15"/>
      <c r="U942" s="16" t="s">
        <v>6614</v>
      </c>
      <c r="V942" s="15" t="s">
        <v>2741</v>
      </c>
      <c r="W942" s="16" t="s">
        <v>6609</v>
      </c>
      <c r="X942" s="16" t="s">
        <v>6610</v>
      </c>
      <c r="Y942" s="15"/>
      <c r="Z942" s="15"/>
      <c r="AA942" s="17" t="s">
        <v>6212</v>
      </c>
      <c r="AB942" s="17"/>
      <c r="AC942" s="17"/>
      <c r="AD942" s="17"/>
      <c r="AE942" s="18" t="s">
        <v>6213</v>
      </c>
      <c r="AF942" s="18"/>
      <c r="AG942" s="17"/>
      <c r="AH942" s="16"/>
      <c r="AI942" s="27" t="s">
        <v>6503</v>
      </c>
      <c r="AJ942" s="27"/>
      <c r="AK942" s="52"/>
      <c r="AL942" s="52"/>
    </row>
    <row r="943" spans="1:38" s="19" customFormat="1" ht="60" hidden="1" x14ac:dyDescent="0.25">
      <c r="A943" s="9" t="s">
        <v>6978</v>
      </c>
      <c r="B943" s="15" t="s">
        <v>6106</v>
      </c>
      <c r="C943" s="15" t="s">
        <v>16</v>
      </c>
      <c r="D943" s="15" t="s">
        <v>6711</v>
      </c>
      <c r="E943" s="15" t="s">
        <v>6714</v>
      </c>
      <c r="F943" s="15" t="s">
        <v>6715</v>
      </c>
      <c r="G943" s="15" t="s">
        <v>6361</v>
      </c>
      <c r="H943" s="15" t="s">
        <v>6107</v>
      </c>
      <c r="I943" s="15" t="s">
        <v>6635</v>
      </c>
      <c r="J943" s="27" t="str">
        <f>VLOOKUP(V943,Table_to_BRG!A:D,3,FALSE)</f>
        <v>General data</v>
      </c>
      <c r="K943" s="27" t="str">
        <f>VLOOKUP(V943,Table_to_BRG!A:D,2,FALSE)</f>
        <v>General</v>
      </c>
      <c r="L943" s="27"/>
      <c r="M943" s="27"/>
      <c r="N943" s="14" t="s">
        <v>6465</v>
      </c>
      <c r="O943" s="54" t="str">
        <f>"Superceded by rule "&amp;A996&amp;", "&amp;A998</f>
        <v>Superceded by rule 376, 378</v>
      </c>
      <c r="P943" s="16" t="s">
        <v>6848</v>
      </c>
      <c r="Q943" s="17" t="str">
        <f>RIGHT("00"&amp;Table362[[#This Row],[Rule '#]],3)&amp;"_"&amp;IF(Table362[[#This Row],[Entity]]="Material","MATL",LEFT(UPPER(Table362[[#This Row],[Entity]]),4))&amp;"_"&amp;MID(SUBSTITUTE(Table362[[#This Row],[Rule Name]],"_","|",3),SEARCH("|",SUBSTITUTE(Table362[[#This Row],[Rule Name]],"_","|",3))+1,LEN(Table362[[#This Row],[Rule Name]]))</f>
        <v>033_CUST_BR</v>
      </c>
      <c r="R943" s="16" t="s">
        <v>6214</v>
      </c>
      <c r="S943" s="15" t="s">
        <v>139</v>
      </c>
      <c r="T943" s="15"/>
      <c r="U943" s="16" t="s">
        <v>6614</v>
      </c>
      <c r="V943" s="15" t="s">
        <v>2741</v>
      </c>
      <c r="W943" s="16" t="s">
        <v>6609</v>
      </c>
      <c r="X943" s="16" t="s">
        <v>6610</v>
      </c>
      <c r="Y943" s="15"/>
      <c r="Z943" s="15"/>
      <c r="AA943" s="17" t="s">
        <v>6215</v>
      </c>
      <c r="AB943" s="17"/>
      <c r="AC943" s="17"/>
      <c r="AD943" s="17"/>
      <c r="AE943" s="18" t="s">
        <v>6213</v>
      </c>
      <c r="AF943" s="18"/>
      <c r="AG943" s="17"/>
      <c r="AH943" s="16"/>
      <c r="AI943" s="27" t="s">
        <v>6504</v>
      </c>
      <c r="AJ943" s="27"/>
      <c r="AK943" s="52"/>
      <c r="AL943" s="52"/>
    </row>
    <row r="944" spans="1:38" s="19" customFormat="1" ht="60" hidden="1" x14ac:dyDescent="0.25">
      <c r="A944" s="9" t="s">
        <v>6979</v>
      </c>
      <c r="B944" s="15" t="s">
        <v>6106</v>
      </c>
      <c r="C944" s="15" t="s">
        <v>16</v>
      </c>
      <c r="D944" s="15" t="s">
        <v>6711</v>
      </c>
      <c r="E944" s="15" t="s">
        <v>6714</v>
      </c>
      <c r="F944" s="15" t="s">
        <v>6715</v>
      </c>
      <c r="G944" s="15" t="s">
        <v>6361</v>
      </c>
      <c r="H944" s="15" t="s">
        <v>6107</v>
      </c>
      <c r="I944" s="15" t="s">
        <v>6635</v>
      </c>
      <c r="J944" s="27" t="str">
        <f>VLOOKUP(V944,Table_to_BRG!A:D,3,FALSE)</f>
        <v>General data</v>
      </c>
      <c r="K944" s="27" t="str">
        <f>VLOOKUP(V944,Table_to_BRG!A:D,2,FALSE)</f>
        <v>General</v>
      </c>
      <c r="L944" s="27"/>
      <c r="M944" s="27"/>
      <c r="N944" s="14" t="s">
        <v>6465</v>
      </c>
      <c r="O944" s="54" t="str">
        <f>"Superceded by rule "&amp;A996&amp;", "&amp;A998</f>
        <v>Superceded by rule 376, 378</v>
      </c>
      <c r="P944" s="16" t="s">
        <v>6849</v>
      </c>
      <c r="Q944" s="17" t="str">
        <f>RIGHT("00"&amp;Table362[[#This Row],[Rule '#]],3)&amp;"_"&amp;IF(Table362[[#This Row],[Entity]]="Material","MATL",LEFT(UPPER(Table362[[#This Row],[Entity]]),4))&amp;"_"&amp;MID(SUBSTITUTE(Table362[[#This Row],[Rule Name]],"_","|",3),SEARCH("|",SUBSTITUTE(Table362[[#This Row],[Rule Name]],"_","|",3))+1,LEN(Table362[[#This Row],[Rule Name]]))</f>
        <v>034_CUST_CA</v>
      </c>
      <c r="R944" s="16" t="s">
        <v>6216</v>
      </c>
      <c r="S944" s="15" t="s">
        <v>139</v>
      </c>
      <c r="T944" s="15"/>
      <c r="U944" s="16" t="s">
        <v>6614</v>
      </c>
      <c r="V944" s="15" t="s">
        <v>2741</v>
      </c>
      <c r="W944" s="16" t="s">
        <v>6609</v>
      </c>
      <c r="X944" s="16" t="s">
        <v>6610</v>
      </c>
      <c r="Y944" s="15"/>
      <c r="Z944" s="15"/>
      <c r="AA944" s="17" t="s">
        <v>6217</v>
      </c>
      <c r="AB944" s="17"/>
      <c r="AC944" s="17"/>
      <c r="AD944" s="17"/>
      <c r="AE944" s="18" t="s">
        <v>6213</v>
      </c>
      <c r="AF944" s="18"/>
      <c r="AG944" s="17"/>
      <c r="AH944" s="16"/>
      <c r="AI944" s="27" t="s">
        <v>6505</v>
      </c>
      <c r="AJ944" s="27"/>
      <c r="AK944" s="52"/>
      <c r="AL944" s="52"/>
    </row>
    <row r="945" spans="1:38" s="19" customFormat="1" ht="60" hidden="1" x14ac:dyDescent="0.25">
      <c r="A945" s="9" t="s">
        <v>6980</v>
      </c>
      <c r="B945" s="15" t="s">
        <v>6106</v>
      </c>
      <c r="C945" s="15" t="s">
        <v>16</v>
      </c>
      <c r="D945" s="15" t="s">
        <v>6711</v>
      </c>
      <c r="E945" s="15" t="s">
        <v>6714</v>
      </c>
      <c r="F945" s="15" t="s">
        <v>6715</v>
      </c>
      <c r="G945" s="15" t="s">
        <v>6361</v>
      </c>
      <c r="H945" s="15" t="s">
        <v>6107</v>
      </c>
      <c r="I945" s="15" t="s">
        <v>6635</v>
      </c>
      <c r="J945" s="27" t="str">
        <f>VLOOKUP(V945,Table_to_BRG!A:D,3,FALSE)</f>
        <v>General data</v>
      </c>
      <c r="K945" s="27" t="str">
        <f>VLOOKUP(V945,Table_to_BRG!A:D,2,FALSE)</f>
        <v>General</v>
      </c>
      <c r="L945" s="27"/>
      <c r="M945" s="27"/>
      <c r="N945" s="14" t="s">
        <v>6465</v>
      </c>
      <c r="O945" s="54" t="str">
        <f>"Superceded by rule "&amp;A996&amp;", "&amp;A998</f>
        <v>Superceded by rule 376, 378</v>
      </c>
      <c r="P945" s="16" t="s">
        <v>6850</v>
      </c>
      <c r="Q945" s="17" t="str">
        <f>RIGHT("00"&amp;Table362[[#This Row],[Rule '#]],3)&amp;"_"&amp;IF(Table362[[#This Row],[Entity]]="Material","MATL",LEFT(UPPER(Table362[[#This Row],[Entity]]),4))&amp;"_"&amp;MID(SUBSTITUTE(Table362[[#This Row],[Rule Name]],"_","|",3),SEARCH("|",SUBSTITUTE(Table362[[#This Row],[Rule Name]],"_","|",3))+1,LEN(Table362[[#This Row],[Rule Name]]))</f>
        <v>035_CUST_CL</v>
      </c>
      <c r="R945" s="16" t="s">
        <v>6218</v>
      </c>
      <c r="S945" s="15" t="s">
        <v>139</v>
      </c>
      <c r="T945" s="15"/>
      <c r="U945" s="16" t="s">
        <v>6614</v>
      </c>
      <c r="V945" s="15" t="s">
        <v>2741</v>
      </c>
      <c r="W945" s="16" t="s">
        <v>6609</v>
      </c>
      <c r="X945" s="16" t="s">
        <v>6610</v>
      </c>
      <c r="Y945" s="15"/>
      <c r="Z945" s="15"/>
      <c r="AA945" s="17" t="s">
        <v>6219</v>
      </c>
      <c r="AB945" s="17"/>
      <c r="AC945" s="17"/>
      <c r="AD945" s="17"/>
      <c r="AE945" s="18" t="s">
        <v>6213</v>
      </c>
      <c r="AF945" s="18"/>
      <c r="AG945" s="17"/>
      <c r="AH945" s="16"/>
      <c r="AI945" s="27" t="s">
        <v>6506</v>
      </c>
      <c r="AJ945" s="27"/>
      <c r="AK945" s="52"/>
      <c r="AL945" s="52"/>
    </row>
    <row r="946" spans="1:38" s="19" customFormat="1" ht="72" hidden="1" x14ac:dyDescent="0.25">
      <c r="A946" s="9" t="s">
        <v>6981</v>
      </c>
      <c r="B946" s="15" t="s">
        <v>6106</v>
      </c>
      <c r="C946" s="15" t="s">
        <v>16</v>
      </c>
      <c r="D946" s="15" t="s">
        <v>6711</v>
      </c>
      <c r="E946" s="15" t="s">
        <v>6714</v>
      </c>
      <c r="F946" s="15" t="s">
        <v>6715</v>
      </c>
      <c r="G946" s="15" t="s">
        <v>6361</v>
      </c>
      <c r="H946" s="15" t="s">
        <v>6107</v>
      </c>
      <c r="I946" s="15" t="s">
        <v>6635</v>
      </c>
      <c r="J946" s="27" t="str">
        <f>VLOOKUP(V946,Table_to_BRG!A:D,3,FALSE)</f>
        <v>General data</v>
      </c>
      <c r="K946" s="27" t="str">
        <f>VLOOKUP(V946,Table_to_BRG!A:D,2,FALSE)</f>
        <v>General</v>
      </c>
      <c r="L946" s="27"/>
      <c r="M946" s="27"/>
      <c r="N946" s="14" t="s">
        <v>6465</v>
      </c>
      <c r="O946" s="54" t="str">
        <f>"Superceded by rule "&amp;A996&amp;", "&amp;A998</f>
        <v>Superceded by rule 376, 378</v>
      </c>
      <c r="P946" s="16" t="s">
        <v>6851</v>
      </c>
      <c r="Q946" s="17" t="str">
        <f>RIGHT("00"&amp;Table362[[#This Row],[Rule '#]],3)&amp;"_"&amp;IF(Table362[[#This Row],[Entity]]="Material","MATL",LEFT(UPPER(Table362[[#This Row],[Entity]]),4))&amp;"_"&amp;MID(SUBSTITUTE(Table362[[#This Row],[Rule Name]],"_","|",3),SEARCH("|",SUBSTITUTE(Table362[[#This Row],[Rule Name]],"_","|",3))+1,LEN(Table362[[#This Row],[Rule Name]]))</f>
        <v>036_CUST_CR_GT</v>
      </c>
      <c r="R946" s="16" t="s">
        <v>6220</v>
      </c>
      <c r="S946" s="15" t="s">
        <v>139</v>
      </c>
      <c r="T946" s="15"/>
      <c r="U946" s="16" t="s">
        <v>6614</v>
      </c>
      <c r="V946" s="15" t="s">
        <v>2741</v>
      </c>
      <c r="W946" s="16" t="s">
        <v>6609</v>
      </c>
      <c r="X946" s="16" t="s">
        <v>6610</v>
      </c>
      <c r="Y946" s="15"/>
      <c r="Z946" s="15"/>
      <c r="AA946" s="17" t="s">
        <v>6221</v>
      </c>
      <c r="AB946" s="17"/>
      <c r="AC946" s="17"/>
      <c r="AD946" s="17"/>
      <c r="AE946" s="18" t="s">
        <v>6213</v>
      </c>
      <c r="AF946" s="18"/>
      <c r="AG946" s="17"/>
      <c r="AH946" s="16"/>
      <c r="AI946" s="27" t="s">
        <v>6507</v>
      </c>
      <c r="AJ946" s="27"/>
      <c r="AK946" s="52"/>
      <c r="AL946" s="52"/>
    </row>
    <row r="947" spans="1:38" s="19" customFormat="1" ht="60" hidden="1" x14ac:dyDescent="0.25">
      <c r="A947" s="9" t="s">
        <v>6982</v>
      </c>
      <c r="B947" s="15" t="s">
        <v>6106</v>
      </c>
      <c r="C947" s="15" t="s">
        <v>16</v>
      </c>
      <c r="D947" s="15" t="s">
        <v>6711</v>
      </c>
      <c r="E947" s="15" t="s">
        <v>6714</v>
      </c>
      <c r="F947" s="15" t="s">
        <v>6715</v>
      </c>
      <c r="G947" s="15" t="s">
        <v>6361</v>
      </c>
      <c r="H947" s="15" t="s">
        <v>6107</v>
      </c>
      <c r="I947" s="15" t="s">
        <v>6635</v>
      </c>
      <c r="J947" s="27" t="str">
        <f>VLOOKUP(V947,Table_to_BRG!A:D,3,FALSE)</f>
        <v>General data</v>
      </c>
      <c r="K947" s="27" t="str">
        <f>VLOOKUP(V947,Table_to_BRG!A:D,2,FALSE)</f>
        <v>General</v>
      </c>
      <c r="L947" s="27"/>
      <c r="M947" s="27"/>
      <c r="N947" s="14" t="s">
        <v>6465</v>
      </c>
      <c r="O947" s="54" t="str">
        <f>"Superceded by rule "&amp;A996&amp;", "&amp;A998</f>
        <v>Superceded by rule 376, 378</v>
      </c>
      <c r="P947" s="16" t="s">
        <v>6852</v>
      </c>
      <c r="Q947" s="17" t="str">
        <f>RIGHT("00"&amp;Table362[[#This Row],[Rule '#]],3)&amp;"_"&amp;IF(Table362[[#This Row],[Entity]]="Material","MATL",LEFT(UPPER(Table362[[#This Row],[Entity]]),4))&amp;"_"&amp;MID(SUBSTITUTE(Table362[[#This Row],[Rule Name]],"_","|",3),SEARCH("|",SUBSTITUTE(Table362[[#This Row],[Rule Name]],"_","|",3))+1,LEN(Table362[[#This Row],[Rule Name]]))</f>
        <v>037_CUST_FO</v>
      </c>
      <c r="R947" s="16" t="s">
        <v>6222</v>
      </c>
      <c r="S947" s="15" t="s">
        <v>139</v>
      </c>
      <c r="T947" s="15"/>
      <c r="U947" s="16" t="s">
        <v>6614</v>
      </c>
      <c r="V947" s="15" t="s">
        <v>2741</v>
      </c>
      <c r="W947" s="16" t="s">
        <v>6609</v>
      </c>
      <c r="X947" s="16" t="s">
        <v>6610</v>
      </c>
      <c r="Y947" s="15"/>
      <c r="Z947" s="15"/>
      <c r="AA947" s="17" t="s">
        <v>6223</v>
      </c>
      <c r="AB947" s="17"/>
      <c r="AC947" s="17"/>
      <c r="AD947" s="17"/>
      <c r="AE947" s="18" t="s">
        <v>6213</v>
      </c>
      <c r="AF947" s="18"/>
      <c r="AG947" s="17"/>
      <c r="AH947" s="16"/>
      <c r="AI947" s="27" t="s">
        <v>6508</v>
      </c>
      <c r="AJ947" s="27"/>
      <c r="AK947" s="52"/>
      <c r="AL947" s="52"/>
    </row>
    <row r="948" spans="1:38" s="19" customFormat="1" ht="72" hidden="1" x14ac:dyDescent="0.25">
      <c r="A948" s="9" t="s">
        <v>6983</v>
      </c>
      <c r="B948" s="15" t="s">
        <v>6106</v>
      </c>
      <c r="C948" s="15" t="s">
        <v>16</v>
      </c>
      <c r="D948" s="15" t="s">
        <v>6711</v>
      </c>
      <c r="E948" s="15" t="s">
        <v>6714</v>
      </c>
      <c r="F948" s="15" t="s">
        <v>6715</v>
      </c>
      <c r="G948" s="15" t="s">
        <v>6361</v>
      </c>
      <c r="H948" s="15" t="s">
        <v>6107</v>
      </c>
      <c r="I948" s="15" t="s">
        <v>6635</v>
      </c>
      <c r="J948" s="27" t="str">
        <f>VLOOKUP(V948,Table_to_BRG!A:D,3,FALSE)</f>
        <v>General data</v>
      </c>
      <c r="K948" s="27" t="str">
        <f>VLOOKUP(V948,Table_to_BRG!A:D,2,FALSE)</f>
        <v>General</v>
      </c>
      <c r="L948" s="27"/>
      <c r="M948" s="27"/>
      <c r="N948" s="14" t="s">
        <v>6465</v>
      </c>
      <c r="O948" s="54" t="str">
        <f>"Superceded by rule "&amp;A996&amp;", "&amp;A998</f>
        <v>Superceded by rule 376, 378</v>
      </c>
      <c r="P948" s="16" t="s">
        <v>6853</v>
      </c>
      <c r="Q948" s="17" t="str">
        <f>RIGHT("00"&amp;Table362[[#This Row],[Rule '#]],3)&amp;"_"&amp;IF(Table362[[#This Row],[Entity]]="Material","MATL",LEFT(UPPER(Table362[[#This Row],[Entity]]),4))&amp;"_"&amp;MID(SUBSTITUTE(Table362[[#This Row],[Rule Name]],"_","|",3),SEARCH("|",SUBSTITUTE(Table362[[#This Row],[Rule Name]],"_","|",3))+1,LEN(Table362[[#This Row],[Rule Name]]))</f>
        <v>038_CUST_CN_EU_IN_RU_SG</v>
      </c>
      <c r="R948" s="16" t="s">
        <v>6224</v>
      </c>
      <c r="S948" s="15" t="s">
        <v>139</v>
      </c>
      <c r="T948" s="15"/>
      <c r="U948" s="16" t="s">
        <v>6614</v>
      </c>
      <c r="V948" s="15" t="s">
        <v>2741</v>
      </c>
      <c r="W948" s="16" t="s">
        <v>6609</v>
      </c>
      <c r="X948" s="16" t="s">
        <v>6610</v>
      </c>
      <c r="Y948" s="15"/>
      <c r="Z948" s="15"/>
      <c r="AA948" s="17" t="s">
        <v>6225</v>
      </c>
      <c r="AB948" s="17"/>
      <c r="AC948" s="17"/>
      <c r="AD948" s="17"/>
      <c r="AE948" s="18" t="s">
        <v>6213</v>
      </c>
      <c r="AF948" s="18"/>
      <c r="AG948" s="17"/>
      <c r="AH948" s="16"/>
      <c r="AI948" s="27" t="s">
        <v>6500</v>
      </c>
      <c r="AJ948" s="27"/>
      <c r="AK948" s="52"/>
      <c r="AL948" s="52"/>
    </row>
    <row r="949" spans="1:38" s="19" customFormat="1" ht="72" hidden="1" x14ac:dyDescent="0.25">
      <c r="A949" s="9" t="s">
        <v>6984</v>
      </c>
      <c r="B949" s="15" t="s">
        <v>6106</v>
      </c>
      <c r="C949" s="15" t="s">
        <v>16</v>
      </c>
      <c r="D949" s="15" t="s">
        <v>6711</v>
      </c>
      <c r="E949" s="15" t="s">
        <v>6714</v>
      </c>
      <c r="F949" s="15" t="s">
        <v>6715</v>
      </c>
      <c r="G949" s="15" t="s">
        <v>6361</v>
      </c>
      <c r="H949" s="15" t="s">
        <v>6107</v>
      </c>
      <c r="I949" s="15" t="s">
        <v>6635</v>
      </c>
      <c r="J949" s="27" t="str">
        <f>VLOOKUP(V949,Table_to_BRG!A:D,3,FALSE)</f>
        <v>General data</v>
      </c>
      <c r="K949" s="27" t="str">
        <f>VLOOKUP(V949,Table_to_BRG!A:D,2,FALSE)</f>
        <v>General</v>
      </c>
      <c r="L949" s="27"/>
      <c r="M949" s="27"/>
      <c r="N949" s="14" t="s">
        <v>6465</v>
      </c>
      <c r="O949" s="54" t="str">
        <f>"Superceded by rule "&amp;A996&amp;", "&amp;A998</f>
        <v>Superceded by rule 376, 378</v>
      </c>
      <c r="P949" s="16" t="s">
        <v>6854</v>
      </c>
      <c r="Q949" s="17" t="str">
        <f>RIGHT("00"&amp;Table362[[#This Row],[Rule '#]],3)&amp;"_"&amp;IF(Table362[[#This Row],[Entity]]="Material","MATL",LEFT(UPPER(Table362[[#This Row],[Entity]]),4))&amp;"_"&amp;MID(SUBSTITUTE(Table362[[#This Row],[Rule Name]],"_","|",3),SEARCH("|",SUBSTITUTE(Table362[[#This Row],[Rule Name]],"_","|",3))+1,LEN(Table362[[#This Row],[Rule Name]]))</f>
        <v>039_CUST_GB_ND</v>
      </c>
      <c r="R949" s="16" t="s">
        <v>6337</v>
      </c>
      <c r="S949" s="15" t="s">
        <v>139</v>
      </c>
      <c r="T949" s="15"/>
      <c r="U949" s="16" t="s">
        <v>6614</v>
      </c>
      <c r="V949" s="15" t="s">
        <v>2741</v>
      </c>
      <c r="W949" s="16" t="s">
        <v>6609</v>
      </c>
      <c r="X949" s="16" t="s">
        <v>6610</v>
      </c>
      <c r="Y949" s="15"/>
      <c r="Z949" s="15"/>
      <c r="AA949" s="17" t="s">
        <v>6226</v>
      </c>
      <c r="AB949" s="17"/>
      <c r="AC949" s="17"/>
      <c r="AD949" s="17"/>
      <c r="AE949" s="18" t="s">
        <v>6213</v>
      </c>
      <c r="AF949" s="18"/>
      <c r="AG949" s="17"/>
      <c r="AH949" s="16"/>
      <c r="AI949" s="27" t="s">
        <v>6501</v>
      </c>
      <c r="AJ949" s="27"/>
      <c r="AK949" s="52"/>
      <c r="AL949" s="52"/>
    </row>
    <row r="950" spans="1:38" s="19" customFormat="1" ht="60" hidden="1" x14ac:dyDescent="0.25">
      <c r="A950" s="9" t="s">
        <v>6985</v>
      </c>
      <c r="B950" s="15" t="s">
        <v>6106</v>
      </c>
      <c r="C950" s="15" t="s">
        <v>16</v>
      </c>
      <c r="D950" s="15" t="s">
        <v>6711</v>
      </c>
      <c r="E950" s="15" t="s">
        <v>6714</v>
      </c>
      <c r="F950" s="15" t="s">
        <v>6715</v>
      </c>
      <c r="G950" s="15" t="s">
        <v>6361</v>
      </c>
      <c r="H950" s="15" t="s">
        <v>6107</v>
      </c>
      <c r="I950" s="15" t="s">
        <v>6635</v>
      </c>
      <c r="J950" s="27" t="str">
        <f>VLOOKUP(V950,Table_to_BRG!A:D,3,FALSE)</f>
        <v>General data</v>
      </c>
      <c r="K950" s="27" t="str">
        <f>VLOOKUP(V950,Table_to_BRG!A:D,2,FALSE)</f>
        <v>General</v>
      </c>
      <c r="L950" s="27"/>
      <c r="M950" s="27"/>
      <c r="N950" s="14" t="s">
        <v>6465</v>
      </c>
      <c r="O950" s="54" t="str">
        <f>"Superceded by rule "&amp;A996&amp;", "&amp;A998</f>
        <v>Superceded by rule 376, 378</v>
      </c>
      <c r="P950" s="16" t="s">
        <v>6855</v>
      </c>
      <c r="Q950" s="17" t="str">
        <f>RIGHT("00"&amp;Table362[[#This Row],[Rule '#]],3)&amp;"_"&amp;IF(Table362[[#This Row],[Entity]]="Material","MATL",LEFT(UPPER(Table362[[#This Row],[Entity]]),4))&amp;"_"&amp;MID(SUBSTITUTE(Table362[[#This Row],[Rule Name]],"_","|",3),SEARCH("|",SUBSTITUTE(Table362[[#This Row],[Rule Name]],"_","|",3))+1,LEN(Table362[[#This Row],[Rule Name]]))</f>
        <v>040_CUST_NG</v>
      </c>
      <c r="R950" s="16" t="s">
        <v>6227</v>
      </c>
      <c r="S950" s="15" t="s">
        <v>139</v>
      </c>
      <c r="T950" s="15"/>
      <c r="U950" s="16" t="s">
        <v>6614</v>
      </c>
      <c r="V950" s="15" t="s">
        <v>2741</v>
      </c>
      <c r="W950" s="16" t="s">
        <v>6609</v>
      </c>
      <c r="X950" s="16" t="s">
        <v>6610</v>
      </c>
      <c r="Y950" s="15"/>
      <c r="Z950" s="15"/>
      <c r="AA950" s="17" t="s">
        <v>6228</v>
      </c>
      <c r="AB950" s="17"/>
      <c r="AC950" s="17"/>
      <c r="AD950" s="17"/>
      <c r="AE950" s="18" t="s">
        <v>6213</v>
      </c>
      <c r="AF950" s="18"/>
      <c r="AG950" s="17"/>
      <c r="AH950" s="16"/>
      <c r="AI950" s="27" t="s">
        <v>6502</v>
      </c>
      <c r="AJ950" s="27"/>
      <c r="AK950" s="52"/>
      <c r="AL950" s="52"/>
    </row>
    <row r="951" spans="1:38" s="19" customFormat="1" ht="60" hidden="1" x14ac:dyDescent="0.25">
      <c r="A951" s="9" t="s">
        <v>6986</v>
      </c>
      <c r="B951" s="15" t="s">
        <v>6106</v>
      </c>
      <c r="C951" s="15" t="s">
        <v>16</v>
      </c>
      <c r="D951" s="15" t="s">
        <v>6711</v>
      </c>
      <c r="E951" s="15" t="s">
        <v>6714</v>
      </c>
      <c r="F951" s="15" t="s">
        <v>6715</v>
      </c>
      <c r="G951" s="15" t="s">
        <v>6361</v>
      </c>
      <c r="H951" s="15" t="s">
        <v>6107</v>
      </c>
      <c r="I951" s="15" t="s">
        <v>6635</v>
      </c>
      <c r="J951" s="27" t="str">
        <f>VLOOKUP(V951,Table_to_BRG!A:D,3,FALSE)</f>
        <v>General data</v>
      </c>
      <c r="K951" s="27" t="str">
        <f>VLOOKUP(V951,Table_to_BRG!A:D,2,FALSE)</f>
        <v>General</v>
      </c>
      <c r="L951" s="27"/>
      <c r="M951" s="27"/>
      <c r="N951" s="14" t="s">
        <v>6465</v>
      </c>
      <c r="O951" s="54" t="str">
        <f>"Superceded by rule "&amp;A996&amp;", "&amp;A998</f>
        <v>Superceded by rule 376, 378</v>
      </c>
      <c r="P951" s="16" t="s">
        <v>6856</v>
      </c>
      <c r="Q951" s="17" t="str">
        <f>RIGHT("00"&amp;Table362[[#This Row],[Rule '#]],3)&amp;"_"&amp;IF(Table362[[#This Row],[Entity]]="Material","MATL",LEFT(UPPER(Table362[[#This Row],[Entity]]),4))&amp;"_"&amp;MID(SUBSTITUTE(Table362[[#This Row],[Rule Name]],"_","|",3),SEARCH("|",SUBSTITUTE(Table362[[#This Row],[Rule Name]],"_","|",3))+1,LEN(Table362[[#This Row],[Rule Name]]))</f>
        <v>041_CUST_PT</v>
      </c>
      <c r="R951" s="16" t="s">
        <v>6229</v>
      </c>
      <c r="S951" s="15" t="s">
        <v>139</v>
      </c>
      <c r="T951" s="15"/>
      <c r="U951" s="16" t="s">
        <v>6614</v>
      </c>
      <c r="V951" s="15" t="s">
        <v>2741</v>
      </c>
      <c r="W951" s="16" t="s">
        <v>6609</v>
      </c>
      <c r="X951" s="16" t="s">
        <v>6610</v>
      </c>
      <c r="Y951" s="15"/>
      <c r="Z951" s="15"/>
      <c r="AA951" s="17" t="s">
        <v>6230</v>
      </c>
      <c r="AB951" s="17"/>
      <c r="AC951" s="17"/>
      <c r="AD951" s="17"/>
      <c r="AE951" s="18" t="s">
        <v>6213</v>
      </c>
      <c r="AF951" s="18"/>
      <c r="AG951" s="17"/>
      <c r="AH951" s="16"/>
      <c r="AI951" s="27" t="s">
        <v>6509</v>
      </c>
      <c r="AJ951" s="27"/>
      <c r="AK951" s="52"/>
      <c r="AL951" s="52"/>
    </row>
    <row r="952" spans="1:38" s="19" customFormat="1" ht="60" hidden="1" x14ac:dyDescent="0.25">
      <c r="A952" s="9" t="s">
        <v>6987</v>
      </c>
      <c r="B952" s="15" t="s">
        <v>6106</v>
      </c>
      <c r="C952" s="15" t="s">
        <v>16</v>
      </c>
      <c r="D952" s="15" t="s">
        <v>6711</v>
      </c>
      <c r="E952" s="15" t="s">
        <v>6714</v>
      </c>
      <c r="F952" s="15" t="s">
        <v>6715</v>
      </c>
      <c r="G952" s="15" t="s">
        <v>6361</v>
      </c>
      <c r="H952" s="15" t="s">
        <v>6107</v>
      </c>
      <c r="I952" s="15" t="s">
        <v>6635</v>
      </c>
      <c r="J952" s="27" t="str">
        <f>VLOOKUP(V952,Table_to_BRG!A:D,3,FALSE)</f>
        <v>General data</v>
      </c>
      <c r="K952" s="27" t="str">
        <f>VLOOKUP(V952,Table_to_BRG!A:D,2,FALSE)</f>
        <v>General</v>
      </c>
      <c r="L952" s="27"/>
      <c r="M952" s="27"/>
      <c r="N952" s="14" t="s">
        <v>6465</v>
      </c>
      <c r="O952" s="54" t="str">
        <f>"Superceded by rule "&amp;A996&amp;", "&amp;A998</f>
        <v>Superceded by rule 376, 378</v>
      </c>
      <c r="P952" s="16" t="s">
        <v>6857</v>
      </c>
      <c r="Q952" s="17" t="str">
        <f>RIGHT("00"&amp;Table362[[#This Row],[Rule '#]],3)&amp;"_"&amp;IF(Table362[[#This Row],[Entity]]="Material","MATL",LEFT(UPPER(Table362[[#This Row],[Entity]]),4))&amp;"_"&amp;MID(SUBSTITUTE(Table362[[#This Row],[Rule Name]],"_","|",3),SEARCH("|",SUBSTITUTE(Table362[[#This Row],[Rule Name]],"_","|",3))+1,LEN(Table362[[#This Row],[Rule Name]]))</f>
        <v>042_CUST_US</v>
      </c>
      <c r="R952" s="16" t="s">
        <v>6231</v>
      </c>
      <c r="S952" s="15" t="s">
        <v>139</v>
      </c>
      <c r="T952" s="15"/>
      <c r="U952" s="16" t="s">
        <v>6614</v>
      </c>
      <c r="V952" s="15" t="s">
        <v>2741</v>
      </c>
      <c r="W952" s="16" t="s">
        <v>6609</v>
      </c>
      <c r="X952" s="16" t="s">
        <v>6610</v>
      </c>
      <c r="Y952" s="15"/>
      <c r="Z952" s="15"/>
      <c r="AA952" s="17" t="s">
        <v>6232</v>
      </c>
      <c r="AB952" s="17"/>
      <c r="AC952" s="17"/>
      <c r="AD952" s="17"/>
      <c r="AE952" s="18" t="s">
        <v>6213</v>
      </c>
      <c r="AF952" s="18"/>
      <c r="AG952" s="17"/>
      <c r="AH952" s="16"/>
      <c r="AI952" s="27" t="s">
        <v>6510</v>
      </c>
      <c r="AJ952" s="27"/>
      <c r="AK952" s="52"/>
      <c r="AL952" s="52"/>
    </row>
    <row r="953" spans="1:38" s="19" customFormat="1" ht="60" hidden="1" x14ac:dyDescent="0.25">
      <c r="A953" s="9" t="s">
        <v>6988</v>
      </c>
      <c r="B953" s="15" t="s">
        <v>6106</v>
      </c>
      <c r="C953" s="15" t="s">
        <v>16</v>
      </c>
      <c r="D953" s="15" t="s">
        <v>6711</v>
      </c>
      <c r="E953" s="15" t="s">
        <v>6714</v>
      </c>
      <c r="F953" s="15" t="s">
        <v>6715</v>
      </c>
      <c r="G953" s="15" t="s">
        <v>6361</v>
      </c>
      <c r="H953" s="15" t="s">
        <v>6107</v>
      </c>
      <c r="I953" s="15" t="s">
        <v>6635</v>
      </c>
      <c r="J953" s="27" t="str">
        <f>VLOOKUP(V953,Table_to_BRG!A:D,3,FALSE)</f>
        <v>General data</v>
      </c>
      <c r="K953" s="27" t="str">
        <f>VLOOKUP(V953,Table_to_BRG!A:D,2,FALSE)</f>
        <v>General</v>
      </c>
      <c r="L953" s="27"/>
      <c r="M953" s="27"/>
      <c r="N953" s="14" t="s">
        <v>6465</v>
      </c>
      <c r="O953" s="54" t="str">
        <f>"Superceded by rule "&amp;A996&amp;", "&amp;A998</f>
        <v>Superceded by rule 376, 378</v>
      </c>
      <c r="P953" s="16" t="s">
        <v>6858</v>
      </c>
      <c r="Q953" s="17" t="str">
        <f>RIGHT("00"&amp;Table362[[#This Row],[Rule '#]],3)&amp;"_"&amp;IF(Table362[[#This Row],[Entity]]="Material","MATL",LEFT(UPPER(Table362[[#This Row],[Entity]]),4))&amp;"_"&amp;MID(SUBSTITUTE(Table362[[#This Row],[Rule Name]],"_","|",3),SEARCH("|",SUBSTITUTE(Table362[[#This Row],[Rule Name]],"_","|",3))+1,LEN(Table362[[#This Row],[Rule Name]]))</f>
        <v>043_CUST_CZ_SK</v>
      </c>
      <c r="R953" s="16" t="s">
        <v>6233</v>
      </c>
      <c r="S953" s="15" t="s">
        <v>139</v>
      </c>
      <c r="T953" s="15"/>
      <c r="U953" s="16" t="s">
        <v>6614</v>
      </c>
      <c r="V953" s="15" t="s">
        <v>2741</v>
      </c>
      <c r="W953" s="16" t="s">
        <v>6609</v>
      </c>
      <c r="X953" s="16" t="s">
        <v>6610</v>
      </c>
      <c r="Y953" s="15"/>
      <c r="Z953" s="15"/>
      <c r="AA953" s="17" t="s">
        <v>6234</v>
      </c>
      <c r="AB953" s="17"/>
      <c r="AC953" s="17"/>
      <c r="AD953" s="17"/>
      <c r="AE953" s="18" t="s">
        <v>6213</v>
      </c>
      <c r="AF953" s="18"/>
      <c r="AG953" s="17"/>
      <c r="AH953" s="16"/>
      <c r="AI953" s="27" t="s">
        <v>6511</v>
      </c>
      <c r="AJ953" s="27"/>
      <c r="AK953" s="52"/>
      <c r="AL953" s="52"/>
    </row>
    <row r="954" spans="1:38" s="19" customFormat="1" ht="84" hidden="1" x14ac:dyDescent="0.25">
      <c r="A954" s="9" t="s">
        <v>6989</v>
      </c>
      <c r="B954" s="15" t="s">
        <v>6106</v>
      </c>
      <c r="C954" s="15" t="s">
        <v>16</v>
      </c>
      <c r="D954" s="15" t="s">
        <v>6711</v>
      </c>
      <c r="E954" s="15" t="s">
        <v>6714</v>
      </c>
      <c r="F954" s="15" t="s">
        <v>6715</v>
      </c>
      <c r="G954" s="15" t="s">
        <v>6361</v>
      </c>
      <c r="H954" s="15" t="s">
        <v>6107</v>
      </c>
      <c r="I954" s="15" t="s">
        <v>6635</v>
      </c>
      <c r="J954" s="27" t="str">
        <f>VLOOKUP(V954,Table_to_BRG!A:D,3,FALSE)</f>
        <v>General data</v>
      </c>
      <c r="K954" s="27" t="str">
        <f>VLOOKUP(V954,Table_to_BRG!A:D,2,FALSE)</f>
        <v>General</v>
      </c>
      <c r="L954" s="27"/>
      <c r="M954" s="27"/>
      <c r="N954" s="14" t="s">
        <v>6465</v>
      </c>
      <c r="O954" s="54" t="str">
        <f>"Superceded by rule "&amp;A996&amp;", "&amp;A998</f>
        <v>Superceded by rule 376, 378</v>
      </c>
      <c r="P954" s="16" t="s">
        <v>6859</v>
      </c>
      <c r="Q954" s="17" t="str">
        <f>RIGHT("00"&amp;Table362[[#This Row],[Rule '#]],3)&amp;"_"&amp;IF(Table362[[#This Row],[Entity]]="Material","MATL",LEFT(UPPER(Table362[[#This Row],[Entity]]),4))&amp;"_"&amp;MID(SUBSTITUTE(Table362[[#This Row],[Rule Name]],"_","|",3),SEARCH("|",SUBSTITUTE(Table362[[#This Row],[Rule Name]],"_","|",3))+1,LEN(Table362[[#This Row],[Rule Name]]))</f>
        <v>044_CUST_AT_AU_BE</v>
      </c>
      <c r="R954" s="16" t="s">
        <v>6235</v>
      </c>
      <c r="S954" s="15" t="s">
        <v>139</v>
      </c>
      <c r="T954" s="15"/>
      <c r="U954" s="16" t="s">
        <v>6614</v>
      </c>
      <c r="V954" s="15" t="s">
        <v>2741</v>
      </c>
      <c r="W954" s="16" t="s">
        <v>6609</v>
      </c>
      <c r="X954" s="16" t="s">
        <v>6610</v>
      </c>
      <c r="Y954" s="15"/>
      <c r="Z954" s="15"/>
      <c r="AA954" s="17" t="s">
        <v>6236</v>
      </c>
      <c r="AB954" s="17"/>
      <c r="AC954" s="17"/>
      <c r="AD954" s="17"/>
      <c r="AE954" s="18" t="s">
        <v>6213</v>
      </c>
      <c r="AF954" s="18"/>
      <c r="AG954" s="17"/>
      <c r="AH954" s="16"/>
      <c r="AI954" s="27" t="s">
        <v>6512</v>
      </c>
      <c r="AJ954" s="27"/>
      <c r="AK954" s="52"/>
      <c r="AL954" s="52"/>
    </row>
    <row r="955" spans="1:38" s="19" customFormat="1" ht="60" hidden="1" x14ac:dyDescent="0.25">
      <c r="A955" s="9" t="s">
        <v>6990</v>
      </c>
      <c r="B955" s="15" t="s">
        <v>6106</v>
      </c>
      <c r="C955" s="15" t="s">
        <v>16</v>
      </c>
      <c r="D955" s="15" t="s">
        <v>6711</v>
      </c>
      <c r="E955" s="15" t="s">
        <v>6714</v>
      </c>
      <c r="F955" s="15" t="s">
        <v>6715</v>
      </c>
      <c r="G955" s="15" t="s">
        <v>6361</v>
      </c>
      <c r="H955" s="15" t="s">
        <v>6107</v>
      </c>
      <c r="I955" s="15" t="s">
        <v>6635</v>
      </c>
      <c r="J955" s="27" t="str">
        <f>VLOOKUP(V955,Table_to_BRG!A:D,3,FALSE)</f>
        <v>General data</v>
      </c>
      <c r="K955" s="27" t="str">
        <f>VLOOKUP(V955,Table_to_BRG!A:D,2,FALSE)</f>
        <v>General</v>
      </c>
      <c r="L955" s="27"/>
      <c r="M955" s="27"/>
      <c r="N955" s="14" t="s">
        <v>6465</v>
      </c>
      <c r="O955" s="54" t="str">
        <f>"Superceded by rule "&amp;A996&amp;", "&amp;A998</f>
        <v>Superceded by rule 376, 378</v>
      </c>
      <c r="P955" s="16" t="s">
        <v>6860</v>
      </c>
      <c r="Q955" s="17" t="str">
        <f>RIGHT("00"&amp;Table362[[#This Row],[Rule '#]],3)&amp;"_"&amp;IF(Table362[[#This Row],[Entity]]="Material","MATL",LEFT(UPPER(Table362[[#This Row],[Entity]]),4))&amp;"_"&amp;MID(SUBSTITUTE(Table362[[#This Row],[Rule Name]],"_","|",3),SEARCH("|",SUBSTITUTE(Table362[[#This Row],[Rule Name]],"_","|",3))+1,LEN(Table362[[#This Row],[Rule Name]]))</f>
        <v>045_CUST_ME_DE_DZ</v>
      </c>
      <c r="R955" s="16" t="s">
        <v>6237</v>
      </c>
      <c r="S955" s="15" t="s">
        <v>139</v>
      </c>
      <c r="T955" s="15"/>
      <c r="U955" s="16" t="s">
        <v>6614</v>
      </c>
      <c r="V955" s="15" t="s">
        <v>2741</v>
      </c>
      <c r="W955" s="16" t="s">
        <v>6609</v>
      </c>
      <c r="X955" s="16" t="s">
        <v>6610</v>
      </c>
      <c r="Y955" s="15"/>
      <c r="Z955" s="15"/>
      <c r="AA955" s="17" t="s">
        <v>6613</v>
      </c>
      <c r="AB955" s="17"/>
      <c r="AC955" s="17"/>
      <c r="AD955" s="17"/>
      <c r="AE955" s="18" t="s">
        <v>6213</v>
      </c>
      <c r="AF955" s="18"/>
      <c r="AG955" s="17"/>
      <c r="AH955" s="16"/>
      <c r="AI955" s="27" t="s">
        <v>6513</v>
      </c>
      <c r="AJ955" s="27"/>
      <c r="AK955" s="52"/>
      <c r="AL955" s="52"/>
    </row>
    <row r="956" spans="1:38" ht="60" hidden="1" x14ac:dyDescent="0.25">
      <c r="A956" s="9" t="s">
        <v>6991</v>
      </c>
      <c r="B956" s="7" t="s">
        <v>6106</v>
      </c>
      <c r="C956" s="7" t="s">
        <v>16</v>
      </c>
      <c r="D956" s="7" t="s">
        <v>6711</v>
      </c>
      <c r="E956" s="7" t="s">
        <v>6714</v>
      </c>
      <c r="F956" s="7" t="s">
        <v>6715</v>
      </c>
      <c r="G956" s="7" t="s">
        <v>6361</v>
      </c>
      <c r="H956" s="7" t="s">
        <v>6107</v>
      </c>
      <c r="I956" s="7" t="s">
        <v>6635</v>
      </c>
      <c r="J956" s="20" t="str">
        <f>VLOOKUP(V956,Table_to_BRG!A:D,3,FALSE)</f>
        <v>General data</v>
      </c>
      <c r="K956" s="20" t="str">
        <f>VLOOKUP(V956,Table_to_BRG!A:D,2,FALSE)</f>
        <v>General</v>
      </c>
      <c r="L956" s="20"/>
      <c r="M956" s="20"/>
      <c r="N956" s="9" t="s">
        <v>6465</v>
      </c>
      <c r="O956" s="54" t="s">
        <v>7812</v>
      </c>
      <c r="P956" s="7" t="s">
        <v>6238</v>
      </c>
      <c r="Q956" s="11" t="str">
        <f>RIGHT("00"&amp;Table362[[#This Row],[Rule '#]],3)&amp;"_"&amp;IF(Table362[[#This Row],[Entity]]="Material","MATL",LEFT(UPPER(Table362[[#This Row],[Entity]]),4))&amp;"_"&amp;MID(SUBSTITUTE(Table362[[#This Row],[Rule Name]],"_","|",3),SEARCH("|",SUBSTITUTE(Table362[[#This Row],[Rule Name]],"_","|",3))+1,LEN(Table362[[#This Row],[Rule Name]]))</f>
        <v>046_CUST_US_PH</v>
      </c>
      <c r="R956" s="8" t="s">
        <v>6239</v>
      </c>
      <c r="S956" s="7" t="s">
        <v>4135</v>
      </c>
      <c r="T956" s="7"/>
      <c r="U956" s="7"/>
      <c r="V956" s="7" t="s">
        <v>2741</v>
      </c>
      <c r="W956" s="7" t="s">
        <v>2957</v>
      </c>
      <c r="X956" s="8" t="s">
        <v>1394</v>
      </c>
      <c r="Y956" s="7"/>
      <c r="Z956" s="7"/>
      <c r="AA956" s="11" t="s">
        <v>6240</v>
      </c>
      <c r="AB956" s="11"/>
      <c r="AC956" s="11"/>
      <c r="AD956" s="11"/>
      <c r="AE956" s="13" t="s">
        <v>6213</v>
      </c>
      <c r="AH956" s="8"/>
      <c r="AI956" s="20"/>
      <c r="AJ956" s="20"/>
      <c r="AK956" s="31"/>
      <c r="AL956" s="31"/>
    </row>
    <row r="957" spans="1:38" ht="48" hidden="1" x14ac:dyDescent="0.25">
      <c r="A957" s="9" t="s">
        <v>6992</v>
      </c>
      <c r="B957" s="7" t="s">
        <v>6106</v>
      </c>
      <c r="C957" s="7" t="s">
        <v>16</v>
      </c>
      <c r="D957" s="7" t="s">
        <v>6711</v>
      </c>
      <c r="E957" s="7" t="s">
        <v>6714</v>
      </c>
      <c r="F957" s="7" t="s">
        <v>6715</v>
      </c>
      <c r="G957" s="7" t="s">
        <v>6361</v>
      </c>
      <c r="H957" s="7" t="s">
        <v>6107</v>
      </c>
      <c r="I957" s="7" t="s">
        <v>6635</v>
      </c>
      <c r="J957" s="20" t="str">
        <f>VLOOKUP(V957,Table_to_BRG!A:D,3,FALSE)</f>
        <v>General data</v>
      </c>
      <c r="K957" s="20" t="str">
        <f>VLOOKUP(V957,Table_to_BRG!A:D,2,FALSE)</f>
        <v>General</v>
      </c>
      <c r="L957" s="20"/>
      <c r="M957" s="20"/>
      <c r="N957" s="9" t="s">
        <v>6465</v>
      </c>
      <c r="O957" s="54" t="s">
        <v>7812</v>
      </c>
      <c r="P957" s="7" t="s">
        <v>6241</v>
      </c>
      <c r="Q957" s="11" t="e">
        <f>RIGHT("00"&amp;Table362[[#This Row],[Rule '#]],3)&amp;"_"&amp;IF(Table362[[#This Row],[Entity]]="Material","MATL",LEFT(UPPER(Table362[[#This Row],[Entity]]),4))&amp;"_"&amp;MID(SUBSTITUTE(Table362[[#This Row],[Rule Name]],"_","|",3),SEARCH("|",SUBSTITUTE(Table362[[#This Row],[Rule Name]],"_","|",3))+1,LEN(Table362[[#This Row],[Rule Name]]))</f>
        <v>#VALUE!</v>
      </c>
      <c r="R957" s="8" t="s">
        <v>6242</v>
      </c>
      <c r="S957" s="7" t="s">
        <v>4135</v>
      </c>
      <c r="T957" s="7"/>
      <c r="U957" s="7"/>
      <c r="V957" s="7" t="s">
        <v>2741</v>
      </c>
      <c r="W957" s="7" t="s">
        <v>2957</v>
      </c>
      <c r="X957" s="8" t="s">
        <v>1394</v>
      </c>
      <c r="Y957" s="7"/>
      <c r="Z957" s="7"/>
      <c r="AA957" s="11" t="s">
        <v>6243</v>
      </c>
      <c r="AB957" s="11"/>
      <c r="AC957" s="11"/>
      <c r="AD957" s="11"/>
      <c r="AE957" s="13" t="s">
        <v>6213</v>
      </c>
      <c r="AH957" s="8"/>
      <c r="AI957" s="20"/>
      <c r="AJ957" s="20"/>
      <c r="AK957" s="31"/>
      <c r="AL957" s="31"/>
    </row>
    <row r="958" spans="1:38" ht="48" hidden="1" x14ac:dyDescent="0.25">
      <c r="A958" s="9" t="s">
        <v>6993</v>
      </c>
      <c r="B958" s="7" t="s">
        <v>6106</v>
      </c>
      <c r="C958" s="7" t="s">
        <v>16</v>
      </c>
      <c r="D958" s="7" t="s">
        <v>6711</v>
      </c>
      <c r="E958" s="7" t="s">
        <v>6714</v>
      </c>
      <c r="F958" s="7" t="s">
        <v>6715</v>
      </c>
      <c r="G958" s="7" t="s">
        <v>6361</v>
      </c>
      <c r="H958" s="7" t="s">
        <v>6107</v>
      </c>
      <c r="I958" s="7" t="s">
        <v>6635</v>
      </c>
      <c r="J958" s="20" t="str">
        <f>VLOOKUP(V958,Table_to_BRG!A:D,3,FALSE)</f>
        <v>General data</v>
      </c>
      <c r="K958" s="20" t="str">
        <f>VLOOKUP(V958,Table_to_BRG!A:D,2,FALSE)</f>
        <v>General</v>
      </c>
      <c r="L958" s="20"/>
      <c r="M958" s="20"/>
      <c r="N958" s="9" t="s">
        <v>6465</v>
      </c>
      <c r="O958" s="54" t="s">
        <v>7812</v>
      </c>
      <c r="P958" s="7" t="s">
        <v>6244</v>
      </c>
      <c r="Q958" s="11" t="str">
        <f>RIGHT("00"&amp;Table362[[#This Row],[Rule '#]],3)&amp;"_"&amp;IF(Table362[[#This Row],[Entity]]="Material","MATL",LEFT(UPPER(Table362[[#This Row],[Entity]]),4))&amp;"_"&amp;MID(SUBSTITUTE(Table362[[#This Row],[Rule Name]],"_","|",3),SEARCH("|",SUBSTITUTE(Table362[[#This Row],[Rule Name]],"_","|",3))+1,LEN(Table362[[#This Row],[Rule Name]]))</f>
        <v>048_CUST_0</v>
      </c>
      <c r="R958" s="8" t="s">
        <v>6245</v>
      </c>
      <c r="S958" s="7" t="s">
        <v>4135</v>
      </c>
      <c r="T958" s="7"/>
      <c r="U958" s="7"/>
      <c r="V958" s="7" t="s">
        <v>2741</v>
      </c>
      <c r="W958" s="7" t="s">
        <v>2957</v>
      </c>
      <c r="X958" s="8" t="s">
        <v>1394</v>
      </c>
      <c r="Y958" s="7"/>
      <c r="Z958" s="7"/>
      <c r="AA958" s="11" t="s">
        <v>6246</v>
      </c>
      <c r="AB958" s="11"/>
      <c r="AC958" s="11"/>
      <c r="AD958" s="11"/>
      <c r="AE958" s="13" t="s">
        <v>6213</v>
      </c>
      <c r="AH958" s="8"/>
      <c r="AI958" s="20"/>
      <c r="AJ958" s="20"/>
      <c r="AK958" s="31"/>
      <c r="AL958" s="31"/>
    </row>
    <row r="959" spans="1:38" ht="72" hidden="1" x14ac:dyDescent="0.25">
      <c r="A959" s="9" t="s">
        <v>6994</v>
      </c>
      <c r="B959" s="7" t="s">
        <v>6106</v>
      </c>
      <c r="C959" s="7" t="s">
        <v>16</v>
      </c>
      <c r="D959" s="7" t="s">
        <v>6711</v>
      </c>
      <c r="E959" s="7" t="s">
        <v>6714</v>
      </c>
      <c r="F959" s="7" t="s">
        <v>6715</v>
      </c>
      <c r="G959" s="7" t="s">
        <v>6361</v>
      </c>
      <c r="H959" s="7" t="s">
        <v>6107</v>
      </c>
      <c r="I959" s="7" t="s">
        <v>6635</v>
      </c>
      <c r="J959" s="20" t="str">
        <f>VLOOKUP(V959,Table_to_BRG!A:D,3,FALSE)</f>
        <v>General data</v>
      </c>
      <c r="K959" s="20" t="str">
        <f>VLOOKUP(V959,Table_to_BRG!A:D,2,FALSE)</f>
        <v>General</v>
      </c>
      <c r="L959" s="20"/>
      <c r="M959" s="20"/>
      <c r="N959" s="9" t="s">
        <v>6465</v>
      </c>
      <c r="O959" s="54" t="s">
        <v>7812</v>
      </c>
      <c r="P959" s="7" t="s">
        <v>6247</v>
      </c>
      <c r="Q959" s="11" t="str">
        <f>RIGHT("00"&amp;Table362[[#This Row],[Rule '#]],3)&amp;"_"&amp;IF(Table362[[#This Row],[Entity]]="Material","MATL",LEFT(UPPER(Table362[[#This Row],[Entity]]),4))&amp;"_"&amp;MID(SUBSTITUTE(Table362[[#This Row],[Rule Name]],"_","|",3),SEARCH("|",SUBSTITUTE(Table362[[#This Row],[Rule Name]],"_","|",3))+1,LEN(Table362[[#This Row],[Rule Name]]))</f>
        <v>049_CUST_JP</v>
      </c>
      <c r="R959" s="8" t="s">
        <v>6248</v>
      </c>
      <c r="S959" s="7" t="s">
        <v>4135</v>
      </c>
      <c r="T959" s="7"/>
      <c r="U959" s="7"/>
      <c r="V959" s="7" t="s">
        <v>2741</v>
      </c>
      <c r="W959" s="7" t="s">
        <v>2957</v>
      </c>
      <c r="X959" s="8" t="s">
        <v>1394</v>
      </c>
      <c r="Y959" s="7"/>
      <c r="Z959" s="7"/>
      <c r="AA959" s="11" t="s">
        <v>6249</v>
      </c>
      <c r="AB959" s="11"/>
      <c r="AC959" s="11"/>
      <c r="AD959" s="11"/>
      <c r="AE959" s="13" t="s">
        <v>6213</v>
      </c>
      <c r="AH959" s="8"/>
      <c r="AI959" s="20"/>
      <c r="AJ959" s="20"/>
      <c r="AK959" s="31"/>
      <c r="AL959" s="31"/>
    </row>
    <row r="960" spans="1:38" ht="45" hidden="1" x14ac:dyDescent="0.25">
      <c r="A960" s="9" t="s">
        <v>6995</v>
      </c>
      <c r="B960" s="7" t="s">
        <v>6106</v>
      </c>
      <c r="C960" s="7" t="s">
        <v>16</v>
      </c>
      <c r="D960" s="7" t="s">
        <v>6711</v>
      </c>
      <c r="E960" s="7" t="s">
        <v>6714</v>
      </c>
      <c r="F960" s="7" t="s">
        <v>6715</v>
      </c>
      <c r="G960" s="7" t="s">
        <v>6361</v>
      </c>
      <c r="H960" s="7" t="s">
        <v>6107</v>
      </c>
      <c r="I960" s="7" t="s">
        <v>2932</v>
      </c>
      <c r="J960" s="20" t="str">
        <f>VLOOKUP(V960,Table_to_BRG!A:D,3,FALSE)</f>
        <v>General data</v>
      </c>
      <c r="K960" s="20" t="str">
        <f>VLOOKUP(V960,Table_to_BRG!A:D,2,FALSE)</f>
        <v>General</v>
      </c>
      <c r="L960" s="20"/>
      <c r="M960" s="20"/>
      <c r="N960" s="9" t="s">
        <v>6465</v>
      </c>
      <c r="O960" s="54" t="s">
        <v>7812</v>
      </c>
      <c r="P960" s="7" t="s">
        <v>6250</v>
      </c>
      <c r="Q960" s="11" t="str">
        <f>RIGHT("00"&amp;Table362[[#This Row],[Rule '#]],3)&amp;"_"&amp;IF(Table362[[#This Row],[Entity]]="Material","MATL",LEFT(UPPER(Table362[[#This Row],[Entity]]),4))&amp;"_"&amp;MID(SUBSTITUTE(Table362[[#This Row],[Rule Name]],"_","|",3),SEARCH("|",SUBSTITUTE(Table362[[#This Row],[Rule Name]],"_","|",3))+1,LEN(Table362[[#This Row],[Rule Name]]))</f>
        <v>050_CUST_US</v>
      </c>
      <c r="R960" s="8" t="s">
        <v>6251</v>
      </c>
      <c r="S960" s="7" t="s">
        <v>4135</v>
      </c>
      <c r="T960" s="7"/>
      <c r="U960" s="7"/>
      <c r="V960" s="7" t="s">
        <v>2741</v>
      </c>
      <c r="W960" s="7" t="s">
        <v>2963</v>
      </c>
      <c r="X960" s="8" t="s">
        <v>2932</v>
      </c>
      <c r="Y960" s="7"/>
      <c r="Z960" s="7"/>
      <c r="AA960" s="11" t="s">
        <v>6252</v>
      </c>
      <c r="AB960" s="11"/>
      <c r="AC960" s="11"/>
      <c r="AD960" s="11"/>
      <c r="AE960" s="13" t="s">
        <v>6253</v>
      </c>
      <c r="AH960" s="8"/>
      <c r="AI960" s="20"/>
      <c r="AJ960" s="20"/>
      <c r="AK960" s="31"/>
      <c r="AL960" s="31"/>
    </row>
    <row r="961" spans="1:38" ht="60" hidden="1" x14ac:dyDescent="0.25">
      <c r="A961" s="9" t="s">
        <v>6996</v>
      </c>
      <c r="B961" s="7" t="s">
        <v>6106</v>
      </c>
      <c r="C961" s="7" t="s">
        <v>16</v>
      </c>
      <c r="D961" s="7" t="s">
        <v>6711</v>
      </c>
      <c r="E961" s="7" t="s">
        <v>6714</v>
      </c>
      <c r="F961" s="7" t="s">
        <v>6715</v>
      </c>
      <c r="G961" s="7" t="s">
        <v>6361</v>
      </c>
      <c r="H961" s="7" t="s">
        <v>6107</v>
      </c>
      <c r="I961" s="7" t="s">
        <v>2932</v>
      </c>
      <c r="J961" s="20" t="str">
        <f>VLOOKUP(V961,Table_to_BRG!A:D,3,FALSE)</f>
        <v>General data</v>
      </c>
      <c r="K961" s="20" t="str">
        <f>VLOOKUP(V961,Table_to_BRG!A:D,2,FALSE)</f>
        <v>General</v>
      </c>
      <c r="L961" s="20"/>
      <c r="M961" s="20"/>
      <c r="N961" s="9" t="s">
        <v>6465</v>
      </c>
      <c r="O961" s="54" t="s">
        <v>7812</v>
      </c>
      <c r="P961" s="7" t="s">
        <v>6254</v>
      </c>
      <c r="Q961" s="11" t="e">
        <f>RIGHT("00"&amp;Table362[[#This Row],[Rule '#]],3)&amp;"_"&amp;IF(Table362[[#This Row],[Entity]]="Material","MATL",LEFT(UPPER(Table362[[#This Row],[Entity]]),4))&amp;"_"&amp;MID(SUBSTITUTE(Table362[[#This Row],[Rule Name]],"_","|",3),SEARCH("|",SUBSTITUTE(Table362[[#This Row],[Rule Name]],"_","|",3))+1,LEN(Table362[[#This Row],[Rule Name]]))</f>
        <v>#VALUE!</v>
      </c>
      <c r="R961" s="8" t="s">
        <v>6255</v>
      </c>
      <c r="S961" s="7" t="s">
        <v>4135</v>
      </c>
      <c r="T961" s="7"/>
      <c r="U961" s="7"/>
      <c r="V961" s="7" t="s">
        <v>2741</v>
      </c>
      <c r="W961" s="7" t="s">
        <v>2963</v>
      </c>
      <c r="X961" s="8" t="s">
        <v>2932</v>
      </c>
      <c r="Y961" s="7"/>
      <c r="Z961" s="7"/>
      <c r="AA961" s="11" t="s">
        <v>6256</v>
      </c>
      <c r="AB961" s="11"/>
      <c r="AC961" s="11"/>
      <c r="AD961" s="11"/>
      <c r="AE961" s="13" t="s">
        <v>6253</v>
      </c>
      <c r="AH961" s="8"/>
      <c r="AI961" s="20"/>
      <c r="AJ961" s="20"/>
      <c r="AK961" s="31"/>
      <c r="AL961" s="31"/>
    </row>
    <row r="962" spans="1:38" ht="48" hidden="1" x14ac:dyDescent="0.25">
      <c r="A962" s="9" t="s">
        <v>6997</v>
      </c>
      <c r="B962" s="7" t="s">
        <v>6106</v>
      </c>
      <c r="C962" s="7" t="s">
        <v>16</v>
      </c>
      <c r="D962" s="7" t="s">
        <v>6711</v>
      </c>
      <c r="E962" s="7" t="s">
        <v>6714</v>
      </c>
      <c r="F962" s="7" t="s">
        <v>6715</v>
      </c>
      <c r="G962" s="7" t="s">
        <v>6361</v>
      </c>
      <c r="H962" s="7" t="s">
        <v>6107</v>
      </c>
      <c r="I962" s="7" t="s">
        <v>6637</v>
      </c>
      <c r="J962" s="20" t="str">
        <f>VLOOKUP(V962,Table_to_BRG!A:D,3,FALSE)</f>
        <v>General data</v>
      </c>
      <c r="K962" s="20" t="str">
        <f>VLOOKUP(V962,Table_to_BRG!A:D,2,FALSE)</f>
        <v>General</v>
      </c>
      <c r="L962" s="20"/>
      <c r="M962" s="20"/>
      <c r="N962" s="9" t="s">
        <v>6465</v>
      </c>
      <c r="O962" s="54" t="s">
        <v>7812</v>
      </c>
      <c r="P962" s="7" t="s">
        <v>6257</v>
      </c>
      <c r="Q962" s="11" t="str">
        <f>RIGHT("00"&amp;Table362[[#This Row],[Rule '#]],3)&amp;"_"&amp;IF(Table362[[#This Row],[Entity]]="Material","MATL",LEFT(UPPER(Table362[[#This Row],[Entity]]),4))&amp;"_"&amp;MID(SUBSTITUTE(Table362[[#This Row],[Rule Name]],"_","|",3),SEARCH("|",SUBSTITUTE(Table362[[#This Row],[Rule Name]],"_","|",3))+1,LEN(Table362[[#This Row],[Rule Name]]))</f>
        <v>052_CUST_Null</v>
      </c>
      <c r="R962" s="8" t="s">
        <v>6258</v>
      </c>
      <c r="S962" s="7" t="s">
        <v>21</v>
      </c>
      <c r="T962" s="7"/>
      <c r="U962" s="7"/>
      <c r="V962" s="7" t="s">
        <v>2741</v>
      </c>
      <c r="W962" s="7" t="s">
        <v>2963</v>
      </c>
      <c r="X962" s="8" t="s">
        <v>2932</v>
      </c>
      <c r="Y962" s="7"/>
      <c r="Z962" s="7"/>
      <c r="AA962" s="11" t="s">
        <v>6259</v>
      </c>
      <c r="AB962" s="11"/>
      <c r="AC962" s="11"/>
      <c r="AD962" s="11"/>
      <c r="AE962" s="13" t="s">
        <v>6253</v>
      </c>
      <c r="AH962" s="8"/>
      <c r="AI962" s="20"/>
      <c r="AJ962" s="20"/>
      <c r="AK962" s="31"/>
      <c r="AL962" s="31"/>
    </row>
    <row r="963" spans="1:38" ht="60" hidden="1" x14ac:dyDescent="0.25">
      <c r="A963" s="9" t="s">
        <v>6998</v>
      </c>
      <c r="B963" s="7" t="s">
        <v>6106</v>
      </c>
      <c r="C963" s="7" t="s">
        <v>16</v>
      </c>
      <c r="D963" s="7" t="s">
        <v>6735</v>
      </c>
      <c r="E963" s="7" t="s">
        <v>6736</v>
      </c>
      <c r="F963" s="7" t="s">
        <v>6750</v>
      </c>
      <c r="G963" s="7" t="s">
        <v>6361</v>
      </c>
      <c r="H963" s="7" t="s">
        <v>6107</v>
      </c>
      <c r="I963" s="7" t="s">
        <v>6636</v>
      </c>
      <c r="J963" s="20" t="str">
        <f>VLOOKUP(V963,Table_to_BRG!A:D,3,FALSE)</f>
        <v>Address data</v>
      </c>
      <c r="K963" s="20" t="str">
        <f>VLOOKUP(V963,Table_to_BRG!A:D,2,FALSE)</f>
        <v>Address</v>
      </c>
      <c r="L963" s="20"/>
      <c r="M963" s="20"/>
      <c r="N963" s="9" t="s">
        <v>6465</v>
      </c>
      <c r="O963" s="54" t="s">
        <v>7812</v>
      </c>
      <c r="P963" s="7"/>
      <c r="Q963" s="11" t="e">
        <f>RIGHT("00"&amp;Table362[[#This Row],[Rule '#]],3)&amp;"_"&amp;IF(Table362[[#This Row],[Entity]]="Material","MATL",LEFT(UPPER(Table362[[#This Row],[Entity]]),4))&amp;"_"&amp;MID(SUBSTITUTE(Table362[[#This Row],[Rule Name]],"_","|",3),SEARCH("|",SUBSTITUTE(Table362[[#This Row],[Rule Name]],"_","|",3))+1,LEN(Table362[[#This Row],[Rule Name]]))</f>
        <v>#VALUE!</v>
      </c>
      <c r="R963" s="8" t="s">
        <v>6260</v>
      </c>
      <c r="S963" s="7" t="s">
        <v>4135</v>
      </c>
      <c r="T963" s="7"/>
      <c r="U963" s="7"/>
      <c r="V963" s="7" t="s">
        <v>6261</v>
      </c>
      <c r="W963" s="7" t="s">
        <v>6262</v>
      </c>
      <c r="X963" s="8" t="s">
        <v>2930</v>
      </c>
      <c r="Y963" s="7"/>
      <c r="Z963" s="7"/>
      <c r="AA963" s="11" t="s">
        <v>6263</v>
      </c>
      <c r="AB963" s="11"/>
      <c r="AC963" s="11"/>
      <c r="AD963" s="11"/>
      <c r="AE963" s="13" t="s">
        <v>6264</v>
      </c>
      <c r="AH963" s="8"/>
      <c r="AI963" s="20"/>
      <c r="AJ963" s="20"/>
      <c r="AK963" s="31"/>
      <c r="AL963" s="31"/>
    </row>
    <row r="964" spans="1:38" ht="48" hidden="1" x14ac:dyDescent="0.25">
      <c r="A964" s="9" t="s">
        <v>6999</v>
      </c>
      <c r="B964" s="7" t="s">
        <v>6106</v>
      </c>
      <c r="C964" s="7" t="s">
        <v>16</v>
      </c>
      <c r="D964" s="7" t="s">
        <v>6711</v>
      </c>
      <c r="E964" s="7" t="s">
        <v>6714</v>
      </c>
      <c r="F964" s="7" t="s">
        <v>6715</v>
      </c>
      <c r="G964" s="7" t="s">
        <v>6361</v>
      </c>
      <c r="H964" s="7" t="s">
        <v>2981</v>
      </c>
      <c r="I964" s="7" t="s">
        <v>6124</v>
      </c>
      <c r="J964" s="20" t="str">
        <f>VLOOKUP(V964,Table_to_BRG!A:D,3,FALSE)</f>
        <v>General data</v>
      </c>
      <c r="K964" s="20" t="str">
        <f>VLOOKUP(V964,Table_to_BRG!A:D,2,FALSE)</f>
        <v>General</v>
      </c>
      <c r="L964" s="20"/>
      <c r="M964" s="20"/>
      <c r="N964" s="9" t="s">
        <v>6465</v>
      </c>
      <c r="O964" s="54" t="s">
        <v>7812</v>
      </c>
      <c r="P964" s="7" t="s">
        <v>6265</v>
      </c>
      <c r="Q964" s="11" t="str">
        <f>RIGHT("00"&amp;Table362[[#This Row],[Rule '#]],3)&amp;"_"&amp;IF(Table362[[#This Row],[Entity]]="Material","MATL",LEFT(UPPER(Table362[[#This Row],[Entity]]),4))&amp;"_"&amp;MID(SUBSTITUTE(Table362[[#This Row],[Rule Name]],"_","|",3),SEARCH("|",SUBSTITUTE(Table362[[#This Row],[Rule Name]],"_","|",3))+1,LEN(Table362[[#This Row],[Rule Name]]))</f>
        <v>054_CUST_Caps</v>
      </c>
      <c r="R964" s="8" t="s">
        <v>6266</v>
      </c>
      <c r="S964" s="7" t="s">
        <v>139</v>
      </c>
      <c r="T964" s="7"/>
      <c r="U964" s="7"/>
      <c r="V964" s="7" t="s">
        <v>2741</v>
      </c>
      <c r="W964" s="7" t="s">
        <v>3646</v>
      </c>
      <c r="X964" s="8" t="s">
        <v>3620</v>
      </c>
      <c r="Y964" s="7"/>
      <c r="Z964" s="7"/>
      <c r="AA964" s="11" t="s">
        <v>6267</v>
      </c>
      <c r="AB964" s="11"/>
      <c r="AC964" s="11"/>
      <c r="AD964" s="11"/>
      <c r="AE964" s="13" t="s">
        <v>6151</v>
      </c>
      <c r="AH964" s="8"/>
      <c r="AI964" s="20"/>
      <c r="AJ964" s="20"/>
      <c r="AK964" s="31"/>
      <c r="AL964" s="31"/>
    </row>
    <row r="965" spans="1:38" ht="72" hidden="1" x14ac:dyDescent="0.25">
      <c r="A965" s="9" t="s">
        <v>7000</v>
      </c>
      <c r="B965" s="7" t="s">
        <v>6106</v>
      </c>
      <c r="C965" s="7" t="s">
        <v>16</v>
      </c>
      <c r="D965" s="7" t="s">
        <v>6711</v>
      </c>
      <c r="E965" s="7" t="s">
        <v>6714</v>
      </c>
      <c r="F965" s="7" t="s">
        <v>6715</v>
      </c>
      <c r="G965" s="7" t="s">
        <v>6361</v>
      </c>
      <c r="H965" s="7" t="s">
        <v>2981</v>
      </c>
      <c r="I965" s="7" t="s">
        <v>3967</v>
      </c>
      <c r="J965" s="20" t="str">
        <f>VLOOKUP(V965,Table_to_BRG!A:D,3,FALSE)</f>
        <v>General data</v>
      </c>
      <c r="K965" s="20" t="str">
        <f>VLOOKUP(V965,Table_to_BRG!A:D,2,FALSE)</f>
        <v>General</v>
      </c>
      <c r="L965" s="20"/>
      <c r="M965" s="20"/>
      <c r="N965" s="9" t="s">
        <v>6465</v>
      </c>
      <c r="O965" s="54" t="s">
        <v>7812</v>
      </c>
      <c r="P965" s="7" t="s">
        <v>6268</v>
      </c>
      <c r="Q965" s="11" t="str">
        <f>RIGHT("00"&amp;Table362[[#This Row],[Rule '#]],3)&amp;"_"&amp;IF(Table362[[#This Row],[Entity]]="Material","MATL",LEFT(UPPER(Table362[[#This Row],[Entity]]),4))&amp;"_"&amp;MID(SUBSTITUTE(Table362[[#This Row],[Rule Name]],"_","|",3),SEARCH("|",SUBSTITUTE(Table362[[#This Row],[Rule Name]],"_","|",3))+1,LEN(Table362[[#This Row],[Rule Name]]))</f>
        <v>055_CUST_PO_BP</v>
      </c>
      <c r="R965" s="8" t="s">
        <v>6269</v>
      </c>
      <c r="S965" s="7" t="s">
        <v>139</v>
      </c>
      <c r="T965" s="7"/>
      <c r="U965" s="7"/>
      <c r="V965" s="7" t="s">
        <v>2741</v>
      </c>
      <c r="W965" s="7" t="s">
        <v>3646</v>
      </c>
      <c r="X965" s="8" t="s">
        <v>3620</v>
      </c>
      <c r="Y965" s="7"/>
      <c r="Z965" s="7"/>
      <c r="AA965" s="11" t="s">
        <v>6270</v>
      </c>
      <c r="AB965" s="11"/>
      <c r="AC965" s="11"/>
      <c r="AD965" s="11"/>
      <c r="AE965" s="13" t="s">
        <v>6151</v>
      </c>
      <c r="AH965" s="8"/>
      <c r="AI965" s="20"/>
      <c r="AJ965" s="20"/>
      <c r="AK965" s="31"/>
      <c r="AL965" s="31"/>
    </row>
    <row r="966" spans="1:38" ht="72" hidden="1" x14ac:dyDescent="0.25">
      <c r="A966" s="9" t="s">
        <v>7001</v>
      </c>
      <c r="B966" s="7" t="s">
        <v>6106</v>
      </c>
      <c r="C966" s="7" t="s">
        <v>16</v>
      </c>
      <c r="D966" s="7" t="s">
        <v>6711</v>
      </c>
      <c r="E966" s="7" t="s">
        <v>6714</v>
      </c>
      <c r="F966" s="7" t="s">
        <v>6715</v>
      </c>
      <c r="G966" s="7" t="s">
        <v>6361</v>
      </c>
      <c r="H966" s="7" t="s">
        <v>2981</v>
      </c>
      <c r="I966" s="7" t="s">
        <v>3967</v>
      </c>
      <c r="J966" s="20" t="str">
        <f>VLOOKUP(V966,Table_to_BRG!A:D,3,FALSE)</f>
        <v>General data</v>
      </c>
      <c r="K966" s="20" t="str">
        <f>VLOOKUP(V966,Table_to_BRG!A:D,2,FALSE)</f>
        <v>General</v>
      </c>
      <c r="L966" s="20"/>
      <c r="M966" s="20"/>
      <c r="N966" s="9" t="s">
        <v>6465</v>
      </c>
      <c r="O966" s="54" t="s">
        <v>7812</v>
      </c>
      <c r="P966" s="7" t="s">
        <v>6271</v>
      </c>
      <c r="Q966" s="11" t="str">
        <f>RIGHT("00"&amp;Table362[[#This Row],[Rule '#]],3)&amp;"_"&amp;IF(Table362[[#This Row],[Entity]]="Material","MATL",LEFT(UPPER(Table362[[#This Row],[Entity]]),4))&amp;"_"&amp;MID(SUBSTITUTE(Table362[[#This Row],[Rule Name]],"_","|",3),SEARCH("|",SUBSTITUTE(Table362[[#This Row],[Rule Name]],"_","|",3))+1,LEN(Table362[[#This Row],[Rule Name]]))</f>
        <v>056_CUST_ATTN</v>
      </c>
      <c r="R966" s="8" t="s">
        <v>6272</v>
      </c>
      <c r="S966" s="7" t="s">
        <v>139</v>
      </c>
      <c r="T966" s="7"/>
      <c r="U966" s="7"/>
      <c r="V966" s="7" t="s">
        <v>2741</v>
      </c>
      <c r="W966" s="7" t="s">
        <v>3646</v>
      </c>
      <c r="X966" s="8" t="s">
        <v>3620</v>
      </c>
      <c r="Y966" s="7"/>
      <c r="Z966" s="7"/>
      <c r="AA966" s="11" t="s">
        <v>6273</v>
      </c>
      <c r="AB966" s="11"/>
      <c r="AC966" s="11"/>
      <c r="AD966" s="11"/>
      <c r="AE966" s="13" t="s">
        <v>6151</v>
      </c>
      <c r="AH966" s="8"/>
      <c r="AI966" s="20"/>
      <c r="AJ966" s="20"/>
      <c r="AK966" s="31"/>
      <c r="AL966" s="31"/>
    </row>
    <row r="967" spans="1:38" ht="60" hidden="1" x14ac:dyDescent="0.25">
      <c r="A967" s="9" t="s">
        <v>7002</v>
      </c>
      <c r="B967" s="7" t="s">
        <v>6106</v>
      </c>
      <c r="C967" s="7" t="s">
        <v>16</v>
      </c>
      <c r="D967" s="7" t="s">
        <v>6711</v>
      </c>
      <c r="E967" s="7" t="s">
        <v>6714</v>
      </c>
      <c r="F967" s="7" t="s">
        <v>6715</v>
      </c>
      <c r="G967" s="7" t="s">
        <v>6361</v>
      </c>
      <c r="H967" s="7" t="s">
        <v>6274</v>
      </c>
      <c r="I967" s="7" t="s">
        <v>6633</v>
      </c>
      <c r="J967" s="20" t="str">
        <f>VLOOKUP(V967,Table_to_BRG!A:D,3,FALSE)</f>
        <v>General data</v>
      </c>
      <c r="K967" s="20" t="str">
        <f>VLOOKUP(V967,Table_to_BRG!A:D,2,FALSE)</f>
        <v>General</v>
      </c>
      <c r="L967" s="20"/>
      <c r="M967" s="20"/>
      <c r="N967" s="9" t="s">
        <v>6465</v>
      </c>
      <c r="O967" s="54" t="s">
        <v>7812</v>
      </c>
      <c r="P967" s="7"/>
      <c r="Q967" s="11" t="e">
        <f>RIGHT("00"&amp;Table362[[#This Row],[Rule '#]],3)&amp;"_"&amp;IF(Table362[[#This Row],[Entity]]="Material","MATL",LEFT(UPPER(Table362[[#This Row],[Entity]]),4))&amp;"_"&amp;MID(SUBSTITUTE(Table362[[#This Row],[Rule Name]],"_","|",3),SEARCH("|",SUBSTITUTE(Table362[[#This Row],[Rule Name]],"_","|",3))+1,LEN(Table362[[#This Row],[Rule Name]]))</f>
        <v>#VALUE!</v>
      </c>
      <c r="R967" s="8" t="s">
        <v>6275</v>
      </c>
      <c r="S967" s="7" t="s">
        <v>4135</v>
      </c>
      <c r="T967" s="7"/>
      <c r="U967" s="7" t="s">
        <v>6619</v>
      </c>
      <c r="V967" s="7" t="s">
        <v>2741</v>
      </c>
      <c r="W967" s="7" t="s">
        <v>3062</v>
      </c>
      <c r="X967" s="8" t="s">
        <v>708</v>
      </c>
      <c r="Y967" s="7"/>
      <c r="Z967" s="7"/>
      <c r="AA967" s="11" t="s">
        <v>6276</v>
      </c>
      <c r="AB967" s="11"/>
      <c r="AC967" s="11"/>
      <c r="AD967" s="11"/>
      <c r="AE967" s="13" t="s">
        <v>6277</v>
      </c>
      <c r="AH967" s="8"/>
      <c r="AI967" s="20"/>
      <c r="AJ967" s="20"/>
      <c r="AK967" s="31"/>
      <c r="AL967" s="31"/>
    </row>
    <row r="968" spans="1:38" ht="72" hidden="1" x14ac:dyDescent="0.25">
      <c r="A968" s="9" t="s">
        <v>7003</v>
      </c>
      <c r="B968" s="7" t="s">
        <v>6106</v>
      </c>
      <c r="C968" s="7" t="s">
        <v>16</v>
      </c>
      <c r="D968" s="7" t="s">
        <v>6711</v>
      </c>
      <c r="E968" s="7" t="s">
        <v>6714</v>
      </c>
      <c r="F968" s="7" t="s">
        <v>6715</v>
      </c>
      <c r="G968" s="7" t="s">
        <v>6361</v>
      </c>
      <c r="H968" s="7" t="s">
        <v>6274</v>
      </c>
      <c r="I968" s="7" t="s">
        <v>6633</v>
      </c>
      <c r="J968" s="20" t="str">
        <f>VLOOKUP(V968,Table_to_BRG!A:D,3,FALSE)</f>
        <v>General data</v>
      </c>
      <c r="K968" s="20" t="str">
        <f>VLOOKUP(V968,Table_to_BRG!A:D,2,FALSE)</f>
        <v>General</v>
      </c>
      <c r="L968" s="20"/>
      <c r="M968" s="20"/>
      <c r="N968" s="9" t="s">
        <v>6465</v>
      </c>
      <c r="O968" s="54" t="s">
        <v>7812</v>
      </c>
      <c r="P968" s="7" t="s">
        <v>6278</v>
      </c>
      <c r="Q968" s="11" t="str">
        <f>RIGHT("00"&amp;Table362[[#This Row],[Rule '#]],3)&amp;"_"&amp;IF(Table362[[#This Row],[Entity]]="Material","MATL",LEFT(UPPER(Table362[[#This Row],[Entity]]),4))&amp;"_"&amp;MID(SUBSTITUTE(Table362[[#This Row],[Rule Name]],"_","|",3),SEARCH("|",SUBSTITUTE(Table362[[#This Row],[Rule Name]],"_","|",3))+1,LEN(Table362[[#This Row],[Rule Name]]))</f>
        <v>058_CUST_11111_NA</v>
      </c>
      <c r="R968" s="8" t="s">
        <v>6279</v>
      </c>
      <c r="S968" s="7" t="s">
        <v>4135</v>
      </c>
      <c r="T968" s="7"/>
      <c r="U968" s="7" t="s">
        <v>6619</v>
      </c>
      <c r="V968" s="7" t="s">
        <v>2741</v>
      </c>
      <c r="W968" s="7" t="s">
        <v>3062</v>
      </c>
      <c r="X968" s="8" t="s">
        <v>708</v>
      </c>
      <c r="Y968" s="7"/>
      <c r="Z968" s="7"/>
      <c r="AA968" s="11" t="s">
        <v>6280</v>
      </c>
      <c r="AB968" s="11"/>
      <c r="AC968" s="11"/>
      <c r="AD968" s="11"/>
      <c r="AE968" s="13" t="s">
        <v>6277</v>
      </c>
      <c r="AH968" s="8"/>
      <c r="AI968" s="20"/>
      <c r="AJ968" s="20"/>
      <c r="AK968" s="31"/>
      <c r="AL968" s="31"/>
    </row>
    <row r="969" spans="1:38" ht="60" hidden="1" x14ac:dyDescent="0.25">
      <c r="A969" s="9" t="s">
        <v>7004</v>
      </c>
      <c r="B969" s="7" t="s">
        <v>6106</v>
      </c>
      <c r="C969" s="7" t="s">
        <v>16</v>
      </c>
      <c r="D969" s="7" t="s">
        <v>6711</v>
      </c>
      <c r="E969" s="7" t="s">
        <v>6714</v>
      </c>
      <c r="F969" s="7" t="s">
        <v>6715</v>
      </c>
      <c r="G969" s="7" t="s">
        <v>6361</v>
      </c>
      <c r="H969" s="7" t="s">
        <v>6274</v>
      </c>
      <c r="I969" s="7" t="s">
        <v>6633</v>
      </c>
      <c r="J969" s="20" t="str">
        <f>VLOOKUP(V969,Table_to_BRG!A:D,3,FALSE)</f>
        <v>General data</v>
      </c>
      <c r="K969" s="20" t="str">
        <f>VLOOKUP(V969,Table_to_BRG!A:D,2,FALSE)</f>
        <v>General</v>
      </c>
      <c r="L969" s="20"/>
      <c r="M969" s="20"/>
      <c r="N969" s="9" t="s">
        <v>6465</v>
      </c>
      <c r="O969" s="54" t="s">
        <v>7812</v>
      </c>
      <c r="P969" s="7" t="s">
        <v>6281</v>
      </c>
      <c r="Q969" s="11" t="str">
        <f>RIGHT("00"&amp;Table362[[#This Row],[Rule '#]],3)&amp;"_"&amp;IF(Table362[[#This Row],[Entity]]="Material","MATL",LEFT(UPPER(Table362[[#This Row],[Entity]]),4))&amp;"_"&amp;MID(SUBSTITUTE(Table362[[#This Row],[Rule Name]],"_","|",3),SEARCH("|",SUBSTITUTE(Table362[[#This Row],[Rule Name]],"_","|",3))+1,LEN(Table362[[#This Row],[Rule Name]]))</f>
        <v>059_CUST_PH_CH_ID</v>
      </c>
      <c r="R969" s="8" t="s">
        <v>6282</v>
      </c>
      <c r="S969" s="7" t="s">
        <v>139</v>
      </c>
      <c r="T969" s="7"/>
      <c r="U969" s="7" t="s">
        <v>6619</v>
      </c>
      <c r="V969" s="7" t="s">
        <v>2741</v>
      </c>
      <c r="W969" s="7" t="s">
        <v>3062</v>
      </c>
      <c r="X969" s="8" t="s">
        <v>708</v>
      </c>
      <c r="Y969" s="7"/>
      <c r="Z969" s="7"/>
      <c r="AA969" s="11" t="s">
        <v>6283</v>
      </c>
      <c r="AB969" s="11"/>
      <c r="AC969" s="11"/>
      <c r="AD969" s="11"/>
      <c r="AE969" s="13" t="s">
        <v>6277</v>
      </c>
      <c r="AH969" s="8"/>
      <c r="AI969" s="20"/>
      <c r="AJ969" s="20"/>
      <c r="AK969" s="31"/>
      <c r="AL969" s="31"/>
    </row>
    <row r="970" spans="1:38" s="19" customFormat="1" ht="60" hidden="1" x14ac:dyDescent="0.25">
      <c r="A970" s="9" t="s">
        <v>7005</v>
      </c>
      <c r="B970" s="15" t="s">
        <v>6106</v>
      </c>
      <c r="C970" s="15" t="s">
        <v>16</v>
      </c>
      <c r="D970" s="15" t="s">
        <v>6711</v>
      </c>
      <c r="E970" s="15" t="s">
        <v>6714</v>
      </c>
      <c r="F970" s="15" t="s">
        <v>6715</v>
      </c>
      <c r="G970" s="7" t="s">
        <v>6361</v>
      </c>
      <c r="H970" s="15" t="s">
        <v>6274</v>
      </c>
      <c r="I970" s="15" t="s">
        <v>6633</v>
      </c>
      <c r="J970" s="27" t="str">
        <f>VLOOKUP(V970,Table_to_BRG!A:D,3,FALSE)</f>
        <v>General data</v>
      </c>
      <c r="K970" s="27" t="str">
        <f>VLOOKUP(V970,Table_to_BRG!A:D,2,FALSE)</f>
        <v>General</v>
      </c>
      <c r="L970" s="27"/>
      <c r="M970" s="27"/>
      <c r="N970" s="14" t="s">
        <v>6465</v>
      </c>
      <c r="O970" s="54" t="str">
        <f>"Superceded by rule "&amp;A999</f>
        <v>Superceded by rule 379</v>
      </c>
      <c r="P970" s="16" t="s">
        <v>6861</v>
      </c>
      <c r="Q970" s="17" t="str">
        <f>RIGHT("00"&amp;Table362[[#This Row],[Rule '#]],3)&amp;"_"&amp;IF(Table362[[#This Row],[Entity]]="Material","MATL",LEFT(UPPER(Table362[[#This Row],[Entity]]),4))&amp;"_"&amp;MID(SUBSTITUTE(Table362[[#This Row],[Rule Name]],"_","|",3),SEARCH("|",SUBSTITUTE(Table362[[#This Row],[Rule Name]],"_","|",3))+1,LEN(Table362[[#This Row],[Rule Name]]))</f>
        <v>060_CUST_AT</v>
      </c>
      <c r="R970" s="16" t="s">
        <v>6284</v>
      </c>
      <c r="S970" s="15" t="s">
        <v>139</v>
      </c>
      <c r="T970" s="15"/>
      <c r="U970" s="7" t="s">
        <v>6619</v>
      </c>
      <c r="V970" s="15" t="s">
        <v>2741</v>
      </c>
      <c r="W970" s="15" t="s">
        <v>3062</v>
      </c>
      <c r="X970" s="16" t="s">
        <v>708</v>
      </c>
      <c r="Y970" s="15"/>
      <c r="Z970" s="15"/>
      <c r="AA970" s="17" t="s">
        <v>6285</v>
      </c>
      <c r="AB970" s="17"/>
      <c r="AC970" s="17"/>
      <c r="AD970" s="17"/>
      <c r="AE970" s="18" t="s">
        <v>6277</v>
      </c>
      <c r="AF970" s="18"/>
      <c r="AG970" s="17"/>
      <c r="AH970" s="16"/>
      <c r="AI970" s="27"/>
      <c r="AJ970" s="27"/>
      <c r="AK970" s="52"/>
      <c r="AL970" s="52"/>
    </row>
    <row r="971" spans="1:38" s="19" customFormat="1" ht="60" hidden="1" x14ac:dyDescent="0.25">
      <c r="A971" s="9" t="s">
        <v>7006</v>
      </c>
      <c r="B971" s="15" t="s">
        <v>6106</v>
      </c>
      <c r="C971" s="15" t="s">
        <v>16</v>
      </c>
      <c r="D971" s="15" t="s">
        <v>6711</v>
      </c>
      <c r="E971" s="15" t="s">
        <v>6714</v>
      </c>
      <c r="F971" s="15" t="s">
        <v>6715</v>
      </c>
      <c r="G971" s="7" t="s">
        <v>6361</v>
      </c>
      <c r="H971" s="15" t="s">
        <v>6274</v>
      </c>
      <c r="I971" s="15" t="s">
        <v>6633</v>
      </c>
      <c r="J971" s="27" t="str">
        <f>VLOOKUP(V971,Table_to_BRG!A:D,3,FALSE)</f>
        <v>General data</v>
      </c>
      <c r="K971" s="27" t="str">
        <f>VLOOKUP(V971,Table_to_BRG!A:D,2,FALSE)</f>
        <v>General</v>
      </c>
      <c r="L971" s="27"/>
      <c r="M971" s="27"/>
      <c r="N971" s="14" t="s">
        <v>6465</v>
      </c>
      <c r="O971" s="54" t="str">
        <f>"Superceded by rule "&amp;A999</f>
        <v>Superceded by rule 379</v>
      </c>
      <c r="P971" s="16" t="s">
        <v>6862</v>
      </c>
      <c r="Q971" s="17" t="str">
        <f>RIGHT("00"&amp;Table362[[#This Row],[Rule '#]],3)&amp;"_"&amp;IF(Table362[[#This Row],[Entity]]="Material","MATL",LEFT(UPPER(Table362[[#This Row],[Entity]]),4))&amp;"_"&amp;MID(SUBSTITUTE(Table362[[#This Row],[Rule Name]],"_","|",3),SEARCH("|",SUBSTITUTE(Table362[[#This Row],[Rule Name]],"_","|",3))+1,LEN(Table362[[#This Row],[Rule Name]]))</f>
        <v>061_CUST_BE</v>
      </c>
      <c r="R971" s="16" t="s">
        <v>6286</v>
      </c>
      <c r="S971" s="15" t="s">
        <v>139</v>
      </c>
      <c r="T971" s="15"/>
      <c r="U971" s="7" t="s">
        <v>6619</v>
      </c>
      <c r="V971" s="15" t="s">
        <v>2741</v>
      </c>
      <c r="W971" s="15" t="s">
        <v>3062</v>
      </c>
      <c r="X971" s="16" t="s">
        <v>708</v>
      </c>
      <c r="Y971" s="15"/>
      <c r="Z971" s="15"/>
      <c r="AA971" s="17" t="s">
        <v>6287</v>
      </c>
      <c r="AB971" s="17"/>
      <c r="AC971" s="17"/>
      <c r="AD971" s="17"/>
      <c r="AE971" s="18" t="s">
        <v>6277</v>
      </c>
      <c r="AF971" s="18"/>
      <c r="AG971" s="17"/>
      <c r="AH971" s="16"/>
      <c r="AI971" s="27"/>
      <c r="AJ971" s="27"/>
      <c r="AK971" s="52"/>
      <c r="AL971" s="52"/>
    </row>
    <row r="972" spans="1:38" s="19" customFormat="1" ht="60" hidden="1" x14ac:dyDescent="0.25">
      <c r="A972" s="9" t="s">
        <v>7007</v>
      </c>
      <c r="B972" s="15" t="s">
        <v>6106</v>
      </c>
      <c r="C972" s="15" t="s">
        <v>16</v>
      </c>
      <c r="D972" s="15" t="s">
        <v>6711</v>
      </c>
      <c r="E972" s="15" t="s">
        <v>6714</v>
      </c>
      <c r="F972" s="15" t="s">
        <v>6715</v>
      </c>
      <c r="G972" s="7" t="s">
        <v>6361</v>
      </c>
      <c r="H972" s="15" t="s">
        <v>6274</v>
      </c>
      <c r="I972" s="15" t="s">
        <v>6633</v>
      </c>
      <c r="J972" s="27" t="str">
        <f>VLOOKUP(V972,Table_to_BRG!A:D,3,FALSE)</f>
        <v>General data</v>
      </c>
      <c r="K972" s="27" t="str">
        <f>VLOOKUP(V972,Table_to_BRG!A:D,2,FALSE)</f>
        <v>General</v>
      </c>
      <c r="L972" s="27"/>
      <c r="M972" s="27"/>
      <c r="N972" s="14" t="s">
        <v>6465</v>
      </c>
      <c r="O972" s="54" t="str">
        <f>"Superceded by rule "&amp;A999</f>
        <v>Superceded by rule 379</v>
      </c>
      <c r="P972" s="16" t="s">
        <v>6863</v>
      </c>
      <c r="Q972" s="17" t="str">
        <f>RIGHT("00"&amp;Table362[[#This Row],[Rule '#]],3)&amp;"_"&amp;IF(Table362[[#This Row],[Entity]]="Material","MATL",LEFT(UPPER(Table362[[#This Row],[Entity]]),4))&amp;"_"&amp;MID(SUBSTITUTE(Table362[[#This Row],[Rule Name]],"_","|",3),SEARCH("|",SUBSTITUTE(Table362[[#This Row],[Rule Name]],"_","|",3))+1,LEN(Table362[[#This Row],[Rule Name]]))</f>
        <v>062_CUST_BG</v>
      </c>
      <c r="R972" s="16" t="s">
        <v>6288</v>
      </c>
      <c r="S972" s="15" t="s">
        <v>139</v>
      </c>
      <c r="T972" s="15"/>
      <c r="U972" s="7" t="s">
        <v>6619</v>
      </c>
      <c r="V972" s="15" t="s">
        <v>2741</v>
      </c>
      <c r="W972" s="15" t="s">
        <v>3062</v>
      </c>
      <c r="X972" s="16" t="s">
        <v>708</v>
      </c>
      <c r="Y972" s="15"/>
      <c r="Z972" s="15"/>
      <c r="AA972" s="17" t="s">
        <v>6289</v>
      </c>
      <c r="AB972" s="17"/>
      <c r="AC972" s="17"/>
      <c r="AD972" s="17"/>
      <c r="AE972" s="18" t="s">
        <v>6277</v>
      </c>
      <c r="AF972" s="18"/>
      <c r="AG972" s="17"/>
      <c r="AH972" s="16"/>
      <c r="AI972" s="27"/>
      <c r="AJ972" s="27"/>
      <c r="AK972" s="52"/>
      <c r="AL972" s="52"/>
    </row>
    <row r="973" spans="1:38" s="19" customFormat="1" ht="72" hidden="1" x14ac:dyDescent="0.25">
      <c r="A973" s="9" t="s">
        <v>7008</v>
      </c>
      <c r="B973" s="15" t="s">
        <v>6106</v>
      </c>
      <c r="C973" s="15" t="s">
        <v>16</v>
      </c>
      <c r="D973" s="15" t="s">
        <v>6711</v>
      </c>
      <c r="E973" s="15" t="s">
        <v>6714</v>
      </c>
      <c r="F973" s="15" t="s">
        <v>6715</v>
      </c>
      <c r="G973" s="7" t="s">
        <v>6361</v>
      </c>
      <c r="H973" s="15" t="s">
        <v>6274</v>
      </c>
      <c r="I973" s="15" t="s">
        <v>6633</v>
      </c>
      <c r="J973" s="27" t="str">
        <f>VLOOKUP(V973,Table_to_BRG!A:D,3,FALSE)</f>
        <v>General data</v>
      </c>
      <c r="K973" s="27" t="str">
        <f>VLOOKUP(V973,Table_to_BRG!A:D,2,FALSE)</f>
        <v>General</v>
      </c>
      <c r="L973" s="27"/>
      <c r="M973" s="27"/>
      <c r="N973" s="14" t="s">
        <v>6465</v>
      </c>
      <c r="O973" s="54" t="str">
        <f>"Superceded by rule "&amp;A999</f>
        <v>Superceded by rule 379</v>
      </c>
      <c r="P973" s="16" t="s">
        <v>6864</v>
      </c>
      <c r="Q973" s="17" t="str">
        <f>RIGHT("00"&amp;Table362[[#This Row],[Rule '#]],3)&amp;"_"&amp;IF(Table362[[#This Row],[Entity]]="Material","MATL",LEFT(UPPER(Table362[[#This Row],[Entity]]),4))&amp;"_"&amp;MID(SUBSTITUTE(Table362[[#This Row],[Rule Name]],"_","|",3),SEARCH("|",SUBSTITUTE(Table362[[#This Row],[Rule Name]],"_","|",3))+1,LEN(Table362[[#This Row],[Rule Name]]))</f>
        <v>063_CUST_CH</v>
      </c>
      <c r="R973" s="16" t="s">
        <v>6290</v>
      </c>
      <c r="S973" s="15"/>
      <c r="T973" s="15"/>
      <c r="U973" s="7" t="s">
        <v>6619</v>
      </c>
      <c r="V973" s="15" t="s">
        <v>2741</v>
      </c>
      <c r="W973" s="15" t="s">
        <v>3062</v>
      </c>
      <c r="X973" s="16" t="s">
        <v>708</v>
      </c>
      <c r="Y973" s="15"/>
      <c r="Z973" s="15"/>
      <c r="AA973" s="17" t="s">
        <v>6291</v>
      </c>
      <c r="AB973" s="17"/>
      <c r="AC973" s="17"/>
      <c r="AD973" s="17"/>
      <c r="AE973" s="18" t="s">
        <v>6277</v>
      </c>
      <c r="AF973" s="18"/>
      <c r="AG973" s="17"/>
      <c r="AH973" s="16"/>
      <c r="AI973" s="27"/>
      <c r="AJ973" s="27"/>
      <c r="AK973" s="52"/>
      <c r="AL973" s="52"/>
    </row>
    <row r="974" spans="1:38" s="19" customFormat="1" ht="60" hidden="1" x14ac:dyDescent="0.25">
      <c r="A974" s="9" t="s">
        <v>7009</v>
      </c>
      <c r="B974" s="15" t="s">
        <v>6106</v>
      </c>
      <c r="C974" s="15" t="s">
        <v>16</v>
      </c>
      <c r="D974" s="15" t="s">
        <v>6711</v>
      </c>
      <c r="E974" s="15" t="s">
        <v>6714</v>
      </c>
      <c r="F974" s="15" t="s">
        <v>6715</v>
      </c>
      <c r="G974" s="7" t="s">
        <v>6361</v>
      </c>
      <c r="H974" s="15" t="s">
        <v>6274</v>
      </c>
      <c r="I974" s="15" t="s">
        <v>6633</v>
      </c>
      <c r="J974" s="27" t="str">
        <f>VLOOKUP(V974,Table_to_BRG!A:D,3,FALSE)</f>
        <v>General data</v>
      </c>
      <c r="K974" s="27" t="str">
        <f>VLOOKUP(V974,Table_to_BRG!A:D,2,FALSE)</f>
        <v>General</v>
      </c>
      <c r="L974" s="27"/>
      <c r="M974" s="27"/>
      <c r="N974" s="14" t="s">
        <v>6465</v>
      </c>
      <c r="O974" s="54" t="str">
        <f>"Superceded by rule "&amp;A999</f>
        <v>Superceded by rule 379</v>
      </c>
      <c r="P974" s="16" t="s">
        <v>6865</v>
      </c>
      <c r="Q974" s="17" t="str">
        <f>RIGHT("00"&amp;Table362[[#This Row],[Rule '#]],3)&amp;"_"&amp;IF(Table362[[#This Row],[Entity]]="Material","MATL",LEFT(UPPER(Table362[[#This Row],[Entity]]),4))&amp;"_"&amp;MID(SUBSTITUTE(Table362[[#This Row],[Rule Name]],"_","|",3),SEARCH("|",SUBSTITUTE(Table362[[#This Row],[Rule Name]],"_","|",3))+1,LEN(Table362[[#This Row],[Rule Name]]))</f>
        <v>064_CUST_CY</v>
      </c>
      <c r="R974" s="16" t="s">
        <v>6292</v>
      </c>
      <c r="S974" s="15"/>
      <c r="T974" s="15"/>
      <c r="U974" s="7" t="s">
        <v>6619</v>
      </c>
      <c r="V974" s="15" t="s">
        <v>2741</v>
      </c>
      <c r="W974" s="15" t="s">
        <v>3062</v>
      </c>
      <c r="X974" s="16" t="s">
        <v>708</v>
      </c>
      <c r="Y974" s="15"/>
      <c r="Z974" s="15"/>
      <c r="AA974" s="17" t="s">
        <v>6293</v>
      </c>
      <c r="AB974" s="17"/>
      <c r="AC974" s="17"/>
      <c r="AD974" s="17"/>
      <c r="AE974" s="18" t="s">
        <v>6277</v>
      </c>
      <c r="AF974" s="18"/>
      <c r="AG974" s="17"/>
      <c r="AH974" s="16"/>
      <c r="AI974" s="27"/>
      <c r="AJ974" s="27"/>
      <c r="AK974" s="52"/>
      <c r="AL974" s="52"/>
    </row>
    <row r="975" spans="1:38" s="19" customFormat="1" ht="60" hidden="1" x14ac:dyDescent="0.25">
      <c r="A975" s="9" t="s">
        <v>7010</v>
      </c>
      <c r="B975" s="15" t="s">
        <v>6106</v>
      </c>
      <c r="C975" s="15" t="s">
        <v>16</v>
      </c>
      <c r="D975" s="15" t="s">
        <v>6711</v>
      </c>
      <c r="E975" s="15" t="s">
        <v>6714</v>
      </c>
      <c r="F975" s="15" t="s">
        <v>6715</v>
      </c>
      <c r="G975" s="7" t="s">
        <v>6361</v>
      </c>
      <c r="H975" s="15" t="s">
        <v>6274</v>
      </c>
      <c r="I975" s="15" t="s">
        <v>6633</v>
      </c>
      <c r="J975" s="27" t="str">
        <f>VLOOKUP(V975,Table_to_BRG!A:D,3,FALSE)</f>
        <v>General data</v>
      </c>
      <c r="K975" s="27" t="str">
        <f>VLOOKUP(V975,Table_to_BRG!A:D,2,FALSE)</f>
        <v>General</v>
      </c>
      <c r="L975" s="27"/>
      <c r="M975" s="27"/>
      <c r="N975" s="14" t="s">
        <v>6465</v>
      </c>
      <c r="O975" s="54" t="str">
        <f>"Superceded by rule "&amp;A999</f>
        <v>Superceded by rule 379</v>
      </c>
      <c r="P975" s="16" t="s">
        <v>6866</v>
      </c>
      <c r="Q975" s="17" t="str">
        <f>RIGHT("00"&amp;Table362[[#This Row],[Rule '#]],3)&amp;"_"&amp;IF(Table362[[#This Row],[Entity]]="Material","MATL",LEFT(UPPER(Table362[[#This Row],[Entity]]),4))&amp;"_"&amp;MID(SUBSTITUTE(Table362[[#This Row],[Rule Name]],"_","|",3),SEARCH("|",SUBSTITUTE(Table362[[#This Row],[Rule Name]],"_","|",3))+1,LEN(Table362[[#This Row],[Rule Name]]))</f>
        <v>065_CUST_CZ</v>
      </c>
      <c r="R975" s="16" t="s">
        <v>6294</v>
      </c>
      <c r="S975" s="15"/>
      <c r="T975" s="15"/>
      <c r="U975" s="7" t="s">
        <v>6619</v>
      </c>
      <c r="V975" s="15" t="s">
        <v>2741</v>
      </c>
      <c r="W975" s="15" t="s">
        <v>3062</v>
      </c>
      <c r="X975" s="16" t="s">
        <v>708</v>
      </c>
      <c r="Y975" s="15"/>
      <c r="Z975" s="15"/>
      <c r="AA975" s="17" t="s">
        <v>6295</v>
      </c>
      <c r="AB975" s="17"/>
      <c r="AC975" s="17"/>
      <c r="AD975" s="17"/>
      <c r="AE975" s="18" t="s">
        <v>6277</v>
      </c>
      <c r="AF975" s="18"/>
      <c r="AG975" s="17"/>
      <c r="AH975" s="16"/>
      <c r="AI975" s="27"/>
      <c r="AJ975" s="27"/>
      <c r="AK975" s="52"/>
      <c r="AL975" s="52"/>
    </row>
    <row r="976" spans="1:38" s="19" customFormat="1" ht="72" hidden="1" x14ac:dyDescent="0.25">
      <c r="A976" s="9" t="s">
        <v>7011</v>
      </c>
      <c r="B976" s="15" t="s">
        <v>6106</v>
      </c>
      <c r="C976" s="15" t="s">
        <v>16</v>
      </c>
      <c r="D976" s="15" t="s">
        <v>6711</v>
      </c>
      <c r="E976" s="15" t="s">
        <v>6714</v>
      </c>
      <c r="F976" s="15" t="s">
        <v>6715</v>
      </c>
      <c r="G976" s="7" t="s">
        <v>6361</v>
      </c>
      <c r="H976" s="15" t="s">
        <v>6274</v>
      </c>
      <c r="I976" s="15" t="s">
        <v>6633</v>
      </c>
      <c r="J976" s="27" t="str">
        <f>VLOOKUP(V976,Table_to_BRG!A:D,3,FALSE)</f>
        <v>General data</v>
      </c>
      <c r="K976" s="27" t="str">
        <f>VLOOKUP(V976,Table_to_BRG!A:D,2,FALSE)</f>
        <v>General</v>
      </c>
      <c r="L976" s="27"/>
      <c r="M976" s="27"/>
      <c r="N976" s="14" t="s">
        <v>6465</v>
      </c>
      <c r="O976" s="54" t="str">
        <f>"Superceded by rule "&amp;A999</f>
        <v>Superceded by rule 379</v>
      </c>
      <c r="P976" s="16" t="s">
        <v>6867</v>
      </c>
      <c r="Q976" s="17" t="str">
        <f>RIGHT("00"&amp;Table362[[#This Row],[Rule '#]],3)&amp;"_"&amp;IF(Table362[[#This Row],[Entity]]="Material","MATL",LEFT(UPPER(Table362[[#This Row],[Entity]]),4))&amp;"_"&amp;MID(SUBSTITUTE(Table362[[#This Row],[Rule Name]],"_","|",3),SEARCH("|",SUBSTITUTE(Table362[[#This Row],[Rule Name]],"_","|",3))+1,LEN(Table362[[#This Row],[Rule Name]]))</f>
        <v>066_CUST_DE_GR_EE_PT</v>
      </c>
      <c r="R976" s="16" t="s">
        <v>6296</v>
      </c>
      <c r="S976" s="15"/>
      <c r="T976" s="15"/>
      <c r="U976" s="7" t="s">
        <v>6619</v>
      </c>
      <c r="V976" s="15" t="s">
        <v>2741</v>
      </c>
      <c r="W976" s="15" t="s">
        <v>3062</v>
      </c>
      <c r="X976" s="16" t="s">
        <v>708</v>
      </c>
      <c r="Y976" s="15"/>
      <c r="Z976" s="15"/>
      <c r="AA976" s="17" t="s">
        <v>6297</v>
      </c>
      <c r="AB976" s="17"/>
      <c r="AC976" s="17"/>
      <c r="AD976" s="17"/>
      <c r="AE976" s="18" t="s">
        <v>6277</v>
      </c>
      <c r="AF976" s="18"/>
      <c r="AG976" s="17"/>
      <c r="AH976" s="16"/>
      <c r="AI976" s="27"/>
      <c r="AJ976" s="27"/>
      <c r="AK976" s="52"/>
      <c r="AL976" s="52"/>
    </row>
    <row r="977" spans="1:38" s="19" customFormat="1" ht="60" hidden="1" x14ac:dyDescent="0.25">
      <c r="A977" s="9" t="s">
        <v>7012</v>
      </c>
      <c r="B977" s="15" t="s">
        <v>6106</v>
      </c>
      <c r="C977" s="15" t="s">
        <v>16</v>
      </c>
      <c r="D977" s="15" t="s">
        <v>6711</v>
      </c>
      <c r="E977" s="15" t="s">
        <v>6714</v>
      </c>
      <c r="F977" s="15" t="s">
        <v>6715</v>
      </c>
      <c r="G977" s="7" t="s">
        <v>6361</v>
      </c>
      <c r="H977" s="15" t="s">
        <v>6274</v>
      </c>
      <c r="I977" s="15" t="s">
        <v>6633</v>
      </c>
      <c r="J977" s="27" t="str">
        <f>VLOOKUP(V977,Table_to_BRG!A:D,3,FALSE)</f>
        <v>General data</v>
      </c>
      <c r="K977" s="27" t="str">
        <f>VLOOKUP(V977,Table_to_BRG!A:D,2,FALSE)</f>
        <v>General</v>
      </c>
      <c r="L977" s="27"/>
      <c r="M977" s="27"/>
      <c r="N977" s="14" t="s">
        <v>6465</v>
      </c>
      <c r="O977" s="54" t="str">
        <f>"Superceded by rule "&amp;A999</f>
        <v>Superceded by rule 379</v>
      </c>
      <c r="P977" s="16" t="s">
        <v>6868</v>
      </c>
      <c r="Q977" s="17" t="str">
        <f>RIGHT("00"&amp;Table362[[#This Row],[Rule '#]],3)&amp;"_"&amp;IF(Table362[[#This Row],[Entity]]="Material","MATL",LEFT(UPPER(Table362[[#This Row],[Entity]]),4))&amp;"_"&amp;MID(SUBSTITUTE(Table362[[#This Row],[Rule Name]],"_","|",3),SEARCH("|",SUBSTITUTE(Table362[[#This Row],[Rule Name]],"_","|",3))+1,LEN(Table362[[#This Row],[Rule Name]]))</f>
        <v>067_CUST_DK</v>
      </c>
      <c r="R977" s="16" t="s">
        <v>6298</v>
      </c>
      <c r="S977" s="15"/>
      <c r="T977" s="15"/>
      <c r="U977" s="7" t="s">
        <v>6619</v>
      </c>
      <c r="V977" s="15" t="s">
        <v>2741</v>
      </c>
      <c r="W977" s="15" t="s">
        <v>3062</v>
      </c>
      <c r="X977" s="16" t="s">
        <v>708</v>
      </c>
      <c r="Y977" s="15"/>
      <c r="Z977" s="15"/>
      <c r="AA977" s="17" t="s">
        <v>6299</v>
      </c>
      <c r="AB977" s="17"/>
      <c r="AC977" s="17"/>
      <c r="AD977" s="17"/>
      <c r="AE977" s="18" t="s">
        <v>6277</v>
      </c>
      <c r="AF977" s="18"/>
      <c r="AG977" s="17"/>
      <c r="AH977" s="16"/>
      <c r="AI977" s="27"/>
      <c r="AJ977" s="27"/>
      <c r="AK977" s="52"/>
      <c r="AL977" s="52"/>
    </row>
    <row r="978" spans="1:38" s="19" customFormat="1" ht="60" hidden="1" x14ac:dyDescent="0.25">
      <c r="A978" s="9" t="s">
        <v>7013</v>
      </c>
      <c r="B978" s="15" t="s">
        <v>6106</v>
      </c>
      <c r="C978" s="15" t="s">
        <v>16</v>
      </c>
      <c r="D978" s="15" t="s">
        <v>6711</v>
      </c>
      <c r="E978" s="15" t="s">
        <v>6714</v>
      </c>
      <c r="F978" s="15" t="s">
        <v>6715</v>
      </c>
      <c r="G978" s="7" t="s">
        <v>6361</v>
      </c>
      <c r="H978" s="15" t="s">
        <v>6274</v>
      </c>
      <c r="I978" s="15" t="s">
        <v>6633</v>
      </c>
      <c r="J978" s="27" t="str">
        <f>VLOOKUP(V978,Table_to_BRG!A:D,3,FALSE)</f>
        <v>General data</v>
      </c>
      <c r="K978" s="27" t="str">
        <f>VLOOKUP(V978,Table_to_BRG!A:D,2,FALSE)</f>
        <v>General</v>
      </c>
      <c r="L978" s="27"/>
      <c r="M978" s="27"/>
      <c r="N978" s="14" t="s">
        <v>6465</v>
      </c>
      <c r="O978" s="54" t="str">
        <f>"Superceded by rule "&amp;A999</f>
        <v>Superceded by rule 379</v>
      </c>
      <c r="P978" s="16" t="s">
        <v>6869</v>
      </c>
      <c r="Q978" s="17" t="str">
        <f>RIGHT("00"&amp;Table362[[#This Row],[Rule '#]],3)&amp;"_"&amp;IF(Table362[[#This Row],[Entity]]="Material","MATL",LEFT(UPPER(Table362[[#This Row],[Entity]]),4))&amp;"_"&amp;MID(SUBSTITUTE(Table362[[#This Row],[Rule Name]],"_","|",3),SEARCH("|",SUBSTITUTE(Table362[[#This Row],[Rule Name]],"_","|",3))+1,LEN(Table362[[#This Row],[Rule Name]]))</f>
        <v>068_CUST_ES</v>
      </c>
      <c r="R978" s="16" t="s">
        <v>6300</v>
      </c>
      <c r="S978" s="15"/>
      <c r="T978" s="15"/>
      <c r="U978" s="7" t="s">
        <v>6619</v>
      </c>
      <c r="V978" s="15" t="s">
        <v>2741</v>
      </c>
      <c r="W978" s="15" t="s">
        <v>3062</v>
      </c>
      <c r="X978" s="16" t="s">
        <v>708</v>
      </c>
      <c r="Y978" s="15"/>
      <c r="Z978" s="15"/>
      <c r="AA978" s="17" t="s">
        <v>6301</v>
      </c>
      <c r="AB978" s="17"/>
      <c r="AC978" s="17"/>
      <c r="AD978" s="17"/>
      <c r="AE978" s="18" t="s">
        <v>6277</v>
      </c>
      <c r="AF978" s="18"/>
      <c r="AG978" s="17"/>
      <c r="AH978" s="16"/>
      <c r="AI978" s="27"/>
      <c r="AJ978" s="27"/>
      <c r="AK978" s="52"/>
      <c r="AL978" s="52"/>
    </row>
    <row r="979" spans="1:38" s="19" customFormat="1" ht="72" hidden="1" x14ac:dyDescent="0.25">
      <c r="A979" s="9" t="s">
        <v>7014</v>
      </c>
      <c r="B979" s="15" t="s">
        <v>6106</v>
      </c>
      <c r="C979" s="15" t="s">
        <v>16</v>
      </c>
      <c r="D979" s="15" t="s">
        <v>6711</v>
      </c>
      <c r="E979" s="15" t="s">
        <v>6714</v>
      </c>
      <c r="F979" s="15" t="s">
        <v>6715</v>
      </c>
      <c r="G979" s="7" t="s">
        <v>6361</v>
      </c>
      <c r="H979" s="15" t="s">
        <v>6274</v>
      </c>
      <c r="I979" s="15" t="s">
        <v>6633</v>
      </c>
      <c r="J979" s="27" t="str">
        <f>VLOOKUP(V979,Table_to_BRG!A:D,3,FALSE)</f>
        <v>General data</v>
      </c>
      <c r="K979" s="27" t="str">
        <f>VLOOKUP(V979,Table_to_BRG!A:D,2,FALSE)</f>
        <v>General</v>
      </c>
      <c r="L979" s="27"/>
      <c r="M979" s="27"/>
      <c r="N979" s="14" t="s">
        <v>6465</v>
      </c>
      <c r="O979" s="54" t="str">
        <f>"Superceded by rule "&amp;A999</f>
        <v>Superceded by rule 379</v>
      </c>
      <c r="P979" s="16" t="s">
        <v>6870</v>
      </c>
      <c r="Q979" s="17" t="str">
        <f>RIGHT("00"&amp;Table362[[#This Row],[Rule '#]],3)&amp;"_"&amp;IF(Table362[[#This Row],[Entity]]="Material","MATL",LEFT(UPPER(Table362[[#This Row],[Entity]]),4))&amp;"_"&amp;MID(SUBSTITUTE(Table362[[#This Row],[Rule Name]],"_","|",3),SEARCH("|",SUBSTITUTE(Table362[[#This Row],[Rule Name]],"_","|",3))+1,LEN(Table362[[#This Row],[Rule Name]]))</f>
        <v>069_CUST_FI_HU_LU_SI</v>
      </c>
      <c r="R979" s="16" t="s">
        <v>6302</v>
      </c>
      <c r="S979" s="15"/>
      <c r="T979" s="15"/>
      <c r="U979" s="7" t="s">
        <v>6619</v>
      </c>
      <c r="V979" s="15" t="s">
        <v>2741</v>
      </c>
      <c r="W979" s="15" t="s">
        <v>3062</v>
      </c>
      <c r="X979" s="16" t="s">
        <v>708</v>
      </c>
      <c r="Y979" s="15"/>
      <c r="Z979" s="15"/>
      <c r="AA979" s="17" t="s">
        <v>6303</v>
      </c>
      <c r="AB979" s="17"/>
      <c r="AC979" s="17"/>
      <c r="AD979" s="17"/>
      <c r="AE979" s="18" t="s">
        <v>6277</v>
      </c>
      <c r="AF979" s="18"/>
      <c r="AG979" s="17"/>
      <c r="AH979" s="16"/>
      <c r="AI979" s="27"/>
      <c r="AJ979" s="27"/>
      <c r="AK979" s="52"/>
      <c r="AL979" s="52"/>
    </row>
    <row r="980" spans="1:38" s="19" customFormat="1" ht="60" hidden="1" x14ac:dyDescent="0.25">
      <c r="A980" s="9" t="s">
        <v>7015</v>
      </c>
      <c r="B980" s="15" t="s">
        <v>6106</v>
      </c>
      <c r="C980" s="15" t="s">
        <v>16</v>
      </c>
      <c r="D980" s="15" t="s">
        <v>6711</v>
      </c>
      <c r="E980" s="15" t="s">
        <v>6714</v>
      </c>
      <c r="F980" s="15" t="s">
        <v>6715</v>
      </c>
      <c r="G980" s="7" t="s">
        <v>6361</v>
      </c>
      <c r="H980" s="15" t="s">
        <v>6274</v>
      </c>
      <c r="I980" s="15" t="s">
        <v>6633</v>
      </c>
      <c r="J980" s="27" t="str">
        <f>VLOOKUP(V980,Table_to_BRG!A:D,3,FALSE)</f>
        <v>General data</v>
      </c>
      <c r="K980" s="27" t="str">
        <f>VLOOKUP(V980,Table_to_BRG!A:D,2,FALSE)</f>
        <v>General</v>
      </c>
      <c r="L980" s="27"/>
      <c r="M980" s="27"/>
      <c r="N980" s="14" t="s">
        <v>6465</v>
      </c>
      <c r="O980" s="54" t="str">
        <f>"Superceded by rule "&amp;A999</f>
        <v>Superceded by rule 379</v>
      </c>
      <c r="P980" s="16" t="s">
        <v>6871</v>
      </c>
      <c r="Q980" s="17" t="str">
        <f>RIGHT("00"&amp;Table362[[#This Row],[Rule '#]],3)&amp;"_"&amp;IF(Table362[[#This Row],[Entity]]="Material","MATL",LEFT(UPPER(Table362[[#This Row],[Entity]]),4))&amp;"_"&amp;MID(SUBSTITUTE(Table362[[#This Row],[Rule Name]],"_","|",3),SEARCH("|",SUBSTITUTE(Table362[[#This Row],[Rule Name]],"_","|",3))+1,LEN(Table362[[#This Row],[Rule Name]]))</f>
        <v>070_CUST_FR</v>
      </c>
      <c r="R980" s="16" t="s">
        <v>6304</v>
      </c>
      <c r="S980" s="15"/>
      <c r="T980" s="15"/>
      <c r="U980" s="7" t="s">
        <v>6619</v>
      </c>
      <c r="V980" s="15" t="s">
        <v>2741</v>
      </c>
      <c r="W980" s="15" t="s">
        <v>3062</v>
      </c>
      <c r="X980" s="16" t="s">
        <v>708</v>
      </c>
      <c r="Y980" s="15"/>
      <c r="Z980" s="15"/>
      <c r="AA980" s="17" t="s">
        <v>6305</v>
      </c>
      <c r="AB980" s="17"/>
      <c r="AC980" s="17"/>
      <c r="AD980" s="17"/>
      <c r="AE980" s="18" t="s">
        <v>6277</v>
      </c>
      <c r="AF980" s="18"/>
      <c r="AG980" s="17"/>
      <c r="AH980" s="16"/>
      <c r="AI980" s="27"/>
      <c r="AJ980" s="27"/>
      <c r="AK980" s="52"/>
      <c r="AL980" s="52"/>
    </row>
    <row r="981" spans="1:38" s="19" customFormat="1" ht="72" hidden="1" x14ac:dyDescent="0.25">
      <c r="A981" s="9" t="s">
        <v>7016</v>
      </c>
      <c r="B981" s="15" t="s">
        <v>6106</v>
      </c>
      <c r="C981" s="15" t="s">
        <v>16</v>
      </c>
      <c r="D981" s="15" t="s">
        <v>6711</v>
      </c>
      <c r="E981" s="15" t="s">
        <v>6714</v>
      </c>
      <c r="F981" s="15" t="s">
        <v>6715</v>
      </c>
      <c r="G981" s="7" t="s">
        <v>6361</v>
      </c>
      <c r="H981" s="15" t="s">
        <v>6274</v>
      </c>
      <c r="I981" s="15" t="s">
        <v>6633</v>
      </c>
      <c r="J981" s="27" t="str">
        <f>VLOOKUP(V981,Table_to_BRG!A:D,3,FALSE)</f>
        <v>General data</v>
      </c>
      <c r="K981" s="27" t="str">
        <f>VLOOKUP(V981,Table_to_BRG!A:D,2,FALSE)</f>
        <v>General</v>
      </c>
      <c r="L981" s="27"/>
      <c r="M981" s="27"/>
      <c r="N981" s="14" t="s">
        <v>6465</v>
      </c>
      <c r="O981" s="54" t="str">
        <f>"Superceded by rule "&amp;A999</f>
        <v>Superceded by rule 379</v>
      </c>
      <c r="P981" s="16" t="s">
        <v>6872</v>
      </c>
      <c r="Q981" s="17" t="str">
        <f>RIGHT("00"&amp;Table362[[#This Row],[Rule '#]],3)&amp;"_"&amp;IF(Table362[[#This Row],[Entity]]="Material","MATL",LEFT(UPPER(Table362[[#This Row],[Entity]]),4))&amp;"_"&amp;MID(SUBSTITUTE(Table362[[#This Row],[Rule Name]],"_","|",3),SEARCH("|",SUBSTITUTE(Table362[[#This Row],[Rule Name]],"_","|",3))+1,LEN(Table362[[#This Row],[Rule Name]]))</f>
        <v>071_CUST_GB</v>
      </c>
      <c r="R981" s="16" t="s">
        <v>6306</v>
      </c>
      <c r="S981" s="15"/>
      <c r="T981" s="15"/>
      <c r="U981" s="7" t="s">
        <v>6619</v>
      </c>
      <c r="V981" s="15" t="s">
        <v>2741</v>
      </c>
      <c r="W981" s="15" t="s">
        <v>3062</v>
      </c>
      <c r="X981" s="16" t="s">
        <v>708</v>
      </c>
      <c r="Y981" s="15"/>
      <c r="Z981" s="15"/>
      <c r="AA981" s="17" t="s">
        <v>6307</v>
      </c>
      <c r="AB981" s="17"/>
      <c r="AC981" s="17"/>
      <c r="AD981" s="17"/>
      <c r="AE981" s="18" t="s">
        <v>6277</v>
      </c>
      <c r="AF981" s="18"/>
      <c r="AG981" s="17"/>
      <c r="AH981" s="16"/>
      <c r="AI981" s="27"/>
      <c r="AJ981" s="27"/>
      <c r="AK981" s="52"/>
      <c r="AL981" s="52"/>
    </row>
    <row r="982" spans="1:38" s="19" customFormat="1" ht="60" hidden="1" x14ac:dyDescent="0.25">
      <c r="A982" s="9" t="s">
        <v>7017</v>
      </c>
      <c r="B982" s="15" t="s">
        <v>6106</v>
      </c>
      <c r="C982" s="15" t="s">
        <v>16</v>
      </c>
      <c r="D982" s="15" t="s">
        <v>6711</v>
      </c>
      <c r="E982" s="15" t="s">
        <v>6714</v>
      </c>
      <c r="F982" s="15" t="s">
        <v>6715</v>
      </c>
      <c r="G982" s="7" t="s">
        <v>6361</v>
      </c>
      <c r="H982" s="15" t="s">
        <v>6274</v>
      </c>
      <c r="I982" s="15" t="s">
        <v>6633</v>
      </c>
      <c r="J982" s="27" t="str">
        <f>VLOOKUP(V982,Table_to_BRG!A:D,3,FALSE)</f>
        <v>General data</v>
      </c>
      <c r="K982" s="27" t="str">
        <f>VLOOKUP(V982,Table_to_BRG!A:D,2,FALSE)</f>
        <v>General</v>
      </c>
      <c r="L982" s="27"/>
      <c r="M982" s="27"/>
      <c r="N982" s="14" t="s">
        <v>6465</v>
      </c>
      <c r="O982" s="54" t="str">
        <f>"Superceded by rule "&amp;A999</f>
        <v>Superceded by rule 379</v>
      </c>
      <c r="P982" s="16" t="s">
        <v>6873</v>
      </c>
      <c r="Q982" s="17" t="str">
        <f>RIGHT("00"&amp;Table362[[#This Row],[Rule '#]],3)&amp;"_"&amp;IF(Table362[[#This Row],[Entity]]="Material","MATL",LEFT(UPPER(Table362[[#This Row],[Entity]]),4))&amp;"_"&amp;MID(SUBSTITUTE(Table362[[#This Row],[Rule Name]],"_","|",3),SEARCH("|",SUBSTITUTE(Table362[[#This Row],[Rule Name]],"_","|",3))+1,LEN(Table362[[#This Row],[Rule Name]]))</f>
        <v>072_CUST_ID</v>
      </c>
      <c r="R982" s="16" t="s">
        <v>6308</v>
      </c>
      <c r="S982" s="15"/>
      <c r="T982" s="15"/>
      <c r="U982" s="7" t="s">
        <v>6619</v>
      </c>
      <c r="V982" s="15" t="s">
        <v>2741</v>
      </c>
      <c r="W982" s="15" t="s">
        <v>3062</v>
      </c>
      <c r="X982" s="16" t="s">
        <v>708</v>
      </c>
      <c r="Y982" s="15"/>
      <c r="Z982" s="15"/>
      <c r="AA982" s="17" t="s">
        <v>6309</v>
      </c>
      <c r="AB982" s="17"/>
      <c r="AC982" s="17"/>
      <c r="AD982" s="17"/>
      <c r="AE982" s="18" t="s">
        <v>6277</v>
      </c>
      <c r="AF982" s="18"/>
      <c r="AG982" s="17"/>
      <c r="AH982" s="16"/>
      <c r="AI982" s="27"/>
      <c r="AJ982" s="27"/>
      <c r="AK982" s="52"/>
      <c r="AL982" s="52"/>
    </row>
    <row r="983" spans="1:38" s="19" customFormat="1" ht="72" hidden="1" x14ac:dyDescent="0.25">
      <c r="A983" s="9" t="s">
        <v>7018</v>
      </c>
      <c r="B983" s="15" t="s">
        <v>6106</v>
      </c>
      <c r="C983" s="15" t="s">
        <v>16</v>
      </c>
      <c r="D983" s="15" t="s">
        <v>6711</v>
      </c>
      <c r="E983" s="15" t="s">
        <v>6714</v>
      </c>
      <c r="F983" s="15" t="s">
        <v>6715</v>
      </c>
      <c r="G983" s="7" t="s">
        <v>6361</v>
      </c>
      <c r="H983" s="15" t="s">
        <v>6274</v>
      </c>
      <c r="I983" s="15" t="s">
        <v>6633</v>
      </c>
      <c r="J983" s="27" t="str">
        <f>VLOOKUP(V983,Table_to_BRG!A:D,3,FALSE)</f>
        <v>General data</v>
      </c>
      <c r="K983" s="27" t="str">
        <f>VLOOKUP(V983,Table_to_BRG!A:D,2,FALSE)</f>
        <v>General</v>
      </c>
      <c r="L983" s="27"/>
      <c r="M983" s="27"/>
      <c r="N983" s="14" t="s">
        <v>6465</v>
      </c>
      <c r="O983" s="54" t="str">
        <f>"Superceded by rule "&amp;A999</f>
        <v>Superceded by rule 379</v>
      </c>
      <c r="P983" s="16" t="s">
        <v>6874</v>
      </c>
      <c r="Q983" s="17" t="str">
        <f>RIGHT("00"&amp;Table362[[#This Row],[Rule '#]],3)&amp;"_"&amp;IF(Table362[[#This Row],[Entity]]="Material","MATL",LEFT(UPPER(Table362[[#This Row],[Entity]]),4))&amp;"_"&amp;MID(SUBSTITUTE(Table362[[#This Row],[Rule Name]],"_","|",3),SEARCH("|",SUBSTITUTE(Table362[[#This Row],[Rule Name]],"_","|",3))+1,LEN(Table362[[#This Row],[Rule Name]]))</f>
        <v>073_CUST_IE</v>
      </c>
      <c r="R983" s="16" t="s">
        <v>6310</v>
      </c>
      <c r="S983" s="15"/>
      <c r="T983" s="15"/>
      <c r="U983" s="7" t="s">
        <v>6619</v>
      </c>
      <c r="V983" s="15" t="s">
        <v>2741</v>
      </c>
      <c r="W983" s="15" t="s">
        <v>3062</v>
      </c>
      <c r="X983" s="16" t="s">
        <v>708</v>
      </c>
      <c r="Y983" s="15"/>
      <c r="Z983" s="15"/>
      <c r="AA983" s="17" t="s">
        <v>6311</v>
      </c>
      <c r="AB983" s="17"/>
      <c r="AC983" s="17"/>
      <c r="AD983" s="17"/>
      <c r="AE983" s="18" t="s">
        <v>6277</v>
      </c>
      <c r="AF983" s="18"/>
      <c r="AG983" s="17"/>
      <c r="AH983" s="16"/>
      <c r="AI983" s="27"/>
      <c r="AJ983" s="27"/>
      <c r="AK983" s="52"/>
      <c r="AL983" s="52"/>
    </row>
    <row r="984" spans="1:38" s="19" customFormat="1" ht="60" hidden="1" x14ac:dyDescent="0.25">
      <c r="A984" s="9" t="s">
        <v>7019</v>
      </c>
      <c r="B984" s="15" t="s">
        <v>6106</v>
      </c>
      <c r="C984" s="15" t="s">
        <v>16</v>
      </c>
      <c r="D984" s="15" t="s">
        <v>6711</v>
      </c>
      <c r="E984" s="15" t="s">
        <v>6714</v>
      </c>
      <c r="F984" s="15" t="s">
        <v>6715</v>
      </c>
      <c r="G984" s="7" t="s">
        <v>6361</v>
      </c>
      <c r="H984" s="15" t="s">
        <v>6274</v>
      </c>
      <c r="I984" s="15" t="s">
        <v>6633</v>
      </c>
      <c r="J984" s="27" t="str">
        <f>VLOOKUP(V984,Table_to_BRG!A:D,3,FALSE)</f>
        <v>General data</v>
      </c>
      <c r="K984" s="27" t="str">
        <f>VLOOKUP(V984,Table_to_BRG!A:D,2,FALSE)</f>
        <v>General</v>
      </c>
      <c r="L984" s="27"/>
      <c r="M984" s="27"/>
      <c r="N984" s="14" t="s">
        <v>6465</v>
      </c>
      <c r="O984" s="54" t="str">
        <f>"Superceded by rule "&amp;A999</f>
        <v>Superceded by rule 379</v>
      </c>
      <c r="P984" s="16" t="s">
        <v>6875</v>
      </c>
      <c r="Q984" s="17" t="str">
        <f>RIGHT("00"&amp;Table362[[#This Row],[Rule '#]],3)&amp;"_"&amp;IF(Table362[[#This Row],[Entity]]="Material","MATL",LEFT(UPPER(Table362[[#This Row],[Entity]]),4))&amp;"_"&amp;MID(SUBSTITUTE(Table362[[#This Row],[Rule Name]],"_","|",3),SEARCH("|",SUBSTITUTE(Table362[[#This Row],[Rule Name]],"_","|",3))+1,LEN(Table362[[#This Row],[Rule Name]]))</f>
        <v>074_CUST_IT</v>
      </c>
      <c r="R984" s="16" t="s">
        <v>6312</v>
      </c>
      <c r="S984" s="15"/>
      <c r="T984" s="15"/>
      <c r="U984" s="7" t="s">
        <v>6619</v>
      </c>
      <c r="V984" s="15" t="s">
        <v>2741</v>
      </c>
      <c r="W984" s="15" t="s">
        <v>3062</v>
      </c>
      <c r="X984" s="16" t="s">
        <v>708</v>
      </c>
      <c r="Y984" s="15"/>
      <c r="Z984" s="15"/>
      <c r="AA984" s="17" t="s">
        <v>6313</v>
      </c>
      <c r="AB984" s="17"/>
      <c r="AC984" s="17"/>
      <c r="AD984" s="17"/>
      <c r="AE984" s="18" t="s">
        <v>6277</v>
      </c>
      <c r="AF984" s="18"/>
      <c r="AG984" s="17"/>
      <c r="AH984" s="16"/>
      <c r="AI984" s="27"/>
      <c r="AJ984" s="27"/>
      <c r="AK984" s="52"/>
      <c r="AL984" s="52"/>
    </row>
    <row r="985" spans="1:38" s="19" customFormat="1" ht="60" hidden="1" x14ac:dyDescent="0.25">
      <c r="A985" s="9" t="s">
        <v>7020</v>
      </c>
      <c r="B985" s="15" t="s">
        <v>6106</v>
      </c>
      <c r="C985" s="15" t="s">
        <v>16</v>
      </c>
      <c r="D985" s="15" t="s">
        <v>6711</v>
      </c>
      <c r="E985" s="15" t="s">
        <v>6714</v>
      </c>
      <c r="F985" s="15" t="s">
        <v>6715</v>
      </c>
      <c r="G985" s="7" t="s">
        <v>6361</v>
      </c>
      <c r="H985" s="15" t="s">
        <v>6274</v>
      </c>
      <c r="I985" s="15" t="s">
        <v>6633</v>
      </c>
      <c r="J985" s="27" t="str">
        <f>VLOOKUP(V985,Table_to_BRG!A:D,3,FALSE)</f>
        <v>General data</v>
      </c>
      <c r="K985" s="27" t="str">
        <f>VLOOKUP(V985,Table_to_BRG!A:D,2,FALSE)</f>
        <v>General</v>
      </c>
      <c r="L985" s="27"/>
      <c r="M985" s="27"/>
      <c r="N985" s="14" t="s">
        <v>6465</v>
      </c>
      <c r="O985" s="54" t="str">
        <f>"Superceded by rule "&amp;A999</f>
        <v>Superceded by rule 379</v>
      </c>
      <c r="P985" s="16" t="s">
        <v>6876</v>
      </c>
      <c r="Q985" s="17" t="str">
        <f>RIGHT("00"&amp;Table362[[#This Row],[Rule '#]],3)&amp;"_"&amp;IF(Table362[[#This Row],[Entity]]="Material","MATL",LEFT(UPPER(Table362[[#This Row],[Entity]]),4))&amp;"_"&amp;MID(SUBSTITUTE(Table362[[#This Row],[Rule Name]],"_","|",3),SEARCH("|",SUBSTITUTE(Table362[[#This Row],[Rule Name]],"_","|",3))+1,LEN(Table362[[#This Row],[Rule Name]]))</f>
        <v>075_CUST_LT</v>
      </c>
      <c r="R985" s="16" t="s">
        <v>6314</v>
      </c>
      <c r="S985" s="15"/>
      <c r="T985" s="15"/>
      <c r="U985" s="7" t="s">
        <v>6619</v>
      </c>
      <c r="V985" s="15" t="s">
        <v>2741</v>
      </c>
      <c r="W985" s="15" t="s">
        <v>3062</v>
      </c>
      <c r="X985" s="16" t="s">
        <v>708</v>
      </c>
      <c r="Y985" s="15"/>
      <c r="Z985" s="15"/>
      <c r="AA985" s="17" t="s">
        <v>6315</v>
      </c>
      <c r="AB985" s="17"/>
      <c r="AC985" s="17"/>
      <c r="AD985" s="17"/>
      <c r="AE985" s="18" t="s">
        <v>6277</v>
      </c>
      <c r="AF985" s="18"/>
      <c r="AG985" s="17"/>
      <c r="AH985" s="16"/>
      <c r="AI985" s="27"/>
      <c r="AJ985" s="27"/>
      <c r="AK985" s="52"/>
      <c r="AL985" s="52"/>
    </row>
    <row r="986" spans="1:38" s="19" customFormat="1" ht="60" hidden="1" x14ac:dyDescent="0.25">
      <c r="A986" s="9" t="s">
        <v>7021</v>
      </c>
      <c r="B986" s="15" t="s">
        <v>6106</v>
      </c>
      <c r="C986" s="15" t="s">
        <v>16</v>
      </c>
      <c r="D986" s="15" t="s">
        <v>6711</v>
      </c>
      <c r="E986" s="15" t="s">
        <v>6714</v>
      </c>
      <c r="F986" s="15" t="s">
        <v>6715</v>
      </c>
      <c r="G986" s="7" t="s">
        <v>6361</v>
      </c>
      <c r="H986" s="15" t="s">
        <v>6274</v>
      </c>
      <c r="I986" s="15" t="s">
        <v>6633</v>
      </c>
      <c r="J986" s="27" t="str">
        <f>VLOOKUP(V986,Table_to_BRG!A:D,3,FALSE)</f>
        <v>General data</v>
      </c>
      <c r="K986" s="27" t="str">
        <f>VLOOKUP(V986,Table_to_BRG!A:D,2,FALSE)</f>
        <v>General</v>
      </c>
      <c r="L986" s="27"/>
      <c r="M986" s="27"/>
      <c r="N986" s="14" t="s">
        <v>6465</v>
      </c>
      <c r="O986" s="54" t="str">
        <f>"Superceded by rule "&amp;A999</f>
        <v>Superceded by rule 379</v>
      </c>
      <c r="P986" s="16" t="s">
        <v>6877</v>
      </c>
      <c r="Q986" s="17" t="str">
        <f>RIGHT("00"&amp;Table362[[#This Row],[Rule '#]],3)&amp;"_"&amp;IF(Table362[[#This Row],[Entity]]="Material","MATL",LEFT(UPPER(Table362[[#This Row],[Entity]]),4))&amp;"_"&amp;MID(SUBSTITUTE(Table362[[#This Row],[Rule Name]],"_","|",3),SEARCH("|",SUBSTITUTE(Table362[[#This Row],[Rule Name]],"_","|",3))+1,LEN(Table362[[#This Row],[Rule Name]]))</f>
        <v>076_CUST_LV</v>
      </c>
      <c r="R986" s="16" t="s">
        <v>6316</v>
      </c>
      <c r="S986" s="15"/>
      <c r="T986" s="15"/>
      <c r="U986" s="7" t="s">
        <v>6619</v>
      </c>
      <c r="V986" s="15" t="s">
        <v>2741</v>
      </c>
      <c r="W986" s="15" t="s">
        <v>3062</v>
      </c>
      <c r="X986" s="16" t="s">
        <v>708</v>
      </c>
      <c r="Y986" s="15"/>
      <c r="Z986" s="15"/>
      <c r="AA986" s="17" t="s">
        <v>6317</v>
      </c>
      <c r="AB986" s="17"/>
      <c r="AC986" s="17"/>
      <c r="AD986" s="17"/>
      <c r="AE986" s="18" t="s">
        <v>6277</v>
      </c>
      <c r="AF986" s="18"/>
      <c r="AG986" s="17"/>
      <c r="AH986" s="16"/>
      <c r="AI986" s="27"/>
      <c r="AJ986" s="27"/>
      <c r="AK986" s="52"/>
      <c r="AL986" s="52"/>
    </row>
    <row r="987" spans="1:38" s="19" customFormat="1" ht="60" hidden="1" x14ac:dyDescent="0.25">
      <c r="A987" s="9" t="s">
        <v>7022</v>
      </c>
      <c r="B987" s="15" t="s">
        <v>6106</v>
      </c>
      <c r="C987" s="15" t="s">
        <v>16</v>
      </c>
      <c r="D987" s="15" t="s">
        <v>6711</v>
      </c>
      <c r="E987" s="15" t="s">
        <v>6714</v>
      </c>
      <c r="F987" s="15" t="s">
        <v>6715</v>
      </c>
      <c r="G987" s="7" t="s">
        <v>6361</v>
      </c>
      <c r="H987" s="15" t="s">
        <v>6274</v>
      </c>
      <c r="I987" s="15" t="s">
        <v>6633</v>
      </c>
      <c r="J987" s="27" t="str">
        <f>VLOOKUP(V987,Table_to_BRG!A:D,3,FALSE)</f>
        <v>General data</v>
      </c>
      <c r="K987" s="27" t="str">
        <f>VLOOKUP(V987,Table_to_BRG!A:D,2,FALSE)</f>
        <v>General</v>
      </c>
      <c r="L987" s="27"/>
      <c r="M987" s="27"/>
      <c r="N987" s="14" t="s">
        <v>6465</v>
      </c>
      <c r="O987" s="54" t="str">
        <f>"Superceded by rule "&amp;A999</f>
        <v>Superceded by rule 379</v>
      </c>
      <c r="P987" s="16" t="s">
        <v>6878</v>
      </c>
      <c r="Q987" s="17" t="str">
        <f>RIGHT("00"&amp;Table362[[#This Row],[Rule '#]],3)&amp;"_"&amp;IF(Table362[[#This Row],[Entity]]="Material","MATL",LEFT(UPPER(Table362[[#This Row],[Entity]]),4))&amp;"_"&amp;MID(SUBSTITUTE(Table362[[#This Row],[Rule Name]],"_","|",3),SEARCH("|",SUBSTITUTE(Table362[[#This Row],[Rule Name]],"_","|",3))+1,LEN(Table362[[#This Row],[Rule Name]]))</f>
        <v>077_CUST_NL</v>
      </c>
      <c r="R987" s="16" t="s">
        <v>6318</v>
      </c>
      <c r="S987" s="15"/>
      <c r="T987" s="15"/>
      <c r="U987" s="7" t="s">
        <v>6619</v>
      </c>
      <c r="V987" s="15" t="s">
        <v>2741</v>
      </c>
      <c r="W987" s="15" t="s">
        <v>3062</v>
      </c>
      <c r="X987" s="16" t="s">
        <v>708</v>
      </c>
      <c r="Y987" s="15"/>
      <c r="Z987" s="15"/>
      <c r="AA987" s="17" t="s">
        <v>6319</v>
      </c>
      <c r="AB987" s="17"/>
      <c r="AC987" s="17"/>
      <c r="AD987" s="17"/>
      <c r="AE987" s="18" t="s">
        <v>6277</v>
      </c>
      <c r="AF987" s="18"/>
      <c r="AG987" s="17"/>
      <c r="AH987" s="16"/>
      <c r="AI987" s="27"/>
      <c r="AJ987" s="27"/>
      <c r="AK987" s="52"/>
      <c r="AL987" s="52"/>
    </row>
    <row r="988" spans="1:38" s="19" customFormat="1" ht="60" hidden="1" x14ac:dyDescent="0.25">
      <c r="A988" s="9" t="s">
        <v>7023</v>
      </c>
      <c r="B988" s="15" t="s">
        <v>6106</v>
      </c>
      <c r="C988" s="15" t="s">
        <v>16</v>
      </c>
      <c r="D988" s="15" t="s">
        <v>6711</v>
      </c>
      <c r="E988" s="15" t="s">
        <v>6714</v>
      </c>
      <c r="F988" s="15" t="s">
        <v>6715</v>
      </c>
      <c r="G988" s="7" t="s">
        <v>6361</v>
      </c>
      <c r="H988" s="15" t="s">
        <v>6274</v>
      </c>
      <c r="I988" s="15" t="s">
        <v>6633</v>
      </c>
      <c r="J988" s="27" t="str">
        <f>VLOOKUP(V988,Table_to_BRG!A:D,3,FALSE)</f>
        <v>General data</v>
      </c>
      <c r="K988" s="27" t="str">
        <f>VLOOKUP(V988,Table_to_BRG!A:D,2,FALSE)</f>
        <v>General</v>
      </c>
      <c r="L988" s="27"/>
      <c r="M988" s="27"/>
      <c r="N988" s="14" t="s">
        <v>6465</v>
      </c>
      <c r="O988" s="54" t="str">
        <f>"Superceded by rule "&amp;A999</f>
        <v>Superceded by rule 379</v>
      </c>
      <c r="P988" s="16" t="s">
        <v>6879</v>
      </c>
      <c r="Q988" s="17" t="str">
        <f>RIGHT("00"&amp;Table362[[#This Row],[Rule '#]],3)&amp;"_"&amp;IF(Table362[[#This Row],[Entity]]="Material","MATL",LEFT(UPPER(Table362[[#This Row],[Entity]]),4))&amp;"_"&amp;MID(SUBSTITUTE(Table362[[#This Row],[Rule Name]],"_","|",3),SEARCH("|",SUBSTITUTE(Table362[[#This Row],[Rule Name]],"_","|",3))+1,LEN(Table362[[#This Row],[Rule Name]]))</f>
        <v>078_CUST_PL</v>
      </c>
      <c r="R988" s="16" t="s">
        <v>6320</v>
      </c>
      <c r="S988" s="15"/>
      <c r="T988" s="15"/>
      <c r="U988" s="7" t="s">
        <v>6619</v>
      </c>
      <c r="V988" s="15" t="s">
        <v>2741</v>
      </c>
      <c r="W988" s="15" t="s">
        <v>3062</v>
      </c>
      <c r="X988" s="16" t="s">
        <v>708</v>
      </c>
      <c r="Y988" s="15"/>
      <c r="Z988" s="15"/>
      <c r="AA988" s="17" t="s">
        <v>6321</v>
      </c>
      <c r="AB988" s="17"/>
      <c r="AC988" s="17"/>
      <c r="AD988" s="17"/>
      <c r="AE988" s="18" t="s">
        <v>6277</v>
      </c>
      <c r="AF988" s="18"/>
      <c r="AG988" s="17"/>
      <c r="AH988" s="16"/>
      <c r="AI988" s="27"/>
      <c r="AJ988" s="27"/>
      <c r="AK988" s="52"/>
      <c r="AL988" s="52"/>
    </row>
    <row r="989" spans="1:38" s="19" customFormat="1" ht="72" hidden="1" x14ac:dyDescent="0.25">
      <c r="A989" s="9" t="s">
        <v>7024</v>
      </c>
      <c r="B989" s="15" t="s">
        <v>6106</v>
      </c>
      <c r="C989" s="15" t="s">
        <v>16</v>
      </c>
      <c r="D989" s="15" t="s">
        <v>6711</v>
      </c>
      <c r="E989" s="15" t="s">
        <v>6714</v>
      </c>
      <c r="F989" s="15" t="s">
        <v>6715</v>
      </c>
      <c r="G989" s="7" t="s">
        <v>6361</v>
      </c>
      <c r="H989" s="15" t="s">
        <v>6274</v>
      </c>
      <c r="I989" s="15" t="s">
        <v>6633</v>
      </c>
      <c r="J989" s="27" t="str">
        <f>VLOOKUP(V989,Table_to_BRG!A:D,3,FALSE)</f>
        <v>General data</v>
      </c>
      <c r="K989" s="27" t="str">
        <f>VLOOKUP(V989,Table_to_BRG!A:D,2,FALSE)</f>
        <v>General</v>
      </c>
      <c r="L989" s="27"/>
      <c r="M989" s="27"/>
      <c r="N989" s="14" t="s">
        <v>6465</v>
      </c>
      <c r="O989" s="54" t="str">
        <f>"Superceded by rule "&amp;A999</f>
        <v>Superceded by rule 379</v>
      </c>
      <c r="P989" s="16" t="s">
        <v>6880</v>
      </c>
      <c r="Q989" s="17" t="str">
        <f>RIGHT("00"&amp;Table362[[#This Row],[Rule '#]],3)&amp;"_"&amp;IF(Table362[[#This Row],[Entity]]="Material","MATL",LEFT(UPPER(Table362[[#This Row],[Entity]]),4))&amp;"_"&amp;MID(SUBSTITUTE(Table362[[#This Row],[Rule Name]],"_","|",3),SEARCH("|",SUBSTITUTE(Table362[[#This Row],[Rule Name]],"_","|",3))+1,LEN(Table362[[#This Row],[Rule Name]]))</f>
        <v>079_CUST_RO</v>
      </c>
      <c r="R989" s="16" t="s">
        <v>6322</v>
      </c>
      <c r="S989" s="15"/>
      <c r="T989" s="15"/>
      <c r="U989" s="7" t="s">
        <v>6619</v>
      </c>
      <c r="V989" s="15" t="s">
        <v>2741</v>
      </c>
      <c r="W989" s="15" t="s">
        <v>3062</v>
      </c>
      <c r="X989" s="16" t="s">
        <v>708</v>
      </c>
      <c r="Y989" s="15"/>
      <c r="Z989" s="15"/>
      <c r="AA989" s="17" t="s">
        <v>6323</v>
      </c>
      <c r="AB989" s="17"/>
      <c r="AC989" s="17"/>
      <c r="AD989" s="17"/>
      <c r="AE989" s="18" t="s">
        <v>6277</v>
      </c>
      <c r="AF989" s="18"/>
      <c r="AG989" s="17"/>
      <c r="AH989" s="16"/>
      <c r="AI989" s="27"/>
      <c r="AJ989" s="27"/>
      <c r="AK989" s="52"/>
      <c r="AL989" s="52"/>
    </row>
    <row r="990" spans="1:38" s="19" customFormat="1" ht="60" hidden="1" x14ac:dyDescent="0.25">
      <c r="A990" s="9" t="s">
        <v>7025</v>
      </c>
      <c r="B990" s="15" t="s">
        <v>6106</v>
      </c>
      <c r="C990" s="15" t="s">
        <v>16</v>
      </c>
      <c r="D990" s="15" t="s">
        <v>6711</v>
      </c>
      <c r="E990" s="15" t="s">
        <v>6714</v>
      </c>
      <c r="F990" s="15" t="s">
        <v>6715</v>
      </c>
      <c r="G990" s="7" t="s">
        <v>6361</v>
      </c>
      <c r="H990" s="15" t="s">
        <v>6274</v>
      </c>
      <c r="I990" s="15" t="s">
        <v>6633</v>
      </c>
      <c r="J990" s="27" t="str">
        <f>VLOOKUP(V990,Table_to_BRG!A:D,3,FALSE)</f>
        <v>General data</v>
      </c>
      <c r="K990" s="27" t="str">
        <f>VLOOKUP(V990,Table_to_BRG!A:D,2,FALSE)</f>
        <v>General</v>
      </c>
      <c r="L990" s="27"/>
      <c r="M990" s="27"/>
      <c r="N990" s="14" t="s">
        <v>6465</v>
      </c>
      <c r="O990" s="54" t="str">
        <f>"Superceded by rule "&amp;A999</f>
        <v>Superceded by rule 379</v>
      </c>
      <c r="P990" s="16" t="s">
        <v>6881</v>
      </c>
      <c r="Q990" s="17" t="str">
        <f>RIGHT("00"&amp;Table362[[#This Row],[Rule '#]],3)&amp;"_"&amp;IF(Table362[[#This Row],[Entity]]="Material","MATL",LEFT(UPPER(Table362[[#This Row],[Entity]]),4))&amp;"_"&amp;MID(SUBSTITUTE(Table362[[#This Row],[Rule Name]],"_","|",3),SEARCH("|",SUBSTITUTE(Table362[[#This Row],[Rule Name]],"_","|",3))+1,LEN(Table362[[#This Row],[Rule Name]]))</f>
        <v>080_CUST_SE</v>
      </c>
      <c r="R990" s="16" t="s">
        <v>6324</v>
      </c>
      <c r="S990" s="15"/>
      <c r="T990" s="15"/>
      <c r="U990" s="7" t="s">
        <v>6619</v>
      </c>
      <c r="V990" s="15" t="s">
        <v>2741</v>
      </c>
      <c r="W990" s="15" t="s">
        <v>3062</v>
      </c>
      <c r="X990" s="16" t="s">
        <v>708</v>
      </c>
      <c r="Y990" s="15"/>
      <c r="Z990" s="15"/>
      <c r="AA990" s="17" t="s">
        <v>6325</v>
      </c>
      <c r="AB990" s="17"/>
      <c r="AC990" s="17"/>
      <c r="AD990" s="17"/>
      <c r="AE990" s="18" t="s">
        <v>6277</v>
      </c>
      <c r="AF990" s="18"/>
      <c r="AG990" s="17"/>
      <c r="AH990" s="16"/>
      <c r="AI990" s="27"/>
      <c r="AJ990" s="27"/>
      <c r="AK990" s="52"/>
      <c r="AL990" s="52"/>
    </row>
    <row r="991" spans="1:38" s="19" customFormat="1" ht="60" hidden="1" x14ac:dyDescent="0.25">
      <c r="A991" s="9" t="s">
        <v>7026</v>
      </c>
      <c r="B991" s="15" t="s">
        <v>6106</v>
      </c>
      <c r="C991" s="15" t="s">
        <v>16</v>
      </c>
      <c r="D991" s="15" t="s">
        <v>6711</v>
      </c>
      <c r="E991" s="15" t="s">
        <v>6714</v>
      </c>
      <c r="F991" s="15" t="s">
        <v>6715</v>
      </c>
      <c r="G991" s="7" t="s">
        <v>6361</v>
      </c>
      <c r="H991" s="15" t="s">
        <v>6274</v>
      </c>
      <c r="I991" s="15" t="s">
        <v>6633</v>
      </c>
      <c r="J991" s="27" t="str">
        <f>VLOOKUP(V991,Table_to_BRG!A:D,3,FALSE)</f>
        <v>General data</v>
      </c>
      <c r="K991" s="27" t="str">
        <f>VLOOKUP(V991,Table_to_BRG!A:D,2,FALSE)</f>
        <v>General</v>
      </c>
      <c r="L991" s="27"/>
      <c r="M991" s="27"/>
      <c r="N991" s="14" t="s">
        <v>6465</v>
      </c>
      <c r="O991" s="54" t="str">
        <f>"Superceded by rule "&amp;A999</f>
        <v>Superceded by rule 379</v>
      </c>
      <c r="P991" s="16" t="s">
        <v>6882</v>
      </c>
      <c r="Q991" s="17" t="str">
        <f>RIGHT("00"&amp;Table362[[#This Row],[Rule '#]],3)&amp;"_"&amp;IF(Table362[[#This Row],[Entity]]="Material","MATL",LEFT(UPPER(Table362[[#This Row],[Entity]]),4))&amp;"_"&amp;MID(SUBSTITUTE(Table362[[#This Row],[Rule Name]],"_","|",3),SEARCH("|",SUBSTITUTE(Table362[[#This Row],[Rule Name]],"_","|",3))+1,LEN(Table362[[#This Row],[Rule Name]]))</f>
        <v>081_CUST_SK</v>
      </c>
      <c r="R991" s="16" t="s">
        <v>6326</v>
      </c>
      <c r="S991" s="15"/>
      <c r="T991" s="15"/>
      <c r="U991" s="7" t="s">
        <v>6619</v>
      </c>
      <c r="V991" s="15" t="s">
        <v>2741</v>
      </c>
      <c r="W991" s="15" t="s">
        <v>3062</v>
      </c>
      <c r="X991" s="16" t="s">
        <v>708</v>
      </c>
      <c r="Y991" s="15"/>
      <c r="Z991" s="15"/>
      <c r="AA991" s="17" t="s">
        <v>6327</v>
      </c>
      <c r="AB991" s="17"/>
      <c r="AC991" s="17"/>
      <c r="AD991" s="17"/>
      <c r="AE991" s="18" t="s">
        <v>6277</v>
      </c>
      <c r="AF991" s="18"/>
      <c r="AG991" s="17"/>
      <c r="AH991" s="16"/>
      <c r="AI991" s="27"/>
      <c r="AJ991" s="27"/>
      <c r="AK991" s="52"/>
      <c r="AL991" s="52"/>
    </row>
    <row r="992" spans="1:38" s="19" customFormat="1" ht="90" hidden="1" x14ac:dyDescent="0.25">
      <c r="A992" s="9" t="s">
        <v>7027</v>
      </c>
      <c r="B992" s="15" t="s">
        <v>6106</v>
      </c>
      <c r="C992" s="15" t="s">
        <v>16</v>
      </c>
      <c r="D992" s="15" t="s">
        <v>6711</v>
      </c>
      <c r="E992" s="15" t="s">
        <v>6714</v>
      </c>
      <c r="F992" s="15" t="s">
        <v>6715</v>
      </c>
      <c r="G992" s="7" t="s">
        <v>6361</v>
      </c>
      <c r="H992" s="15" t="s">
        <v>6274</v>
      </c>
      <c r="I992" s="15" t="s">
        <v>6633</v>
      </c>
      <c r="J992" s="27" t="str">
        <f>VLOOKUP(V992,Table_to_BRG!A:D,3,FALSE)</f>
        <v>General data</v>
      </c>
      <c r="K992" s="27" t="str">
        <f>VLOOKUP(V992,Table_to_BRG!A:D,2,FALSE)</f>
        <v>General</v>
      </c>
      <c r="L992" s="27"/>
      <c r="M992" s="27"/>
      <c r="N992" s="14" t="s">
        <v>6465</v>
      </c>
      <c r="O992" s="54" t="str">
        <f>"Superceded by rule "&amp;A999</f>
        <v>Superceded by rule 379</v>
      </c>
      <c r="P992" s="16" t="s">
        <v>6883</v>
      </c>
      <c r="Q992" s="17" t="str">
        <f>RIGHT("00"&amp;Table362[[#This Row],[Rule '#]],3)&amp;"_"&amp;IF(Table362[[#This Row],[Entity]]="Material","MATL",LEFT(UPPER(Table362[[#This Row],[Entity]]),4))&amp;"_"&amp;MID(SUBSTITUTE(Table362[[#This Row],[Rule Name]],"_","|",3),SEARCH("|",SUBSTITUTE(Table362[[#This Row],[Rule Name]],"_","|",3))+1,LEN(Table362[[#This Row],[Rule Name]]))</f>
        <v>082_CUST_SG</v>
      </c>
      <c r="R992" s="16" t="s">
        <v>6328</v>
      </c>
      <c r="S992" s="15"/>
      <c r="T992" s="15"/>
      <c r="U992" s="7" t="s">
        <v>6619</v>
      </c>
      <c r="V992" s="15" t="s">
        <v>2741</v>
      </c>
      <c r="W992" s="15" t="s">
        <v>3062</v>
      </c>
      <c r="X992" s="16" t="s">
        <v>708</v>
      </c>
      <c r="Y992" s="15"/>
      <c r="Z992" s="15"/>
      <c r="AA992" s="17" t="s">
        <v>6329</v>
      </c>
      <c r="AB992" s="17"/>
      <c r="AC992" s="17"/>
      <c r="AD992" s="17"/>
      <c r="AE992" s="18" t="s">
        <v>6277</v>
      </c>
      <c r="AF992" s="18"/>
      <c r="AG992" s="17"/>
      <c r="AH992" s="16"/>
      <c r="AI992" s="27"/>
      <c r="AJ992" s="27"/>
      <c r="AK992" s="52"/>
      <c r="AL992" s="52"/>
    </row>
    <row r="993" spans="1:38" s="19" customFormat="1" ht="48" hidden="1" x14ac:dyDescent="0.25">
      <c r="A993" s="9" t="s">
        <v>7028</v>
      </c>
      <c r="B993" s="15" t="s">
        <v>6106</v>
      </c>
      <c r="C993" s="15" t="s">
        <v>16</v>
      </c>
      <c r="D993" s="15" t="s">
        <v>6711</v>
      </c>
      <c r="E993" s="15" t="s">
        <v>6714</v>
      </c>
      <c r="F993" s="15" t="s">
        <v>6715</v>
      </c>
      <c r="G993" s="15" t="s">
        <v>6361</v>
      </c>
      <c r="H993" s="15" t="s">
        <v>6274</v>
      </c>
      <c r="I993" s="15" t="s">
        <v>6634</v>
      </c>
      <c r="J993" s="27" t="str">
        <f>VLOOKUP(V993,Table_to_BRG!A:D,3,FALSE)</f>
        <v>General data</v>
      </c>
      <c r="K993" s="27" t="str">
        <f>VLOOKUP(V993,Table_to_BRG!A:D,2,FALSE)</f>
        <v>General</v>
      </c>
      <c r="L993" s="27"/>
      <c r="M993" s="27"/>
      <c r="N993" s="14" t="s">
        <v>6465</v>
      </c>
      <c r="O993" s="54" t="str">
        <f>"Superceded by rule "&amp;A1010</f>
        <v>Superceded by rule 390</v>
      </c>
      <c r="P993" s="16" t="s">
        <v>6884</v>
      </c>
      <c r="Q993" s="17" t="str">
        <f>RIGHT("00"&amp;Table362[[#This Row],[Rule '#]],3)&amp;"_"&amp;IF(Table362[[#This Row],[Entity]]="Material","MATL",LEFT(UPPER(Table362[[#This Row],[Entity]]),4))&amp;"_"&amp;MID(SUBSTITUTE(Table362[[#This Row],[Rule Name]],"_","|",3),SEARCH("|",SUBSTITUTE(Table362[[#This Row],[Rule Name]],"_","|",3))+1,LEN(Table362[[#This Row],[Rule Name]]))</f>
        <v>083_CUST_MX</v>
      </c>
      <c r="R993" s="16" t="s">
        <v>6330</v>
      </c>
      <c r="S993" s="15"/>
      <c r="T993" s="15"/>
      <c r="U993" s="15" t="s">
        <v>44</v>
      </c>
      <c r="V993" s="15" t="s">
        <v>2741</v>
      </c>
      <c r="W993" s="15" t="s">
        <v>3055</v>
      </c>
      <c r="X993" s="16" t="s">
        <v>708</v>
      </c>
      <c r="Y993" s="15"/>
      <c r="Z993" s="15"/>
      <c r="AA993" s="17" t="s">
        <v>6331</v>
      </c>
      <c r="AB993" s="17"/>
      <c r="AC993" s="17"/>
      <c r="AD993" s="17"/>
      <c r="AE993" s="18" t="s">
        <v>6277</v>
      </c>
      <c r="AF993" s="18"/>
      <c r="AG993" s="17"/>
      <c r="AH993" s="16"/>
      <c r="AI993" s="27"/>
      <c r="AJ993" s="27"/>
      <c r="AK993" s="52"/>
      <c r="AL993" s="52"/>
    </row>
    <row r="994" spans="1:38" ht="228" hidden="1" x14ac:dyDescent="0.25">
      <c r="A994" s="9" t="s">
        <v>7029</v>
      </c>
      <c r="B994" s="7" t="s">
        <v>6106</v>
      </c>
      <c r="C994" s="7" t="s">
        <v>16</v>
      </c>
      <c r="D994" s="7" t="s">
        <v>6711</v>
      </c>
      <c r="E994" s="7" t="s">
        <v>6714</v>
      </c>
      <c r="F994" s="7" t="s">
        <v>6715</v>
      </c>
      <c r="G994" s="7"/>
      <c r="H994" s="7"/>
      <c r="I994" s="7" t="s">
        <v>6332</v>
      </c>
      <c r="J994" s="20" t="str">
        <f>VLOOKUP(V994,Table_to_BRG!A:D,3,FALSE)</f>
        <v>General data</v>
      </c>
      <c r="K994" s="20" t="str">
        <f>VLOOKUP(V994,Table_to_BRG!A:D,2,FALSE)</f>
        <v>General</v>
      </c>
      <c r="L994" s="20"/>
      <c r="M994" s="20"/>
      <c r="N994" s="9" t="s">
        <v>6465</v>
      </c>
      <c r="O994" s="54" t="s">
        <v>7812</v>
      </c>
      <c r="P994" s="7"/>
      <c r="Q994" s="11" t="e">
        <f>RIGHT("00"&amp;Table362[[#This Row],[Rule '#]],3)&amp;"_"&amp;IF(Table362[[#This Row],[Entity]]="Material","MATL",LEFT(UPPER(Table362[[#This Row],[Entity]]),4))&amp;"_"&amp;MID(SUBSTITUTE(Table362[[#This Row],[Rule Name]],"_","|",3),SEARCH("|",SUBSTITUTE(Table362[[#This Row],[Rule Name]],"_","|",3))+1,LEN(Table362[[#This Row],[Rule Name]]))</f>
        <v>#VALUE!</v>
      </c>
      <c r="R994" s="8" t="s">
        <v>6333</v>
      </c>
      <c r="S994" s="7"/>
      <c r="T994" s="7"/>
      <c r="U994" s="8"/>
      <c r="V994" s="7" t="s">
        <v>2741</v>
      </c>
      <c r="W994" s="7" t="s">
        <v>6334</v>
      </c>
      <c r="X994" s="8" t="s">
        <v>6335</v>
      </c>
      <c r="Y994" s="7"/>
      <c r="Z994" s="7"/>
      <c r="AA994" s="11" t="s">
        <v>6338</v>
      </c>
      <c r="AB994" s="11"/>
      <c r="AC994" s="11"/>
      <c r="AD994" s="11"/>
      <c r="AE994" s="13" t="s">
        <v>6336</v>
      </c>
      <c r="AH994" s="8"/>
      <c r="AI994" s="20"/>
      <c r="AJ994" s="20"/>
      <c r="AK994" s="31"/>
      <c r="AL994" s="31"/>
    </row>
    <row r="995" spans="1:38" ht="120" hidden="1" x14ac:dyDescent="0.25">
      <c r="A995" s="9" t="s">
        <v>7813</v>
      </c>
      <c r="B995" s="7" t="s">
        <v>3973</v>
      </c>
      <c r="C995" s="7" t="s">
        <v>1207</v>
      </c>
      <c r="D995" s="7" t="s">
        <v>6719</v>
      </c>
      <c r="E995" s="7" t="s">
        <v>6720</v>
      </c>
      <c r="F995" s="7" t="s">
        <v>6722</v>
      </c>
      <c r="G995" s="7" t="s">
        <v>6361</v>
      </c>
      <c r="H995" s="7" t="s">
        <v>6107</v>
      </c>
      <c r="I995" s="7" t="s">
        <v>6635</v>
      </c>
      <c r="J995" s="20" t="str">
        <f>VLOOKUP(V995,Table_to_BRG!A:D,3,FALSE)</f>
        <v>General data</v>
      </c>
      <c r="K995" s="20" t="str">
        <f>VLOOKUP(V995,Table_to_BRG!A:D,2,FALSE)</f>
        <v>General</v>
      </c>
      <c r="L995" s="20"/>
      <c r="M995" s="20"/>
      <c r="N995" s="9"/>
      <c r="O995" s="54"/>
      <c r="P995" s="7" t="s">
        <v>8535</v>
      </c>
      <c r="Q995" s="11" t="str">
        <f>UPPER(LEFT(Table362[[#This Row],[Entity]],3))&amp;RIGHT("00"&amp;Table362[[#This Row],[Rule '# by Entity]],3)&amp;"0_"&amp;MID(SUBSTITUTE(Table362[[#This Row],[Rule Name]],"_","|",3),SEARCH("|",SUBSTITUTE(Table362[[#This Row],[Rule Name]],"_","|",3))+1,LEN(Table362[[#This Row],[Rule Name]]))</f>
        <v>VEN0080_PostcodePopulated</v>
      </c>
      <c r="R995" s="8" t="s">
        <v>8299</v>
      </c>
      <c r="S995" s="7" t="s">
        <v>139</v>
      </c>
      <c r="T995" s="7"/>
      <c r="U995" s="8" t="s">
        <v>6095</v>
      </c>
      <c r="V995" s="7" t="s">
        <v>3542</v>
      </c>
      <c r="W995" s="8" t="s">
        <v>8223</v>
      </c>
      <c r="X995" s="8" t="s">
        <v>6608</v>
      </c>
      <c r="Y995" s="7"/>
      <c r="Z995" s="7"/>
      <c r="AA995" s="11" t="s">
        <v>6615</v>
      </c>
      <c r="AB995" s="11"/>
      <c r="AC995" s="11"/>
      <c r="AD995" s="11"/>
      <c r="AE995" s="13" t="s">
        <v>7790</v>
      </c>
      <c r="AF995" s="13" t="str">
        <f>"VW_"&amp;Table362[[#This Row],[New Rule Name]]</f>
        <v>VW_VEN0080_PostcodePopulated</v>
      </c>
      <c r="AG995" s="11" t="s">
        <v>7791</v>
      </c>
      <c r="AH995" s="13" t="str">
        <f>"Replaces rules "&amp;A942&amp;"-"&amp;A955</f>
        <v>Replaces rules 6032-6045</v>
      </c>
      <c r="AI995" s="20" t="s">
        <v>7694</v>
      </c>
      <c r="AJ995" s="20"/>
      <c r="AK995" s="31">
        <v>8</v>
      </c>
      <c r="AL995" s="31"/>
    </row>
    <row r="996" spans="1:38" ht="120" hidden="1" x14ac:dyDescent="0.25">
      <c r="A996" s="9" t="s">
        <v>7814</v>
      </c>
      <c r="B996" s="7" t="s">
        <v>4292</v>
      </c>
      <c r="C996" s="7" t="s">
        <v>16</v>
      </c>
      <c r="D996" s="7" t="s">
        <v>6711</v>
      </c>
      <c r="E996" s="7" t="s">
        <v>6714</v>
      </c>
      <c r="F996" s="7" t="s">
        <v>6715</v>
      </c>
      <c r="G996" s="7" t="s">
        <v>6361</v>
      </c>
      <c r="H996" s="7" t="s">
        <v>6107</v>
      </c>
      <c r="I996" s="7" t="s">
        <v>6635</v>
      </c>
      <c r="J996" s="20" t="str">
        <f>VLOOKUP(V996,Table_to_BRG!A:D,3,FALSE)</f>
        <v>General data</v>
      </c>
      <c r="K996" s="20" t="str">
        <f>VLOOKUP(V996,Table_to_BRG!A:D,2,FALSE)</f>
        <v>General</v>
      </c>
      <c r="L996" s="20"/>
      <c r="M996" s="20"/>
      <c r="N996" s="9" t="s">
        <v>6465</v>
      </c>
      <c r="O996" s="54" t="str">
        <f>"Duplicate of rule "&amp;A176</f>
        <v>Duplicate of rule 170</v>
      </c>
      <c r="P996" s="7" t="s">
        <v>8304</v>
      </c>
      <c r="Q996" s="11" t="str">
        <f>UPPER(LEFT(Table362[[#This Row],[Entity]],3))&amp;RIGHT("00"&amp;Table362[[#This Row],[Rule '# by Entity]],3)&amp;"0_"&amp;MID(SUBSTITUTE(Table362[[#This Row],[Rule Name]],"_","|",3),SEARCH("|",SUBSTITUTE(Table362[[#This Row],[Rule Name]],"_","|",3))+1,LEN(Table362[[#This Row],[Rule Name]]))</f>
        <v>CUS1200_PostcodePopulated</v>
      </c>
      <c r="R996" s="8" t="s">
        <v>8227</v>
      </c>
      <c r="S996" s="7" t="s">
        <v>139</v>
      </c>
      <c r="T996" s="7"/>
      <c r="U996" s="8" t="s">
        <v>6095</v>
      </c>
      <c r="V996" s="7" t="s">
        <v>2741</v>
      </c>
      <c r="W996" s="8" t="s">
        <v>8223</v>
      </c>
      <c r="X996" s="8" t="s">
        <v>6608</v>
      </c>
      <c r="Y996" s="7"/>
      <c r="Z996" s="7"/>
      <c r="AA996" s="11" t="s">
        <v>6612</v>
      </c>
      <c r="AB996" s="11"/>
      <c r="AC996" s="11"/>
      <c r="AD996" s="11"/>
      <c r="AE996" s="13" t="s">
        <v>7755</v>
      </c>
      <c r="AF996" s="13" t="str">
        <f>"VW_"&amp;Table362[[#This Row],[New Rule Name]]</f>
        <v>VW_CUS1200_PostcodePopulated</v>
      </c>
      <c r="AG996" s="11" t="str">
        <f>"create view "&amp;Table362[[#This Row],[View Name]]&amp;" as 
     select 
          "&amp;IF(Table362[[#This Row],[Entity]]="Customer","KUNNR",IF(Table362[[#This Row],[Entity]]="Vendor","LIFNR","MATNR"))&amp;",
          LAND1,
          PSTLZ 
     from "&amp;Table362[[#This Row],[Table]]</f>
        <v>create view VW_CUS1200_PostcodePopulated as 
     select 
          KUNNR,
          LAND1,
          PSTLZ 
     from KNA1</v>
      </c>
      <c r="AH996" s="13" t="str">
        <f>"Replaces rules "&amp;A942&amp;"-"&amp;A955</f>
        <v>Replaces rules 6032-6045</v>
      </c>
      <c r="AI996" s="20" t="s">
        <v>7695</v>
      </c>
      <c r="AJ996" s="20"/>
      <c r="AK996" s="31">
        <v>120</v>
      </c>
      <c r="AL996" s="31"/>
    </row>
    <row r="997" spans="1:38" ht="384" hidden="1" x14ac:dyDescent="0.25">
      <c r="A997" s="9" t="s">
        <v>7815</v>
      </c>
      <c r="B997" s="7" t="s">
        <v>3973</v>
      </c>
      <c r="C997" s="7" t="s">
        <v>1207</v>
      </c>
      <c r="D997" s="7" t="s">
        <v>6719</v>
      </c>
      <c r="E997" s="7" t="s">
        <v>6720</v>
      </c>
      <c r="F997" s="7" t="s">
        <v>6722</v>
      </c>
      <c r="G997" s="7" t="s">
        <v>6361</v>
      </c>
      <c r="H997" s="7" t="s">
        <v>6107</v>
      </c>
      <c r="I997" s="7" t="s">
        <v>6635</v>
      </c>
      <c r="J997" s="20" t="str">
        <f>VLOOKUP(V997,Table_to_BRG!A:D,3,FALSE)</f>
        <v>General data</v>
      </c>
      <c r="K997" s="20" t="str">
        <f>VLOOKUP(V997,Table_to_BRG!A:D,2,FALSE)</f>
        <v>General</v>
      </c>
      <c r="L997" s="20"/>
      <c r="M997" s="20"/>
      <c r="N997" s="9"/>
      <c r="O997" s="54"/>
      <c r="P997" s="7" t="s">
        <v>8536</v>
      </c>
      <c r="Q997" s="11" t="str">
        <f>UPPER(LEFT(Table362[[#This Row],[Entity]],3))&amp;RIGHT("00"&amp;Table362[[#This Row],[Rule '# by Entity]],3)&amp;"0_"&amp;MID(SUBSTITUTE(Table362[[#This Row],[Rule Name]],"_","|",3),SEARCH("|",SUBSTITUTE(Table362[[#This Row],[Rule Name]],"_","|",3))+1,LEN(Table362[[#This Row],[Rule Name]]))</f>
        <v>VEN0090_PostalCodeFormat</v>
      </c>
      <c r="R997" s="8" t="s">
        <v>8302</v>
      </c>
      <c r="S997" s="7" t="s">
        <v>139</v>
      </c>
      <c r="T997" s="7"/>
      <c r="U997" s="8" t="s">
        <v>6095</v>
      </c>
      <c r="V997" s="7" t="s">
        <v>3542</v>
      </c>
      <c r="W997" s="8" t="s">
        <v>8223</v>
      </c>
      <c r="X997" s="8" t="s">
        <v>6608</v>
      </c>
      <c r="Y997" s="7"/>
      <c r="Z997" s="7"/>
      <c r="AA997" s="11" t="s">
        <v>6611</v>
      </c>
      <c r="AB997" s="11"/>
      <c r="AC997" s="11"/>
      <c r="AD997" s="11"/>
      <c r="AE997" s="13" t="s">
        <v>7790</v>
      </c>
      <c r="AF997" s="13" t="str">
        <f>"VW_"&amp;Table362[[#This Row],[New Rule Name]]</f>
        <v>VW_VEN0090_PostalCodeFormat</v>
      </c>
      <c r="AG997" s="11" t="s">
        <v>7791</v>
      </c>
      <c r="AH997" s="8"/>
      <c r="AI997" s="20" t="s">
        <v>7696</v>
      </c>
      <c r="AJ997" s="20"/>
      <c r="AK997" s="31">
        <v>9</v>
      </c>
      <c r="AL997" s="31"/>
    </row>
    <row r="998" spans="1:38" ht="384" hidden="1" x14ac:dyDescent="0.25">
      <c r="A998" s="9" t="s">
        <v>7816</v>
      </c>
      <c r="B998" s="7" t="s">
        <v>3973</v>
      </c>
      <c r="C998" s="7" t="s">
        <v>1207</v>
      </c>
      <c r="D998" s="7" t="s">
        <v>6719</v>
      </c>
      <c r="E998" s="7" t="s">
        <v>6720</v>
      </c>
      <c r="F998" s="7" t="s">
        <v>6722</v>
      </c>
      <c r="G998" s="7" t="s">
        <v>6361</v>
      </c>
      <c r="H998" s="7" t="s">
        <v>6107</v>
      </c>
      <c r="I998" s="7" t="s">
        <v>6635</v>
      </c>
      <c r="J998" s="20" t="str">
        <f>VLOOKUP(V998,Table_to_BRG!A:D,3,FALSE)</f>
        <v>General data</v>
      </c>
      <c r="K998" s="20" t="str">
        <f>VLOOKUP(V998,Table_to_BRG!A:D,2,FALSE)</f>
        <v>General</v>
      </c>
      <c r="L998" s="20"/>
      <c r="M998" s="20"/>
      <c r="N998" s="9"/>
      <c r="O998" s="54"/>
      <c r="P998" s="7" t="s">
        <v>8537</v>
      </c>
      <c r="Q998" s="11" t="str">
        <f>UPPER(LEFT(Table362[[#This Row],[Entity]],3))&amp;RIGHT("00"&amp;Table362[[#This Row],[Rule '# by Entity]],3)&amp;"0_"&amp;MID(SUBSTITUTE(Table362[[#This Row],[Rule Name]],"_","|",3),SEARCH("|",SUBSTITUTE(Table362[[#This Row],[Rule Name]],"_","|",3))+1,LEN(Table362[[#This Row],[Rule Name]]))</f>
        <v>VEN0100_PostalCodePOBFormat</v>
      </c>
      <c r="R998" s="8" t="s">
        <v>8302</v>
      </c>
      <c r="S998" s="7" t="s">
        <v>139</v>
      </c>
      <c r="T998" s="7"/>
      <c r="U998" s="8" t="s">
        <v>6095</v>
      </c>
      <c r="V998" s="7" t="s">
        <v>3542</v>
      </c>
      <c r="W998" s="8" t="s">
        <v>8223</v>
      </c>
      <c r="X998" s="8" t="s">
        <v>6608</v>
      </c>
      <c r="Y998" s="7"/>
      <c r="Z998" s="7"/>
      <c r="AA998" s="11" t="s">
        <v>6611</v>
      </c>
      <c r="AB998" s="11"/>
      <c r="AC998" s="11"/>
      <c r="AD998" s="11"/>
      <c r="AE998" s="13" t="s">
        <v>7790</v>
      </c>
      <c r="AF998" s="13" t="str">
        <f>"VW_"&amp;Table362[[#This Row],[New Rule Name]]</f>
        <v>VW_VEN0100_PostalCodePOBFormat</v>
      </c>
      <c r="AG998" s="11" t="s">
        <v>7791</v>
      </c>
      <c r="AH998" s="8"/>
      <c r="AI998" s="20" t="s">
        <v>7696</v>
      </c>
      <c r="AJ998" s="20"/>
      <c r="AK998" s="31">
        <v>10</v>
      </c>
      <c r="AL998" s="31"/>
    </row>
    <row r="999" spans="1:38" ht="409.5" hidden="1" x14ac:dyDescent="0.25">
      <c r="A999" s="9" t="s">
        <v>7817</v>
      </c>
      <c r="B999" s="7" t="s">
        <v>3973</v>
      </c>
      <c r="C999" s="7" t="s">
        <v>16</v>
      </c>
      <c r="D999" s="7" t="s">
        <v>6711</v>
      </c>
      <c r="E999" s="7" t="s">
        <v>6714</v>
      </c>
      <c r="F999" s="7" t="s">
        <v>6715</v>
      </c>
      <c r="G999" s="7" t="s">
        <v>6361</v>
      </c>
      <c r="H999" s="7" t="s">
        <v>6107</v>
      </c>
      <c r="I999" s="7" t="s">
        <v>6635</v>
      </c>
      <c r="J999" s="20" t="str">
        <f>VLOOKUP(V999,Table_to_BRG!A:D,3,FALSE)</f>
        <v>General data</v>
      </c>
      <c r="K999" s="20" t="str">
        <f>VLOOKUP(V999,Table_to_BRG!A:D,2,FALSE)</f>
        <v>General</v>
      </c>
      <c r="L999" s="20"/>
      <c r="M999" s="20"/>
      <c r="N999" s="9"/>
      <c r="O999" s="54"/>
      <c r="P999" s="7" t="s">
        <v>8303</v>
      </c>
      <c r="Q999" s="11" t="str">
        <f>UPPER(LEFT(Table362[[#This Row],[Entity]],3))&amp;RIGHT("00"&amp;Table362[[#This Row],[Rule '# by Entity]],3)&amp;"0_"&amp;MID(SUBSTITUTE(Table362[[#This Row],[Rule Name]],"_","|",3),SEARCH("|",SUBSTITUTE(Table362[[#This Row],[Rule Name]],"_","|",3))+1,LEN(Table362[[#This Row],[Rule Name]]))</f>
        <v>CUS1180_PostalCodeFormat</v>
      </c>
      <c r="R999" s="8" t="s">
        <v>8300</v>
      </c>
      <c r="S999" s="7" t="s">
        <v>139</v>
      </c>
      <c r="T999" s="7"/>
      <c r="U999" s="8" t="s">
        <v>6095</v>
      </c>
      <c r="V999" s="7" t="s">
        <v>2741</v>
      </c>
      <c r="W999" s="8" t="s">
        <v>8223</v>
      </c>
      <c r="X999" s="8" t="s">
        <v>6608</v>
      </c>
      <c r="Y999" s="7"/>
      <c r="Z999" s="7"/>
      <c r="AA999" s="11" t="s">
        <v>8222</v>
      </c>
      <c r="AB999" s="11"/>
      <c r="AC999" s="11"/>
      <c r="AD999" s="11"/>
      <c r="AE999" s="13" t="str">
        <f>IF(Table362[[#This Row],[Entity]]="Customer","KUNNR",IF(Table362[[#This Row],[Entity]]="Vendor","LIFNR","MATNR"))&amp;","&amp;Table362[[#This Row],[Field]]</f>
        <v>KUNNR,LAND1,PSTLZ</v>
      </c>
      <c r="AF999" s="13" t="str">
        <f>"VW_"&amp;Table362[[#This Row],[New Rule Name]]</f>
        <v>VW_CUS1180_PostalCodeFormat</v>
      </c>
      <c r="AG999" s="11" t="str">
        <f>"create view "&amp;Table362[[#This Row],[View Name]]&amp;" as 
     select 
          "&amp;IF(Table362[[#This Row],[Entity]]="Customer","KUNNR",IF(Table362[[#This Row],[Entity]]="Vendor","LIFNR","MATNR"))&amp;",
          LAND1,
          PSTLZ 
     from "&amp;Table362[[#This Row],[Table]]</f>
        <v>create view VW_CUS1180_PostalCodeFormat as 
     select 
          KUNNR,
          LAND1,
          PSTLZ 
     from KNA1</v>
      </c>
      <c r="AH999" s="13" t="str">
        <f>"Replaces rules "&amp;A943&amp;"-"&amp;A956</f>
        <v>Replaces rules 6033-6046</v>
      </c>
      <c r="AI999" s="20" t="s">
        <v>7697</v>
      </c>
      <c r="AJ999" s="20"/>
      <c r="AK999" s="31">
        <v>118</v>
      </c>
      <c r="AL999" s="31"/>
    </row>
    <row r="1000" spans="1:38" ht="409.5" hidden="1" x14ac:dyDescent="0.25">
      <c r="A1000" s="9" t="s">
        <v>7818</v>
      </c>
      <c r="B1000" s="7" t="s">
        <v>3973</v>
      </c>
      <c r="C1000" s="7" t="s">
        <v>16</v>
      </c>
      <c r="D1000" s="7" t="s">
        <v>6711</v>
      </c>
      <c r="E1000" s="7" t="s">
        <v>6714</v>
      </c>
      <c r="F1000" s="7" t="s">
        <v>6715</v>
      </c>
      <c r="G1000" s="7" t="s">
        <v>6361</v>
      </c>
      <c r="H1000" s="7" t="s">
        <v>6107</v>
      </c>
      <c r="I1000" s="7" t="s">
        <v>6635</v>
      </c>
      <c r="J1000" s="20" t="str">
        <f>VLOOKUP(V1000,Table_to_BRG!A:D,3,FALSE)</f>
        <v>General data</v>
      </c>
      <c r="K1000" s="20" t="str">
        <f>VLOOKUP(V1000,Table_to_BRG!A:D,2,FALSE)</f>
        <v>General</v>
      </c>
      <c r="L1000" s="20"/>
      <c r="M1000" s="20"/>
      <c r="N1000" s="9"/>
      <c r="O1000" s="54"/>
      <c r="P1000" s="7" t="s">
        <v>8305</v>
      </c>
      <c r="Q1000" s="11" t="str">
        <f>UPPER(LEFT(Table362[[#This Row],[Entity]],3))&amp;RIGHT("00"&amp;Table362[[#This Row],[Rule '# by Entity]],3)&amp;"0_"&amp;MID(SUBSTITUTE(Table362[[#This Row],[Rule Name]],"_","|",3),SEARCH("|",SUBSTITUTE(Table362[[#This Row],[Rule Name]],"_","|",3))+1,LEN(Table362[[#This Row],[Rule Name]]))</f>
        <v>CUS1190_PostalCodePOBFormat</v>
      </c>
      <c r="R1000" s="8" t="s">
        <v>8301</v>
      </c>
      <c r="S1000" s="7" t="s">
        <v>139</v>
      </c>
      <c r="T1000" s="7"/>
      <c r="U1000" s="8" t="s">
        <v>6095</v>
      </c>
      <c r="V1000" s="7" t="s">
        <v>2741</v>
      </c>
      <c r="W1000" s="8" t="s">
        <v>8225</v>
      </c>
      <c r="X1000" s="8" t="s">
        <v>8226</v>
      </c>
      <c r="Y1000" s="7"/>
      <c r="Z1000" s="7"/>
      <c r="AA1000" s="11" t="s">
        <v>8222</v>
      </c>
      <c r="AB1000" s="11"/>
      <c r="AC1000" s="11"/>
      <c r="AD1000" s="11"/>
      <c r="AE1000" s="13" t="str">
        <f>IF(Table362[[#This Row],[Entity]]="Customer","KUNNR",IF(Table362[[#This Row],[Entity]]="Vendor","LIFNR","MATNR"))&amp;","&amp;Table362[[#This Row],[Field]]</f>
        <v>KUNNR,LAND1,PSTL2</v>
      </c>
      <c r="AF1000" s="13" t="str">
        <f>"VW_"&amp;Table362[[#This Row],[New Rule Name]]</f>
        <v>VW_CUS1190_PostalCodePOBFormat</v>
      </c>
      <c r="AG1000" s="11" t="str">
        <f>"create view "&amp;Table362[[#This Row],[View Name]]&amp;" as 
     select 
          "&amp;IF(Table362[[#This Row],[Entity]]="Customer","KUNNR",IF(Table362[[#This Row],[Entity]]="Vendor","LIFNR","MATNR"))&amp;",
          LAND1,
          PSTLZ 
     from "&amp;Table362[[#This Row],[Table]]</f>
        <v>create view VW_CUS1190_PostalCodePOBFormat as 
     select 
          KUNNR,
          LAND1,
          PSTLZ 
     from KNA1</v>
      </c>
      <c r="AH1000" s="13" t="str">
        <f>"Replaces rules "&amp;A943&amp;"-"&amp;A956</f>
        <v>Replaces rules 6033-6046</v>
      </c>
      <c r="AI1000" s="20" t="s">
        <v>7697</v>
      </c>
      <c r="AJ1000" s="20"/>
      <c r="AK1000" s="31">
        <v>119</v>
      </c>
      <c r="AL1000" s="31"/>
    </row>
    <row r="1001" spans="1:38" ht="409.5" hidden="1" x14ac:dyDescent="0.25">
      <c r="A1001" s="9" t="s">
        <v>7819</v>
      </c>
      <c r="B1001" s="7" t="s">
        <v>4292</v>
      </c>
      <c r="C1001" s="7" t="s">
        <v>16</v>
      </c>
      <c r="D1001" s="7" t="s">
        <v>6711</v>
      </c>
      <c r="E1001" s="7" t="s">
        <v>6714</v>
      </c>
      <c r="F1001" s="7" t="s">
        <v>6715</v>
      </c>
      <c r="G1001" s="7" t="s">
        <v>6361</v>
      </c>
      <c r="H1001" s="7" t="s">
        <v>6274</v>
      </c>
      <c r="I1001" s="7" t="s">
        <v>6633</v>
      </c>
      <c r="J1001" s="20" t="str">
        <f>VLOOKUP(V1001,Table_to_BRG!A:D,3,FALSE)</f>
        <v>General data</v>
      </c>
      <c r="K1001" s="20" t="str">
        <f>VLOOKUP(V1001,Table_to_BRG!A:D,2,FALSE)</f>
        <v>General</v>
      </c>
      <c r="L1001" s="20"/>
      <c r="M1001" s="20"/>
      <c r="N1001" s="9" t="s">
        <v>6465</v>
      </c>
      <c r="O1001" s="54"/>
      <c r="P1001" s="20" t="s">
        <v>7757</v>
      </c>
      <c r="Q1001" s="11" t="str">
        <f>UPPER(LEFT(Table362[[#This Row],[Entity]],3))&amp;"_"&amp;RIGHT("00"&amp;Table362[[#This Row],[Rule '# by Entity]],3)&amp;"_"&amp;MID(SUBSTITUTE(Table362[[#This Row],[Rule Name]],"_","|",3),SEARCH("|",SUBSTITUTE(Table362[[#This Row],[Rule Name]],"_","|",3))+1,LEN(Table362[[#This Row],[Rule Name]]))</f>
        <v>CUS_00_CheckTaxCodeFormat</v>
      </c>
      <c r="R1001" s="22" t="s">
        <v>6620</v>
      </c>
      <c r="S1001" s="20" t="s">
        <v>139</v>
      </c>
      <c r="T1001" s="7"/>
      <c r="U1001" s="8" t="s">
        <v>6621</v>
      </c>
      <c r="V1001" s="7" t="s">
        <v>2741</v>
      </c>
      <c r="W1001" s="8" t="s">
        <v>6623</v>
      </c>
      <c r="X1001" s="8" t="s">
        <v>6622</v>
      </c>
      <c r="Y1001" s="7"/>
      <c r="Z1001" s="7"/>
      <c r="AA1001" s="21" t="s">
        <v>6624</v>
      </c>
      <c r="AB1001" s="21"/>
      <c r="AC1001" s="21"/>
      <c r="AD1001" s="21"/>
      <c r="AE1001" s="13" t="s">
        <v>7756</v>
      </c>
      <c r="AF1001" s="13" t="str">
        <f>"VW_"&amp;Table362[[#This Row],[New Rule Name]]</f>
        <v>VW_CUS_00_CheckTaxCodeFormat</v>
      </c>
      <c r="AG1001" s="11" t="str">
        <f>"create view "&amp;Table362[[#This Row],[View Name]]&amp;" as 
     select 
          "&amp;IF(Table362[[#This Row],[Entity]]="Customer","KUNNR",IF(Table362[[#This Row],[Entity]]="Vendor","LIFNR","MATNR"))&amp;",
          LAND1,
          STCEG 
     from "&amp;Table362[[#This Row],[Table]]</f>
        <v>create view VW_CUS_00_CheckTaxCodeFormat as 
     select 
          KUNNR,
          LAND1,
          STCEG 
     from KNA1</v>
      </c>
      <c r="AH1001" s="13" t="s">
        <v>6340</v>
      </c>
      <c r="AI1001" s="20" t="s">
        <v>7648</v>
      </c>
      <c r="AJ1001" s="20"/>
      <c r="AK1001" s="31"/>
      <c r="AL1001" s="31"/>
    </row>
    <row r="1002" spans="1:38" s="3" customFormat="1" ht="409.5" hidden="1" x14ac:dyDescent="0.25">
      <c r="A1002" s="9" t="s">
        <v>7820</v>
      </c>
      <c r="B1002" s="7" t="s">
        <v>4292</v>
      </c>
      <c r="C1002" s="7" t="s">
        <v>1207</v>
      </c>
      <c r="D1002" s="7" t="s">
        <v>6719</v>
      </c>
      <c r="E1002" s="7" t="s">
        <v>6720</v>
      </c>
      <c r="F1002" s="7" t="s">
        <v>6722</v>
      </c>
      <c r="G1002" s="7" t="s">
        <v>6361</v>
      </c>
      <c r="H1002" s="7" t="s">
        <v>6274</v>
      </c>
      <c r="I1002" s="7" t="s">
        <v>6633</v>
      </c>
      <c r="J1002" s="20" t="str">
        <f>VLOOKUP(V1002,Table_to_BRG!A:D,3,FALSE)</f>
        <v>General data</v>
      </c>
      <c r="K1002" s="20" t="str">
        <f>VLOOKUP(V1002,Table_to_BRG!A:D,2,FALSE)</f>
        <v>General</v>
      </c>
      <c r="L1002" s="20"/>
      <c r="M1002" s="20"/>
      <c r="N1002" s="9" t="s">
        <v>6465</v>
      </c>
      <c r="O1002" s="54"/>
      <c r="P1002" s="20" t="s">
        <v>6499</v>
      </c>
      <c r="Q1002" s="11" t="e">
        <f>UPPER(LEFT(Table362[[#This Row],[Entity]],3))&amp;"_"&amp;RIGHT("00"&amp;Table362[[#This Row],[Rule '# by Entity]],3)&amp;"_"&amp;MID(SUBSTITUTE(Table362[[#This Row],[Rule Name]],"_","|",3),SEARCH("|",SUBSTITUTE(Table362[[#This Row],[Rule Name]],"_","|",3))+1,LEN(Table362[[#This Row],[Rule Name]]))</f>
        <v>#VALUE!</v>
      </c>
      <c r="R1002" s="22" t="s">
        <v>6339</v>
      </c>
      <c r="S1002" s="20" t="s">
        <v>139</v>
      </c>
      <c r="T1002" s="7"/>
      <c r="U1002" s="8" t="s">
        <v>6621</v>
      </c>
      <c r="V1002" s="7" t="s">
        <v>3542</v>
      </c>
      <c r="W1002" s="8" t="s">
        <v>6623</v>
      </c>
      <c r="X1002" s="8" t="s">
        <v>6622</v>
      </c>
      <c r="Y1002" s="7"/>
      <c r="Z1002" s="7"/>
      <c r="AA1002" s="21" t="s">
        <v>6624</v>
      </c>
      <c r="AB1002" s="21"/>
      <c r="AC1002" s="21"/>
      <c r="AD1002" s="21"/>
      <c r="AE1002" s="13"/>
      <c r="AF1002" s="13" t="e">
        <f>"VW_"&amp;Table362[[#This Row],[New Rule Name]]</f>
        <v>#VALUE!</v>
      </c>
      <c r="AG1002" s="11"/>
      <c r="AH1002" s="8"/>
      <c r="AI1002" s="20" t="s">
        <v>7649</v>
      </c>
      <c r="AJ1002" s="20"/>
      <c r="AK1002" s="31"/>
      <c r="AL1002" s="31"/>
    </row>
    <row r="1003" spans="1:38" s="3" customFormat="1" ht="72" hidden="1" x14ac:dyDescent="0.25">
      <c r="A1003" s="9" t="s">
        <v>7821</v>
      </c>
      <c r="B1003" s="7" t="s">
        <v>3973</v>
      </c>
      <c r="C1003" s="7" t="s">
        <v>16</v>
      </c>
      <c r="D1003" s="7" t="s">
        <v>6711</v>
      </c>
      <c r="E1003" s="7" t="s">
        <v>6714</v>
      </c>
      <c r="F1003" s="7" t="s">
        <v>6715</v>
      </c>
      <c r="G1003" s="7" t="s">
        <v>6361</v>
      </c>
      <c r="H1003" s="7" t="s">
        <v>6364</v>
      </c>
      <c r="I1003" s="7"/>
      <c r="J1003" s="20" t="str">
        <f>VLOOKUP(V1003,Table_to_BRG!A:D,3,FALSE)</f>
        <v>General data</v>
      </c>
      <c r="K1003" s="20" t="str">
        <f>VLOOKUP(V1003,Table_to_BRG!A:D,2,FALSE)</f>
        <v>General</v>
      </c>
      <c r="L1003" s="20"/>
      <c r="M1003" s="20"/>
      <c r="N1003" s="9"/>
      <c r="O1003" s="54"/>
      <c r="P1003" s="7" t="s">
        <v>8207</v>
      </c>
      <c r="Q1003" s="11" t="str">
        <f>UPPER(LEFT(Table362[[#This Row],[Entity]],3))&amp;RIGHT("00"&amp;Table362[[#This Row],[Rule '# by Entity]],3)&amp;"0_"&amp;MID(SUBSTITUTE(Table362[[#This Row],[Rule Name]],"_","|",3),SEARCH("|",SUBSTITUTE(Table362[[#This Row],[Rule Name]],"_","|",3))+1,LEN(Table362[[#This Row],[Rule Name]]))</f>
        <v>CUS0350_BiochemWarfareIndicatorIsValid</v>
      </c>
      <c r="R1003" s="8" t="s">
        <v>8210</v>
      </c>
      <c r="S1003" s="7" t="s">
        <v>4135</v>
      </c>
      <c r="T1003" s="7" t="s">
        <v>2</v>
      </c>
      <c r="U1003" s="7" t="s">
        <v>6429</v>
      </c>
      <c r="V1003" s="7" t="s">
        <v>2741</v>
      </c>
      <c r="W1003" s="7" t="s">
        <v>3112</v>
      </c>
      <c r="X1003" s="8" t="s">
        <v>3125</v>
      </c>
      <c r="Y1003" s="7" t="s">
        <v>5978</v>
      </c>
      <c r="Z1003" s="7" t="s">
        <v>5978</v>
      </c>
      <c r="AA1003" s="10" t="s">
        <v>8613</v>
      </c>
      <c r="AB1003" s="11" t="str">
        <f>Table362[[#This Row],[IS Parameter]]&amp;" IS NOT NULL
AND "&amp; Table362[[#This Row],[IS Parameter]]&amp;" != ''"</f>
        <v>$P_I_BiochemWarfare IS NOT NULL
AND $P_I_BiochemWarfare != ''</v>
      </c>
      <c r="AC1003" s="13" t="s">
        <v>7792</v>
      </c>
      <c r="AD1003" s="10"/>
      <c r="AE1003" s="13" t="str">
        <f>IF(Table362[[#This Row],[Entity]]="Customer","KUNNR",IF(Table362[[#This Row],[Entity]]="Vendor","LIFNR","MATNR"))&amp;","&amp;Table362[[#This Row],[Field]]</f>
        <v>KUNNR,CCC01</v>
      </c>
      <c r="AF1003" s="13" t="str">
        <f>"VW_"&amp;Table362[[#This Row],[New Rule Name]]</f>
        <v>VW_CUS0350_BiochemWarfareIndicatorIsValid</v>
      </c>
      <c r="AG1003" s="11" t="str">
        <f>"create view "&amp;Table362[[#This Row],[View Name]]&amp;" as 
     select 
          "&amp;IF(Table362[[#This Row],[Entity]]="Customer","KUNNR",IF(Table362[[#This Row],[Entity]]="Vendor","LIFNR","MATNR"))&amp;",
          "&amp;Table362[[#This Row],[Field]]&amp;" 
     from "&amp;Table362[[#This Row],[Table]]</f>
        <v>create view VW_CUS0350_BiochemWarfareIndicatorIsValid as 
     select 
          KUNNR,
          CCC01 
     from KNA1</v>
      </c>
      <c r="AH1003" s="8"/>
      <c r="AI1003" s="20" t="s">
        <v>7607</v>
      </c>
      <c r="AJ1003" s="20"/>
      <c r="AK1003" s="31">
        <v>35</v>
      </c>
      <c r="AL1003" s="31"/>
    </row>
    <row r="1004" spans="1:38" s="3" customFormat="1" ht="84" hidden="1" x14ac:dyDescent="0.25">
      <c r="A1004" s="9" t="s">
        <v>7822</v>
      </c>
      <c r="B1004" s="7" t="s">
        <v>4292</v>
      </c>
      <c r="C1004" s="7" t="s">
        <v>16</v>
      </c>
      <c r="D1004" s="7" t="s">
        <v>6719</v>
      </c>
      <c r="E1004" s="7" t="s">
        <v>6720</v>
      </c>
      <c r="F1004" s="7" t="s">
        <v>6721</v>
      </c>
      <c r="G1004" s="7" t="s">
        <v>6358</v>
      </c>
      <c r="H1004" s="7" t="s">
        <v>6359</v>
      </c>
      <c r="I1004" s="7" t="s">
        <v>6421</v>
      </c>
      <c r="J1004" s="20" t="str">
        <f>VLOOKUP(V1004,Table_to_BRG!A:D,3,FALSE)</f>
        <v>Company Code data</v>
      </c>
      <c r="K1004" s="20" t="str">
        <f>VLOOKUP(V1004,Table_to_BRG!A:D,2,FALSE)</f>
        <v>Company Code</v>
      </c>
      <c r="L1004" s="20"/>
      <c r="M1004" s="20"/>
      <c r="N1004" s="9" t="s">
        <v>6465</v>
      </c>
      <c r="O1004" s="54"/>
      <c r="P1004" s="7" t="s">
        <v>6449</v>
      </c>
      <c r="Q1004" s="11" t="str">
        <f>UPPER(LEFT(Table362[[#This Row],[Entity]],3))&amp;"_"&amp;RIGHT("00"&amp;Table362[[#This Row],[Rule '# by Entity]],3)&amp;"_"&amp;MID(SUBSTITUTE(Table362[[#This Row],[Rule Name]],"_","|",3),SEARCH("|",SUBSTITUTE(Table362[[#This Row],[Rule Name]],"_","|",3))+1,LEN(Table362[[#This Row],[Rule Name]]))</f>
        <v>CUS_00_DunningRecipientCompCodeRef</v>
      </c>
      <c r="R1004" s="13" t="s">
        <v>6480</v>
      </c>
      <c r="S1004" s="7" t="s">
        <v>2</v>
      </c>
      <c r="T1004" s="7"/>
      <c r="U1004" s="7" t="s">
        <v>696</v>
      </c>
      <c r="V1004" s="29" t="s">
        <v>2740</v>
      </c>
      <c r="W1004" s="29" t="s">
        <v>6450</v>
      </c>
      <c r="X1004" s="30" t="s">
        <v>6453</v>
      </c>
      <c r="Y1004" s="29" t="s">
        <v>6457</v>
      </c>
      <c r="Z1004" s="29" t="s">
        <v>7751</v>
      </c>
      <c r="AA1004" s="11" t="str">
        <f>"BEGIN
     RETURN exists('DS_IS_RDS', '"&amp;Table362[[#This Row],[Lookup Table]]&amp;"', '"&amp;Table362[[#This Row],[Lookup Field]]&amp;"', "&amp;Table362[[#This Row],[IS Parameter]]&amp;");
END"</f>
        <v>BEGIN
     RETURN exists('DS_IS_RDS', 'VW_KNB5', 'KUNNRBUKRS', $P_I_DunningRecipient);
END</v>
      </c>
      <c r="AB1004" s="11"/>
      <c r="AC1004" s="10" t="s">
        <v>6663</v>
      </c>
      <c r="AD1004" s="10"/>
      <c r="AE1004" s="13" t="s">
        <v>7749</v>
      </c>
      <c r="AF1004" s="13" t="str">
        <f>"VW_"&amp;Table362[[#This Row],[New Rule Name]]</f>
        <v>VW_CUS_00_DunningRecipientCompCodeRef</v>
      </c>
      <c r="AG1004" s="11" t="str">
        <f>"create view "&amp;Table362[[#This Row],[View Name]]&amp;" as 
     select 
          "&amp;IF(Table362[[#This Row],[Entity]]="Customer","KUNNR",IF(Table362[[#This Row],[Entity]]="Vendor","LIFNR","MATNR"))&amp;",
          "&amp;Table362[[#This Row],[Field]]&amp;",
          KUNNRBUKRS as KUNNR || BUKRS
     from "&amp;Table362[[#This Row],[Table]]</f>
        <v>create view VW_CUS_00_DunningRecipientCompCodeRef as 
     select 
          KUNNR,
          KUNNR,BUKRS,
          KUNNRBUKRS as KUNNR || BUKRS
     from KNB1</v>
      </c>
      <c r="AH1004" s="8" t="s">
        <v>7750</v>
      </c>
      <c r="AI1004" s="20" t="s">
        <v>6451</v>
      </c>
      <c r="AJ1004" s="20"/>
      <c r="AK1004" s="31"/>
      <c r="AL1004" s="31"/>
    </row>
    <row r="1005" spans="1:38" s="3" customFormat="1" ht="84" hidden="1" x14ac:dyDescent="0.25">
      <c r="A1005" s="9" t="s">
        <v>7823</v>
      </c>
      <c r="B1005" s="7" t="s">
        <v>4292</v>
      </c>
      <c r="C1005" s="7" t="s">
        <v>1207</v>
      </c>
      <c r="D1005" s="7" t="s">
        <v>6719</v>
      </c>
      <c r="E1005" s="7" t="s">
        <v>6720</v>
      </c>
      <c r="F1005" s="7" t="s">
        <v>6732</v>
      </c>
      <c r="G1005" s="7" t="s">
        <v>6358</v>
      </c>
      <c r="H1005" s="7" t="s">
        <v>6359</v>
      </c>
      <c r="I1005" s="7" t="s">
        <v>6421</v>
      </c>
      <c r="J1005" s="20" t="str">
        <f>VLOOKUP(V1005,Table_to_BRG!A:D,3,FALSE)</f>
        <v>Company Code data</v>
      </c>
      <c r="K1005" s="20" t="str">
        <f>VLOOKUP(V1005,Table_to_BRG!A:D,2,FALSE)</f>
        <v>Company Code</v>
      </c>
      <c r="L1005" s="20"/>
      <c r="M1005" s="20"/>
      <c r="N1005" s="9" t="s">
        <v>6465</v>
      </c>
      <c r="O1005" s="54"/>
      <c r="P1005" s="7" t="s">
        <v>8538</v>
      </c>
      <c r="Q1005" s="11" t="str">
        <f>UPPER(LEFT(Table362[[#This Row],[Entity]],3))&amp;"_"&amp;RIGHT("00"&amp;Table362[[#This Row],[Rule '# by Entity]],3)&amp;"_"&amp;MID(SUBSTITUTE(Table362[[#This Row],[Rule Name]],"_","|",3),SEARCH("|",SUBSTITUTE(Table362[[#This Row],[Rule Name]],"_","|",3))+1,LEN(Table362[[#This Row],[Rule Name]]))</f>
        <v>VEN_00_DunningRecipientCompCodeRef</v>
      </c>
      <c r="R1005" s="8" t="s">
        <v>6658</v>
      </c>
      <c r="S1005" s="7" t="s">
        <v>2</v>
      </c>
      <c r="T1005" s="7"/>
      <c r="U1005" s="7" t="s">
        <v>696</v>
      </c>
      <c r="V1005" s="29" t="s">
        <v>3543</v>
      </c>
      <c r="W1005" s="29" t="s">
        <v>2706</v>
      </c>
      <c r="X1005" s="30" t="s">
        <v>6454</v>
      </c>
      <c r="Y1005" s="29" t="s">
        <v>6458</v>
      </c>
      <c r="Z1005" s="29" t="s">
        <v>7752</v>
      </c>
      <c r="AA1005" s="11" t="str">
        <f>"BEGIN
     RETURN exists('DS_IS_RDS', '"&amp;Table362[[#This Row],[Lookup Table]]&amp;"', '"&amp;Table362[[#This Row],[Lookup Field]]&amp;"', "&amp;Table362[[#This Row],[IS Parameter]]&amp;");
END"</f>
        <v>BEGIN
     RETURN exists('DS_IS_RDS', 'VW_LFB5', 'LIFNRBUKRS', $P_I_DunningRecipient);
END</v>
      </c>
      <c r="AB1005" s="11"/>
      <c r="AC1005" s="10" t="s">
        <v>6663</v>
      </c>
      <c r="AD1005" s="10"/>
      <c r="AE1005" s="13" t="str">
        <f>IF(Table362[[#This Row],[Entity]]="Customer","KUNNR",IF(Table362[[#This Row],[Entity]]="Vendor","LIFNR","MATNR"))&amp;","&amp;Table362[[#This Row],[Field]]&amp;",LIFNRBUKRS"</f>
        <v>LIFNR,BUKRS,LIFNRBUKRS</v>
      </c>
      <c r="AF1005" s="13" t="str">
        <f>"VW_"&amp;Table362[[#This Row],[New Rule Name]]</f>
        <v>VW_VEN_00_DunningRecipientCompCodeRef</v>
      </c>
      <c r="AG1005" s="11" t="str">
        <f>"create view "&amp;Table362[[#This Row],[View Name]]&amp;" as 
     select 
          "&amp;IF(Table362[[#This Row],[Entity]]="Customer","KUNNR",IF(Table362[[#This Row],[Entity]]="Vendor","LIFNR","MATNR"))&amp;",
          "&amp;Table362[[#This Row],[Field]]&amp;",
          LIFNRBUKRS as LIFNR || BUKRS
     from "&amp;Table362[[#This Row],[Table]]</f>
        <v>create view VW_VEN_00_DunningRecipientCompCodeRef as 
     select 
          LIFNR,
          BUKRS,
          LIFNRBUKRS as LIFNR || BUKRS
     from LFB1</v>
      </c>
      <c r="AH1005" s="8" t="s">
        <v>7748</v>
      </c>
      <c r="AI1005" s="20" t="s">
        <v>6455</v>
      </c>
      <c r="AJ1005" s="20"/>
      <c r="AK1005" s="31"/>
      <c r="AL1005" s="31"/>
    </row>
    <row r="1006" spans="1:38" s="3" customFormat="1" ht="312" hidden="1" x14ac:dyDescent="0.25">
      <c r="A1006" s="9" t="s">
        <v>7824</v>
      </c>
      <c r="B1006" s="7" t="s">
        <v>4292</v>
      </c>
      <c r="C1006" s="7" t="s">
        <v>16</v>
      </c>
      <c r="D1006" s="7" t="s">
        <v>6711</v>
      </c>
      <c r="E1006" s="7" t="s">
        <v>6714</v>
      </c>
      <c r="F1006" s="7" t="s">
        <v>6715</v>
      </c>
      <c r="G1006" s="7" t="s">
        <v>6361</v>
      </c>
      <c r="H1006" s="7" t="s">
        <v>3969</v>
      </c>
      <c r="I1006" s="7" t="s">
        <v>3969</v>
      </c>
      <c r="J1006" s="20" t="str">
        <f>VLOOKUP(V1006,Table_to_BRG!A:D,3,FALSE)</f>
        <v>General data</v>
      </c>
      <c r="K1006" s="20" t="str">
        <f>VLOOKUP(V1006,Table_to_BRG!A:D,2,FALSE)</f>
        <v>General</v>
      </c>
      <c r="L1006" s="20"/>
      <c r="M1006" s="20"/>
      <c r="N1006" s="9" t="s">
        <v>6465</v>
      </c>
      <c r="O1006" s="54"/>
      <c r="P1006" s="7" t="s">
        <v>7758</v>
      </c>
      <c r="Q1006" s="11" t="str">
        <f>UPPER(LEFT(Table362[[#This Row],[Entity]],3))&amp;"_"&amp;RIGHT("00"&amp;Table362[[#This Row],[Rule '# by Entity]],3)&amp;"_"&amp;MID(SUBSTITUTE(Table362[[#This Row],[Rule Name]],"_","|",3),SEARCH("|",SUBSTITUTE(Table362[[#This Row],[Rule Name]],"_","|",3))+1,LEN(Table362[[#This Row],[Rule Name]]))</f>
        <v>CUS_00_PhoneNumber1Format</v>
      </c>
      <c r="R1006" s="8" t="s">
        <v>6767</v>
      </c>
      <c r="S1006" s="7" t="s">
        <v>139</v>
      </c>
      <c r="T1006" s="7"/>
      <c r="U1006" s="8" t="s">
        <v>6541</v>
      </c>
      <c r="V1006" s="7" t="s">
        <v>2741</v>
      </c>
      <c r="W1006" s="8" t="s">
        <v>6769</v>
      </c>
      <c r="X1006" s="8" t="s">
        <v>6775</v>
      </c>
      <c r="Y1006" s="7"/>
      <c r="Z1006" s="7" t="s">
        <v>5978</v>
      </c>
      <c r="AA1006" s="10" t="s">
        <v>7769</v>
      </c>
      <c r="AB1006" s="10"/>
      <c r="AC1006" s="10" t="s">
        <v>6463</v>
      </c>
      <c r="AD1006" s="10"/>
      <c r="AE1006" s="13" t="s">
        <v>7761</v>
      </c>
      <c r="AF1006" s="13" t="str">
        <f>"VW_"&amp;Table362[[#This Row],[New Rule Name]]</f>
        <v>VW_CUS_00_PhoneNumber1Format</v>
      </c>
      <c r="AG1006" s="11" t="str">
        <f>"create view "&amp;Table362[[#This Row],[View Name]]&amp;" as 
     select 
          "&amp;IF(Table362[[#This Row],[Entity]]="Customer","KUNNR",IF(Table362[[#This Row],[Entity]]="Vendor","LIFNR","MATNR"))&amp;",
          LAND1,
          TELF1 
     from "&amp;Table362[[#This Row],[Table]]</f>
        <v>create view VW_CUS_00_PhoneNumber1Format as 
     select 
          KUNNR,
          LAND1,
          TELF1 
     from KNA1</v>
      </c>
      <c r="AH1006" s="8" t="s">
        <v>6547</v>
      </c>
      <c r="AI1006" s="20" t="s">
        <v>6538</v>
      </c>
      <c r="AJ1006" s="20"/>
      <c r="AK1006" s="31"/>
      <c r="AL1006" s="31"/>
    </row>
    <row r="1007" spans="1:38" s="3" customFormat="1" ht="324" hidden="1" x14ac:dyDescent="0.25">
      <c r="A1007" s="9" t="s">
        <v>7825</v>
      </c>
      <c r="B1007" s="7" t="s">
        <v>4292</v>
      </c>
      <c r="C1007" s="7" t="s">
        <v>1207</v>
      </c>
      <c r="D1007" s="7" t="s">
        <v>6719</v>
      </c>
      <c r="E1007" s="7" t="s">
        <v>6720</v>
      </c>
      <c r="F1007" s="7" t="s">
        <v>6722</v>
      </c>
      <c r="G1007" s="7" t="s">
        <v>6361</v>
      </c>
      <c r="H1007" s="7" t="s">
        <v>3969</v>
      </c>
      <c r="I1007" s="7" t="s">
        <v>3969</v>
      </c>
      <c r="J1007" s="20" t="str">
        <f>VLOOKUP(V1007,Table_to_BRG!A:D,3,FALSE)</f>
        <v>General data</v>
      </c>
      <c r="K1007" s="20" t="str">
        <f>VLOOKUP(V1007,Table_to_BRG!A:D,2,FALSE)</f>
        <v>General</v>
      </c>
      <c r="L1007" s="20"/>
      <c r="M1007" s="20"/>
      <c r="N1007" s="9" t="s">
        <v>6465</v>
      </c>
      <c r="O1007" s="54"/>
      <c r="P1007" s="7" t="s">
        <v>6776</v>
      </c>
      <c r="Q1007" s="11" t="e">
        <f>UPPER(LEFT(Table362[[#This Row],[Entity]],3))&amp;"_"&amp;RIGHT("00"&amp;Table362[[#This Row],[Rule '# by Entity]],3)&amp;"_"&amp;MID(SUBSTITUTE(Table362[[#This Row],[Rule Name]],"_","|",3),SEARCH("|",SUBSTITUTE(Table362[[#This Row],[Rule Name]],"_","|",3))+1,LEN(Table362[[#This Row],[Rule Name]]))</f>
        <v>#VALUE!</v>
      </c>
      <c r="R1007" s="8" t="s">
        <v>6767</v>
      </c>
      <c r="S1007" s="7" t="s">
        <v>139</v>
      </c>
      <c r="T1007" s="7"/>
      <c r="U1007" s="8" t="s">
        <v>6541</v>
      </c>
      <c r="V1007" s="7" t="s">
        <v>3542</v>
      </c>
      <c r="W1007" s="8" t="s">
        <v>6769</v>
      </c>
      <c r="X1007" s="8" t="s">
        <v>6775</v>
      </c>
      <c r="Y1007" s="7" t="s">
        <v>5978</v>
      </c>
      <c r="Z1007" s="7" t="s">
        <v>5978</v>
      </c>
      <c r="AA1007" s="10" t="s">
        <v>7770</v>
      </c>
      <c r="AB1007" s="10"/>
      <c r="AC1007" s="10"/>
      <c r="AD1007" s="10"/>
      <c r="AE1007" s="13"/>
      <c r="AF1007" s="13" t="e">
        <f>"VW_"&amp;Table362[[#This Row],[New Rule Name]]</f>
        <v>#VALUE!</v>
      </c>
      <c r="AG1007" s="11"/>
      <c r="AH1007" s="8" t="s">
        <v>6547</v>
      </c>
      <c r="AI1007" s="20" t="s">
        <v>6537</v>
      </c>
      <c r="AJ1007" s="20"/>
      <c r="AK1007" s="31"/>
      <c r="AL1007" s="31"/>
    </row>
    <row r="1008" spans="1:38" s="3" customFormat="1" ht="72" hidden="1" x14ac:dyDescent="0.25">
      <c r="A1008" s="9" t="s">
        <v>7826</v>
      </c>
      <c r="B1008" s="7" t="s">
        <v>4292</v>
      </c>
      <c r="C1008" s="7" t="s">
        <v>1207</v>
      </c>
      <c r="D1008" s="7" t="s">
        <v>6719</v>
      </c>
      <c r="E1008" s="7" t="s">
        <v>6720</v>
      </c>
      <c r="F1008" s="7" t="s">
        <v>6722</v>
      </c>
      <c r="G1008" s="7" t="s">
        <v>6361</v>
      </c>
      <c r="H1008" s="7" t="s">
        <v>3969</v>
      </c>
      <c r="I1008" s="7" t="s">
        <v>3969</v>
      </c>
      <c r="J1008" s="20" t="str">
        <f>VLOOKUP(V1008,Table_to_BRG!A:D,3,FALSE)</f>
        <v>General data</v>
      </c>
      <c r="K1008" s="20" t="str">
        <f>VLOOKUP(V1008,Table_to_BRG!A:D,2,FALSE)</f>
        <v>General</v>
      </c>
      <c r="L1008" s="20"/>
      <c r="M1008" s="20"/>
      <c r="N1008" s="9" t="s">
        <v>6465</v>
      </c>
      <c r="O1008" s="54"/>
      <c r="P1008" s="7" t="s">
        <v>8539</v>
      </c>
      <c r="Q1008" s="11" t="str">
        <f>UPPER(LEFT(Table362[[#This Row],[Entity]],3))&amp;"_"&amp;RIGHT("00"&amp;Table362[[#This Row],[Rule '# by Entity]],3)&amp;"_"&amp;MID(SUBSTITUTE(Table362[[#This Row],[Rule Name]],"_","|",3),SEARCH("|",SUBSTITUTE(Table362[[#This Row],[Rule Name]],"_","|",3))+1,LEN(Table362[[#This Row],[Rule Name]]))</f>
        <v>VEN_00_FirstTelephoneNumberPopulated</v>
      </c>
      <c r="R1008" s="8" t="s">
        <v>6602</v>
      </c>
      <c r="S1008" s="7" t="s">
        <v>21</v>
      </c>
      <c r="T1008" s="7"/>
      <c r="U1008" s="7" t="s">
        <v>6084</v>
      </c>
      <c r="V1008" s="7" t="s">
        <v>3542</v>
      </c>
      <c r="W1008" s="8" t="s">
        <v>2965</v>
      </c>
      <c r="X1008" s="8" t="s">
        <v>2975</v>
      </c>
      <c r="Y1008" s="7" t="s">
        <v>5978</v>
      </c>
      <c r="Z1008" s="7" t="s">
        <v>5978</v>
      </c>
      <c r="AA1008" s="10" t="s">
        <v>6603</v>
      </c>
      <c r="AB1008" s="10"/>
      <c r="AC1008" s="10" t="s">
        <v>6813</v>
      </c>
      <c r="AD1008" s="10"/>
      <c r="AE1008" s="13" t="str">
        <f>IF(Table362[[#This Row],[Entity]]="Customer","KUNNR",IF(Table362[[#This Row],[Entity]]="Vendor","LIFNR","MATNR"))&amp;","&amp;Table362[[#This Row],[Field]]</f>
        <v>LIFNR,TELF1</v>
      </c>
      <c r="AF1008" s="13" t="str">
        <f>"VW_"&amp;Table362[[#This Row],[New Rule Name]]</f>
        <v>VW_VEN_00_FirstTelephoneNumberPopulated</v>
      </c>
      <c r="AG1008" s="11" t="str">
        <f>"create view "&amp;Table362[[#This Row],[View Name]]&amp;" as 
     select 
          "&amp;IF(Table362[[#This Row],[Entity]]="Customer","KUNNR",IF(Table362[[#This Row],[Entity]]="Vendor","LIFNR","MATNR"))&amp;",
          "&amp;Table362[[#This Row],[Field]]&amp;" 
     from "&amp;Table362[[#This Row],[Table]]</f>
        <v>create view VW_VEN_00_FirstTelephoneNumberPopulated as 
     select 
          LIFNR,
          TELF1 
     from LFA1</v>
      </c>
      <c r="AH1008" s="8"/>
      <c r="AI1008" s="20" t="s">
        <v>6777</v>
      </c>
      <c r="AJ1008" s="20"/>
      <c r="AK1008" s="31"/>
      <c r="AL1008" s="31"/>
    </row>
    <row r="1009" spans="1:38" s="3" customFormat="1" ht="72" hidden="1" x14ac:dyDescent="0.25">
      <c r="A1009" s="9" t="s">
        <v>7827</v>
      </c>
      <c r="B1009" s="7" t="s">
        <v>4292</v>
      </c>
      <c r="C1009" s="7" t="s">
        <v>1207</v>
      </c>
      <c r="D1009" s="7" t="s">
        <v>6719</v>
      </c>
      <c r="E1009" s="7" t="s">
        <v>6720</v>
      </c>
      <c r="F1009" s="7" t="s">
        <v>6732</v>
      </c>
      <c r="G1009" s="7"/>
      <c r="H1009" s="7"/>
      <c r="I1009" s="7"/>
      <c r="J1009" s="20" t="str">
        <f>VLOOKUP(V1009,Table_to_BRG!A:D,3,FALSE)</f>
        <v>Company Code data</v>
      </c>
      <c r="K1009" s="20" t="str">
        <f>VLOOKUP(V1009,Table_to_BRG!A:D,2,FALSE)</f>
        <v>Company Code</v>
      </c>
      <c r="L1009" s="20"/>
      <c r="M1009" s="20"/>
      <c r="N1009" s="9" t="s">
        <v>6465</v>
      </c>
      <c r="O1009" s="54"/>
      <c r="P1009" s="7" t="s">
        <v>8540</v>
      </c>
      <c r="Q1009" s="11" t="str">
        <f>UPPER(LEFT(Table362[[#This Row],[Entity]],3))&amp;"_"&amp;RIGHT("00"&amp;Table362[[#This Row],[Rule '# by Entity]],3)&amp;"_"&amp;MID(SUBSTITUTE(Table362[[#This Row],[Rule Name]],"_","|",3),SEARCH("|",SUBSTITUTE(Table362[[#This Row],[Rule Name]],"_","|",3))+1,LEN(Table362[[#This Row],[Rule Name]]))</f>
        <v>VEN_00_TermsOfPaymentPopulated</v>
      </c>
      <c r="R1009" s="8" t="s">
        <v>6607</v>
      </c>
      <c r="S1009" s="7" t="s">
        <v>21</v>
      </c>
      <c r="T1009" s="7"/>
      <c r="U1009" s="7" t="s">
        <v>218</v>
      </c>
      <c r="V1009" s="7" t="s">
        <v>3543</v>
      </c>
      <c r="W1009" s="7" t="s">
        <v>2888</v>
      </c>
      <c r="X1009" s="8" t="s">
        <v>2907</v>
      </c>
      <c r="Y1009" s="7" t="s">
        <v>5978</v>
      </c>
      <c r="Z1009" s="7" t="s">
        <v>5978</v>
      </c>
      <c r="AA1009" s="10" t="s">
        <v>284</v>
      </c>
      <c r="AB1009" s="10"/>
      <c r="AC1009" s="10" t="s">
        <v>6813</v>
      </c>
      <c r="AD1009" s="10"/>
      <c r="AE1009" s="13" t="str">
        <f>IF(Table362[[#This Row],[Entity]]="Customer","KUNNR",IF(Table362[[#This Row],[Entity]]="Vendor","LIFNR","MATNR"))&amp;",BUKRS,"&amp;Table362[[#This Row],[Field]]</f>
        <v>LIFNR,BUKRS,ZTERM</v>
      </c>
      <c r="AF1009" s="13" t="str">
        <f>"VW_"&amp;Table362[[#This Row],[New Rule Name]]</f>
        <v>VW_VEN_00_TermsOfPaymentPopulated</v>
      </c>
      <c r="AG1009" s="11" t="str">
        <f>"create view "&amp;Table362[[#This Row],[View Name]]&amp;" as 
     select 
          "&amp;IF(Table362[[#This Row],[Entity]]="Customer","KUNNR",IF(Table362[[#This Row],[Entity]]="Vendor","LIFNR","MATNR"))&amp;",
          BUKRS,
          "&amp;Table362[[#This Row],[Field]]&amp;" 
     from "&amp;Table362[[#This Row],[Table]]</f>
        <v>create view VW_VEN_00_TermsOfPaymentPopulated as 
     select 
          LIFNR,
          BUKRS,
          ZTERM 
     from LFB1</v>
      </c>
      <c r="AH1009" s="8"/>
      <c r="AI1009" s="20" t="s">
        <v>6606</v>
      </c>
      <c r="AJ1009" s="20"/>
      <c r="AK1009" s="31"/>
      <c r="AL1009" s="31"/>
    </row>
    <row r="1010" spans="1:38" s="3" customFormat="1" ht="120" hidden="1" x14ac:dyDescent="0.25">
      <c r="A1010" s="9" t="s">
        <v>7828</v>
      </c>
      <c r="B1010" s="7" t="s">
        <v>4292</v>
      </c>
      <c r="C1010" s="7" t="s">
        <v>16</v>
      </c>
      <c r="D1010" s="7" t="s">
        <v>6711</v>
      </c>
      <c r="E1010" s="7" t="s">
        <v>6714</v>
      </c>
      <c r="F1010" s="7" t="s">
        <v>6715</v>
      </c>
      <c r="G1010" s="7" t="s">
        <v>6361</v>
      </c>
      <c r="H1010" s="7" t="s">
        <v>6274</v>
      </c>
      <c r="I1010" s="7" t="s">
        <v>6634</v>
      </c>
      <c r="J1010" s="20" t="str">
        <f>VLOOKUP(V1010,Table_to_BRG!A:D,3,FALSE)</f>
        <v>General data</v>
      </c>
      <c r="K1010" s="20" t="str">
        <f>VLOOKUP(V1010,Table_to_BRG!A:D,2,FALSE)</f>
        <v>General</v>
      </c>
      <c r="L1010" s="20"/>
      <c r="M1010" s="20"/>
      <c r="N1010" s="9" t="s">
        <v>6465</v>
      </c>
      <c r="O1010" s="54"/>
      <c r="P1010" s="7" t="s">
        <v>7763</v>
      </c>
      <c r="Q1010" s="11" t="str">
        <f>UPPER(LEFT(Table362[[#This Row],[Entity]],3))&amp;"_"&amp;RIGHT("00"&amp;Table362[[#This Row],[Rule '# by Entity]],3)&amp;"_"&amp;MID(SUBSTITUTE(Table362[[#This Row],[Rule Name]],"_","|",3),SEARCH("|",SUBSTITUTE(Table362[[#This Row],[Rule Name]],"_","|",3))+1,LEN(Table362[[#This Row],[Rule Name]]))</f>
        <v>CUS_00_TIN_Format</v>
      </c>
      <c r="R1010" s="8" t="s">
        <v>6628</v>
      </c>
      <c r="S1010" s="7" t="s">
        <v>139</v>
      </c>
      <c r="T1010" s="7"/>
      <c r="U1010" s="8" t="s">
        <v>6616</v>
      </c>
      <c r="V1010" s="7" t="s">
        <v>2741</v>
      </c>
      <c r="W1010" s="8" t="s">
        <v>6427</v>
      </c>
      <c r="X1010" s="8" t="s">
        <v>6428</v>
      </c>
      <c r="Y1010" s="7" t="s">
        <v>5978</v>
      </c>
      <c r="Z1010" s="7" t="s">
        <v>5978</v>
      </c>
      <c r="AA1010" s="10" t="s">
        <v>6625</v>
      </c>
      <c r="AB1010" s="10"/>
      <c r="AC1010" s="10"/>
      <c r="AD1010" s="10"/>
      <c r="AE1010" s="13" t="s">
        <v>7764</v>
      </c>
      <c r="AF1010" s="13" t="str">
        <f>"VW_"&amp;Table362[[#This Row],[New Rule Name]]</f>
        <v>VW_CUS_00_TIN_Format</v>
      </c>
      <c r="AG1010" s="11" t="str">
        <f>"create view "&amp;Table362[[#This Row],[View Name]]&amp;" as 
     select 
          "&amp;IF(Table362[[#This Row],[Entity]]="Customer","KUNNR",IF(Table362[[#This Row],[Entity]]="Vendor","LIFNR","MATNR"))&amp;",
          LAND1,
          STCD1 
     from "&amp;Table362[[#This Row],[Table]]</f>
        <v>create view VW_CUS_00_TIN_Format as 
     select 
          KUNNR,
          LAND1,
          STCD1 
     from KNA1</v>
      </c>
      <c r="AH1010" s="8" t="s">
        <v>6626</v>
      </c>
      <c r="AI1010" s="20" t="s">
        <v>7658</v>
      </c>
      <c r="AJ1010" s="20"/>
      <c r="AK1010" s="31"/>
      <c r="AL1010" s="31"/>
    </row>
    <row r="1011" spans="1:38" s="3" customFormat="1" ht="120" hidden="1" x14ac:dyDescent="0.25">
      <c r="A1011" s="9" t="s">
        <v>7829</v>
      </c>
      <c r="B1011" s="7" t="s">
        <v>4292</v>
      </c>
      <c r="C1011" s="7" t="s">
        <v>1207</v>
      </c>
      <c r="D1011" s="7" t="s">
        <v>6719</v>
      </c>
      <c r="E1011" s="7" t="s">
        <v>6720</v>
      </c>
      <c r="F1011" s="7" t="s">
        <v>6722</v>
      </c>
      <c r="G1011" s="7" t="s">
        <v>6361</v>
      </c>
      <c r="H1011" s="7" t="s">
        <v>6274</v>
      </c>
      <c r="I1011" s="7" t="s">
        <v>6634</v>
      </c>
      <c r="J1011" s="20" t="str">
        <f>VLOOKUP(V1011,Table_to_BRG!A:D,3,FALSE)</f>
        <v>General data</v>
      </c>
      <c r="K1011" s="20" t="str">
        <f>VLOOKUP(V1011,Table_to_BRG!A:D,2,FALSE)</f>
        <v>General</v>
      </c>
      <c r="L1011" s="20"/>
      <c r="M1011" s="20"/>
      <c r="N1011" s="9" t="s">
        <v>6465</v>
      </c>
      <c r="O1011" s="54"/>
      <c r="P1011" s="7" t="s">
        <v>8541</v>
      </c>
      <c r="Q1011" s="11" t="str">
        <f>UPPER(LEFT(Table362[[#This Row],[Entity]],3))&amp;"_"&amp;RIGHT("00"&amp;Table362[[#This Row],[Rule '# by Entity]],3)&amp;"_"&amp;MID(SUBSTITUTE(Table362[[#This Row],[Rule Name]],"_","|",3),SEARCH("|",SUBSTITUTE(Table362[[#This Row],[Rule Name]],"_","|",3))+1,LEN(Table362[[#This Row],[Rule Name]]))</f>
        <v>VEN_00_TINFormat</v>
      </c>
      <c r="R1011" s="8" t="s">
        <v>6628</v>
      </c>
      <c r="S1011" s="7" t="s">
        <v>139</v>
      </c>
      <c r="T1011" s="7"/>
      <c r="U1011" s="8" t="s">
        <v>6616</v>
      </c>
      <c r="V1011" s="7" t="s">
        <v>3542</v>
      </c>
      <c r="W1011" s="8" t="s">
        <v>6427</v>
      </c>
      <c r="X1011" s="8" t="s">
        <v>6428</v>
      </c>
      <c r="Y1011" s="7" t="s">
        <v>5978</v>
      </c>
      <c r="Z1011" s="7" t="s">
        <v>5978</v>
      </c>
      <c r="AA1011" s="10" t="s">
        <v>6625</v>
      </c>
      <c r="AB1011" s="10"/>
      <c r="AC1011" s="10"/>
      <c r="AD1011" s="10"/>
      <c r="AE1011" s="13"/>
      <c r="AF1011" s="13" t="str">
        <f>"VW_"&amp;Table362[[#This Row],[New Rule Name]]</f>
        <v>VW_VEN_00_TINFormat</v>
      </c>
      <c r="AG1011" s="11"/>
      <c r="AH1011" s="8" t="s">
        <v>6627</v>
      </c>
      <c r="AI1011" s="20" t="s">
        <v>7663</v>
      </c>
      <c r="AJ1011" s="20"/>
      <c r="AK1011" s="31"/>
      <c r="AL1011" s="31"/>
    </row>
    <row r="1012" spans="1:38" s="3" customFormat="1" ht="60" hidden="1" x14ac:dyDescent="0.25">
      <c r="A1012" s="9" t="s">
        <v>7830</v>
      </c>
      <c r="B1012" s="7" t="s">
        <v>4292</v>
      </c>
      <c r="C1012" s="7" t="s">
        <v>16</v>
      </c>
      <c r="D1012" s="7" t="s">
        <v>6711</v>
      </c>
      <c r="E1012" s="7" t="s">
        <v>6714</v>
      </c>
      <c r="F1012" s="7" t="s">
        <v>6715</v>
      </c>
      <c r="G1012" s="7" t="s">
        <v>6361</v>
      </c>
      <c r="H1012" s="7" t="s">
        <v>6274</v>
      </c>
      <c r="I1012" s="7" t="s">
        <v>6634</v>
      </c>
      <c r="J1012" s="20" t="str">
        <f>VLOOKUP(V1012,Table_to_BRG!A:D,3,FALSE)</f>
        <v>General data</v>
      </c>
      <c r="K1012" s="20" t="str">
        <f>VLOOKUP(V1012,Table_to_BRG!A:D,2,FALSE)</f>
        <v>General</v>
      </c>
      <c r="L1012" s="20"/>
      <c r="M1012" s="20"/>
      <c r="N1012" s="9" t="s">
        <v>6465</v>
      </c>
      <c r="O1012" s="54"/>
      <c r="P1012" s="7" t="s">
        <v>8235</v>
      </c>
      <c r="Q1012" s="11" t="str">
        <f>UPPER(LEFT(Table362[[#This Row],[Entity]],3))&amp;"_"&amp;RIGHT("00"&amp;Table362[[#This Row],[Rule '# by Entity]],3)&amp;"_"&amp;MID(SUBSTITUTE(Table362[[#This Row],[Rule Name]],"_","|",3),SEARCH("|",SUBSTITUTE(Table362[[#This Row],[Rule Name]],"_","|",3))+1,LEN(Table362[[#This Row],[Rule Name]]))</f>
        <v>CUS_00_TIN_Populated</v>
      </c>
      <c r="R1012" s="8" t="s">
        <v>6629</v>
      </c>
      <c r="S1012" s="7" t="s">
        <v>139</v>
      </c>
      <c r="T1012" s="7"/>
      <c r="U1012" s="8" t="s">
        <v>6630</v>
      </c>
      <c r="V1012" s="7" t="s">
        <v>2741</v>
      </c>
      <c r="W1012" s="8" t="s">
        <v>3055</v>
      </c>
      <c r="X1012" s="8" t="s">
        <v>1412</v>
      </c>
      <c r="Y1012" s="7" t="s">
        <v>5978</v>
      </c>
      <c r="Z1012" s="7" t="s">
        <v>5978</v>
      </c>
      <c r="AA1012" s="10" t="s">
        <v>6631</v>
      </c>
      <c r="AB1012" s="10"/>
      <c r="AC1012" s="10" t="s">
        <v>6813</v>
      </c>
      <c r="AD1012" s="10"/>
      <c r="AE1012" s="13" t="str">
        <f>IF(Table362[[#This Row],[Entity]]="Customer","KUNNR",IF(Table362[[#This Row],[Entity]]="Vendor","LIFNR","MATNR"))&amp;","&amp;Table362[[#This Row],[Field]]</f>
        <v>KUNNR,STCD1</v>
      </c>
      <c r="AF1012" s="13" t="str">
        <f>"VW_"&amp;Table362[[#This Row],[New Rule Name]]</f>
        <v>VW_CUS_00_TIN_Populated</v>
      </c>
      <c r="AG1012" s="11" t="str">
        <f>"create view "&amp;Table362[[#This Row],[View Name]]&amp;" as 
     select 
          "&amp;IF(Table362[[#This Row],[Entity]]="Customer","KUNNR",IF(Table362[[#This Row],[Entity]]="Vendor","LIFNR","MATNR"))&amp;",
          "&amp;Table362[[#This Row],[Field]]&amp;" 
     from "&amp;Table362[[#This Row],[Table]]</f>
        <v>create view VW_CUS_00_TIN_Populated as 
     select 
          KUNNR,
          STCD1 
     from KNA1</v>
      </c>
      <c r="AH1012" s="8"/>
      <c r="AI1012" s="20" t="s">
        <v>7664</v>
      </c>
      <c r="AJ1012" s="20"/>
      <c r="AK1012" s="31"/>
      <c r="AL1012" s="31"/>
    </row>
    <row r="1013" spans="1:38" s="3" customFormat="1" ht="60" hidden="1" x14ac:dyDescent="0.25">
      <c r="A1013" s="9" t="s">
        <v>7831</v>
      </c>
      <c r="B1013" s="7" t="s">
        <v>4292</v>
      </c>
      <c r="C1013" s="7" t="s">
        <v>1207</v>
      </c>
      <c r="D1013" s="7" t="s">
        <v>6719</v>
      </c>
      <c r="E1013" s="7" t="s">
        <v>6720</v>
      </c>
      <c r="F1013" s="7" t="s">
        <v>6722</v>
      </c>
      <c r="G1013" s="7" t="s">
        <v>6361</v>
      </c>
      <c r="H1013" s="7" t="s">
        <v>6274</v>
      </c>
      <c r="I1013" s="7" t="s">
        <v>6634</v>
      </c>
      <c r="J1013" s="20" t="str">
        <f>VLOOKUP(V1013,Table_to_BRG!A:D,3,FALSE)</f>
        <v>General data</v>
      </c>
      <c r="K1013" s="20" t="str">
        <f>VLOOKUP(V1013,Table_to_BRG!A:D,2,FALSE)</f>
        <v>General</v>
      </c>
      <c r="L1013" s="20"/>
      <c r="M1013" s="20"/>
      <c r="N1013" s="9" t="s">
        <v>6465</v>
      </c>
      <c r="O1013" s="54"/>
      <c r="P1013" s="7" t="s">
        <v>8542</v>
      </c>
      <c r="Q1013" s="11" t="str">
        <f>UPPER(LEFT(Table362[[#This Row],[Entity]],3))&amp;"_"&amp;RIGHT("00"&amp;Table362[[#This Row],[Rule '# by Entity]],3)&amp;"_"&amp;MID(SUBSTITUTE(Table362[[#This Row],[Rule Name]],"_","|",3),SEARCH("|",SUBSTITUTE(Table362[[#This Row],[Rule Name]],"_","|",3))+1,LEN(Table362[[#This Row],[Rule Name]]))</f>
        <v>VEN_00_TIN_Populated</v>
      </c>
      <c r="R1013" s="8" t="s">
        <v>6629</v>
      </c>
      <c r="S1013" s="7" t="s">
        <v>139</v>
      </c>
      <c r="T1013" s="7"/>
      <c r="U1013" s="8" t="s">
        <v>6630</v>
      </c>
      <c r="V1013" s="7" t="s">
        <v>3542</v>
      </c>
      <c r="W1013" s="8" t="s">
        <v>3055</v>
      </c>
      <c r="X1013" s="8" t="s">
        <v>1412</v>
      </c>
      <c r="Y1013" s="7" t="s">
        <v>5978</v>
      </c>
      <c r="Z1013" s="7" t="s">
        <v>5978</v>
      </c>
      <c r="AA1013" s="10" t="s">
        <v>6631</v>
      </c>
      <c r="AB1013" s="10"/>
      <c r="AC1013" s="10" t="s">
        <v>6813</v>
      </c>
      <c r="AD1013" s="10"/>
      <c r="AE1013" s="13" t="str">
        <f>IF(Table362[[#This Row],[Entity]]="Customer","KUNNR",IF(Table362[[#This Row],[Entity]]="Vendor","LIFNR","MATNR"))&amp;","&amp;Table362[[#This Row],[Field]]</f>
        <v>LIFNR,STCD1</v>
      </c>
      <c r="AF1013" s="13" t="str">
        <f>"VW_"&amp;Table362[[#This Row],[New Rule Name]]</f>
        <v>VW_VEN_00_TIN_Populated</v>
      </c>
      <c r="AG1013" s="11" t="str">
        <f>"create view "&amp;Table362[[#This Row],[View Name]]&amp;" as 
     select 
          "&amp;IF(Table362[[#This Row],[Entity]]="Customer","KUNNR",IF(Table362[[#This Row],[Entity]]="Vendor","LIFNR","MATNR"))&amp;",
          "&amp;Table362[[#This Row],[Field]]&amp;" 
     from "&amp;Table362[[#This Row],[Table]]</f>
        <v>create view VW_VEN_00_TIN_Populated as 
     select 
          LIFNR,
          STCD1 
     from LFA1</v>
      </c>
      <c r="AH1013" s="8"/>
      <c r="AI1013" s="20" t="s">
        <v>7665</v>
      </c>
      <c r="AJ1013" s="20"/>
      <c r="AK1013" s="31"/>
      <c r="AL1013" s="31"/>
    </row>
    <row r="1014" spans="1:38" s="3" customFormat="1" ht="72" x14ac:dyDescent="0.25">
      <c r="A1014" s="9" t="s">
        <v>7832</v>
      </c>
      <c r="B1014" s="7" t="s">
        <v>3973</v>
      </c>
      <c r="C1014" s="7" t="s">
        <v>3</v>
      </c>
      <c r="D1014" s="7" t="s">
        <v>6711</v>
      </c>
      <c r="E1014" s="7" t="s">
        <v>6712</v>
      </c>
      <c r="F1014" s="7" t="s">
        <v>6730</v>
      </c>
      <c r="G1014" s="7" t="s">
        <v>6687</v>
      </c>
      <c r="H1014" s="7" t="s">
        <v>6686</v>
      </c>
      <c r="I1014" s="7"/>
      <c r="J1014" s="20" t="str">
        <f>VLOOKUP(V1014,Table_to_BRG!A:D,3,FALSE)</f>
        <v>Warehouse data</v>
      </c>
      <c r="K1014" s="20" t="str">
        <f>VLOOKUP(V1014,Table_to_BRG!A:D,2,FALSE)</f>
        <v>Material Data for Each Warehouse Number</v>
      </c>
      <c r="L1014" s="20"/>
      <c r="M1014" s="20"/>
      <c r="N1014" s="9"/>
      <c r="O1014" s="54"/>
      <c r="P1014" s="7" t="s">
        <v>8441</v>
      </c>
      <c r="Q1014" s="11" t="str">
        <f>UPPER(LEFT(Table362[[#This Row],[Entity]],3))&amp;RIGHT("00"&amp;Table362[[#This Row],[Rule '# by Entity]],3)&amp;"0_"&amp;MID(SUBSTITUTE(Table362[[#This Row],[Rule Name]],"_","|",3),SEARCH("|",SUBSTITUTE(Table362[[#This Row],[Rule Name]],"_","|",3))+1,LEN(Table362[[#This Row],[Rule Name]]))</f>
        <v>MAT1160_SUT2Ref</v>
      </c>
      <c r="R1014" s="8" t="s">
        <v>8564</v>
      </c>
      <c r="S1014" s="7" t="s">
        <v>2</v>
      </c>
      <c r="T1014" s="7"/>
      <c r="U1014" s="7" t="s">
        <v>6762</v>
      </c>
      <c r="V1014" s="7" t="s">
        <v>2594</v>
      </c>
      <c r="W1014" s="8" t="s">
        <v>2617</v>
      </c>
      <c r="X1014" s="8" t="s">
        <v>2626</v>
      </c>
      <c r="Y1014" s="7" t="s">
        <v>6054</v>
      </c>
      <c r="Z1014" s="7" t="s">
        <v>6055</v>
      </c>
      <c r="AA1014" s="11" t="str">
        <f>"BEGIN
     RETURN exists('DS_IS_RDS', '"&amp;Table362[[#This Row],[Lookup Table]]&amp;"', '"&amp;Table362[[#This Row],[Lookup Field]]&amp;"', "&amp;Table362[[#This Row],[IS Parameter]]&amp;");
END"</f>
        <v>BEGIN
     RETURN exists('DS_IS_RDS', 'T307', 'LETYP', $P_I_SUT2);
END</v>
      </c>
      <c r="AB1014" s="11" t="str">
        <f>Table362[[#This Row],[IS Parameter]]&amp;" IS NOT NULL AND rtrim("&amp;Table362[[#This Row],[IS Parameter]]&amp;", ' ') != ''"</f>
        <v>$P_I_SUT2 IS NOT NULL AND rtrim($P_I_SUT2, ' ') != ''</v>
      </c>
      <c r="AC1014" s="10" t="s">
        <v>6663</v>
      </c>
      <c r="AD1014" s="10"/>
      <c r="AE1014" s="13" t="str">
        <f>IF(Table362[[#This Row],[Entity]]="Customer","KUNNR",IF(Table362[[#This Row],[Entity]]="Vendor","LIFNR","MATNR"))&amp;",LGNUM,"&amp;Table362[[#This Row],[Field]]</f>
        <v>MATNR,LGNUM,LETY2</v>
      </c>
      <c r="AF1014" s="13" t="str">
        <f>"VW_"&amp;Table362[[#This Row],[New Rule Name]]</f>
        <v>VW_MAT1160_SUT2Ref</v>
      </c>
      <c r="AG1014" s="11" t="str">
        <f>"create view "&amp;Table362[[#This Row],[View Name]]&amp;" as 
     select 
          "&amp;IF(Table362[[#This Row],[Entity]]="Customer","KUNNR",IF(Table362[[#This Row],[Entity]]="Vendor","LIFNR","MATNR"))&amp;",
          LGNUM,
          "&amp;Table362[[#This Row],[Field]]&amp;" 
     from "&amp;Table362[[#This Row],[Table]]</f>
        <v>create view VW_MAT1160_SUT2Ref as 
     select 
          MATNR,
          LGNUM,
          LETY2 
     from MLGN</v>
      </c>
      <c r="AH1014" s="8" t="s">
        <v>7754</v>
      </c>
      <c r="AI1014" s="20" t="s">
        <v>6764</v>
      </c>
      <c r="AJ1014" s="20"/>
      <c r="AK1014" s="31">
        <v>116</v>
      </c>
      <c r="AL1014" s="31"/>
    </row>
    <row r="1015" spans="1:38" s="3" customFormat="1" ht="72" x14ac:dyDescent="0.25">
      <c r="A1015" s="9" t="s">
        <v>7833</v>
      </c>
      <c r="B1015" s="7" t="s">
        <v>3973</v>
      </c>
      <c r="C1015" s="7" t="s">
        <v>3</v>
      </c>
      <c r="D1015" s="7" t="s">
        <v>6711</v>
      </c>
      <c r="E1015" s="7" t="s">
        <v>6712</v>
      </c>
      <c r="F1015" s="7" t="s">
        <v>6730</v>
      </c>
      <c r="G1015" s="7" t="s">
        <v>6687</v>
      </c>
      <c r="H1015" s="7" t="s">
        <v>6686</v>
      </c>
      <c r="I1015" s="7"/>
      <c r="J1015" s="20" t="str">
        <f>VLOOKUP(V1015,Table_to_BRG!A:D,3,FALSE)</f>
        <v>Warehouse data</v>
      </c>
      <c r="K1015" s="20" t="str">
        <f>VLOOKUP(V1015,Table_to_BRG!A:D,2,FALSE)</f>
        <v>Material Data for Each Warehouse Number</v>
      </c>
      <c r="L1015" s="20"/>
      <c r="M1015" s="20"/>
      <c r="N1015" s="9"/>
      <c r="O1015" s="54"/>
      <c r="P1015" s="7" t="s">
        <v>8442</v>
      </c>
      <c r="Q1015" s="11" t="str">
        <f>UPPER(LEFT(Table362[[#This Row],[Entity]],3))&amp;RIGHT("00"&amp;Table362[[#This Row],[Rule '# by Entity]],3)&amp;"0_"&amp;MID(SUBSTITUTE(Table362[[#This Row],[Rule Name]],"_","|",3),SEARCH("|",SUBSTITUTE(Table362[[#This Row],[Rule Name]],"_","|",3))+1,LEN(Table362[[#This Row],[Rule Name]]))</f>
        <v>MAT1170_SUT3Ref</v>
      </c>
      <c r="R1015" s="8" t="s">
        <v>8565</v>
      </c>
      <c r="S1015" s="7" t="s">
        <v>2</v>
      </c>
      <c r="T1015" s="7"/>
      <c r="U1015" s="7" t="s">
        <v>6763</v>
      </c>
      <c r="V1015" s="7" t="s">
        <v>2594</v>
      </c>
      <c r="W1015" s="8" t="s">
        <v>2620</v>
      </c>
      <c r="X1015" s="8" t="s">
        <v>2629</v>
      </c>
      <c r="Y1015" s="7" t="s">
        <v>6054</v>
      </c>
      <c r="Z1015" s="7" t="s">
        <v>6055</v>
      </c>
      <c r="AA1015" s="11" t="str">
        <f>"BEGIN
     RETURN exists('DS_IS_RDS', '"&amp;Table362[[#This Row],[Lookup Table]]&amp;"', '"&amp;Table362[[#This Row],[Lookup Field]]&amp;"', "&amp;Table362[[#This Row],[IS Parameter]]&amp;");
END"</f>
        <v>BEGIN
     RETURN exists('DS_IS_RDS', 'T307', 'LETYP', $P_I_SUT3);
END</v>
      </c>
      <c r="AB1015" s="11" t="str">
        <f>Table362[[#This Row],[IS Parameter]]&amp;" IS NOT NULL AND rtrim("&amp;Table362[[#This Row],[IS Parameter]]&amp;", ' ') != ''"</f>
        <v>$P_I_SUT3 IS NOT NULL AND rtrim($P_I_SUT3, ' ') != ''</v>
      </c>
      <c r="AC1015" s="10" t="s">
        <v>6663</v>
      </c>
      <c r="AD1015" s="10"/>
      <c r="AE1015" s="13" t="str">
        <f>IF(Table362[[#This Row],[Entity]]="Customer","KUNNR",IF(Table362[[#This Row],[Entity]]="Vendor","LIFNR","MATNR"))&amp;",LGNUM,"&amp;Table362[[#This Row],[Field]]</f>
        <v>MATNR,LGNUM,LETY3</v>
      </c>
      <c r="AF1015" s="13" t="str">
        <f>"VW_"&amp;Table362[[#This Row],[New Rule Name]]</f>
        <v>VW_MAT1170_SUT3Ref</v>
      </c>
      <c r="AG1015" s="11" t="str">
        <f>"create view "&amp;Table362[[#This Row],[View Name]]&amp;" as 
     select 
          "&amp;IF(Table362[[#This Row],[Entity]]="Customer","KUNNR",IF(Table362[[#This Row],[Entity]]="Vendor","LIFNR","MATNR"))&amp;",
          LGNUM,
          "&amp;Table362[[#This Row],[Field]]&amp;" 
     from "&amp;Table362[[#This Row],[Table]]</f>
        <v>create view VW_MAT1170_SUT3Ref as 
     select 
          MATNR,
          LGNUM,
          LETY3 
     from MLGN</v>
      </c>
      <c r="AH1015" s="8" t="s">
        <v>7754</v>
      </c>
      <c r="AI1015" s="20" t="s">
        <v>6765</v>
      </c>
      <c r="AJ1015" s="20"/>
      <c r="AK1015" s="31">
        <v>117</v>
      </c>
      <c r="AL1015" s="31"/>
    </row>
    <row r="1016" spans="1:38" s="3" customFormat="1" ht="312" hidden="1" x14ac:dyDescent="0.25">
      <c r="A1016" s="9" t="s">
        <v>7834</v>
      </c>
      <c r="B1016" s="7" t="s">
        <v>4292</v>
      </c>
      <c r="C1016" s="7" t="s">
        <v>16</v>
      </c>
      <c r="D1016" s="7" t="s">
        <v>6711</v>
      </c>
      <c r="E1016" s="7" t="s">
        <v>6714</v>
      </c>
      <c r="F1016" s="7" t="s">
        <v>6715</v>
      </c>
      <c r="G1016" s="7" t="s">
        <v>6361</v>
      </c>
      <c r="H1016" s="7" t="s">
        <v>3969</v>
      </c>
      <c r="I1016" s="7" t="s">
        <v>3969</v>
      </c>
      <c r="J1016" s="20" t="str">
        <f>VLOOKUP(V1016,Table_to_BRG!A:D,3,FALSE)</f>
        <v>General data</v>
      </c>
      <c r="K1016" s="20" t="str">
        <f>VLOOKUP(V1016,Table_to_BRG!A:D,2,FALSE)</f>
        <v>General</v>
      </c>
      <c r="L1016" s="20"/>
      <c r="M1016" s="20"/>
      <c r="N1016" s="9" t="s">
        <v>6465</v>
      </c>
      <c r="O1016" s="54"/>
      <c r="P1016" s="7" t="s">
        <v>7759</v>
      </c>
      <c r="Q1016" s="11" t="str">
        <f>UPPER(LEFT(Table362[[#This Row],[Entity]],3))&amp;"_"&amp;RIGHT("00"&amp;Table362[[#This Row],[Rule '# by Entity]],3)&amp;"_"&amp;MID(SUBSTITUTE(Table362[[#This Row],[Rule Name]],"_","|",3),SEARCH("|",SUBSTITUTE(Table362[[#This Row],[Rule Name]],"_","|",3))+1,LEN(Table362[[#This Row],[Rule Name]]))</f>
        <v>CUS_00_PhoneNumber2Format</v>
      </c>
      <c r="R1016" s="8" t="s">
        <v>6768</v>
      </c>
      <c r="S1016" s="7" t="s">
        <v>139</v>
      </c>
      <c r="T1016" s="7"/>
      <c r="U1016" s="8" t="s">
        <v>6541</v>
      </c>
      <c r="V1016" s="7" t="s">
        <v>2741</v>
      </c>
      <c r="W1016" s="8" t="s">
        <v>6771</v>
      </c>
      <c r="X1016" s="8" t="s">
        <v>6770</v>
      </c>
      <c r="Y1016" s="7" t="s">
        <v>5978</v>
      </c>
      <c r="Z1016" s="7"/>
      <c r="AA1016" s="10" t="s">
        <v>7771</v>
      </c>
      <c r="AB1016" s="10"/>
      <c r="AC1016" s="10" t="s">
        <v>6463</v>
      </c>
      <c r="AD1016" s="10"/>
      <c r="AE1016" s="13" t="s">
        <v>7761</v>
      </c>
      <c r="AF1016" s="13" t="str">
        <f>"VW_"&amp;Table362[[#This Row],[New Rule Name]]</f>
        <v>VW_CUS_00_PhoneNumber2Format</v>
      </c>
      <c r="AG1016" s="11" t="str">
        <f>"create view "&amp;Table362[[#This Row],[View Name]]&amp;" as 
     select 
          "&amp;IF(Table362[[#This Row],[Entity]]="Customer","KUNNR",IF(Table362[[#This Row],[Entity]]="Vendor","LIFNR","MATNR"))&amp;",
          LAND1,
          TELF1 
     from "&amp;Table362[[#This Row],[Table]]</f>
        <v>create view VW_CUS_00_PhoneNumber2Format as 
     select 
          KUNNR,
          LAND1,
          TELF1 
     from KNA1</v>
      </c>
      <c r="AH1016" s="8" t="s">
        <v>6547</v>
      </c>
      <c r="AI1016" s="20" t="s">
        <v>6538</v>
      </c>
      <c r="AJ1016" s="20"/>
      <c r="AK1016" s="31"/>
      <c r="AL1016" s="31"/>
    </row>
    <row r="1017" spans="1:38" s="3" customFormat="1" ht="312" hidden="1" x14ac:dyDescent="0.25">
      <c r="A1017" s="9" t="s">
        <v>7835</v>
      </c>
      <c r="B1017" s="7" t="s">
        <v>4292</v>
      </c>
      <c r="C1017" s="7" t="s">
        <v>16</v>
      </c>
      <c r="D1017" s="7" t="s">
        <v>6711</v>
      </c>
      <c r="E1017" s="7" t="s">
        <v>6714</v>
      </c>
      <c r="F1017" s="7" t="s">
        <v>6715</v>
      </c>
      <c r="G1017" s="7" t="s">
        <v>6361</v>
      </c>
      <c r="H1017" s="7" t="s">
        <v>3969</v>
      </c>
      <c r="I1017" s="7" t="s">
        <v>3969</v>
      </c>
      <c r="J1017" s="20" t="str">
        <f>VLOOKUP(V1017,Table_to_BRG!A:D,3,FALSE)</f>
        <v>General data</v>
      </c>
      <c r="K1017" s="20" t="str">
        <f>VLOOKUP(V1017,Table_to_BRG!A:D,2,FALSE)</f>
        <v>General</v>
      </c>
      <c r="L1017" s="20"/>
      <c r="M1017" s="20"/>
      <c r="N1017" s="9" t="s">
        <v>6465</v>
      </c>
      <c r="O1017" s="54"/>
      <c r="P1017" s="7" t="s">
        <v>7760</v>
      </c>
      <c r="Q1017" s="11" t="str">
        <f>UPPER(LEFT(Table362[[#This Row],[Entity]],3))&amp;"_"&amp;RIGHT("00"&amp;Table362[[#This Row],[Rule '# by Entity]],3)&amp;"_"&amp;MID(SUBSTITUTE(Table362[[#This Row],[Rule Name]],"_","|",3),SEARCH("|",SUBSTITUTE(Table362[[#This Row],[Rule Name]],"_","|",3))+1,LEN(Table362[[#This Row],[Rule Name]]))</f>
        <v>CUS_00_PhoneNumber3Format</v>
      </c>
      <c r="R1017" s="8" t="s">
        <v>6774</v>
      </c>
      <c r="S1017" s="7" t="s">
        <v>139</v>
      </c>
      <c r="T1017" s="7"/>
      <c r="U1017" s="8" t="s">
        <v>6541</v>
      </c>
      <c r="V1017" s="7" t="s">
        <v>2741</v>
      </c>
      <c r="W1017" s="8" t="s">
        <v>6772</v>
      </c>
      <c r="X1017" s="8" t="s">
        <v>6773</v>
      </c>
      <c r="Y1017" s="7" t="s">
        <v>5978</v>
      </c>
      <c r="Z1017" s="7" t="s">
        <v>5978</v>
      </c>
      <c r="AA1017" s="10" t="s">
        <v>7771</v>
      </c>
      <c r="AB1017" s="10"/>
      <c r="AC1017" s="10" t="s">
        <v>6463</v>
      </c>
      <c r="AD1017" s="10"/>
      <c r="AE1017" s="13" t="s">
        <v>7762</v>
      </c>
      <c r="AF1017" s="13" t="str">
        <f>"VW_"&amp;Table362[[#This Row],[New Rule Name]]</f>
        <v>VW_CUS_00_PhoneNumber3Format</v>
      </c>
      <c r="AG1017" s="11" t="str">
        <f>"create view "&amp;Table362[[#This Row],[View Name]]&amp;" as 
     select 
          "&amp;IF(Table362[[#This Row],[Entity]]="Customer","KUNNR",IF(Table362[[#This Row],[Entity]]="Vendor","LIFNR","MATNR"))&amp;",
          LAND1,
          TELFX
     from "&amp;Table362[[#This Row],[Table]]</f>
        <v>create view VW_CUS_00_PhoneNumber3Format as 
     select 
          KUNNR,
          LAND1,
          TELFX
     from KNA1</v>
      </c>
      <c r="AH1017" s="8" t="s">
        <v>6547</v>
      </c>
      <c r="AI1017" s="20" t="s">
        <v>6538</v>
      </c>
      <c r="AJ1017" s="20"/>
      <c r="AK1017" s="31"/>
      <c r="AL1017" s="31"/>
    </row>
    <row r="1018" spans="1:38" s="3" customFormat="1" ht="324" hidden="1" x14ac:dyDescent="0.25">
      <c r="A1018" s="9" t="s">
        <v>8224</v>
      </c>
      <c r="B1018" s="7" t="s">
        <v>4292</v>
      </c>
      <c r="C1018" s="7" t="s">
        <v>1207</v>
      </c>
      <c r="D1018" s="7" t="s">
        <v>6719</v>
      </c>
      <c r="E1018" s="7" t="s">
        <v>6720</v>
      </c>
      <c r="F1018" s="7" t="s">
        <v>6722</v>
      </c>
      <c r="G1018" s="7" t="s">
        <v>6361</v>
      </c>
      <c r="H1018" s="7" t="s">
        <v>3969</v>
      </c>
      <c r="I1018" s="7" t="s">
        <v>3969</v>
      </c>
      <c r="J1018" s="20" t="str">
        <f>VLOOKUP(V1018,Table_to_BRG!A:D,3,FALSE)</f>
        <v>General data</v>
      </c>
      <c r="K1018" s="20" t="str">
        <f>VLOOKUP(V1018,Table_to_BRG!A:D,2,FALSE)</f>
        <v>General</v>
      </c>
      <c r="L1018" s="20"/>
      <c r="M1018" s="20"/>
      <c r="N1018" s="9" t="s">
        <v>6465</v>
      </c>
      <c r="O1018" s="54"/>
      <c r="P1018" s="7" t="s">
        <v>8543</v>
      </c>
      <c r="Q1018" s="11" t="str">
        <f>UPPER(LEFT(Table362[[#This Row],[Entity]],3))&amp;"_"&amp;RIGHT("00"&amp;Table362[[#This Row],[Rule '# by Entity]],3)&amp;"_"&amp;MID(SUBSTITUTE(Table362[[#This Row],[Rule Name]],"_","|",3),SEARCH("|",SUBSTITUTE(Table362[[#This Row],[Rule Name]],"_","|",3))+1,LEN(Table362[[#This Row],[Rule Name]]))</f>
        <v>VEN_00_PhoneNumber2Format</v>
      </c>
      <c r="R1018" s="8" t="s">
        <v>6768</v>
      </c>
      <c r="S1018" s="7" t="s">
        <v>139</v>
      </c>
      <c r="T1018" s="7"/>
      <c r="U1018" s="8" t="s">
        <v>6541</v>
      </c>
      <c r="V1018" s="7" t="s">
        <v>3542</v>
      </c>
      <c r="W1018" s="8" t="s">
        <v>6771</v>
      </c>
      <c r="X1018" s="8" t="s">
        <v>6770</v>
      </c>
      <c r="Y1018" s="7" t="s">
        <v>5978</v>
      </c>
      <c r="Z1018" s="7" t="s">
        <v>5978</v>
      </c>
      <c r="AA1018" s="10" t="s">
        <v>7770</v>
      </c>
      <c r="AB1018" s="10"/>
      <c r="AC1018" s="10"/>
      <c r="AD1018" s="10"/>
      <c r="AE1018" s="13"/>
      <c r="AF1018" s="13" t="str">
        <f>"VW_"&amp;Table362[[#This Row],[New Rule Name]]</f>
        <v>VW_VEN_00_PhoneNumber2Format</v>
      </c>
      <c r="AG1018" s="11"/>
      <c r="AH1018" s="8" t="s">
        <v>6547</v>
      </c>
      <c r="AI1018" s="20" t="s">
        <v>6537</v>
      </c>
      <c r="AJ1018" s="20"/>
      <c r="AK1018" s="31"/>
      <c r="AL1018" s="31"/>
    </row>
    <row r="1019" spans="1:38" ht="324" hidden="1" x14ac:dyDescent="0.25">
      <c r="A1019" s="9" t="s">
        <v>8228</v>
      </c>
      <c r="B1019" s="7" t="s">
        <v>4292</v>
      </c>
      <c r="C1019" s="7" t="s">
        <v>1207</v>
      </c>
      <c r="D1019" s="7" t="s">
        <v>6719</v>
      </c>
      <c r="E1019" s="7" t="s">
        <v>6720</v>
      </c>
      <c r="F1019" s="7" t="s">
        <v>6722</v>
      </c>
      <c r="G1019" s="7" t="s">
        <v>6361</v>
      </c>
      <c r="H1019" s="7" t="s">
        <v>3969</v>
      </c>
      <c r="I1019" s="7" t="s">
        <v>3969</v>
      </c>
      <c r="J1019" s="20" t="str">
        <f>VLOOKUP(V1019,Table_to_BRG!A:D,3,FALSE)</f>
        <v>General data</v>
      </c>
      <c r="K1019" s="20" t="str">
        <f>VLOOKUP(V1019,Table_to_BRG!A:D,2,FALSE)</f>
        <v>General</v>
      </c>
      <c r="L1019" s="20"/>
      <c r="M1019" s="20"/>
      <c r="N1019" s="9" t="s">
        <v>6465</v>
      </c>
      <c r="O1019" s="54"/>
      <c r="P1019" s="7" t="s">
        <v>8544</v>
      </c>
      <c r="Q1019" s="11" t="str">
        <f>UPPER(LEFT(Table362[[#This Row],[Entity]],3))&amp;"_"&amp;RIGHT("00"&amp;Table362[[#This Row],[Rule '# by Entity]],3)&amp;"_"&amp;MID(SUBSTITUTE(Table362[[#This Row],[Rule Name]],"_","|",3),SEARCH("|",SUBSTITUTE(Table362[[#This Row],[Rule Name]],"_","|",3))+1,LEN(Table362[[#This Row],[Rule Name]]))</f>
        <v>VEN_00_PhoneNumber1Format</v>
      </c>
      <c r="R1019" s="8" t="s">
        <v>6767</v>
      </c>
      <c r="S1019" s="7" t="s">
        <v>139</v>
      </c>
      <c r="T1019" s="7"/>
      <c r="U1019" s="8" t="s">
        <v>6541</v>
      </c>
      <c r="V1019" s="7" t="s">
        <v>3542</v>
      </c>
      <c r="W1019" s="8" t="s">
        <v>6772</v>
      </c>
      <c r="X1019" s="8" t="s">
        <v>6773</v>
      </c>
      <c r="Y1019" s="7" t="s">
        <v>5978</v>
      </c>
      <c r="Z1019" s="7" t="s">
        <v>5978</v>
      </c>
      <c r="AA1019" s="10" t="s">
        <v>7770</v>
      </c>
      <c r="AB1019" s="10"/>
      <c r="AC1019" s="10"/>
      <c r="AD1019" s="10"/>
      <c r="AF1019" s="13" t="str">
        <f>"VW_"&amp;Table362[[#This Row],[New Rule Name]]</f>
        <v>VW_VEN_00_PhoneNumber1Format</v>
      </c>
      <c r="AH1019" s="8" t="s">
        <v>6547</v>
      </c>
      <c r="AI1019" s="20" t="s">
        <v>6537</v>
      </c>
      <c r="AJ1019" s="20"/>
      <c r="AK1019" s="31"/>
      <c r="AL1019" s="31"/>
    </row>
    <row r="1020" spans="1:38" hidden="1" x14ac:dyDescent="0.25">
      <c r="A1020" s="9"/>
      <c r="B1020" s="7"/>
      <c r="C1020" s="7"/>
      <c r="D1020" s="7"/>
      <c r="E1020" s="7"/>
      <c r="F1020" s="7"/>
      <c r="G1020" s="7"/>
      <c r="H1020" s="7"/>
      <c r="I1020" s="7"/>
      <c r="J1020" s="20"/>
      <c r="K1020" s="20"/>
      <c r="L1020" s="20"/>
      <c r="M1020" s="20"/>
      <c r="N1020" s="9"/>
      <c r="P1020" s="7"/>
      <c r="Q1020" s="11"/>
      <c r="R1020" s="8"/>
      <c r="S1020" s="7"/>
      <c r="T1020" s="7"/>
      <c r="U1020" s="7"/>
      <c r="V1020" s="7"/>
      <c r="W1020" s="7"/>
      <c r="X1020" s="8"/>
      <c r="Y1020" s="7"/>
      <c r="Z1020" s="7"/>
      <c r="AA1020" s="11"/>
      <c r="AB1020" s="11"/>
      <c r="AC1020" s="11"/>
      <c r="AD1020" s="11"/>
      <c r="AH1020" s="8"/>
      <c r="AI1020" s="20"/>
      <c r="AJ1020" s="20"/>
      <c r="AK1020" s="31"/>
      <c r="AL1020" s="31"/>
    </row>
    <row r="1021" spans="1:38" hidden="1" x14ac:dyDescent="0.25">
      <c r="A1021" s="9"/>
      <c r="B1021" s="7"/>
      <c r="C1021" s="7"/>
      <c r="D1021" s="7"/>
      <c r="E1021" s="7"/>
      <c r="F1021" s="7"/>
      <c r="G1021" s="7"/>
      <c r="H1021" s="7"/>
      <c r="I1021" s="7"/>
      <c r="J1021" s="20"/>
      <c r="K1021" s="20"/>
      <c r="L1021" s="20"/>
      <c r="M1021" s="20"/>
      <c r="N1021" s="9"/>
      <c r="P1021" s="7"/>
      <c r="Q1021" s="11"/>
      <c r="R1021" s="8"/>
      <c r="S1021" s="7"/>
      <c r="T1021" s="7"/>
      <c r="U1021" s="7"/>
      <c r="V1021" s="7"/>
      <c r="W1021" s="7"/>
      <c r="X1021" s="8"/>
      <c r="Y1021" s="7"/>
      <c r="Z1021" s="7"/>
      <c r="AA1021" s="11"/>
      <c r="AB1021" s="11"/>
      <c r="AC1021" s="11"/>
      <c r="AD1021" s="11"/>
      <c r="AH1021" s="8"/>
      <c r="AI1021" s="20"/>
      <c r="AJ1021" s="20"/>
      <c r="AK1021" s="31"/>
      <c r="AL1021" s="31"/>
    </row>
    <row r="1022" spans="1:38" hidden="1" x14ac:dyDescent="0.25">
      <c r="A1022" s="9"/>
      <c r="B1022" s="7"/>
      <c r="C1022" s="7"/>
      <c r="D1022" s="7"/>
      <c r="E1022" s="7"/>
      <c r="F1022" s="7"/>
      <c r="G1022" s="7"/>
      <c r="H1022" s="7"/>
      <c r="I1022" s="7"/>
      <c r="J1022" s="20"/>
      <c r="K1022" s="20"/>
      <c r="L1022" s="20"/>
      <c r="M1022" s="20"/>
      <c r="N1022" s="9"/>
      <c r="P1022" s="7"/>
      <c r="Q1022" s="11"/>
      <c r="R1022" s="8"/>
      <c r="S1022" s="7"/>
      <c r="T1022" s="7"/>
      <c r="U1022" s="7"/>
      <c r="V1022" s="7"/>
      <c r="W1022" s="7"/>
      <c r="X1022" s="8"/>
      <c r="Y1022" s="7"/>
      <c r="Z1022" s="7"/>
      <c r="AA1022" s="11"/>
      <c r="AB1022" s="11"/>
      <c r="AC1022" s="11"/>
      <c r="AD1022" s="11"/>
      <c r="AH1022" s="8"/>
      <c r="AI1022" s="20"/>
      <c r="AJ1022" s="20"/>
      <c r="AK1022" s="31"/>
      <c r="AL1022" s="31"/>
    </row>
    <row r="1023" spans="1:38" hidden="1" x14ac:dyDescent="0.25">
      <c r="A1023" s="9"/>
      <c r="B1023" s="7"/>
      <c r="C1023" s="7"/>
      <c r="D1023" s="7"/>
      <c r="E1023" s="7"/>
      <c r="F1023" s="7"/>
      <c r="G1023" s="7"/>
      <c r="H1023" s="7"/>
      <c r="I1023" s="7"/>
      <c r="J1023" s="20"/>
      <c r="K1023" s="20"/>
      <c r="L1023" s="20"/>
      <c r="M1023" s="20"/>
      <c r="N1023" s="9"/>
      <c r="P1023" s="7"/>
      <c r="Q1023" s="11"/>
      <c r="R1023" s="8"/>
      <c r="S1023" s="7"/>
      <c r="T1023" s="7"/>
      <c r="U1023" s="7"/>
      <c r="V1023" s="7"/>
      <c r="W1023" s="7"/>
      <c r="X1023" s="8"/>
      <c r="Y1023" s="7"/>
      <c r="Z1023" s="7"/>
      <c r="AA1023" s="11"/>
      <c r="AB1023" s="11"/>
      <c r="AC1023" s="11"/>
      <c r="AD1023" s="11"/>
      <c r="AH1023" s="8"/>
      <c r="AI1023" s="20"/>
      <c r="AJ1023" s="20"/>
      <c r="AK1023" s="31"/>
      <c r="AL1023" s="31"/>
    </row>
    <row r="1024" spans="1:38" hidden="1" x14ac:dyDescent="0.25">
      <c r="A1024" s="9"/>
      <c r="B1024" s="7"/>
      <c r="C1024" s="7"/>
      <c r="D1024" s="7"/>
      <c r="E1024" s="7"/>
      <c r="F1024" s="7"/>
      <c r="G1024" s="7"/>
      <c r="H1024" s="7"/>
      <c r="I1024" s="7"/>
      <c r="J1024" s="20"/>
      <c r="K1024" s="20"/>
      <c r="L1024" s="20"/>
      <c r="M1024" s="20"/>
      <c r="N1024" s="9"/>
      <c r="P1024" s="7"/>
      <c r="Q1024" s="11"/>
      <c r="R1024" s="8"/>
      <c r="S1024" s="7"/>
      <c r="T1024" s="7"/>
      <c r="U1024" s="7"/>
      <c r="V1024" s="7"/>
      <c r="W1024" s="7"/>
      <c r="X1024" s="8"/>
      <c r="Y1024" s="7"/>
      <c r="Z1024" s="7"/>
      <c r="AA1024" s="11"/>
      <c r="AB1024" s="11"/>
      <c r="AC1024" s="11"/>
      <c r="AD1024" s="11"/>
      <c r="AH1024" s="8"/>
      <c r="AI1024" s="20"/>
      <c r="AJ1024" s="20"/>
      <c r="AK1024" s="31"/>
      <c r="AL1024" s="31"/>
    </row>
    <row r="1025" spans="1:38" hidden="1" x14ac:dyDescent="0.25">
      <c r="A1025" s="9"/>
      <c r="B1025" s="7"/>
      <c r="C1025" s="7"/>
      <c r="D1025" s="7"/>
      <c r="E1025" s="7"/>
      <c r="F1025" s="7"/>
      <c r="G1025" s="7"/>
      <c r="H1025" s="7"/>
      <c r="I1025" s="7"/>
      <c r="J1025" s="20"/>
      <c r="K1025" s="20"/>
      <c r="L1025" s="20"/>
      <c r="M1025" s="20"/>
      <c r="N1025" s="9"/>
      <c r="P1025" s="7"/>
      <c r="Q1025" s="11"/>
      <c r="R1025" s="8"/>
      <c r="S1025" s="7"/>
      <c r="T1025" s="7"/>
      <c r="U1025" s="7"/>
      <c r="V1025" s="7"/>
      <c r="W1025" s="7"/>
      <c r="X1025" s="8"/>
      <c r="Y1025" s="7"/>
      <c r="Z1025" s="7"/>
      <c r="AA1025" s="11"/>
      <c r="AB1025" s="11"/>
      <c r="AC1025" s="11"/>
      <c r="AD1025" s="11"/>
      <c r="AH1025" s="8"/>
      <c r="AI1025" s="20"/>
      <c r="AJ1025" s="20"/>
      <c r="AK1025" s="31"/>
      <c r="AL1025" s="31"/>
    </row>
    <row r="1026" spans="1:38" hidden="1" x14ac:dyDescent="0.25">
      <c r="A1026" s="9"/>
      <c r="B1026" s="7"/>
      <c r="C1026" s="7"/>
      <c r="D1026" s="7"/>
      <c r="E1026" s="7"/>
      <c r="F1026" s="7"/>
      <c r="G1026" s="7"/>
      <c r="H1026" s="7"/>
      <c r="I1026" s="7"/>
      <c r="J1026" s="20"/>
      <c r="K1026" s="20"/>
      <c r="L1026" s="20"/>
      <c r="M1026" s="20"/>
      <c r="N1026" s="9"/>
      <c r="P1026" s="7"/>
      <c r="Q1026" s="11"/>
      <c r="R1026" s="8"/>
      <c r="S1026" s="7"/>
      <c r="T1026" s="7"/>
      <c r="U1026" s="7"/>
      <c r="V1026" s="7"/>
      <c r="W1026" s="7"/>
      <c r="X1026" s="8"/>
      <c r="Y1026" s="7"/>
      <c r="Z1026" s="7"/>
      <c r="AA1026" s="11"/>
      <c r="AB1026" s="11"/>
      <c r="AC1026" s="11"/>
      <c r="AD1026" s="11"/>
      <c r="AH1026" s="8"/>
      <c r="AI1026" s="20"/>
      <c r="AJ1026" s="20"/>
      <c r="AK1026" s="31"/>
      <c r="AL1026" s="31"/>
    </row>
    <row r="1027" spans="1:38" hidden="1" x14ac:dyDescent="0.25">
      <c r="A1027" s="9"/>
      <c r="B1027" s="7"/>
      <c r="C1027" s="7"/>
      <c r="D1027" s="7"/>
      <c r="E1027" s="7"/>
      <c r="F1027" s="7"/>
      <c r="G1027" s="7"/>
      <c r="H1027" s="7"/>
      <c r="I1027" s="7"/>
      <c r="J1027" s="20"/>
      <c r="K1027" s="20"/>
      <c r="L1027" s="20"/>
      <c r="M1027" s="20"/>
      <c r="N1027" s="9"/>
      <c r="P1027" s="7"/>
      <c r="Q1027" s="11"/>
      <c r="R1027" s="8"/>
      <c r="S1027" s="7"/>
      <c r="T1027" s="7"/>
      <c r="U1027" s="7"/>
      <c r="V1027" s="7"/>
      <c r="W1027" s="7"/>
      <c r="X1027" s="8"/>
      <c r="Y1027" s="7"/>
      <c r="Z1027" s="7"/>
      <c r="AA1027" s="11"/>
      <c r="AB1027" s="11"/>
      <c r="AC1027" s="11"/>
      <c r="AD1027" s="11"/>
      <c r="AH1027" s="8"/>
      <c r="AI1027" s="20"/>
      <c r="AJ1027" s="20"/>
      <c r="AK1027" s="31"/>
      <c r="AL1027" s="31"/>
    </row>
    <row r="1028" spans="1:38" hidden="1" x14ac:dyDescent="0.25">
      <c r="A1028" s="9"/>
      <c r="B1028" s="7"/>
      <c r="C1028" s="7"/>
      <c r="D1028" s="7"/>
      <c r="E1028" s="7"/>
      <c r="F1028" s="7"/>
      <c r="G1028" s="7"/>
      <c r="H1028" s="7"/>
      <c r="I1028" s="7"/>
      <c r="J1028" s="20"/>
      <c r="K1028" s="20"/>
      <c r="L1028" s="20"/>
      <c r="M1028" s="20"/>
      <c r="N1028" s="9"/>
      <c r="P1028" s="7"/>
      <c r="Q1028" s="11"/>
      <c r="R1028" s="8"/>
      <c r="S1028" s="7"/>
      <c r="T1028" s="7"/>
      <c r="U1028" s="7"/>
      <c r="V1028" s="7"/>
      <c r="W1028" s="7"/>
      <c r="X1028" s="8"/>
      <c r="Y1028" s="7"/>
      <c r="Z1028" s="7"/>
      <c r="AA1028" s="11"/>
      <c r="AB1028" s="11"/>
      <c r="AC1028" s="11"/>
      <c r="AD1028" s="11"/>
      <c r="AH1028" s="8"/>
      <c r="AI1028" s="20"/>
      <c r="AJ1028" s="20"/>
      <c r="AK1028" s="31"/>
      <c r="AL1028" s="31"/>
    </row>
    <row r="1029" spans="1:38" hidden="1" x14ac:dyDescent="0.25">
      <c r="A1029" s="9"/>
      <c r="B1029" s="7"/>
      <c r="C1029" s="7"/>
      <c r="D1029" s="7"/>
      <c r="E1029" s="7"/>
      <c r="F1029" s="7"/>
      <c r="G1029" s="7"/>
      <c r="H1029" s="7"/>
      <c r="I1029" s="7"/>
      <c r="J1029" s="20"/>
      <c r="K1029" s="20"/>
      <c r="L1029" s="20"/>
      <c r="M1029" s="20"/>
      <c r="N1029" s="9"/>
      <c r="P1029" s="7"/>
      <c r="Q1029" s="11"/>
      <c r="R1029" s="8"/>
      <c r="S1029" s="7"/>
      <c r="T1029" s="7"/>
      <c r="U1029" s="7"/>
      <c r="V1029" s="7"/>
      <c r="W1029" s="7"/>
      <c r="X1029" s="8"/>
      <c r="Y1029" s="7"/>
      <c r="Z1029" s="7"/>
      <c r="AA1029" s="11"/>
      <c r="AB1029" s="11"/>
      <c r="AC1029" s="11"/>
      <c r="AD1029" s="11"/>
      <c r="AH1029" s="8"/>
      <c r="AI1029" s="20"/>
      <c r="AJ1029" s="20"/>
      <c r="AK1029" s="31"/>
      <c r="AL1029" s="31"/>
    </row>
    <row r="1030" spans="1:38" hidden="1" x14ac:dyDescent="0.25">
      <c r="A1030" s="9"/>
      <c r="B1030" s="7"/>
      <c r="C1030" s="7"/>
      <c r="D1030" s="7"/>
      <c r="E1030" s="7"/>
      <c r="F1030" s="7"/>
      <c r="G1030" s="7"/>
      <c r="H1030" s="7"/>
      <c r="I1030" s="7"/>
      <c r="J1030" s="20"/>
      <c r="K1030" s="20"/>
      <c r="L1030" s="20"/>
      <c r="M1030" s="20"/>
      <c r="N1030" s="9"/>
      <c r="P1030" s="7"/>
      <c r="Q1030" s="11"/>
      <c r="R1030" s="8"/>
      <c r="S1030" s="7"/>
      <c r="T1030" s="7"/>
      <c r="U1030" s="7"/>
      <c r="V1030" s="7"/>
      <c r="W1030" s="7"/>
      <c r="X1030" s="8"/>
      <c r="Y1030" s="7"/>
      <c r="Z1030" s="7"/>
      <c r="AA1030" s="11"/>
      <c r="AB1030" s="11"/>
      <c r="AC1030" s="11"/>
      <c r="AD1030" s="11"/>
      <c r="AH1030" s="8"/>
      <c r="AI1030" s="20"/>
      <c r="AJ1030" s="20"/>
      <c r="AK1030" s="31"/>
      <c r="AL1030" s="31"/>
    </row>
    <row r="1031" spans="1:38" hidden="1" x14ac:dyDescent="0.25">
      <c r="A1031" s="9"/>
      <c r="B1031" s="7"/>
      <c r="C1031" s="7"/>
      <c r="D1031" s="7"/>
      <c r="E1031" s="7"/>
      <c r="F1031" s="7"/>
      <c r="G1031" s="7"/>
      <c r="H1031" s="7"/>
      <c r="I1031" s="7"/>
      <c r="J1031" s="20"/>
      <c r="K1031" s="20"/>
      <c r="L1031" s="20"/>
      <c r="M1031" s="20"/>
      <c r="N1031" s="9"/>
      <c r="P1031" s="7"/>
      <c r="Q1031" s="11"/>
      <c r="R1031" s="8"/>
      <c r="S1031" s="7"/>
      <c r="T1031" s="7"/>
      <c r="U1031" s="7"/>
      <c r="V1031" s="7"/>
      <c r="W1031" s="7"/>
      <c r="X1031" s="8"/>
      <c r="Y1031" s="7"/>
      <c r="Z1031" s="7"/>
      <c r="AA1031" s="11"/>
      <c r="AB1031" s="11"/>
      <c r="AC1031" s="11"/>
      <c r="AD1031" s="11"/>
      <c r="AH1031" s="8"/>
      <c r="AI1031" s="20"/>
      <c r="AJ1031" s="20"/>
      <c r="AK1031" s="31"/>
      <c r="AL1031" s="31"/>
    </row>
    <row r="1032" spans="1:38" hidden="1" x14ac:dyDescent="0.25">
      <c r="A1032" s="9"/>
      <c r="B1032" s="7"/>
      <c r="C1032" s="7"/>
      <c r="D1032" s="7"/>
      <c r="E1032" s="7"/>
      <c r="F1032" s="7"/>
      <c r="G1032" s="7"/>
      <c r="H1032" s="7"/>
      <c r="I1032" s="7"/>
      <c r="J1032" s="20"/>
      <c r="K1032" s="20"/>
      <c r="L1032" s="20"/>
      <c r="M1032" s="20"/>
      <c r="N1032" s="9"/>
      <c r="P1032" s="7"/>
      <c r="Q1032" s="11"/>
      <c r="R1032" s="8"/>
      <c r="S1032" s="7"/>
      <c r="T1032" s="7"/>
      <c r="U1032" s="7"/>
      <c r="V1032" s="7"/>
      <c r="W1032" s="7"/>
      <c r="X1032" s="8"/>
      <c r="Y1032" s="7"/>
      <c r="Z1032" s="7"/>
      <c r="AA1032" s="11"/>
      <c r="AB1032" s="11"/>
      <c r="AC1032" s="11"/>
      <c r="AD1032" s="11"/>
      <c r="AH1032" s="8"/>
      <c r="AI1032" s="20"/>
      <c r="AJ1032" s="20"/>
      <c r="AK1032" s="31"/>
      <c r="AL1032" s="31"/>
    </row>
    <row r="1033" spans="1:38" hidden="1" x14ac:dyDescent="0.25">
      <c r="A1033" s="9"/>
      <c r="B1033" s="7"/>
      <c r="C1033" s="7"/>
      <c r="D1033" s="7"/>
      <c r="E1033" s="7"/>
      <c r="F1033" s="7"/>
      <c r="G1033" s="7"/>
      <c r="H1033" s="7"/>
      <c r="I1033" s="7"/>
      <c r="J1033" s="20"/>
      <c r="K1033" s="20"/>
      <c r="L1033" s="20"/>
      <c r="M1033" s="20"/>
      <c r="N1033" s="9"/>
      <c r="P1033" s="7"/>
      <c r="Q1033" s="11"/>
      <c r="R1033" s="8"/>
      <c r="S1033" s="7"/>
      <c r="T1033" s="7"/>
      <c r="U1033" s="7"/>
      <c r="V1033" s="7"/>
      <c r="W1033" s="7"/>
      <c r="X1033" s="8"/>
      <c r="Y1033" s="7"/>
      <c r="Z1033" s="7"/>
      <c r="AA1033" s="11"/>
      <c r="AB1033" s="11"/>
      <c r="AC1033" s="11"/>
      <c r="AD1033" s="11"/>
      <c r="AH1033" s="8"/>
      <c r="AI1033" s="20"/>
      <c r="AJ1033" s="20"/>
      <c r="AK1033" s="31"/>
      <c r="AL1033" s="31"/>
    </row>
    <row r="1034" spans="1:38" hidden="1" x14ac:dyDescent="0.25">
      <c r="A1034" s="9"/>
      <c r="B1034" s="7"/>
      <c r="C1034" s="7"/>
      <c r="D1034" s="7"/>
      <c r="E1034" s="7"/>
      <c r="F1034" s="7"/>
      <c r="G1034" s="7"/>
      <c r="H1034" s="7"/>
      <c r="I1034" s="7"/>
      <c r="J1034" s="20"/>
      <c r="K1034" s="20"/>
      <c r="L1034" s="20"/>
      <c r="M1034" s="20"/>
      <c r="N1034" s="9"/>
      <c r="P1034" s="7"/>
      <c r="Q1034" s="11"/>
      <c r="R1034" s="8"/>
      <c r="S1034" s="7"/>
      <c r="T1034" s="7"/>
      <c r="U1034" s="7"/>
      <c r="V1034" s="7"/>
      <c r="W1034" s="7"/>
      <c r="X1034" s="8"/>
      <c r="Y1034" s="7"/>
      <c r="Z1034" s="7"/>
      <c r="AA1034" s="11"/>
      <c r="AB1034" s="11"/>
      <c r="AC1034" s="11"/>
      <c r="AD1034" s="11"/>
      <c r="AH1034" s="8"/>
      <c r="AI1034" s="20"/>
      <c r="AJ1034" s="20"/>
      <c r="AK1034" s="31"/>
      <c r="AL1034" s="31"/>
    </row>
    <row r="1035" spans="1:38" hidden="1" x14ac:dyDescent="0.25">
      <c r="A1035" s="9"/>
      <c r="B1035" s="7"/>
      <c r="C1035" s="7"/>
      <c r="D1035" s="7"/>
      <c r="E1035" s="7"/>
      <c r="F1035" s="7"/>
      <c r="G1035" s="7"/>
      <c r="H1035" s="7"/>
      <c r="I1035" s="7"/>
      <c r="J1035" s="20"/>
      <c r="K1035" s="20"/>
      <c r="L1035" s="20"/>
      <c r="M1035" s="20"/>
      <c r="N1035" s="9"/>
      <c r="P1035" s="7"/>
      <c r="Q1035" s="11"/>
      <c r="R1035" s="8"/>
      <c r="S1035" s="7"/>
      <c r="T1035" s="7"/>
      <c r="U1035" s="7"/>
      <c r="V1035" s="7"/>
      <c r="W1035" s="7"/>
      <c r="X1035" s="8"/>
      <c r="Y1035" s="7"/>
      <c r="Z1035" s="7"/>
      <c r="AA1035" s="11"/>
      <c r="AB1035" s="11"/>
      <c r="AC1035" s="11"/>
      <c r="AD1035" s="11"/>
      <c r="AH1035" s="8"/>
      <c r="AI1035" s="20"/>
      <c r="AJ1035" s="20"/>
      <c r="AK1035" s="31"/>
      <c r="AL1035" s="31"/>
    </row>
    <row r="1036" spans="1:38" hidden="1" x14ac:dyDescent="0.25">
      <c r="A1036" s="9"/>
      <c r="B1036" s="7"/>
      <c r="C1036" s="7"/>
      <c r="D1036" s="7"/>
      <c r="E1036" s="7"/>
      <c r="F1036" s="7"/>
      <c r="G1036" s="7"/>
      <c r="H1036" s="7"/>
      <c r="I1036" s="7"/>
      <c r="J1036" s="20"/>
      <c r="K1036" s="20"/>
      <c r="L1036" s="20"/>
      <c r="M1036" s="20"/>
      <c r="N1036" s="9"/>
      <c r="P1036" s="7"/>
      <c r="Q1036" s="11"/>
      <c r="R1036" s="8"/>
      <c r="S1036" s="7"/>
      <c r="T1036" s="7"/>
      <c r="U1036" s="7"/>
      <c r="V1036" s="7"/>
      <c r="W1036" s="7"/>
      <c r="X1036" s="8"/>
      <c r="Y1036" s="7"/>
      <c r="Z1036" s="7"/>
      <c r="AA1036" s="11"/>
      <c r="AB1036" s="11"/>
      <c r="AC1036" s="11"/>
      <c r="AD1036" s="11"/>
      <c r="AH1036" s="8"/>
      <c r="AI1036" s="20"/>
      <c r="AJ1036" s="20"/>
      <c r="AK1036" s="31"/>
      <c r="AL1036" s="31"/>
    </row>
    <row r="1037" spans="1:38" hidden="1" x14ac:dyDescent="0.25">
      <c r="A1037" s="9"/>
      <c r="B1037" s="7"/>
      <c r="C1037" s="7"/>
      <c r="D1037" s="7"/>
      <c r="E1037" s="7"/>
      <c r="F1037" s="7"/>
      <c r="G1037" s="7"/>
      <c r="H1037" s="7"/>
      <c r="I1037" s="7"/>
      <c r="J1037" s="20"/>
      <c r="K1037" s="20"/>
      <c r="L1037" s="20"/>
      <c r="M1037" s="20"/>
      <c r="N1037" s="9"/>
      <c r="P1037" s="7"/>
      <c r="Q1037" s="11"/>
      <c r="R1037" s="8"/>
      <c r="S1037" s="7"/>
      <c r="T1037" s="7"/>
      <c r="U1037" s="7"/>
      <c r="V1037" s="7"/>
      <c r="W1037" s="7"/>
      <c r="X1037" s="8"/>
      <c r="Y1037" s="7"/>
      <c r="Z1037" s="7"/>
      <c r="AA1037" s="11"/>
      <c r="AB1037" s="11"/>
      <c r="AC1037" s="11"/>
      <c r="AD1037" s="11"/>
      <c r="AH1037" s="8"/>
      <c r="AI1037" s="20"/>
      <c r="AJ1037" s="20"/>
      <c r="AK1037" s="31"/>
      <c r="AL1037" s="31"/>
    </row>
    <row r="1038" spans="1:38" hidden="1" x14ac:dyDescent="0.25">
      <c r="A1038" s="9"/>
      <c r="B1038" s="7"/>
      <c r="C1038" s="7"/>
      <c r="D1038" s="7"/>
      <c r="E1038" s="7"/>
      <c r="F1038" s="7"/>
      <c r="G1038" s="7"/>
      <c r="H1038" s="7"/>
      <c r="I1038" s="7"/>
      <c r="J1038" s="20"/>
      <c r="K1038" s="20"/>
      <c r="L1038" s="20"/>
      <c r="M1038" s="20"/>
      <c r="N1038" s="9"/>
      <c r="P1038" s="7"/>
      <c r="Q1038" s="11"/>
      <c r="R1038" s="8"/>
      <c r="S1038" s="7"/>
      <c r="T1038" s="7"/>
      <c r="U1038" s="7"/>
      <c r="V1038" s="7"/>
      <c r="W1038" s="7"/>
      <c r="X1038" s="8"/>
      <c r="Y1038" s="7"/>
      <c r="Z1038" s="7"/>
      <c r="AA1038" s="11"/>
      <c r="AB1038" s="11"/>
      <c r="AC1038" s="11"/>
      <c r="AD1038" s="11"/>
      <c r="AH1038" s="8"/>
      <c r="AI1038" s="20"/>
      <c r="AJ1038" s="20"/>
      <c r="AK1038" s="31"/>
      <c r="AL1038" s="31"/>
    </row>
    <row r="1039" spans="1:38" hidden="1" x14ac:dyDescent="0.25">
      <c r="A1039" s="9"/>
      <c r="B1039" s="7"/>
      <c r="C1039" s="7"/>
      <c r="D1039" s="7"/>
      <c r="E1039" s="7"/>
      <c r="F1039" s="7"/>
      <c r="G1039" s="7"/>
      <c r="H1039" s="7"/>
      <c r="I1039" s="7"/>
      <c r="J1039" s="20"/>
      <c r="K1039" s="20"/>
      <c r="L1039" s="20"/>
      <c r="M1039" s="20"/>
      <c r="N1039" s="9"/>
      <c r="P1039" s="7"/>
      <c r="Q1039" s="11"/>
      <c r="R1039" s="8"/>
      <c r="S1039" s="7"/>
      <c r="T1039" s="7"/>
      <c r="U1039" s="7"/>
      <c r="V1039" s="7"/>
      <c r="W1039" s="7"/>
      <c r="X1039" s="8"/>
      <c r="Y1039" s="7"/>
      <c r="Z1039" s="7"/>
      <c r="AA1039" s="11"/>
      <c r="AB1039" s="11"/>
      <c r="AC1039" s="11"/>
      <c r="AD1039" s="11"/>
      <c r="AH1039" s="8"/>
      <c r="AI1039" s="20"/>
      <c r="AJ1039" s="20"/>
      <c r="AK1039" s="31"/>
      <c r="AL1039" s="31"/>
    </row>
    <row r="1040" spans="1:38" hidden="1" x14ac:dyDescent="0.25">
      <c r="A1040" s="9"/>
      <c r="B1040" s="7"/>
      <c r="C1040" s="7"/>
      <c r="D1040" s="7"/>
      <c r="E1040" s="7"/>
      <c r="F1040" s="7"/>
      <c r="G1040" s="7"/>
      <c r="H1040" s="7"/>
      <c r="I1040" s="7"/>
      <c r="J1040" s="20"/>
      <c r="K1040" s="20"/>
      <c r="L1040" s="20"/>
      <c r="M1040" s="20"/>
      <c r="N1040" s="9"/>
      <c r="P1040" s="7"/>
      <c r="Q1040" s="11"/>
      <c r="R1040" s="8"/>
      <c r="S1040" s="7"/>
      <c r="T1040" s="7"/>
      <c r="U1040" s="7"/>
      <c r="V1040" s="7"/>
      <c r="W1040" s="7"/>
      <c r="X1040" s="8"/>
      <c r="Y1040" s="7"/>
      <c r="Z1040" s="7"/>
      <c r="AA1040" s="11"/>
      <c r="AB1040" s="11"/>
      <c r="AC1040" s="11"/>
      <c r="AD1040" s="11"/>
      <c r="AH1040" s="8"/>
      <c r="AI1040" s="20"/>
      <c r="AJ1040" s="20"/>
      <c r="AK1040" s="31"/>
      <c r="AL1040" s="31"/>
    </row>
    <row r="1041" spans="1:38" hidden="1" x14ac:dyDescent="0.25">
      <c r="A1041" s="9"/>
      <c r="B1041" s="7"/>
      <c r="C1041" s="7"/>
      <c r="D1041" s="7"/>
      <c r="E1041" s="7"/>
      <c r="F1041" s="7"/>
      <c r="G1041" s="7"/>
      <c r="H1041" s="7"/>
      <c r="I1041" s="7"/>
      <c r="J1041" s="20"/>
      <c r="K1041" s="20"/>
      <c r="L1041" s="20"/>
      <c r="M1041" s="20"/>
      <c r="N1041" s="9"/>
      <c r="P1041" s="7"/>
      <c r="Q1041" s="11"/>
      <c r="R1041" s="8"/>
      <c r="S1041" s="7"/>
      <c r="T1041" s="7"/>
      <c r="U1041" s="7"/>
      <c r="V1041" s="7"/>
      <c r="W1041" s="7"/>
      <c r="X1041" s="8"/>
      <c r="Y1041" s="7"/>
      <c r="Z1041" s="7"/>
      <c r="AA1041" s="11"/>
      <c r="AB1041" s="11"/>
      <c r="AC1041" s="11"/>
      <c r="AD1041" s="11"/>
      <c r="AH1041" s="8"/>
      <c r="AI1041" s="20"/>
      <c r="AJ1041" s="20"/>
      <c r="AK1041" s="31"/>
      <c r="AL1041" s="31"/>
    </row>
    <row r="1042" spans="1:38" hidden="1" x14ac:dyDescent="0.25">
      <c r="A1042" s="9"/>
      <c r="B1042" s="7"/>
      <c r="C1042" s="7"/>
      <c r="D1042" s="7"/>
      <c r="E1042" s="7"/>
      <c r="F1042" s="7"/>
      <c r="G1042" s="7"/>
      <c r="H1042" s="7"/>
      <c r="I1042" s="7"/>
      <c r="J1042" s="20"/>
      <c r="K1042" s="20"/>
      <c r="L1042" s="20"/>
      <c r="M1042" s="20"/>
      <c r="N1042" s="9"/>
      <c r="P1042" s="7"/>
      <c r="Q1042" s="11"/>
      <c r="R1042" s="8"/>
      <c r="S1042" s="7"/>
      <c r="T1042" s="7"/>
      <c r="U1042" s="7"/>
      <c r="V1042" s="7"/>
      <c r="W1042" s="7"/>
      <c r="X1042" s="8"/>
      <c r="Y1042" s="7"/>
      <c r="Z1042" s="7"/>
      <c r="AA1042" s="11"/>
      <c r="AB1042" s="11"/>
      <c r="AC1042" s="11"/>
      <c r="AD1042" s="11"/>
      <c r="AH1042" s="8"/>
      <c r="AI1042" s="20"/>
      <c r="AJ1042" s="20"/>
      <c r="AK1042" s="31"/>
      <c r="AL1042" s="31"/>
    </row>
    <row r="1043" spans="1:38" hidden="1" x14ac:dyDescent="0.25">
      <c r="A1043" s="9"/>
      <c r="B1043" s="7"/>
      <c r="C1043" s="7"/>
      <c r="D1043" s="7"/>
      <c r="E1043" s="7"/>
      <c r="F1043" s="7"/>
      <c r="G1043" s="7"/>
      <c r="H1043" s="7"/>
      <c r="I1043" s="7"/>
      <c r="J1043" s="20"/>
      <c r="K1043" s="20"/>
      <c r="L1043" s="20"/>
      <c r="M1043" s="20"/>
      <c r="N1043" s="9"/>
      <c r="P1043" s="7"/>
      <c r="Q1043" s="11"/>
      <c r="R1043" s="8"/>
      <c r="S1043" s="7"/>
      <c r="T1043" s="7"/>
      <c r="U1043" s="7"/>
      <c r="V1043" s="7"/>
      <c r="W1043" s="7"/>
      <c r="X1043" s="8"/>
      <c r="Y1043" s="7"/>
      <c r="Z1043" s="7"/>
      <c r="AA1043" s="11"/>
      <c r="AB1043" s="11"/>
      <c r="AC1043" s="11"/>
      <c r="AD1043" s="11"/>
      <c r="AH1043" s="8"/>
      <c r="AI1043" s="20"/>
      <c r="AJ1043" s="20"/>
      <c r="AK1043" s="31"/>
      <c r="AL1043" s="31"/>
    </row>
    <row r="1044" spans="1:38" hidden="1" x14ac:dyDescent="0.25">
      <c r="A1044" s="9"/>
      <c r="B1044" s="7"/>
      <c r="C1044" s="7"/>
      <c r="D1044" s="7"/>
      <c r="E1044" s="7"/>
      <c r="F1044" s="7"/>
      <c r="G1044" s="7"/>
      <c r="H1044" s="7"/>
      <c r="I1044" s="7"/>
      <c r="J1044" s="20"/>
      <c r="K1044" s="20"/>
      <c r="L1044" s="20"/>
      <c r="M1044" s="20"/>
      <c r="N1044" s="9"/>
      <c r="P1044" s="7"/>
      <c r="Q1044" s="11"/>
      <c r="R1044" s="8"/>
      <c r="S1044" s="7"/>
      <c r="T1044" s="7"/>
      <c r="U1044" s="7"/>
      <c r="V1044" s="7"/>
      <c r="W1044" s="7"/>
      <c r="X1044" s="8"/>
      <c r="Y1044" s="7"/>
      <c r="Z1044" s="7"/>
      <c r="AA1044" s="11"/>
      <c r="AB1044" s="11"/>
      <c r="AC1044" s="11"/>
      <c r="AD1044" s="11"/>
      <c r="AH1044" s="8"/>
      <c r="AI1044" s="20"/>
      <c r="AJ1044" s="20"/>
      <c r="AK1044" s="31"/>
      <c r="AL1044" s="31"/>
    </row>
    <row r="1045" spans="1:38" hidden="1" x14ac:dyDescent="0.25">
      <c r="A1045" s="9"/>
      <c r="B1045" s="7"/>
      <c r="C1045" s="7"/>
      <c r="D1045" s="7"/>
      <c r="E1045" s="7"/>
      <c r="F1045" s="7"/>
      <c r="G1045" s="7"/>
      <c r="H1045" s="7"/>
      <c r="I1045" s="7"/>
      <c r="J1045" s="20"/>
      <c r="K1045" s="20"/>
      <c r="L1045" s="20"/>
      <c r="M1045" s="20"/>
      <c r="N1045" s="9"/>
      <c r="P1045" s="7"/>
      <c r="Q1045" s="11"/>
      <c r="R1045" s="8"/>
      <c r="S1045" s="7"/>
      <c r="T1045" s="7"/>
      <c r="U1045" s="7"/>
      <c r="V1045" s="7"/>
      <c r="W1045" s="7"/>
      <c r="X1045" s="8"/>
      <c r="Y1045" s="7"/>
      <c r="Z1045" s="7"/>
      <c r="AA1045" s="11"/>
      <c r="AB1045" s="11"/>
      <c r="AC1045" s="11"/>
      <c r="AD1045" s="11"/>
      <c r="AH1045" s="8"/>
      <c r="AI1045" s="20"/>
      <c r="AJ1045" s="20"/>
      <c r="AK1045" s="31"/>
      <c r="AL1045" s="31"/>
    </row>
    <row r="1046" spans="1:38" hidden="1" x14ac:dyDescent="0.25">
      <c r="A1046" s="9"/>
      <c r="B1046" s="7"/>
      <c r="C1046" s="7"/>
      <c r="D1046" s="7"/>
      <c r="E1046" s="7"/>
      <c r="F1046" s="7"/>
      <c r="G1046" s="7"/>
      <c r="H1046" s="7"/>
      <c r="I1046" s="7"/>
      <c r="J1046" s="20"/>
      <c r="K1046" s="20"/>
      <c r="L1046" s="20"/>
      <c r="M1046" s="20"/>
      <c r="N1046" s="9"/>
      <c r="P1046" s="7"/>
      <c r="Q1046" s="11"/>
      <c r="R1046" s="8"/>
      <c r="S1046" s="7"/>
      <c r="T1046" s="7"/>
      <c r="U1046" s="7"/>
      <c r="V1046" s="7"/>
      <c r="W1046" s="7"/>
      <c r="X1046" s="8"/>
      <c r="Y1046" s="7"/>
      <c r="Z1046" s="7"/>
      <c r="AA1046" s="11"/>
      <c r="AB1046" s="11"/>
      <c r="AC1046" s="11"/>
      <c r="AD1046" s="11"/>
      <c r="AH1046" s="8"/>
      <c r="AI1046" s="20"/>
      <c r="AJ1046" s="20"/>
      <c r="AK1046" s="31"/>
      <c r="AL1046" s="31"/>
    </row>
    <row r="1047" spans="1:38" hidden="1" x14ac:dyDescent="0.25">
      <c r="A1047" s="9"/>
      <c r="B1047" s="7"/>
      <c r="C1047" s="7"/>
      <c r="D1047" s="7"/>
      <c r="E1047" s="7"/>
      <c r="F1047" s="7"/>
      <c r="G1047" s="7"/>
      <c r="H1047" s="7"/>
      <c r="I1047" s="7"/>
      <c r="J1047" s="20"/>
      <c r="K1047" s="20"/>
      <c r="L1047" s="20"/>
      <c r="M1047" s="20"/>
      <c r="N1047" s="9"/>
      <c r="P1047" s="7"/>
      <c r="Q1047" s="11"/>
      <c r="R1047" s="8"/>
      <c r="S1047" s="7"/>
      <c r="T1047" s="7"/>
      <c r="U1047" s="7"/>
      <c r="V1047" s="7"/>
      <c r="W1047" s="7"/>
      <c r="X1047" s="8"/>
      <c r="Y1047" s="7"/>
      <c r="Z1047" s="7"/>
      <c r="AA1047" s="11"/>
      <c r="AB1047" s="11"/>
      <c r="AC1047" s="11"/>
      <c r="AD1047" s="11"/>
      <c r="AH1047" s="8"/>
      <c r="AI1047" s="20"/>
      <c r="AJ1047" s="20"/>
      <c r="AK1047" s="31"/>
      <c r="AL1047" s="31"/>
    </row>
    <row r="1048" spans="1:38" hidden="1" x14ac:dyDescent="0.25">
      <c r="A1048" s="9"/>
      <c r="B1048" s="7"/>
      <c r="C1048" s="7"/>
      <c r="D1048" s="7"/>
      <c r="E1048" s="7"/>
      <c r="F1048" s="7"/>
      <c r="G1048" s="7"/>
      <c r="H1048" s="7"/>
      <c r="I1048" s="7"/>
      <c r="J1048" s="20"/>
      <c r="K1048" s="20"/>
      <c r="L1048" s="20"/>
      <c r="M1048" s="20"/>
      <c r="N1048" s="9"/>
      <c r="P1048" s="7"/>
      <c r="Q1048" s="11"/>
      <c r="R1048" s="8"/>
      <c r="S1048" s="7"/>
      <c r="T1048" s="7"/>
      <c r="U1048" s="7"/>
      <c r="V1048" s="7"/>
      <c r="W1048" s="7"/>
      <c r="X1048" s="8"/>
      <c r="Y1048" s="7"/>
      <c r="Z1048" s="7"/>
      <c r="AA1048" s="11"/>
      <c r="AB1048" s="11"/>
      <c r="AC1048" s="11"/>
      <c r="AD1048" s="11"/>
      <c r="AH1048" s="8"/>
      <c r="AI1048" s="20"/>
      <c r="AJ1048" s="20"/>
      <c r="AK1048" s="31"/>
      <c r="AL1048" s="31"/>
    </row>
    <row r="1049" spans="1:38" hidden="1" x14ac:dyDescent="0.25">
      <c r="A1049" s="9"/>
      <c r="B1049" s="7"/>
      <c r="C1049" s="7"/>
      <c r="D1049" s="7"/>
      <c r="E1049" s="7"/>
      <c r="F1049" s="7"/>
      <c r="G1049" s="7"/>
      <c r="H1049" s="7"/>
      <c r="I1049" s="7"/>
      <c r="J1049" s="20"/>
      <c r="K1049" s="20"/>
      <c r="L1049" s="20"/>
      <c r="M1049" s="20"/>
      <c r="N1049" s="9"/>
      <c r="P1049" s="7"/>
      <c r="Q1049" s="11"/>
      <c r="R1049" s="8"/>
      <c r="S1049" s="7"/>
      <c r="T1049" s="7"/>
      <c r="U1049" s="7"/>
      <c r="V1049" s="7"/>
      <c r="W1049" s="7"/>
      <c r="X1049" s="8"/>
      <c r="Y1049" s="7"/>
      <c r="Z1049" s="7"/>
      <c r="AA1049" s="11"/>
      <c r="AB1049" s="11"/>
      <c r="AC1049" s="11"/>
      <c r="AD1049" s="11"/>
      <c r="AH1049" s="8"/>
      <c r="AI1049" s="20"/>
      <c r="AJ1049" s="20"/>
      <c r="AK1049" s="31"/>
      <c r="AL1049" s="31"/>
    </row>
    <row r="1050" spans="1:38" hidden="1" x14ac:dyDescent="0.25">
      <c r="A1050" s="9"/>
      <c r="B1050" s="7"/>
      <c r="C1050" s="7"/>
      <c r="D1050" s="7"/>
      <c r="E1050" s="7"/>
      <c r="F1050" s="7"/>
      <c r="G1050" s="7"/>
      <c r="H1050" s="7"/>
      <c r="I1050" s="7"/>
      <c r="J1050" s="20"/>
      <c r="K1050" s="20"/>
      <c r="L1050" s="20"/>
      <c r="M1050" s="20"/>
      <c r="N1050" s="9"/>
      <c r="P1050" s="7"/>
      <c r="Q1050" s="11"/>
      <c r="R1050" s="8"/>
      <c r="S1050" s="7"/>
      <c r="T1050" s="7"/>
      <c r="U1050" s="7"/>
      <c r="V1050" s="7"/>
      <c r="W1050" s="7"/>
      <c r="X1050" s="8"/>
      <c r="Y1050" s="7"/>
      <c r="Z1050" s="7"/>
      <c r="AA1050" s="11"/>
      <c r="AB1050" s="11"/>
      <c r="AC1050" s="11"/>
      <c r="AD1050" s="11"/>
      <c r="AH1050" s="8"/>
      <c r="AI1050" s="20"/>
      <c r="AJ1050" s="20"/>
      <c r="AK1050" s="31"/>
      <c r="AL1050" s="31"/>
    </row>
    <row r="1051" spans="1:38" hidden="1" x14ac:dyDescent="0.25">
      <c r="A1051" s="9"/>
      <c r="B1051" s="7"/>
      <c r="C1051" s="7"/>
      <c r="D1051" s="7"/>
      <c r="E1051" s="7"/>
      <c r="F1051" s="7"/>
      <c r="G1051" s="7"/>
      <c r="H1051" s="7"/>
      <c r="I1051" s="7"/>
      <c r="J1051" s="20"/>
      <c r="K1051" s="20"/>
      <c r="L1051" s="20"/>
      <c r="M1051" s="20"/>
      <c r="N1051" s="9"/>
      <c r="P1051" s="7"/>
      <c r="Q1051" s="11"/>
      <c r="R1051" s="8"/>
      <c r="S1051" s="7"/>
      <c r="T1051" s="7"/>
      <c r="U1051" s="7"/>
      <c r="V1051" s="7"/>
      <c r="W1051" s="7"/>
      <c r="X1051" s="8"/>
      <c r="Y1051" s="7"/>
      <c r="Z1051" s="7"/>
      <c r="AA1051" s="11"/>
      <c r="AB1051" s="11"/>
      <c r="AC1051" s="11"/>
      <c r="AD1051" s="11"/>
      <c r="AH1051" s="8"/>
      <c r="AI1051" s="20"/>
      <c r="AJ1051" s="20"/>
      <c r="AK1051" s="31"/>
      <c r="AL1051" s="31"/>
    </row>
    <row r="1052" spans="1:38" hidden="1" x14ac:dyDescent="0.25">
      <c r="A1052" s="9"/>
      <c r="B1052" s="7"/>
      <c r="C1052" s="7"/>
      <c r="D1052" s="7"/>
      <c r="E1052" s="7"/>
      <c r="F1052" s="7"/>
      <c r="G1052" s="7"/>
      <c r="H1052" s="7"/>
      <c r="I1052" s="7"/>
      <c r="J1052" s="20"/>
      <c r="K1052" s="20"/>
      <c r="L1052" s="20"/>
      <c r="M1052" s="20"/>
      <c r="N1052" s="9"/>
      <c r="P1052" s="7"/>
      <c r="Q1052" s="11"/>
      <c r="R1052" s="8"/>
      <c r="S1052" s="7"/>
      <c r="T1052" s="7"/>
      <c r="U1052" s="7"/>
      <c r="V1052" s="7"/>
      <c r="W1052" s="7"/>
      <c r="X1052" s="8"/>
      <c r="Y1052" s="7"/>
      <c r="Z1052" s="7"/>
      <c r="AA1052" s="11"/>
      <c r="AB1052" s="11"/>
      <c r="AC1052" s="11"/>
      <c r="AD1052" s="11"/>
      <c r="AH1052" s="8"/>
      <c r="AI1052" s="20"/>
      <c r="AJ1052" s="20"/>
      <c r="AK1052" s="31"/>
      <c r="AL1052" s="31"/>
    </row>
    <row r="1053" spans="1:38" hidden="1" x14ac:dyDescent="0.25">
      <c r="A1053" s="9"/>
      <c r="B1053" s="7"/>
      <c r="C1053" s="7"/>
      <c r="D1053" s="7"/>
      <c r="E1053" s="7"/>
      <c r="F1053" s="7"/>
      <c r="G1053" s="7"/>
      <c r="H1053" s="7"/>
      <c r="I1053" s="7"/>
      <c r="J1053" s="20"/>
      <c r="K1053" s="20"/>
      <c r="L1053" s="20"/>
      <c r="M1053" s="20"/>
      <c r="N1053" s="9"/>
      <c r="P1053" s="7"/>
      <c r="Q1053" s="11"/>
      <c r="R1053" s="8"/>
      <c r="S1053" s="7"/>
      <c r="T1053" s="7"/>
      <c r="U1053" s="7"/>
      <c r="V1053" s="7"/>
      <c r="W1053" s="7"/>
      <c r="X1053" s="8"/>
      <c r="Y1053" s="7"/>
      <c r="Z1053" s="7"/>
      <c r="AA1053" s="11"/>
      <c r="AB1053" s="11"/>
      <c r="AC1053" s="11"/>
      <c r="AD1053" s="11"/>
      <c r="AH1053" s="8"/>
      <c r="AI1053" s="20"/>
      <c r="AJ1053" s="20"/>
      <c r="AK1053" s="31"/>
      <c r="AL1053" s="31"/>
    </row>
    <row r="1054" spans="1:38" hidden="1" x14ac:dyDescent="0.25">
      <c r="A1054" s="9"/>
      <c r="B1054" s="7"/>
      <c r="C1054" s="7"/>
      <c r="D1054" s="7"/>
      <c r="E1054" s="7"/>
      <c r="F1054" s="7"/>
      <c r="G1054" s="7"/>
      <c r="H1054" s="7"/>
      <c r="I1054" s="7"/>
      <c r="J1054" s="20"/>
      <c r="K1054" s="20"/>
      <c r="L1054" s="20"/>
      <c r="M1054" s="20"/>
      <c r="N1054" s="9"/>
      <c r="P1054" s="7"/>
      <c r="Q1054" s="11"/>
      <c r="R1054" s="8"/>
      <c r="S1054" s="7"/>
      <c r="T1054" s="7"/>
      <c r="U1054" s="7"/>
      <c r="V1054" s="7"/>
      <c r="W1054" s="7"/>
      <c r="X1054" s="8"/>
      <c r="Y1054" s="7"/>
      <c r="Z1054" s="7"/>
      <c r="AA1054" s="11"/>
      <c r="AB1054" s="11"/>
      <c r="AC1054" s="11"/>
      <c r="AD1054" s="11"/>
      <c r="AH1054" s="8"/>
      <c r="AI1054" s="20"/>
      <c r="AJ1054" s="20"/>
      <c r="AK1054" s="31"/>
      <c r="AL1054" s="31"/>
    </row>
    <row r="1055" spans="1:38" hidden="1" x14ac:dyDescent="0.25">
      <c r="A1055" s="9"/>
      <c r="B1055" s="7"/>
      <c r="C1055" s="7"/>
      <c r="D1055" s="7"/>
      <c r="E1055" s="7"/>
      <c r="F1055" s="7"/>
      <c r="G1055" s="7"/>
      <c r="H1055" s="7"/>
      <c r="I1055" s="7"/>
      <c r="J1055" s="20"/>
      <c r="K1055" s="20"/>
      <c r="L1055" s="20"/>
      <c r="M1055" s="20"/>
      <c r="N1055" s="9"/>
      <c r="P1055" s="7"/>
      <c r="Q1055" s="11"/>
      <c r="R1055" s="8"/>
      <c r="S1055" s="7"/>
      <c r="T1055" s="7"/>
      <c r="U1055" s="7"/>
      <c r="V1055" s="7"/>
      <c r="W1055" s="7"/>
      <c r="X1055" s="8"/>
      <c r="Y1055" s="7"/>
      <c r="Z1055" s="7"/>
      <c r="AA1055" s="11"/>
      <c r="AB1055" s="11"/>
      <c r="AC1055" s="11"/>
      <c r="AD1055" s="11"/>
      <c r="AH1055" s="8"/>
      <c r="AI1055" s="20"/>
      <c r="AJ1055" s="20"/>
      <c r="AK1055" s="31"/>
      <c r="AL1055" s="31"/>
    </row>
    <row r="1056" spans="1:38" hidden="1" x14ac:dyDescent="0.25">
      <c r="A1056" s="9"/>
      <c r="B1056" s="7"/>
      <c r="C1056" s="7"/>
      <c r="D1056" s="7"/>
      <c r="E1056" s="7"/>
      <c r="F1056" s="7"/>
      <c r="G1056" s="7"/>
      <c r="H1056" s="7"/>
      <c r="I1056" s="7"/>
      <c r="J1056" s="20"/>
      <c r="K1056" s="20"/>
      <c r="L1056" s="20"/>
      <c r="M1056" s="20"/>
      <c r="N1056" s="9"/>
      <c r="P1056" s="7"/>
      <c r="Q1056" s="11"/>
      <c r="R1056" s="8"/>
      <c r="S1056" s="7"/>
      <c r="T1056" s="7"/>
      <c r="U1056" s="7"/>
      <c r="V1056" s="7"/>
      <c r="W1056" s="7"/>
      <c r="X1056" s="8"/>
      <c r="Y1056" s="7"/>
      <c r="Z1056" s="7"/>
      <c r="AA1056" s="11"/>
      <c r="AB1056" s="11"/>
      <c r="AC1056" s="11"/>
      <c r="AD1056" s="11"/>
      <c r="AH1056" s="8"/>
      <c r="AI1056" s="20"/>
      <c r="AJ1056" s="20"/>
      <c r="AK1056" s="31"/>
      <c r="AL1056" s="31"/>
    </row>
    <row r="1057" spans="1:38" hidden="1" x14ac:dyDescent="0.25">
      <c r="A1057" s="9"/>
      <c r="B1057" s="7"/>
      <c r="C1057" s="7"/>
      <c r="D1057" s="7"/>
      <c r="E1057" s="7"/>
      <c r="F1057" s="7"/>
      <c r="G1057" s="7"/>
      <c r="H1057" s="7"/>
      <c r="I1057" s="7"/>
      <c r="J1057" s="20"/>
      <c r="K1057" s="20"/>
      <c r="L1057" s="20"/>
      <c r="M1057" s="20"/>
      <c r="N1057" s="9"/>
      <c r="P1057" s="7"/>
      <c r="Q1057" s="11"/>
      <c r="R1057" s="8"/>
      <c r="S1057" s="7"/>
      <c r="T1057" s="7"/>
      <c r="U1057" s="7"/>
      <c r="V1057" s="7"/>
      <c r="W1057" s="7"/>
      <c r="X1057" s="8"/>
      <c r="Y1057" s="7"/>
      <c r="Z1057" s="7"/>
      <c r="AA1057" s="11"/>
      <c r="AB1057" s="11"/>
      <c r="AC1057" s="11"/>
      <c r="AD1057" s="11"/>
      <c r="AH1057" s="8"/>
      <c r="AI1057" s="20"/>
      <c r="AJ1057" s="20"/>
      <c r="AK1057" s="31"/>
      <c r="AL1057" s="31"/>
    </row>
    <row r="1058" spans="1:38" hidden="1" x14ac:dyDescent="0.25">
      <c r="A1058" s="9"/>
      <c r="B1058" s="7"/>
      <c r="C1058" s="7"/>
      <c r="D1058" s="7"/>
      <c r="E1058" s="7"/>
      <c r="F1058" s="7"/>
      <c r="G1058" s="7"/>
      <c r="H1058" s="7"/>
      <c r="I1058" s="7"/>
      <c r="J1058" s="20"/>
      <c r="K1058" s="20"/>
      <c r="L1058" s="20"/>
      <c r="M1058" s="20"/>
      <c r="N1058" s="9"/>
      <c r="P1058" s="7"/>
      <c r="Q1058" s="11"/>
      <c r="R1058" s="8"/>
      <c r="S1058" s="7"/>
      <c r="T1058" s="7"/>
      <c r="U1058" s="7"/>
      <c r="V1058" s="7"/>
      <c r="W1058" s="7"/>
      <c r="X1058" s="8"/>
      <c r="Y1058" s="7"/>
      <c r="Z1058" s="7"/>
      <c r="AA1058" s="11"/>
      <c r="AB1058" s="11"/>
      <c r="AC1058" s="11"/>
      <c r="AD1058" s="11"/>
      <c r="AH1058" s="8"/>
      <c r="AI1058" s="20"/>
      <c r="AJ1058" s="20"/>
      <c r="AK1058" s="31"/>
      <c r="AL1058" s="31"/>
    </row>
    <row r="1059" spans="1:38" hidden="1" x14ac:dyDescent="0.25">
      <c r="A1059" s="9"/>
      <c r="B1059" s="7"/>
      <c r="C1059" s="7"/>
      <c r="D1059" s="7"/>
      <c r="E1059" s="7"/>
      <c r="F1059" s="7"/>
      <c r="G1059" s="7"/>
      <c r="H1059" s="7"/>
      <c r="I1059" s="7"/>
      <c r="J1059" s="20"/>
      <c r="K1059" s="20"/>
      <c r="L1059" s="20"/>
      <c r="M1059" s="20"/>
      <c r="N1059" s="9"/>
      <c r="P1059" s="7"/>
      <c r="Q1059" s="11"/>
      <c r="R1059" s="8"/>
      <c r="S1059" s="7"/>
      <c r="T1059" s="7"/>
      <c r="U1059" s="7"/>
      <c r="V1059" s="7"/>
      <c r="W1059" s="7"/>
      <c r="X1059" s="8"/>
      <c r="Y1059" s="7"/>
      <c r="Z1059" s="7"/>
      <c r="AA1059" s="11"/>
      <c r="AB1059" s="11"/>
      <c r="AC1059" s="11"/>
      <c r="AD1059" s="11"/>
      <c r="AH1059" s="8"/>
      <c r="AI1059" s="20"/>
      <c r="AJ1059" s="20"/>
      <c r="AK1059" s="31"/>
      <c r="AL1059" s="31"/>
    </row>
    <row r="1060" spans="1:38" hidden="1" x14ac:dyDescent="0.25">
      <c r="A1060" s="9"/>
      <c r="B1060" s="7"/>
      <c r="C1060" s="7"/>
      <c r="D1060" s="7"/>
      <c r="E1060" s="7"/>
      <c r="F1060" s="7"/>
      <c r="G1060" s="7"/>
      <c r="H1060" s="7"/>
      <c r="I1060" s="7"/>
      <c r="J1060" s="20"/>
      <c r="K1060" s="20"/>
      <c r="L1060" s="20"/>
      <c r="M1060" s="20"/>
      <c r="N1060" s="9"/>
      <c r="P1060" s="7"/>
      <c r="Q1060" s="11"/>
      <c r="R1060" s="8"/>
      <c r="S1060" s="7"/>
      <c r="T1060" s="7"/>
      <c r="U1060" s="7"/>
      <c r="V1060" s="7"/>
      <c r="W1060" s="7"/>
      <c r="X1060" s="8"/>
      <c r="Y1060" s="7"/>
      <c r="Z1060" s="7"/>
      <c r="AA1060" s="11"/>
      <c r="AB1060" s="11"/>
      <c r="AC1060" s="11"/>
      <c r="AD1060" s="11"/>
      <c r="AH1060" s="8"/>
      <c r="AI1060" s="20"/>
      <c r="AJ1060" s="20"/>
      <c r="AK1060" s="31"/>
      <c r="AL1060" s="31"/>
    </row>
    <row r="1061" spans="1:38" hidden="1" x14ac:dyDescent="0.25">
      <c r="A1061" s="9"/>
      <c r="B1061" s="7"/>
      <c r="C1061" s="7"/>
      <c r="D1061" s="7"/>
      <c r="E1061" s="7"/>
      <c r="F1061" s="7"/>
      <c r="G1061" s="7"/>
      <c r="H1061" s="7"/>
      <c r="I1061" s="7"/>
      <c r="J1061" s="20"/>
      <c r="K1061" s="20"/>
      <c r="L1061" s="20"/>
      <c r="M1061" s="20"/>
      <c r="N1061" s="9"/>
      <c r="P1061" s="7"/>
      <c r="Q1061" s="11"/>
      <c r="R1061" s="8"/>
      <c r="S1061" s="7"/>
      <c r="T1061" s="7"/>
      <c r="U1061" s="7"/>
      <c r="V1061" s="7"/>
      <c r="W1061" s="7"/>
      <c r="X1061" s="8"/>
      <c r="Y1061" s="7"/>
      <c r="Z1061" s="7"/>
      <c r="AA1061" s="11"/>
      <c r="AB1061" s="11"/>
      <c r="AC1061" s="11"/>
      <c r="AD1061" s="11"/>
      <c r="AH1061" s="8"/>
      <c r="AI1061" s="20"/>
      <c r="AJ1061" s="20"/>
      <c r="AK1061" s="31"/>
      <c r="AL1061" s="31"/>
    </row>
    <row r="1062" spans="1:38" hidden="1" x14ac:dyDescent="0.25">
      <c r="A1062" s="9"/>
      <c r="B1062" s="7"/>
      <c r="C1062" s="7"/>
      <c r="D1062" s="7"/>
      <c r="E1062" s="7"/>
      <c r="F1062" s="7"/>
      <c r="G1062" s="7"/>
      <c r="H1062" s="7"/>
      <c r="I1062" s="7"/>
      <c r="J1062" s="20"/>
      <c r="K1062" s="20"/>
      <c r="L1062" s="20"/>
      <c r="M1062" s="20"/>
      <c r="N1062" s="9"/>
      <c r="P1062" s="7"/>
      <c r="Q1062" s="11"/>
      <c r="R1062" s="8"/>
      <c r="S1062" s="7"/>
      <c r="T1062" s="7"/>
      <c r="U1062" s="7"/>
      <c r="V1062" s="7"/>
      <c r="W1062" s="7"/>
      <c r="X1062" s="8"/>
      <c r="Y1062" s="7"/>
      <c r="Z1062" s="7"/>
      <c r="AA1062" s="11"/>
      <c r="AB1062" s="11"/>
      <c r="AC1062" s="11"/>
      <c r="AD1062" s="11"/>
      <c r="AH1062" s="8"/>
      <c r="AI1062" s="20"/>
      <c r="AJ1062" s="20"/>
      <c r="AK1062" s="31"/>
      <c r="AL1062" s="31"/>
    </row>
    <row r="1063" spans="1:38" hidden="1" x14ac:dyDescent="0.25">
      <c r="A1063" s="9"/>
      <c r="B1063" s="7"/>
      <c r="C1063" s="7"/>
      <c r="D1063" s="7"/>
      <c r="E1063" s="7"/>
      <c r="F1063" s="7"/>
      <c r="G1063" s="7"/>
      <c r="H1063" s="7"/>
      <c r="I1063" s="7"/>
      <c r="J1063" s="20"/>
      <c r="K1063" s="20"/>
      <c r="L1063" s="20"/>
      <c r="M1063" s="20"/>
      <c r="N1063" s="9"/>
      <c r="P1063" s="7"/>
      <c r="Q1063" s="11"/>
      <c r="R1063" s="8"/>
      <c r="S1063" s="7"/>
      <c r="T1063" s="7"/>
      <c r="U1063" s="7"/>
      <c r="V1063" s="7"/>
      <c r="W1063" s="7"/>
      <c r="X1063" s="8"/>
      <c r="Y1063" s="7"/>
      <c r="Z1063" s="7"/>
      <c r="AA1063" s="11"/>
      <c r="AB1063" s="11"/>
      <c r="AC1063" s="11"/>
      <c r="AD1063" s="11"/>
      <c r="AH1063" s="8"/>
      <c r="AI1063" s="20"/>
      <c r="AJ1063" s="20"/>
      <c r="AK1063" s="31"/>
      <c r="AL1063" s="31"/>
    </row>
    <row r="1064" spans="1:38" hidden="1" x14ac:dyDescent="0.25">
      <c r="A1064" s="9"/>
      <c r="B1064" s="7"/>
      <c r="C1064" s="7"/>
      <c r="D1064" s="7"/>
      <c r="E1064" s="7"/>
      <c r="F1064" s="7"/>
      <c r="G1064" s="7"/>
      <c r="H1064" s="7"/>
      <c r="I1064" s="7"/>
      <c r="J1064" s="20"/>
      <c r="K1064" s="20"/>
      <c r="L1064" s="20"/>
      <c r="M1064" s="20"/>
      <c r="N1064" s="9"/>
      <c r="P1064" s="7"/>
      <c r="Q1064" s="11"/>
      <c r="R1064" s="8"/>
      <c r="S1064" s="7"/>
      <c r="T1064" s="7"/>
      <c r="U1064" s="7"/>
      <c r="V1064" s="7"/>
      <c r="W1064" s="7"/>
      <c r="X1064" s="8"/>
      <c r="Y1064" s="7"/>
      <c r="Z1064" s="7"/>
      <c r="AA1064" s="11"/>
      <c r="AB1064" s="11"/>
      <c r="AC1064" s="11"/>
      <c r="AD1064" s="11"/>
      <c r="AH1064" s="8"/>
      <c r="AI1064" s="20"/>
      <c r="AJ1064" s="20"/>
      <c r="AK1064" s="31"/>
      <c r="AL1064" s="31"/>
    </row>
    <row r="1065" spans="1:38" hidden="1" x14ac:dyDescent="0.25">
      <c r="A1065" s="9"/>
      <c r="B1065" s="7"/>
      <c r="C1065" s="7"/>
      <c r="D1065" s="7"/>
      <c r="E1065" s="7"/>
      <c r="F1065" s="7"/>
      <c r="G1065" s="7"/>
      <c r="H1065" s="7"/>
      <c r="I1065" s="7"/>
      <c r="J1065" s="20"/>
      <c r="K1065" s="20"/>
      <c r="L1065" s="20"/>
      <c r="M1065" s="20"/>
      <c r="N1065" s="9"/>
      <c r="P1065" s="7"/>
      <c r="Q1065" s="11"/>
      <c r="R1065" s="8"/>
      <c r="S1065" s="7"/>
      <c r="T1065" s="7"/>
      <c r="U1065" s="7"/>
      <c r="V1065" s="7"/>
      <c r="W1065" s="7"/>
      <c r="X1065" s="8"/>
      <c r="Y1065" s="7"/>
      <c r="Z1065" s="7"/>
      <c r="AA1065" s="11"/>
      <c r="AB1065" s="11"/>
      <c r="AC1065" s="11"/>
      <c r="AD1065" s="11"/>
      <c r="AH1065" s="8"/>
      <c r="AI1065" s="20"/>
      <c r="AJ1065" s="20"/>
      <c r="AK1065" s="31"/>
      <c r="AL1065" s="31"/>
    </row>
    <row r="1066" spans="1:38" hidden="1" x14ac:dyDescent="0.25">
      <c r="A1066" s="9"/>
      <c r="B1066" s="7"/>
      <c r="C1066" s="7"/>
      <c r="D1066" s="7"/>
      <c r="E1066" s="7"/>
      <c r="F1066" s="7"/>
      <c r="G1066" s="7"/>
      <c r="H1066" s="7"/>
      <c r="I1066" s="7"/>
      <c r="J1066" s="20"/>
      <c r="K1066" s="20"/>
      <c r="L1066" s="20"/>
      <c r="M1066" s="20"/>
      <c r="N1066" s="9"/>
      <c r="P1066" s="7"/>
      <c r="Q1066" s="11"/>
      <c r="R1066" s="8"/>
      <c r="S1066" s="7"/>
      <c r="T1066" s="7"/>
      <c r="U1066" s="7"/>
      <c r="V1066" s="7"/>
      <c r="W1066" s="7"/>
      <c r="X1066" s="8"/>
      <c r="Y1066" s="7"/>
      <c r="Z1066" s="7"/>
      <c r="AA1066" s="11"/>
      <c r="AB1066" s="11"/>
      <c r="AC1066" s="11"/>
      <c r="AD1066" s="11"/>
      <c r="AH1066" s="8"/>
      <c r="AI1066" s="20"/>
      <c r="AJ1066" s="20"/>
      <c r="AK1066" s="31"/>
      <c r="AL1066" s="31"/>
    </row>
    <row r="1067" spans="1:38" hidden="1" x14ac:dyDescent="0.25">
      <c r="A1067" s="9"/>
      <c r="B1067" s="7"/>
      <c r="C1067" s="7"/>
      <c r="D1067" s="7"/>
      <c r="E1067" s="7"/>
      <c r="F1067" s="7"/>
      <c r="G1067" s="7"/>
      <c r="H1067" s="7"/>
      <c r="I1067" s="7"/>
      <c r="J1067" s="20"/>
      <c r="K1067" s="20"/>
      <c r="L1067" s="20"/>
      <c r="M1067" s="20"/>
      <c r="N1067" s="9"/>
      <c r="P1067" s="7"/>
      <c r="Q1067" s="11"/>
      <c r="R1067" s="8"/>
      <c r="S1067" s="7"/>
      <c r="T1067" s="7"/>
      <c r="U1067" s="7"/>
      <c r="V1067" s="7"/>
      <c r="W1067" s="7"/>
      <c r="X1067" s="8"/>
      <c r="Y1067" s="7"/>
      <c r="Z1067" s="7"/>
      <c r="AA1067" s="11"/>
      <c r="AB1067" s="11"/>
      <c r="AC1067" s="11"/>
      <c r="AD1067" s="11"/>
      <c r="AH1067" s="8"/>
      <c r="AI1067" s="20"/>
      <c r="AJ1067" s="20"/>
      <c r="AK1067" s="31"/>
      <c r="AL1067" s="31"/>
    </row>
    <row r="1068" spans="1:38" hidden="1" x14ac:dyDescent="0.25">
      <c r="A1068" s="9"/>
      <c r="B1068" s="7"/>
      <c r="C1068" s="7"/>
      <c r="D1068" s="7"/>
      <c r="E1068" s="7"/>
      <c r="F1068" s="7"/>
      <c r="G1068" s="7"/>
      <c r="H1068" s="7"/>
      <c r="I1068" s="7"/>
      <c r="J1068" s="20"/>
      <c r="K1068" s="20"/>
      <c r="L1068" s="20"/>
      <c r="M1068" s="20"/>
      <c r="N1068" s="9"/>
      <c r="P1068" s="7"/>
      <c r="Q1068" s="11"/>
      <c r="R1068" s="8"/>
      <c r="S1068" s="7"/>
      <c r="T1068" s="7"/>
      <c r="U1068" s="7"/>
      <c r="V1068" s="7"/>
      <c r="W1068" s="7"/>
      <c r="X1068" s="8"/>
      <c r="Y1068" s="7"/>
      <c r="Z1068" s="7"/>
      <c r="AA1068" s="11"/>
      <c r="AB1068" s="11"/>
      <c r="AC1068" s="11"/>
      <c r="AD1068" s="11"/>
      <c r="AH1068" s="8"/>
      <c r="AI1068" s="20"/>
      <c r="AJ1068" s="20"/>
      <c r="AK1068" s="31"/>
      <c r="AL1068" s="31"/>
    </row>
    <row r="1069" spans="1:38" hidden="1" x14ac:dyDescent="0.25">
      <c r="A1069" s="9"/>
      <c r="B1069" s="7"/>
      <c r="C1069" s="7"/>
      <c r="D1069" s="7"/>
      <c r="E1069" s="7"/>
      <c r="F1069" s="7"/>
      <c r="G1069" s="7"/>
      <c r="H1069" s="7"/>
      <c r="I1069" s="7"/>
      <c r="J1069" s="20"/>
      <c r="K1069" s="20"/>
      <c r="L1069" s="20"/>
      <c r="M1069" s="20"/>
      <c r="N1069" s="9"/>
      <c r="P1069" s="7"/>
      <c r="Q1069" s="11"/>
      <c r="R1069" s="8"/>
      <c r="S1069" s="7"/>
      <c r="T1069" s="7"/>
      <c r="U1069" s="7"/>
      <c r="V1069" s="7"/>
      <c r="W1069" s="7"/>
      <c r="X1069" s="8"/>
      <c r="Y1069" s="7"/>
      <c r="Z1069" s="7"/>
      <c r="AA1069" s="11"/>
      <c r="AB1069" s="11"/>
      <c r="AC1069" s="11"/>
      <c r="AD1069" s="11"/>
      <c r="AH1069" s="8"/>
      <c r="AI1069" s="20"/>
      <c r="AJ1069" s="20"/>
      <c r="AK1069" s="31"/>
      <c r="AL1069" s="31"/>
    </row>
    <row r="1070" spans="1:38" hidden="1" x14ac:dyDescent="0.25">
      <c r="A1070" s="9"/>
      <c r="B1070" s="7"/>
      <c r="C1070" s="7"/>
      <c r="D1070" s="7"/>
      <c r="E1070" s="7"/>
      <c r="F1070" s="7"/>
      <c r="G1070" s="7"/>
      <c r="H1070" s="7"/>
      <c r="I1070" s="7"/>
      <c r="J1070" s="20"/>
      <c r="K1070" s="20"/>
      <c r="L1070" s="20"/>
      <c r="M1070" s="20"/>
      <c r="N1070" s="9"/>
      <c r="P1070" s="7"/>
      <c r="Q1070" s="11"/>
      <c r="R1070" s="8"/>
      <c r="S1070" s="7"/>
      <c r="T1070" s="7"/>
      <c r="U1070" s="7"/>
      <c r="V1070" s="7"/>
      <c r="W1070" s="7"/>
      <c r="X1070" s="8"/>
      <c r="Y1070" s="7"/>
      <c r="Z1070" s="7"/>
      <c r="AA1070" s="11"/>
      <c r="AB1070" s="11"/>
      <c r="AC1070" s="11"/>
      <c r="AD1070" s="11"/>
      <c r="AH1070" s="8"/>
      <c r="AI1070" s="20"/>
      <c r="AJ1070" s="20"/>
      <c r="AK1070" s="31"/>
      <c r="AL1070" s="31"/>
    </row>
    <row r="1071" spans="1:38" hidden="1" x14ac:dyDescent="0.25">
      <c r="A1071" s="9"/>
      <c r="B1071" s="7"/>
      <c r="C1071" s="7"/>
      <c r="D1071" s="7"/>
      <c r="E1071" s="7"/>
      <c r="F1071" s="7"/>
      <c r="G1071" s="7"/>
      <c r="H1071" s="7"/>
      <c r="I1071" s="7"/>
      <c r="J1071" s="20"/>
      <c r="K1071" s="20"/>
      <c r="L1071" s="20"/>
      <c r="M1071" s="20"/>
      <c r="N1071" s="9"/>
      <c r="P1071" s="7"/>
      <c r="Q1071" s="11"/>
      <c r="R1071" s="8"/>
      <c r="S1071" s="7"/>
      <c r="T1071" s="7"/>
      <c r="U1071" s="7"/>
      <c r="V1071" s="7"/>
      <c r="W1071" s="7"/>
      <c r="X1071" s="8"/>
      <c r="Y1071" s="7"/>
      <c r="Z1071" s="7"/>
      <c r="AA1071" s="11"/>
      <c r="AB1071" s="11"/>
      <c r="AC1071" s="11"/>
      <c r="AD1071" s="11"/>
      <c r="AH1071" s="8"/>
      <c r="AI1071" s="20"/>
      <c r="AJ1071" s="20"/>
      <c r="AK1071" s="31"/>
      <c r="AL1071" s="31"/>
    </row>
    <row r="1072" spans="1:38" hidden="1" x14ac:dyDescent="0.25">
      <c r="A1072" s="9"/>
      <c r="B1072" s="7"/>
      <c r="C1072" s="7"/>
      <c r="D1072" s="7"/>
      <c r="E1072" s="7"/>
      <c r="F1072" s="7"/>
      <c r="G1072" s="7"/>
      <c r="H1072" s="7"/>
      <c r="I1072" s="7"/>
      <c r="J1072" s="20"/>
      <c r="K1072" s="20"/>
      <c r="L1072" s="20"/>
      <c r="M1072" s="20"/>
      <c r="N1072" s="9"/>
      <c r="P1072" s="7"/>
      <c r="Q1072" s="11"/>
      <c r="R1072" s="8"/>
      <c r="S1072" s="7"/>
      <c r="T1072" s="7"/>
      <c r="U1072" s="7"/>
      <c r="V1072" s="7"/>
      <c r="W1072" s="7"/>
      <c r="X1072" s="8"/>
      <c r="Y1072" s="7"/>
      <c r="Z1072" s="7"/>
      <c r="AA1072" s="11"/>
      <c r="AB1072" s="11"/>
      <c r="AC1072" s="11"/>
      <c r="AD1072" s="11"/>
      <c r="AH1072" s="8"/>
      <c r="AI1072" s="20"/>
      <c r="AJ1072" s="20"/>
      <c r="AK1072" s="31"/>
      <c r="AL1072" s="31"/>
    </row>
    <row r="1073" spans="1:38" hidden="1" x14ac:dyDescent="0.25">
      <c r="A1073" s="9"/>
      <c r="B1073" s="7"/>
      <c r="C1073" s="7"/>
      <c r="D1073" s="7"/>
      <c r="E1073" s="7"/>
      <c r="F1073" s="7"/>
      <c r="G1073" s="7"/>
      <c r="H1073" s="7"/>
      <c r="I1073" s="7"/>
      <c r="J1073" s="20"/>
      <c r="K1073" s="20"/>
      <c r="L1073" s="20"/>
      <c r="M1073" s="20"/>
      <c r="N1073" s="9"/>
      <c r="P1073" s="7"/>
      <c r="Q1073" s="11"/>
      <c r="R1073" s="8"/>
      <c r="S1073" s="7"/>
      <c r="T1073" s="7"/>
      <c r="U1073" s="7"/>
      <c r="V1073" s="7"/>
      <c r="W1073" s="7"/>
      <c r="X1073" s="8"/>
      <c r="Y1073" s="7"/>
      <c r="Z1073" s="7"/>
      <c r="AA1073" s="11"/>
      <c r="AB1073" s="11"/>
      <c r="AC1073" s="11"/>
      <c r="AD1073" s="11"/>
      <c r="AH1073" s="8"/>
      <c r="AI1073" s="20"/>
      <c r="AJ1073" s="20"/>
      <c r="AK1073" s="31"/>
      <c r="AL1073" s="31"/>
    </row>
    <row r="1074" spans="1:38" hidden="1" x14ac:dyDescent="0.25">
      <c r="A1074" s="9"/>
      <c r="B1074" s="7"/>
      <c r="C1074" s="7"/>
      <c r="D1074" s="7"/>
      <c r="E1074" s="7"/>
      <c r="F1074" s="7"/>
      <c r="G1074" s="7"/>
      <c r="H1074" s="7"/>
      <c r="I1074" s="7"/>
      <c r="J1074" s="20"/>
      <c r="K1074" s="20"/>
      <c r="L1074" s="20"/>
      <c r="M1074" s="20"/>
      <c r="N1074" s="9"/>
      <c r="P1074" s="7"/>
      <c r="Q1074" s="11"/>
      <c r="R1074" s="8"/>
      <c r="S1074" s="7"/>
      <c r="T1074" s="7"/>
      <c r="U1074" s="7"/>
      <c r="V1074" s="7"/>
      <c r="W1074" s="7"/>
      <c r="X1074" s="8"/>
      <c r="Y1074" s="7"/>
      <c r="Z1074" s="7"/>
      <c r="AA1074" s="11"/>
      <c r="AB1074" s="11"/>
      <c r="AC1074" s="11"/>
      <c r="AD1074" s="11"/>
      <c r="AH1074" s="8"/>
      <c r="AI1074" s="20"/>
      <c r="AJ1074" s="20"/>
      <c r="AK1074" s="31"/>
      <c r="AL1074" s="31"/>
    </row>
    <row r="1075" spans="1:38" hidden="1" x14ac:dyDescent="0.25">
      <c r="A1075" s="9"/>
      <c r="B1075" s="7"/>
      <c r="C1075" s="7"/>
      <c r="D1075" s="7"/>
      <c r="E1075" s="7"/>
      <c r="F1075" s="7"/>
      <c r="G1075" s="7"/>
      <c r="H1075" s="7"/>
      <c r="I1075" s="7"/>
      <c r="J1075" s="20"/>
      <c r="K1075" s="20"/>
      <c r="L1075" s="20"/>
      <c r="M1075" s="20"/>
      <c r="N1075" s="9"/>
      <c r="P1075" s="7"/>
      <c r="Q1075" s="11"/>
      <c r="R1075" s="8"/>
      <c r="S1075" s="7"/>
      <c r="T1075" s="7"/>
      <c r="U1075" s="7"/>
      <c r="V1075" s="7"/>
      <c r="W1075" s="7"/>
      <c r="X1075" s="8"/>
      <c r="Y1075" s="7"/>
      <c r="Z1075" s="7"/>
      <c r="AA1075" s="11"/>
      <c r="AB1075" s="11"/>
      <c r="AC1075" s="11"/>
      <c r="AD1075" s="11"/>
      <c r="AH1075" s="8"/>
      <c r="AI1075" s="20"/>
      <c r="AJ1075" s="20"/>
      <c r="AK1075" s="31"/>
      <c r="AL1075" s="31"/>
    </row>
    <row r="1076" spans="1:38" hidden="1" x14ac:dyDescent="0.25">
      <c r="A1076" s="9"/>
      <c r="B1076" s="7"/>
      <c r="C1076" s="7"/>
      <c r="D1076" s="7"/>
      <c r="E1076" s="7"/>
      <c r="F1076" s="7"/>
      <c r="G1076" s="7"/>
      <c r="H1076" s="7"/>
      <c r="I1076" s="7"/>
      <c r="J1076" s="20"/>
      <c r="K1076" s="20"/>
      <c r="L1076" s="20"/>
      <c r="M1076" s="20"/>
      <c r="N1076" s="9"/>
      <c r="P1076" s="7"/>
      <c r="Q1076" s="11"/>
      <c r="R1076" s="8"/>
      <c r="S1076" s="7"/>
      <c r="T1076" s="7"/>
      <c r="U1076" s="7"/>
      <c r="V1076" s="7"/>
      <c r="W1076" s="7"/>
      <c r="X1076" s="8"/>
      <c r="Y1076" s="7"/>
      <c r="Z1076" s="7"/>
      <c r="AA1076" s="11"/>
      <c r="AB1076" s="11"/>
      <c r="AC1076" s="11"/>
      <c r="AD1076" s="11"/>
      <c r="AH1076" s="8"/>
      <c r="AI1076" s="20"/>
      <c r="AJ1076" s="20"/>
      <c r="AK1076" s="31"/>
      <c r="AL1076" s="31"/>
    </row>
    <row r="1077" spans="1:38" hidden="1" x14ac:dyDescent="0.25">
      <c r="A1077" s="9"/>
      <c r="B1077" s="7"/>
      <c r="C1077" s="7"/>
      <c r="D1077" s="7"/>
      <c r="E1077" s="7"/>
      <c r="F1077" s="7"/>
      <c r="G1077" s="7"/>
      <c r="H1077" s="7"/>
      <c r="I1077" s="7"/>
      <c r="J1077" s="20"/>
      <c r="K1077" s="20"/>
      <c r="L1077" s="20"/>
      <c r="M1077" s="20"/>
      <c r="N1077" s="9"/>
      <c r="P1077" s="7"/>
      <c r="Q1077" s="11"/>
      <c r="R1077" s="8"/>
      <c r="S1077" s="7"/>
      <c r="T1077" s="7"/>
      <c r="U1077" s="7"/>
      <c r="V1077" s="7"/>
      <c r="W1077" s="7"/>
      <c r="X1077" s="8"/>
      <c r="Y1077" s="7"/>
      <c r="Z1077" s="7"/>
      <c r="AA1077" s="11"/>
      <c r="AB1077" s="11"/>
      <c r="AC1077" s="11"/>
      <c r="AD1077" s="11"/>
      <c r="AH1077" s="8"/>
      <c r="AI1077" s="20"/>
      <c r="AJ1077" s="20"/>
      <c r="AK1077" s="31"/>
      <c r="AL1077" s="31"/>
    </row>
    <row r="1078" spans="1:38" hidden="1" x14ac:dyDescent="0.25">
      <c r="A1078" s="9"/>
      <c r="B1078" s="7"/>
      <c r="C1078" s="7"/>
      <c r="D1078" s="7"/>
      <c r="E1078" s="7"/>
      <c r="F1078" s="7"/>
      <c r="G1078" s="7"/>
      <c r="H1078" s="7"/>
      <c r="I1078" s="7"/>
      <c r="J1078" s="20"/>
      <c r="K1078" s="20"/>
      <c r="L1078" s="20"/>
      <c r="M1078" s="20"/>
      <c r="N1078" s="9"/>
      <c r="P1078" s="7"/>
      <c r="Q1078" s="11"/>
      <c r="R1078" s="8"/>
      <c r="S1078" s="7"/>
      <c r="T1078" s="7"/>
      <c r="U1078" s="7"/>
      <c r="V1078" s="7"/>
      <c r="W1078" s="7"/>
      <c r="X1078" s="8"/>
      <c r="Y1078" s="7"/>
      <c r="Z1078" s="7"/>
      <c r="AA1078" s="11"/>
      <c r="AB1078" s="11"/>
      <c r="AC1078" s="11"/>
      <c r="AD1078" s="11"/>
      <c r="AH1078" s="8"/>
      <c r="AI1078" s="20"/>
      <c r="AJ1078" s="20"/>
      <c r="AK1078" s="31"/>
      <c r="AL1078" s="31"/>
    </row>
    <row r="1079" spans="1:38" hidden="1" x14ac:dyDescent="0.25">
      <c r="A1079" s="9"/>
      <c r="B1079" s="7"/>
      <c r="C1079" s="7"/>
      <c r="D1079" s="7"/>
      <c r="E1079" s="7"/>
      <c r="F1079" s="7"/>
      <c r="G1079" s="7"/>
      <c r="H1079" s="7"/>
      <c r="I1079" s="7"/>
      <c r="J1079" s="20"/>
      <c r="K1079" s="20"/>
      <c r="L1079" s="20"/>
      <c r="M1079" s="20"/>
      <c r="N1079" s="9"/>
      <c r="P1079" s="7"/>
      <c r="Q1079" s="11"/>
      <c r="R1079" s="8"/>
      <c r="S1079" s="7"/>
      <c r="T1079" s="7"/>
      <c r="U1079" s="7"/>
      <c r="V1079" s="7"/>
      <c r="W1079" s="7"/>
      <c r="X1079" s="8"/>
      <c r="Y1079" s="7"/>
      <c r="Z1079" s="7"/>
      <c r="AA1079" s="11"/>
      <c r="AB1079" s="11"/>
      <c r="AC1079" s="11"/>
      <c r="AD1079" s="11"/>
      <c r="AH1079" s="8"/>
      <c r="AI1079" s="20"/>
      <c r="AJ1079" s="20"/>
      <c r="AK1079" s="31"/>
      <c r="AL1079" s="31"/>
    </row>
    <row r="1080" spans="1:38" hidden="1" x14ac:dyDescent="0.25">
      <c r="A1080" s="9"/>
      <c r="B1080" s="7"/>
      <c r="C1080" s="7"/>
      <c r="D1080" s="7"/>
      <c r="E1080" s="7"/>
      <c r="F1080" s="7"/>
      <c r="G1080" s="7"/>
      <c r="H1080" s="7"/>
      <c r="I1080" s="7"/>
      <c r="J1080" s="20"/>
      <c r="K1080" s="20"/>
      <c r="L1080" s="20"/>
      <c r="M1080" s="20"/>
      <c r="N1080" s="9"/>
      <c r="P1080" s="7"/>
      <c r="Q1080" s="11"/>
      <c r="R1080" s="8"/>
      <c r="S1080" s="7"/>
      <c r="T1080" s="7"/>
      <c r="U1080" s="7"/>
      <c r="V1080" s="7"/>
      <c r="W1080" s="7"/>
      <c r="X1080" s="8"/>
      <c r="Y1080" s="7"/>
      <c r="Z1080" s="7"/>
      <c r="AA1080" s="11"/>
      <c r="AB1080" s="11"/>
      <c r="AC1080" s="11"/>
      <c r="AD1080" s="11"/>
      <c r="AH1080" s="8"/>
      <c r="AI1080" s="20"/>
      <c r="AJ1080" s="20"/>
      <c r="AK1080" s="31"/>
      <c r="AL1080" s="31"/>
    </row>
    <row r="1081" spans="1:38" hidden="1" x14ac:dyDescent="0.25">
      <c r="A1081" s="9"/>
      <c r="B1081" s="7"/>
      <c r="C1081" s="7"/>
      <c r="D1081" s="7"/>
      <c r="E1081" s="7"/>
      <c r="F1081" s="7"/>
      <c r="G1081" s="7"/>
      <c r="H1081" s="7"/>
      <c r="I1081" s="7"/>
      <c r="J1081" s="20"/>
      <c r="K1081" s="20"/>
      <c r="L1081" s="20"/>
      <c r="M1081" s="20"/>
      <c r="N1081" s="9"/>
      <c r="P1081" s="7"/>
      <c r="Q1081" s="11"/>
      <c r="R1081" s="8"/>
      <c r="S1081" s="7"/>
      <c r="T1081" s="7"/>
      <c r="U1081" s="7"/>
      <c r="V1081" s="7"/>
      <c r="W1081" s="7"/>
      <c r="X1081" s="8"/>
      <c r="Y1081" s="7"/>
      <c r="Z1081" s="7"/>
      <c r="AA1081" s="11"/>
      <c r="AB1081" s="11"/>
      <c r="AC1081" s="11"/>
      <c r="AD1081" s="11"/>
      <c r="AH1081" s="8"/>
      <c r="AI1081" s="20"/>
      <c r="AJ1081" s="20"/>
      <c r="AK1081" s="31"/>
      <c r="AL1081" s="31"/>
    </row>
    <row r="1082" spans="1:38" hidden="1" x14ac:dyDescent="0.25">
      <c r="A1082" s="9"/>
      <c r="B1082" s="7"/>
      <c r="C1082" s="7"/>
      <c r="D1082" s="7"/>
      <c r="E1082" s="7"/>
      <c r="F1082" s="7"/>
      <c r="G1082" s="7"/>
      <c r="H1082" s="7"/>
      <c r="I1082" s="7"/>
      <c r="J1082" s="20"/>
      <c r="K1082" s="20"/>
      <c r="L1082" s="20"/>
      <c r="M1082" s="20"/>
      <c r="N1082" s="9"/>
      <c r="P1082" s="7"/>
      <c r="Q1082" s="11"/>
      <c r="R1082" s="8"/>
      <c r="S1082" s="7"/>
      <c r="T1082" s="7"/>
      <c r="U1082" s="7"/>
      <c r="V1082" s="7"/>
      <c r="W1082" s="7"/>
      <c r="X1082" s="8"/>
      <c r="Y1082" s="7"/>
      <c r="Z1082" s="7"/>
      <c r="AA1082" s="11"/>
      <c r="AB1082" s="11"/>
      <c r="AC1082" s="11"/>
      <c r="AD1082" s="11"/>
      <c r="AH1082" s="8"/>
      <c r="AI1082" s="20"/>
      <c r="AJ1082" s="20"/>
      <c r="AK1082" s="31"/>
      <c r="AL1082" s="31"/>
    </row>
    <row r="1083" spans="1:38" hidden="1" x14ac:dyDescent="0.25">
      <c r="A1083" s="9"/>
      <c r="B1083" s="7"/>
      <c r="C1083" s="7"/>
      <c r="D1083" s="7"/>
      <c r="E1083" s="7"/>
      <c r="F1083" s="7"/>
      <c r="G1083" s="7"/>
      <c r="H1083" s="7"/>
      <c r="I1083" s="7"/>
      <c r="J1083" s="20"/>
      <c r="K1083" s="20"/>
      <c r="L1083" s="20"/>
      <c r="M1083" s="20"/>
      <c r="N1083" s="9"/>
      <c r="P1083" s="7"/>
      <c r="Q1083" s="11"/>
      <c r="R1083" s="8"/>
      <c r="S1083" s="7"/>
      <c r="T1083" s="7"/>
      <c r="U1083" s="7"/>
      <c r="V1083" s="7"/>
      <c r="W1083" s="7"/>
      <c r="X1083" s="8"/>
      <c r="Y1083" s="7"/>
      <c r="Z1083" s="7"/>
      <c r="AA1083" s="11"/>
      <c r="AB1083" s="11"/>
      <c r="AC1083" s="11"/>
      <c r="AD1083" s="11"/>
      <c r="AH1083" s="8"/>
      <c r="AI1083" s="20"/>
      <c r="AJ1083" s="20"/>
      <c r="AK1083" s="31"/>
      <c r="AL1083" s="31"/>
    </row>
    <row r="1084" spans="1:38" hidden="1" x14ac:dyDescent="0.25">
      <c r="A1084" s="9"/>
      <c r="B1084" s="7"/>
      <c r="C1084" s="7"/>
      <c r="D1084" s="7"/>
      <c r="E1084" s="7"/>
      <c r="F1084" s="7"/>
      <c r="G1084" s="7"/>
      <c r="H1084" s="7"/>
      <c r="I1084" s="7"/>
      <c r="J1084" s="20"/>
      <c r="K1084" s="20"/>
      <c r="L1084" s="20"/>
      <c r="M1084" s="20"/>
      <c r="N1084" s="9"/>
      <c r="P1084" s="7"/>
      <c r="Q1084" s="11"/>
      <c r="R1084" s="8"/>
      <c r="S1084" s="7"/>
      <c r="T1084" s="7"/>
      <c r="U1084" s="7"/>
      <c r="V1084" s="7"/>
      <c r="W1084" s="7"/>
      <c r="X1084" s="8"/>
      <c r="Y1084" s="7"/>
      <c r="Z1084" s="7"/>
      <c r="AA1084" s="11"/>
      <c r="AB1084" s="11"/>
      <c r="AC1084" s="11"/>
      <c r="AD1084" s="11"/>
      <c r="AH1084" s="8"/>
      <c r="AI1084" s="20"/>
      <c r="AJ1084" s="20"/>
      <c r="AK1084" s="31"/>
      <c r="AL1084" s="31"/>
    </row>
    <row r="1085" spans="1:38" hidden="1" x14ac:dyDescent="0.25">
      <c r="A1085" s="9"/>
      <c r="B1085" s="7"/>
      <c r="C1085" s="7"/>
      <c r="D1085" s="7"/>
      <c r="E1085" s="7"/>
      <c r="F1085" s="7"/>
      <c r="G1085" s="7"/>
      <c r="H1085" s="7"/>
      <c r="I1085" s="7"/>
      <c r="J1085" s="20"/>
      <c r="K1085" s="20"/>
      <c r="L1085" s="20"/>
      <c r="M1085" s="20"/>
      <c r="N1085" s="9"/>
      <c r="P1085" s="7"/>
      <c r="Q1085" s="11"/>
      <c r="R1085" s="8"/>
      <c r="S1085" s="7"/>
      <c r="T1085" s="7"/>
      <c r="U1085" s="7"/>
      <c r="V1085" s="7"/>
      <c r="W1085" s="7"/>
      <c r="X1085" s="8"/>
      <c r="Y1085" s="7"/>
      <c r="Z1085" s="7"/>
      <c r="AA1085" s="11"/>
      <c r="AB1085" s="11"/>
      <c r="AC1085" s="11"/>
      <c r="AD1085" s="11"/>
      <c r="AH1085" s="8"/>
      <c r="AI1085" s="20"/>
      <c r="AJ1085" s="20"/>
      <c r="AK1085" s="31"/>
      <c r="AL1085" s="31"/>
    </row>
    <row r="1086" spans="1:38" hidden="1" x14ac:dyDescent="0.25">
      <c r="A1086" s="9"/>
      <c r="B1086" s="7"/>
      <c r="C1086" s="7"/>
      <c r="D1086" s="7"/>
      <c r="E1086" s="7"/>
      <c r="F1086" s="7"/>
      <c r="G1086" s="7"/>
      <c r="H1086" s="7"/>
      <c r="I1086" s="7"/>
      <c r="J1086" s="20"/>
      <c r="K1086" s="20"/>
      <c r="L1086" s="20"/>
      <c r="M1086" s="20"/>
      <c r="N1086" s="9"/>
      <c r="P1086" s="7"/>
      <c r="Q1086" s="11"/>
      <c r="R1086" s="8"/>
      <c r="S1086" s="7"/>
      <c r="T1086" s="7"/>
      <c r="U1086" s="7"/>
      <c r="V1086" s="7"/>
      <c r="W1086" s="7"/>
      <c r="X1086" s="8"/>
      <c r="Y1086" s="7"/>
      <c r="Z1086" s="7"/>
      <c r="AA1086" s="11"/>
      <c r="AB1086" s="11"/>
      <c r="AC1086" s="11"/>
      <c r="AD1086" s="11"/>
      <c r="AH1086" s="8"/>
      <c r="AI1086" s="20"/>
      <c r="AJ1086" s="20"/>
      <c r="AK1086" s="31"/>
      <c r="AL1086" s="31"/>
    </row>
    <row r="1087" spans="1:38" hidden="1" x14ac:dyDescent="0.25">
      <c r="A1087" s="9"/>
      <c r="B1087" s="7"/>
      <c r="C1087" s="7"/>
      <c r="D1087" s="7"/>
      <c r="E1087" s="7"/>
      <c r="F1087" s="7"/>
      <c r="G1087" s="7"/>
      <c r="H1087" s="7"/>
      <c r="I1087" s="7"/>
      <c r="J1087" s="20"/>
      <c r="K1087" s="20"/>
      <c r="L1087" s="20"/>
      <c r="M1087" s="20"/>
      <c r="N1087" s="9"/>
      <c r="P1087" s="7"/>
      <c r="Q1087" s="11"/>
      <c r="R1087" s="8"/>
      <c r="S1087" s="7"/>
      <c r="T1087" s="7"/>
      <c r="U1087" s="7"/>
      <c r="V1087" s="7"/>
      <c r="W1087" s="7"/>
      <c r="X1087" s="8"/>
      <c r="Y1087" s="7"/>
      <c r="Z1087" s="7"/>
      <c r="AA1087" s="11"/>
      <c r="AB1087" s="11"/>
      <c r="AC1087" s="11"/>
      <c r="AD1087" s="11"/>
      <c r="AH1087" s="8"/>
      <c r="AI1087" s="20"/>
      <c r="AJ1087" s="20"/>
      <c r="AK1087" s="31"/>
      <c r="AL1087" s="31"/>
    </row>
    <row r="1088" spans="1:38" hidden="1" x14ac:dyDescent="0.25">
      <c r="A1088" s="9"/>
      <c r="B1088" s="7"/>
      <c r="C1088" s="7"/>
      <c r="D1088" s="7"/>
      <c r="E1088" s="7"/>
      <c r="F1088" s="7"/>
      <c r="G1088" s="7"/>
      <c r="H1088" s="7"/>
      <c r="I1088" s="7"/>
      <c r="J1088" s="20"/>
      <c r="K1088" s="20"/>
      <c r="L1088" s="20"/>
      <c r="M1088" s="20"/>
      <c r="N1088" s="9"/>
      <c r="P1088" s="7"/>
      <c r="Q1088" s="11"/>
      <c r="R1088" s="8"/>
      <c r="S1088" s="7"/>
      <c r="T1088" s="7"/>
      <c r="U1088" s="7"/>
      <c r="V1088" s="7"/>
      <c r="W1088" s="7"/>
      <c r="X1088" s="8"/>
      <c r="Y1088" s="7"/>
      <c r="Z1088" s="7"/>
      <c r="AA1088" s="11"/>
      <c r="AB1088" s="11"/>
      <c r="AC1088" s="11"/>
      <c r="AD1088" s="11"/>
      <c r="AH1088" s="8"/>
      <c r="AI1088" s="20"/>
      <c r="AJ1088" s="20"/>
      <c r="AK1088" s="31"/>
      <c r="AL1088" s="31"/>
    </row>
    <row r="1089" spans="1:38" hidden="1" x14ac:dyDescent="0.25">
      <c r="A1089" s="9"/>
      <c r="B1089" s="7"/>
      <c r="C1089" s="7"/>
      <c r="D1089" s="7"/>
      <c r="E1089" s="7"/>
      <c r="F1089" s="7"/>
      <c r="G1089" s="7"/>
      <c r="H1089" s="7"/>
      <c r="I1089" s="7"/>
      <c r="J1089" s="20"/>
      <c r="K1089" s="20"/>
      <c r="L1089" s="20"/>
      <c r="M1089" s="20"/>
      <c r="N1089" s="9"/>
      <c r="P1089" s="7"/>
      <c r="Q1089" s="11"/>
      <c r="R1089" s="8"/>
      <c r="S1089" s="7"/>
      <c r="T1089" s="7"/>
      <c r="U1089" s="7"/>
      <c r="V1089" s="7"/>
      <c r="W1089" s="7"/>
      <c r="X1089" s="8"/>
      <c r="Y1089" s="7"/>
      <c r="Z1089" s="7"/>
      <c r="AA1089" s="11"/>
      <c r="AB1089" s="11"/>
      <c r="AC1089" s="11"/>
      <c r="AD1089" s="11"/>
      <c r="AH1089" s="8"/>
      <c r="AI1089" s="20"/>
      <c r="AJ1089" s="20"/>
      <c r="AK1089" s="31"/>
      <c r="AL1089" s="31"/>
    </row>
    <row r="1090" spans="1:38" hidden="1" x14ac:dyDescent="0.25">
      <c r="A1090" s="9"/>
      <c r="B1090" s="7"/>
      <c r="C1090" s="7"/>
      <c r="D1090" s="7"/>
      <c r="E1090" s="7"/>
      <c r="F1090" s="7"/>
      <c r="G1090" s="7"/>
      <c r="H1090" s="7"/>
      <c r="I1090" s="7"/>
      <c r="J1090" s="20"/>
      <c r="K1090" s="20"/>
      <c r="L1090" s="20"/>
      <c r="M1090" s="20"/>
      <c r="N1090" s="9"/>
      <c r="P1090" s="7"/>
      <c r="Q1090" s="11"/>
      <c r="R1090" s="8"/>
      <c r="S1090" s="7"/>
      <c r="T1090" s="7"/>
      <c r="U1090" s="7"/>
      <c r="V1090" s="7"/>
      <c r="W1090" s="7"/>
      <c r="X1090" s="8"/>
      <c r="Y1090" s="7"/>
      <c r="Z1090" s="7"/>
      <c r="AA1090" s="11"/>
      <c r="AB1090" s="11"/>
      <c r="AC1090" s="11"/>
      <c r="AD1090" s="11"/>
      <c r="AH1090" s="8"/>
      <c r="AI1090" s="20"/>
      <c r="AJ1090" s="20"/>
      <c r="AK1090" s="31"/>
      <c r="AL1090" s="31"/>
    </row>
    <row r="1091" spans="1:38" hidden="1" x14ac:dyDescent="0.25">
      <c r="A1091" s="9"/>
      <c r="B1091" s="7"/>
      <c r="C1091" s="7"/>
      <c r="D1091" s="7"/>
      <c r="E1091" s="7"/>
      <c r="F1091" s="7"/>
      <c r="G1091" s="7"/>
      <c r="H1091" s="7"/>
      <c r="I1091" s="7"/>
      <c r="J1091" s="20"/>
      <c r="K1091" s="20"/>
      <c r="L1091" s="20"/>
      <c r="M1091" s="20"/>
      <c r="N1091" s="9"/>
      <c r="P1091" s="7"/>
      <c r="Q1091" s="11"/>
      <c r="R1091" s="8"/>
      <c r="S1091" s="7"/>
      <c r="T1091" s="7"/>
      <c r="U1091" s="7"/>
      <c r="V1091" s="7"/>
      <c r="W1091" s="7"/>
      <c r="X1091" s="8"/>
      <c r="Y1091" s="7"/>
      <c r="Z1091" s="7"/>
      <c r="AA1091" s="11"/>
      <c r="AB1091" s="11"/>
      <c r="AC1091" s="11"/>
      <c r="AD1091" s="11"/>
      <c r="AH1091" s="8"/>
      <c r="AI1091" s="20"/>
      <c r="AJ1091" s="20"/>
      <c r="AK1091" s="31"/>
      <c r="AL1091" s="31"/>
    </row>
    <row r="1092" spans="1:38" hidden="1" x14ac:dyDescent="0.25">
      <c r="A1092" s="9"/>
      <c r="B1092" s="7"/>
      <c r="C1092" s="7"/>
      <c r="D1092" s="7"/>
      <c r="E1092" s="7"/>
      <c r="F1092" s="7"/>
      <c r="G1092" s="7"/>
      <c r="H1092" s="7"/>
      <c r="I1092" s="7"/>
      <c r="J1092" s="20"/>
      <c r="K1092" s="20"/>
      <c r="L1092" s="20"/>
      <c r="M1092" s="20"/>
      <c r="N1092" s="9"/>
      <c r="P1092" s="7"/>
      <c r="Q1092" s="11"/>
      <c r="R1092" s="8"/>
      <c r="S1092" s="7"/>
      <c r="T1092" s="7"/>
      <c r="U1092" s="7"/>
      <c r="V1092" s="7"/>
      <c r="W1092" s="7"/>
      <c r="X1092" s="8"/>
      <c r="Y1092" s="7"/>
      <c r="Z1092" s="7"/>
      <c r="AA1092" s="11"/>
      <c r="AB1092" s="11"/>
      <c r="AC1092" s="11"/>
      <c r="AD1092" s="11"/>
      <c r="AH1092" s="8"/>
      <c r="AI1092" s="20"/>
      <c r="AJ1092" s="20"/>
      <c r="AK1092" s="31"/>
      <c r="AL1092" s="31"/>
    </row>
    <row r="1093" spans="1:38" hidden="1" x14ac:dyDescent="0.25">
      <c r="A1093" s="9"/>
      <c r="B1093" s="7"/>
      <c r="C1093" s="7"/>
      <c r="D1093" s="7"/>
      <c r="E1093" s="7"/>
      <c r="F1093" s="7"/>
      <c r="G1093" s="7"/>
      <c r="H1093" s="7"/>
      <c r="I1093" s="7"/>
      <c r="J1093" s="20"/>
      <c r="K1093" s="20"/>
      <c r="L1093" s="20"/>
      <c r="M1093" s="20"/>
      <c r="N1093" s="9"/>
      <c r="P1093" s="7"/>
      <c r="Q1093" s="11"/>
      <c r="R1093" s="8"/>
      <c r="S1093" s="7"/>
      <c r="T1093" s="7"/>
      <c r="U1093" s="7"/>
      <c r="V1093" s="7"/>
      <c r="W1093" s="7"/>
      <c r="X1093" s="8"/>
      <c r="Y1093" s="7"/>
      <c r="Z1093" s="7"/>
      <c r="AA1093" s="11"/>
      <c r="AB1093" s="11"/>
      <c r="AC1093" s="11"/>
      <c r="AD1093" s="11"/>
      <c r="AH1093" s="8"/>
      <c r="AI1093" s="20"/>
      <c r="AJ1093" s="20"/>
      <c r="AK1093" s="31"/>
      <c r="AL1093" s="31"/>
    </row>
    <row r="1094" spans="1:38" hidden="1" x14ac:dyDescent="0.25">
      <c r="A1094" s="9"/>
      <c r="B1094" s="7"/>
      <c r="C1094" s="7"/>
      <c r="D1094" s="7"/>
      <c r="E1094" s="7"/>
      <c r="F1094" s="7"/>
      <c r="G1094" s="7"/>
      <c r="H1094" s="7"/>
      <c r="I1094" s="7"/>
      <c r="J1094" s="20"/>
      <c r="K1094" s="20"/>
      <c r="L1094" s="20"/>
      <c r="M1094" s="20"/>
      <c r="N1094" s="9"/>
      <c r="P1094" s="7"/>
      <c r="Q1094" s="11"/>
      <c r="R1094" s="8"/>
      <c r="S1094" s="7"/>
      <c r="T1094" s="7"/>
      <c r="U1094" s="7"/>
      <c r="V1094" s="7"/>
      <c r="W1094" s="7"/>
      <c r="X1094" s="8"/>
      <c r="Y1094" s="7"/>
      <c r="Z1094" s="7"/>
      <c r="AA1094" s="11"/>
      <c r="AB1094" s="11"/>
      <c r="AC1094" s="11"/>
      <c r="AD1094" s="11"/>
      <c r="AH1094" s="8"/>
      <c r="AI1094" s="20"/>
      <c r="AJ1094" s="20"/>
      <c r="AK1094" s="31"/>
      <c r="AL1094" s="31"/>
    </row>
    <row r="1095" spans="1:38" hidden="1" x14ac:dyDescent="0.25">
      <c r="A1095" s="9"/>
      <c r="B1095" s="7"/>
      <c r="C1095" s="7"/>
      <c r="D1095" s="7"/>
      <c r="E1095" s="7"/>
      <c r="F1095" s="7"/>
      <c r="G1095" s="7"/>
      <c r="H1095" s="7"/>
      <c r="I1095" s="7"/>
      <c r="J1095" s="20"/>
      <c r="K1095" s="20"/>
      <c r="L1095" s="20"/>
      <c r="M1095" s="20"/>
      <c r="N1095" s="9"/>
      <c r="P1095" s="7"/>
      <c r="Q1095" s="11"/>
      <c r="R1095" s="8"/>
      <c r="S1095" s="7"/>
      <c r="T1095" s="7"/>
      <c r="U1095" s="7"/>
      <c r="V1095" s="7"/>
      <c r="W1095" s="7"/>
      <c r="X1095" s="8"/>
      <c r="Y1095" s="7"/>
      <c r="Z1095" s="7"/>
      <c r="AA1095" s="11"/>
      <c r="AB1095" s="11"/>
      <c r="AC1095" s="11"/>
      <c r="AD1095" s="11"/>
      <c r="AH1095" s="8"/>
      <c r="AI1095" s="20"/>
      <c r="AJ1095" s="20"/>
      <c r="AK1095" s="31"/>
      <c r="AL1095" s="31"/>
    </row>
    <row r="1096" spans="1:38" hidden="1" x14ac:dyDescent="0.25">
      <c r="A1096" s="9"/>
      <c r="B1096" s="7"/>
      <c r="C1096" s="7"/>
      <c r="D1096" s="7"/>
      <c r="E1096" s="7"/>
      <c r="F1096" s="7"/>
      <c r="G1096" s="7"/>
      <c r="H1096" s="7"/>
      <c r="I1096" s="7"/>
      <c r="J1096" s="20"/>
      <c r="K1096" s="20"/>
      <c r="L1096" s="20"/>
      <c r="M1096" s="20"/>
      <c r="N1096" s="9"/>
      <c r="P1096" s="7"/>
      <c r="Q1096" s="11"/>
      <c r="R1096" s="8"/>
      <c r="S1096" s="7"/>
      <c r="T1096" s="7"/>
      <c r="U1096" s="7"/>
      <c r="V1096" s="7"/>
      <c r="W1096" s="7"/>
      <c r="X1096" s="8"/>
      <c r="Y1096" s="7"/>
      <c r="Z1096" s="7"/>
      <c r="AA1096" s="11"/>
      <c r="AB1096" s="11"/>
      <c r="AC1096" s="11"/>
      <c r="AD1096" s="11"/>
      <c r="AH1096" s="8"/>
      <c r="AI1096" s="20"/>
      <c r="AJ1096" s="20"/>
      <c r="AK1096" s="31"/>
      <c r="AL1096" s="31"/>
    </row>
    <row r="1097" spans="1:38" hidden="1" x14ac:dyDescent="0.25">
      <c r="A1097" s="9"/>
      <c r="B1097" s="7"/>
      <c r="C1097" s="7"/>
      <c r="D1097" s="7"/>
      <c r="E1097" s="7"/>
      <c r="F1097" s="7"/>
      <c r="G1097" s="7"/>
      <c r="H1097" s="7"/>
      <c r="I1097" s="7"/>
      <c r="J1097" s="20"/>
      <c r="K1097" s="20"/>
      <c r="L1097" s="20"/>
      <c r="M1097" s="20"/>
      <c r="N1097" s="9"/>
      <c r="P1097" s="7"/>
      <c r="Q1097" s="11"/>
      <c r="R1097" s="8"/>
      <c r="S1097" s="7"/>
      <c r="T1097" s="7"/>
      <c r="U1097" s="7"/>
      <c r="V1097" s="7"/>
      <c r="W1097" s="7"/>
      <c r="X1097" s="8"/>
      <c r="Y1097" s="7"/>
      <c r="Z1097" s="7"/>
      <c r="AA1097" s="11"/>
      <c r="AB1097" s="11"/>
      <c r="AC1097" s="11"/>
      <c r="AD1097" s="11"/>
      <c r="AH1097" s="8"/>
      <c r="AI1097" s="20"/>
      <c r="AJ1097" s="20"/>
      <c r="AK1097" s="31"/>
      <c r="AL1097" s="31"/>
    </row>
    <row r="1098" spans="1:38" hidden="1" x14ac:dyDescent="0.25">
      <c r="A1098" s="9"/>
      <c r="B1098" s="7"/>
      <c r="C1098" s="7"/>
      <c r="D1098" s="7"/>
      <c r="E1098" s="7"/>
      <c r="F1098" s="7"/>
      <c r="G1098" s="7"/>
      <c r="H1098" s="7"/>
      <c r="I1098" s="7"/>
      <c r="J1098" s="20"/>
      <c r="K1098" s="20"/>
      <c r="L1098" s="20"/>
      <c r="M1098" s="20"/>
      <c r="N1098" s="9"/>
      <c r="P1098" s="7"/>
      <c r="Q1098" s="11"/>
      <c r="R1098" s="8"/>
      <c r="S1098" s="7"/>
      <c r="T1098" s="7"/>
      <c r="U1098" s="7"/>
      <c r="V1098" s="7"/>
      <c r="W1098" s="7"/>
      <c r="X1098" s="8"/>
      <c r="Y1098" s="7"/>
      <c r="Z1098" s="7"/>
      <c r="AA1098" s="11"/>
      <c r="AB1098" s="11"/>
      <c r="AC1098" s="11"/>
      <c r="AD1098" s="11"/>
      <c r="AH1098" s="8"/>
      <c r="AI1098" s="20"/>
      <c r="AJ1098" s="20"/>
      <c r="AK1098" s="31"/>
      <c r="AL1098" s="31"/>
    </row>
    <row r="1099" spans="1:38" hidden="1" x14ac:dyDescent="0.25">
      <c r="A1099" s="9"/>
      <c r="B1099" s="7"/>
      <c r="C1099" s="7"/>
      <c r="D1099" s="7"/>
      <c r="E1099" s="7"/>
      <c r="F1099" s="7"/>
      <c r="G1099" s="7"/>
      <c r="H1099" s="7"/>
      <c r="I1099" s="7"/>
      <c r="J1099" s="20"/>
      <c r="K1099" s="20"/>
      <c r="L1099" s="20"/>
      <c r="M1099" s="20"/>
      <c r="N1099" s="9"/>
      <c r="P1099" s="7"/>
      <c r="Q1099" s="11"/>
      <c r="R1099" s="8"/>
      <c r="S1099" s="7"/>
      <c r="T1099" s="7"/>
      <c r="U1099" s="7"/>
      <c r="V1099" s="7"/>
      <c r="W1099" s="7"/>
      <c r="X1099" s="8"/>
      <c r="Y1099" s="7"/>
      <c r="Z1099" s="7"/>
      <c r="AA1099" s="11"/>
      <c r="AB1099" s="11"/>
      <c r="AC1099" s="11"/>
      <c r="AD1099" s="11"/>
      <c r="AH1099" s="8"/>
      <c r="AI1099" s="20"/>
      <c r="AJ1099" s="20"/>
      <c r="AK1099" s="31"/>
      <c r="AL1099" s="31"/>
    </row>
    <row r="1100" spans="1:38" hidden="1" x14ac:dyDescent="0.25">
      <c r="A1100" s="9"/>
      <c r="B1100" s="7"/>
      <c r="C1100" s="7"/>
      <c r="D1100" s="7"/>
      <c r="E1100" s="7"/>
      <c r="F1100" s="7"/>
      <c r="G1100" s="7"/>
      <c r="H1100" s="7"/>
      <c r="I1100" s="7"/>
      <c r="J1100" s="20"/>
      <c r="K1100" s="20"/>
      <c r="L1100" s="20"/>
      <c r="M1100" s="20"/>
      <c r="N1100" s="9"/>
      <c r="P1100" s="7"/>
      <c r="Q1100" s="11"/>
      <c r="R1100" s="8"/>
      <c r="S1100" s="7"/>
      <c r="T1100" s="7"/>
      <c r="U1100" s="7"/>
      <c r="V1100" s="7"/>
      <c r="W1100" s="7"/>
      <c r="X1100" s="8"/>
      <c r="Y1100" s="7"/>
      <c r="Z1100" s="7"/>
      <c r="AA1100" s="11"/>
      <c r="AB1100" s="11"/>
      <c r="AC1100" s="11"/>
      <c r="AD1100" s="11"/>
      <c r="AH1100" s="8"/>
      <c r="AI1100" s="20"/>
      <c r="AJ1100" s="20"/>
      <c r="AK1100" s="31"/>
      <c r="AL1100" s="31"/>
    </row>
    <row r="1101" spans="1:38" hidden="1" x14ac:dyDescent="0.25">
      <c r="A1101" s="9"/>
      <c r="B1101" s="7"/>
      <c r="C1101" s="7"/>
      <c r="D1101" s="7"/>
      <c r="E1101" s="7"/>
      <c r="F1101" s="7"/>
      <c r="G1101" s="7"/>
      <c r="H1101" s="7"/>
      <c r="I1101" s="7"/>
      <c r="J1101" s="20"/>
      <c r="K1101" s="20"/>
      <c r="L1101" s="20"/>
      <c r="M1101" s="20"/>
      <c r="N1101" s="9"/>
      <c r="P1101" s="7"/>
      <c r="Q1101" s="11"/>
      <c r="R1101" s="8"/>
      <c r="S1101" s="7"/>
      <c r="T1101" s="7"/>
      <c r="U1101" s="7"/>
      <c r="V1101" s="7"/>
      <c r="W1101" s="7"/>
      <c r="X1101" s="8"/>
      <c r="Y1101" s="7"/>
      <c r="Z1101" s="7"/>
      <c r="AA1101" s="11"/>
      <c r="AB1101" s="11"/>
      <c r="AC1101" s="11"/>
      <c r="AD1101" s="11"/>
      <c r="AH1101" s="8"/>
      <c r="AI1101" s="20"/>
      <c r="AJ1101" s="20"/>
      <c r="AK1101" s="31"/>
      <c r="AL1101" s="31"/>
    </row>
    <row r="1102" spans="1:38" hidden="1" x14ac:dyDescent="0.25">
      <c r="A1102" s="9"/>
      <c r="B1102" s="7"/>
      <c r="C1102" s="7"/>
      <c r="D1102" s="7"/>
      <c r="E1102" s="7"/>
      <c r="F1102" s="7"/>
      <c r="G1102" s="7"/>
      <c r="H1102" s="7"/>
      <c r="I1102" s="7"/>
      <c r="J1102" s="20"/>
      <c r="K1102" s="20"/>
      <c r="L1102" s="20"/>
      <c r="M1102" s="20"/>
      <c r="N1102" s="9"/>
      <c r="P1102" s="7"/>
      <c r="Q1102" s="11"/>
      <c r="R1102" s="8"/>
      <c r="S1102" s="7"/>
      <c r="T1102" s="7"/>
      <c r="U1102" s="7"/>
      <c r="V1102" s="7"/>
      <c r="W1102" s="7"/>
      <c r="X1102" s="8"/>
      <c r="Y1102" s="7"/>
      <c r="Z1102" s="7"/>
      <c r="AA1102" s="11"/>
      <c r="AB1102" s="11"/>
      <c r="AC1102" s="11"/>
      <c r="AD1102" s="11"/>
      <c r="AH1102" s="8"/>
      <c r="AI1102" s="20"/>
      <c r="AJ1102" s="20"/>
      <c r="AK1102" s="31"/>
      <c r="AL1102" s="31"/>
    </row>
    <row r="1103" spans="1:38" hidden="1" x14ac:dyDescent="0.25">
      <c r="A1103" s="9"/>
      <c r="B1103" s="7"/>
      <c r="C1103" s="7"/>
      <c r="D1103" s="7"/>
      <c r="E1103" s="7"/>
      <c r="F1103" s="7"/>
      <c r="G1103" s="7"/>
      <c r="H1103" s="7"/>
      <c r="I1103" s="7"/>
      <c r="J1103" s="20"/>
      <c r="K1103" s="20"/>
      <c r="L1103" s="20"/>
      <c r="M1103" s="20"/>
      <c r="N1103" s="9"/>
      <c r="P1103" s="7"/>
      <c r="Q1103" s="11"/>
      <c r="R1103" s="8"/>
      <c r="S1103" s="7"/>
      <c r="T1103" s="7"/>
      <c r="U1103" s="7"/>
      <c r="V1103" s="7"/>
      <c r="W1103" s="7"/>
      <c r="X1103" s="8"/>
      <c r="Y1103" s="7"/>
      <c r="Z1103" s="7"/>
      <c r="AA1103" s="11"/>
      <c r="AB1103" s="11"/>
      <c r="AC1103" s="11"/>
      <c r="AD1103" s="11"/>
      <c r="AH1103" s="8"/>
      <c r="AI1103" s="20"/>
      <c r="AJ1103" s="20"/>
      <c r="AK1103" s="31"/>
      <c r="AL1103" s="31"/>
    </row>
    <row r="1104" spans="1:38" hidden="1" x14ac:dyDescent="0.25">
      <c r="A1104" s="9"/>
      <c r="B1104" s="7"/>
      <c r="C1104" s="7"/>
      <c r="D1104" s="7"/>
      <c r="E1104" s="7"/>
      <c r="F1104" s="7"/>
      <c r="G1104" s="7"/>
      <c r="H1104" s="7"/>
      <c r="I1104" s="7"/>
      <c r="J1104" s="20"/>
      <c r="K1104" s="20"/>
      <c r="L1104" s="20"/>
      <c r="M1104" s="20"/>
      <c r="N1104" s="9"/>
      <c r="P1104" s="7"/>
      <c r="Q1104" s="11"/>
      <c r="R1104" s="8"/>
      <c r="S1104" s="7"/>
      <c r="T1104" s="7"/>
      <c r="U1104" s="7"/>
      <c r="V1104" s="7"/>
      <c r="W1104" s="7"/>
      <c r="X1104" s="8"/>
      <c r="Y1104" s="7"/>
      <c r="Z1104" s="7"/>
      <c r="AA1104" s="11"/>
      <c r="AB1104" s="11"/>
      <c r="AC1104" s="11"/>
      <c r="AD1104" s="11"/>
      <c r="AH1104" s="8"/>
      <c r="AI1104" s="20"/>
      <c r="AJ1104" s="20"/>
      <c r="AK1104" s="31"/>
      <c r="AL1104" s="31"/>
    </row>
    <row r="1105" spans="1:38" hidden="1" x14ac:dyDescent="0.25">
      <c r="A1105" s="9"/>
      <c r="B1105" s="7"/>
      <c r="C1105" s="7"/>
      <c r="D1105" s="7"/>
      <c r="E1105" s="7"/>
      <c r="F1105" s="7"/>
      <c r="G1105" s="7"/>
      <c r="H1105" s="7"/>
      <c r="I1105" s="7"/>
      <c r="J1105" s="20"/>
      <c r="K1105" s="20"/>
      <c r="L1105" s="20"/>
      <c r="M1105" s="20"/>
      <c r="N1105" s="9"/>
      <c r="P1105" s="7"/>
      <c r="Q1105" s="11"/>
      <c r="R1105" s="8"/>
      <c r="S1105" s="7"/>
      <c r="T1105" s="7"/>
      <c r="U1105" s="7"/>
      <c r="V1105" s="7"/>
      <c r="W1105" s="7"/>
      <c r="X1105" s="8"/>
      <c r="Y1105" s="7"/>
      <c r="Z1105" s="7"/>
      <c r="AA1105" s="11"/>
      <c r="AB1105" s="11"/>
      <c r="AC1105" s="11"/>
      <c r="AD1105" s="11"/>
      <c r="AH1105" s="8"/>
      <c r="AI1105" s="20"/>
      <c r="AJ1105" s="20"/>
      <c r="AK1105" s="31"/>
      <c r="AL1105" s="31"/>
    </row>
    <row r="1106" spans="1:38" hidden="1" x14ac:dyDescent="0.25">
      <c r="A1106" s="9"/>
      <c r="B1106" s="7"/>
      <c r="C1106" s="7"/>
      <c r="D1106" s="7"/>
      <c r="E1106" s="7"/>
      <c r="F1106" s="7"/>
      <c r="G1106" s="7"/>
      <c r="H1106" s="7"/>
      <c r="I1106" s="7"/>
      <c r="J1106" s="20"/>
      <c r="K1106" s="20"/>
      <c r="L1106" s="20"/>
      <c r="M1106" s="20"/>
      <c r="N1106" s="9"/>
      <c r="P1106" s="7"/>
      <c r="Q1106" s="11"/>
      <c r="R1106" s="8"/>
      <c r="S1106" s="7"/>
      <c r="T1106" s="7"/>
      <c r="U1106" s="7"/>
      <c r="V1106" s="7"/>
      <c r="W1106" s="7"/>
      <c r="X1106" s="8"/>
      <c r="Y1106" s="7"/>
      <c r="Z1106" s="7"/>
      <c r="AA1106" s="11"/>
      <c r="AB1106" s="11"/>
      <c r="AC1106" s="11"/>
      <c r="AD1106" s="11"/>
      <c r="AH1106" s="8"/>
      <c r="AI1106" s="20"/>
      <c r="AJ1106" s="20"/>
      <c r="AK1106" s="31"/>
      <c r="AL1106" s="31"/>
    </row>
    <row r="1107" spans="1:38" hidden="1" x14ac:dyDescent="0.25">
      <c r="A1107" s="9"/>
      <c r="B1107" s="7"/>
      <c r="C1107" s="7"/>
      <c r="D1107" s="7"/>
      <c r="E1107" s="7"/>
      <c r="F1107" s="7"/>
      <c r="G1107" s="7"/>
      <c r="H1107" s="7"/>
      <c r="I1107" s="7"/>
      <c r="J1107" s="20"/>
      <c r="K1107" s="20"/>
      <c r="L1107" s="20"/>
      <c r="M1107" s="20"/>
      <c r="N1107" s="9"/>
      <c r="P1107" s="7"/>
      <c r="Q1107" s="11"/>
      <c r="R1107" s="8"/>
      <c r="S1107" s="7"/>
      <c r="T1107" s="7"/>
      <c r="U1107" s="7"/>
      <c r="V1107" s="7"/>
      <c r="W1107" s="7"/>
      <c r="X1107" s="8"/>
      <c r="Y1107" s="7"/>
      <c r="Z1107" s="7"/>
      <c r="AA1107" s="11"/>
      <c r="AB1107" s="11"/>
      <c r="AC1107" s="11"/>
      <c r="AD1107" s="11"/>
      <c r="AH1107" s="8"/>
      <c r="AI1107" s="20"/>
      <c r="AJ1107" s="20"/>
      <c r="AK1107" s="31"/>
      <c r="AL1107" s="31"/>
    </row>
    <row r="1108" spans="1:38" hidden="1" x14ac:dyDescent="0.25">
      <c r="A1108" s="9"/>
      <c r="B1108" s="7"/>
      <c r="C1108" s="7"/>
      <c r="D1108" s="7"/>
      <c r="E1108" s="7"/>
      <c r="F1108" s="7"/>
      <c r="G1108" s="7"/>
      <c r="H1108" s="7"/>
      <c r="I1108" s="7"/>
      <c r="J1108" s="20"/>
      <c r="K1108" s="20"/>
      <c r="L1108" s="20"/>
      <c r="M1108" s="20"/>
      <c r="N1108" s="9"/>
      <c r="P1108" s="7"/>
      <c r="Q1108" s="11"/>
      <c r="R1108" s="8"/>
      <c r="S1108" s="7"/>
      <c r="T1108" s="7"/>
      <c r="U1108" s="7"/>
      <c r="V1108" s="7"/>
      <c r="W1108" s="7"/>
      <c r="X1108" s="8"/>
      <c r="Y1108" s="7"/>
      <c r="Z1108" s="7"/>
      <c r="AA1108" s="11"/>
      <c r="AB1108" s="11"/>
      <c r="AC1108" s="11"/>
      <c r="AD1108" s="11"/>
      <c r="AH1108" s="8"/>
      <c r="AI1108" s="20"/>
      <c r="AJ1108" s="20"/>
      <c r="AK1108" s="31"/>
      <c r="AL1108" s="31"/>
    </row>
    <row r="1109" spans="1:38" hidden="1" x14ac:dyDescent="0.25">
      <c r="A1109" s="9"/>
      <c r="B1109" s="7"/>
      <c r="C1109" s="7"/>
      <c r="D1109" s="7"/>
      <c r="E1109" s="7"/>
      <c r="F1109" s="7"/>
      <c r="G1109" s="7"/>
      <c r="H1109" s="7"/>
      <c r="I1109" s="7"/>
      <c r="J1109" s="20"/>
      <c r="K1109" s="20"/>
      <c r="L1109" s="20"/>
      <c r="M1109" s="20"/>
      <c r="N1109" s="9"/>
      <c r="P1109" s="7"/>
      <c r="Q1109" s="11"/>
      <c r="R1109" s="8"/>
      <c r="S1109" s="7"/>
      <c r="T1109" s="7"/>
      <c r="U1109" s="7"/>
      <c r="V1109" s="7"/>
      <c r="W1109" s="7"/>
      <c r="X1109" s="8"/>
      <c r="Y1109" s="7"/>
      <c r="Z1109" s="7"/>
      <c r="AA1109" s="11"/>
      <c r="AB1109" s="11"/>
      <c r="AC1109" s="11"/>
      <c r="AD1109" s="11"/>
      <c r="AH1109" s="8"/>
      <c r="AI1109" s="20"/>
      <c r="AJ1109" s="20"/>
      <c r="AK1109" s="31"/>
      <c r="AL1109" s="31"/>
    </row>
    <row r="1110" spans="1:38" hidden="1" x14ac:dyDescent="0.25">
      <c r="A1110" s="9"/>
      <c r="B1110" s="7"/>
      <c r="C1110" s="7"/>
      <c r="D1110" s="7"/>
      <c r="E1110" s="7"/>
      <c r="F1110" s="7"/>
      <c r="G1110" s="7"/>
      <c r="H1110" s="7"/>
      <c r="I1110" s="7"/>
      <c r="J1110" s="20"/>
      <c r="K1110" s="20"/>
      <c r="L1110" s="20"/>
      <c r="M1110" s="20"/>
      <c r="N1110" s="9"/>
      <c r="P1110" s="7"/>
      <c r="Q1110" s="11"/>
      <c r="R1110" s="8"/>
      <c r="S1110" s="7"/>
      <c r="T1110" s="7"/>
      <c r="U1110" s="7"/>
      <c r="V1110" s="7"/>
      <c r="W1110" s="7"/>
      <c r="X1110" s="8"/>
      <c r="Y1110" s="7"/>
      <c r="Z1110" s="7"/>
      <c r="AA1110" s="11"/>
      <c r="AB1110" s="11"/>
      <c r="AC1110" s="11"/>
      <c r="AD1110" s="11"/>
      <c r="AH1110" s="8"/>
      <c r="AI1110" s="20"/>
      <c r="AJ1110" s="20"/>
      <c r="AK1110" s="31"/>
      <c r="AL1110" s="31"/>
    </row>
    <row r="1111" spans="1:38" hidden="1" x14ac:dyDescent="0.25">
      <c r="A1111" s="9"/>
      <c r="B1111" s="7"/>
      <c r="C1111" s="7"/>
      <c r="D1111" s="7"/>
      <c r="E1111" s="7"/>
      <c r="F1111" s="7"/>
      <c r="G1111" s="7"/>
      <c r="H1111" s="7"/>
      <c r="I1111" s="7"/>
      <c r="J1111" s="20"/>
      <c r="K1111" s="20"/>
      <c r="L1111" s="20"/>
      <c r="M1111" s="20"/>
      <c r="N1111" s="9"/>
      <c r="P1111" s="7"/>
      <c r="Q1111" s="11"/>
      <c r="R1111" s="8"/>
      <c r="S1111" s="7"/>
      <c r="T1111" s="7"/>
      <c r="U1111" s="7"/>
      <c r="V1111" s="7"/>
      <c r="W1111" s="7"/>
      <c r="X1111" s="8"/>
      <c r="Y1111" s="7"/>
      <c r="Z1111" s="7"/>
      <c r="AA1111" s="11"/>
      <c r="AB1111" s="11"/>
      <c r="AC1111" s="11"/>
      <c r="AD1111" s="11"/>
      <c r="AH1111" s="8"/>
      <c r="AI1111" s="20"/>
      <c r="AJ1111" s="20"/>
      <c r="AK1111" s="31"/>
      <c r="AL1111" s="31"/>
    </row>
    <row r="1112" spans="1:38" hidden="1" x14ac:dyDescent="0.25">
      <c r="A1112" s="9"/>
      <c r="B1112" s="7"/>
      <c r="C1112" s="7"/>
      <c r="D1112" s="7"/>
      <c r="E1112" s="7"/>
      <c r="F1112" s="7"/>
      <c r="G1112" s="7"/>
      <c r="H1112" s="7"/>
      <c r="I1112" s="7"/>
      <c r="J1112" s="20"/>
      <c r="K1112" s="20"/>
      <c r="L1112" s="20"/>
      <c r="M1112" s="20"/>
      <c r="N1112" s="9"/>
      <c r="P1112" s="7"/>
      <c r="Q1112" s="11"/>
      <c r="R1112" s="8"/>
      <c r="S1112" s="7"/>
      <c r="T1112" s="7"/>
      <c r="U1112" s="7"/>
      <c r="V1112" s="7"/>
      <c r="W1112" s="7"/>
      <c r="X1112" s="8"/>
      <c r="Y1112" s="7"/>
      <c r="Z1112" s="7"/>
      <c r="AA1112" s="11"/>
      <c r="AB1112" s="11"/>
      <c r="AC1112" s="11"/>
      <c r="AD1112" s="11"/>
      <c r="AH1112" s="8"/>
      <c r="AI1112" s="20"/>
      <c r="AJ1112" s="20"/>
      <c r="AK1112" s="31"/>
      <c r="AL1112" s="31"/>
    </row>
    <row r="1113" spans="1:38" hidden="1" x14ac:dyDescent="0.25">
      <c r="A1113" s="9"/>
      <c r="B1113" s="7"/>
      <c r="C1113" s="7"/>
      <c r="D1113" s="7"/>
      <c r="E1113" s="7"/>
      <c r="F1113" s="7"/>
      <c r="G1113" s="7"/>
      <c r="H1113" s="7"/>
      <c r="I1113" s="7"/>
      <c r="J1113" s="20"/>
      <c r="K1113" s="20"/>
      <c r="L1113" s="20"/>
      <c r="M1113" s="20"/>
      <c r="N1113" s="9"/>
      <c r="P1113" s="7"/>
      <c r="Q1113" s="11"/>
      <c r="R1113" s="8"/>
      <c r="S1113" s="7"/>
      <c r="T1113" s="7"/>
      <c r="U1113" s="7"/>
      <c r="V1113" s="7"/>
      <c r="W1113" s="7"/>
      <c r="X1113" s="8"/>
      <c r="Y1113" s="7"/>
      <c r="Z1113" s="7"/>
      <c r="AA1113" s="11"/>
      <c r="AB1113" s="11"/>
      <c r="AC1113" s="11"/>
      <c r="AD1113" s="11"/>
      <c r="AH1113" s="8"/>
      <c r="AI1113" s="20"/>
      <c r="AJ1113" s="20"/>
      <c r="AK1113" s="31"/>
      <c r="AL1113" s="31"/>
    </row>
    <row r="1114" spans="1:38" hidden="1" x14ac:dyDescent="0.25">
      <c r="A1114" s="9"/>
      <c r="B1114" s="7"/>
      <c r="C1114" s="7"/>
      <c r="D1114" s="7"/>
      <c r="E1114" s="7"/>
      <c r="F1114" s="7"/>
      <c r="G1114" s="7"/>
      <c r="H1114" s="7"/>
      <c r="I1114" s="7"/>
      <c r="J1114" s="20"/>
      <c r="K1114" s="20"/>
      <c r="L1114" s="20"/>
      <c r="M1114" s="20"/>
      <c r="N1114" s="9"/>
      <c r="P1114" s="7"/>
      <c r="Q1114" s="11"/>
      <c r="R1114" s="8"/>
      <c r="S1114" s="7"/>
      <c r="T1114" s="7"/>
      <c r="U1114" s="7"/>
      <c r="V1114" s="7"/>
      <c r="W1114" s="7"/>
      <c r="X1114" s="8"/>
      <c r="Y1114" s="7"/>
      <c r="Z1114" s="7"/>
      <c r="AA1114" s="11"/>
      <c r="AB1114" s="11"/>
      <c r="AC1114" s="11"/>
      <c r="AD1114" s="11"/>
      <c r="AH1114" s="8"/>
      <c r="AI1114" s="20"/>
      <c r="AJ1114" s="20"/>
      <c r="AK1114" s="31"/>
      <c r="AL1114" s="31"/>
    </row>
    <row r="1115" spans="1:38" hidden="1" x14ac:dyDescent="0.25">
      <c r="A1115" s="9"/>
      <c r="B1115" s="7"/>
      <c r="C1115" s="7"/>
      <c r="D1115" s="7"/>
      <c r="E1115" s="7"/>
      <c r="F1115" s="7"/>
      <c r="G1115" s="7"/>
      <c r="H1115" s="7"/>
      <c r="I1115" s="7"/>
      <c r="J1115" s="20"/>
      <c r="K1115" s="20"/>
      <c r="L1115" s="20"/>
      <c r="M1115" s="20"/>
      <c r="N1115" s="9"/>
      <c r="P1115" s="7"/>
      <c r="Q1115" s="11"/>
      <c r="R1115" s="8"/>
      <c r="S1115" s="7"/>
      <c r="T1115" s="7"/>
      <c r="U1115" s="7"/>
      <c r="V1115" s="7"/>
      <c r="W1115" s="7"/>
      <c r="X1115" s="8"/>
      <c r="Y1115" s="7"/>
      <c r="Z1115" s="7"/>
      <c r="AA1115" s="11"/>
      <c r="AB1115" s="11"/>
      <c r="AC1115" s="11"/>
      <c r="AD1115" s="11"/>
      <c r="AH1115" s="8"/>
      <c r="AI1115" s="20"/>
      <c r="AJ1115" s="20"/>
      <c r="AK1115" s="31"/>
      <c r="AL1115" s="31"/>
    </row>
    <row r="1116" spans="1:38" hidden="1" x14ac:dyDescent="0.25">
      <c r="A1116" s="9"/>
      <c r="B1116" s="7"/>
      <c r="C1116" s="7"/>
      <c r="D1116" s="7"/>
      <c r="E1116" s="7"/>
      <c r="F1116" s="7"/>
      <c r="G1116" s="7"/>
      <c r="H1116" s="7"/>
      <c r="I1116" s="7"/>
      <c r="J1116" s="20"/>
      <c r="K1116" s="20"/>
      <c r="L1116" s="20"/>
      <c r="M1116" s="20"/>
      <c r="N1116" s="9"/>
      <c r="P1116" s="7"/>
      <c r="Q1116" s="11"/>
      <c r="R1116" s="8"/>
      <c r="S1116" s="7"/>
      <c r="T1116" s="7"/>
      <c r="U1116" s="7"/>
      <c r="V1116" s="7"/>
      <c r="W1116" s="7"/>
      <c r="X1116" s="8"/>
      <c r="Y1116" s="7"/>
      <c r="Z1116" s="7"/>
      <c r="AA1116" s="11"/>
      <c r="AB1116" s="11"/>
      <c r="AC1116" s="11"/>
      <c r="AD1116" s="11"/>
      <c r="AH1116" s="8"/>
      <c r="AI1116" s="20"/>
      <c r="AJ1116" s="20"/>
      <c r="AK1116" s="31"/>
      <c r="AL1116" s="31"/>
    </row>
    <row r="1117" spans="1:38" hidden="1" x14ac:dyDescent="0.25">
      <c r="A1117" s="9"/>
      <c r="B1117" s="7"/>
      <c r="C1117" s="7"/>
      <c r="D1117" s="7"/>
      <c r="E1117" s="7"/>
      <c r="F1117" s="7"/>
      <c r="G1117" s="7"/>
      <c r="H1117" s="7"/>
      <c r="I1117" s="7"/>
      <c r="J1117" s="20"/>
      <c r="K1117" s="20"/>
      <c r="L1117" s="20"/>
      <c r="M1117" s="20"/>
      <c r="N1117" s="9"/>
      <c r="P1117" s="7"/>
      <c r="Q1117" s="11"/>
      <c r="R1117" s="8"/>
      <c r="S1117" s="7"/>
      <c r="T1117" s="7"/>
      <c r="U1117" s="7"/>
      <c r="V1117" s="7"/>
      <c r="W1117" s="7"/>
      <c r="X1117" s="8"/>
      <c r="Y1117" s="7"/>
      <c r="Z1117" s="7"/>
      <c r="AA1117" s="11"/>
      <c r="AB1117" s="11"/>
      <c r="AC1117" s="11"/>
      <c r="AD1117" s="11"/>
      <c r="AH1117" s="8"/>
      <c r="AI1117" s="20"/>
      <c r="AJ1117" s="20"/>
      <c r="AK1117" s="31"/>
      <c r="AL1117" s="31"/>
    </row>
    <row r="1118" spans="1:38" hidden="1" x14ac:dyDescent="0.25">
      <c r="A1118" s="9"/>
      <c r="B1118" s="7"/>
      <c r="C1118" s="7"/>
      <c r="D1118" s="7"/>
      <c r="E1118" s="7"/>
      <c r="F1118" s="7"/>
      <c r="G1118" s="7"/>
      <c r="H1118" s="7"/>
      <c r="I1118" s="7"/>
      <c r="J1118" s="20"/>
      <c r="K1118" s="20"/>
      <c r="L1118" s="20"/>
      <c r="M1118" s="20"/>
      <c r="N1118" s="9"/>
      <c r="P1118" s="7"/>
      <c r="Q1118" s="11"/>
      <c r="R1118" s="8"/>
      <c r="S1118" s="7"/>
      <c r="T1118" s="7"/>
      <c r="U1118" s="7"/>
      <c r="V1118" s="7"/>
      <c r="W1118" s="7"/>
      <c r="X1118" s="8"/>
      <c r="Y1118" s="7"/>
      <c r="Z1118" s="7"/>
      <c r="AA1118" s="11"/>
      <c r="AB1118" s="11"/>
      <c r="AC1118" s="11"/>
      <c r="AD1118" s="11"/>
      <c r="AH1118" s="8"/>
      <c r="AI1118" s="20"/>
      <c r="AJ1118" s="20"/>
      <c r="AK1118" s="31"/>
      <c r="AL1118" s="31"/>
    </row>
    <row r="1119" spans="1:38" hidden="1" x14ac:dyDescent="0.25">
      <c r="A1119" s="9"/>
      <c r="B1119" s="7"/>
      <c r="C1119" s="7"/>
      <c r="D1119" s="7"/>
      <c r="E1119" s="7"/>
      <c r="F1119" s="7"/>
      <c r="G1119" s="7"/>
      <c r="H1119" s="7"/>
      <c r="I1119" s="7"/>
      <c r="J1119" s="20"/>
      <c r="K1119" s="20"/>
      <c r="L1119" s="20"/>
      <c r="M1119" s="20"/>
      <c r="N1119" s="9"/>
      <c r="P1119" s="7"/>
      <c r="Q1119" s="11"/>
      <c r="R1119" s="8"/>
      <c r="S1119" s="7"/>
      <c r="T1119" s="7"/>
      <c r="U1119" s="7"/>
      <c r="V1119" s="7"/>
      <c r="W1119" s="7"/>
      <c r="X1119" s="8"/>
      <c r="Y1119" s="7"/>
      <c r="Z1119" s="7"/>
      <c r="AA1119" s="11"/>
      <c r="AB1119" s="11"/>
      <c r="AC1119" s="11"/>
      <c r="AD1119" s="11"/>
      <c r="AH1119" s="8"/>
      <c r="AI1119" s="20"/>
      <c r="AJ1119" s="20"/>
      <c r="AK1119" s="31"/>
      <c r="AL1119" s="31"/>
    </row>
    <row r="1120" spans="1:38" hidden="1" x14ac:dyDescent="0.25">
      <c r="A1120" s="9"/>
      <c r="B1120" s="7"/>
      <c r="C1120" s="7"/>
      <c r="D1120" s="7"/>
      <c r="E1120" s="7"/>
      <c r="F1120" s="7"/>
      <c r="G1120" s="7"/>
      <c r="H1120" s="7"/>
      <c r="I1120" s="7"/>
      <c r="J1120" s="20"/>
      <c r="K1120" s="20"/>
      <c r="L1120" s="20"/>
      <c r="M1120" s="20"/>
      <c r="N1120" s="9"/>
      <c r="P1120" s="7"/>
      <c r="Q1120" s="11"/>
      <c r="R1120" s="8"/>
      <c r="S1120" s="7"/>
      <c r="T1120" s="7"/>
      <c r="U1120" s="7"/>
      <c r="V1120" s="7"/>
      <c r="W1120" s="7"/>
      <c r="X1120" s="8"/>
      <c r="Y1120" s="7"/>
      <c r="Z1120" s="7"/>
      <c r="AA1120" s="11"/>
      <c r="AB1120" s="11"/>
      <c r="AC1120" s="11"/>
      <c r="AD1120" s="11"/>
      <c r="AH1120" s="8"/>
      <c r="AI1120" s="20"/>
      <c r="AJ1120" s="20"/>
      <c r="AK1120" s="31"/>
      <c r="AL1120" s="31"/>
    </row>
    <row r="1121" spans="1:38" hidden="1" x14ac:dyDescent="0.25">
      <c r="A1121" s="9"/>
      <c r="B1121" s="7"/>
      <c r="C1121" s="7"/>
      <c r="D1121" s="7"/>
      <c r="E1121" s="7"/>
      <c r="F1121" s="7"/>
      <c r="G1121" s="7"/>
      <c r="H1121" s="7"/>
      <c r="I1121" s="7"/>
      <c r="J1121" s="20"/>
      <c r="K1121" s="20"/>
      <c r="L1121" s="20"/>
      <c r="M1121" s="20"/>
      <c r="N1121" s="9"/>
      <c r="P1121" s="7"/>
      <c r="Q1121" s="11"/>
      <c r="R1121" s="8"/>
      <c r="S1121" s="7"/>
      <c r="T1121" s="7"/>
      <c r="U1121" s="7"/>
      <c r="V1121" s="7"/>
      <c r="W1121" s="7"/>
      <c r="X1121" s="8"/>
      <c r="Y1121" s="7"/>
      <c r="Z1121" s="7"/>
      <c r="AA1121" s="11"/>
      <c r="AB1121" s="11"/>
      <c r="AC1121" s="11"/>
      <c r="AD1121" s="11"/>
      <c r="AH1121" s="8"/>
      <c r="AI1121" s="20"/>
      <c r="AJ1121" s="20"/>
      <c r="AK1121" s="31"/>
      <c r="AL1121" s="31"/>
    </row>
    <row r="1122" spans="1:38" hidden="1" x14ac:dyDescent="0.25">
      <c r="A1122" s="9"/>
      <c r="B1122" s="7"/>
      <c r="C1122" s="7"/>
      <c r="D1122" s="7"/>
      <c r="E1122" s="7"/>
      <c r="F1122" s="7"/>
      <c r="G1122" s="7"/>
      <c r="H1122" s="7"/>
      <c r="I1122" s="7"/>
      <c r="J1122" s="20"/>
      <c r="K1122" s="20"/>
      <c r="L1122" s="20"/>
      <c r="M1122" s="20"/>
      <c r="N1122" s="9"/>
      <c r="P1122" s="7"/>
      <c r="Q1122" s="11"/>
      <c r="R1122" s="8"/>
      <c r="S1122" s="7"/>
      <c r="T1122" s="7"/>
      <c r="U1122" s="7"/>
      <c r="V1122" s="7"/>
      <c r="W1122" s="7"/>
      <c r="X1122" s="8"/>
      <c r="Y1122" s="7"/>
      <c r="Z1122" s="7"/>
      <c r="AA1122" s="11"/>
      <c r="AB1122" s="11"/>
      <c r="AC1122" s="11"/>
      <c r="AD1122" s="11"/>
      <c r="AH1122" s="8"/>
      <c r="AI1122" s="20"/>
      <c r="AJ1122" s="20"/>
      <c r="AK1122" s="31"/>
      <c r="AL1122" s="31"/>
    </row>
    <row r="1123" spans="1:38" hidden="1" x14ac:dyDescent="0.25">
      <c r="A1123" s="9"/>
      <c r="B1123" s="7"/>
      <c r="C1123" s="7"/>
      <c r="D1123" s="7"/>
      <c r="E1123" s="7"/>
      <c r="F1123" s="7"/>
      <c r="G1123" s="7"/>
      <c r="H1123" s="7"/>
      <c r="I1123" s="7"/>
      <c r="J1123" s="20"/>
      <c r="K1123" s="20"/>
      <c r="L1123" s="20"/>
      <c r="M1123" s="20"/>
      <c r="N1123" s="9"/>
      <c r="P1123" s="7"/>
      <c r="Q1123" s="11"/>
      <c r="R1123" s="8"/>
      <c r="S1123" s="7"/>
      <c r="T1123" s="7"/>
      <c r="U1123" s="7"/>
      <c r="V1123" s="7"/>
      <c r="W1123" s="7"/>
      <c r="X1123" s="8"/>
      <c r="Y1123" s="7"/>
      <c r="Z1123" s="7"/>
      <c r="AA1123" s="11"/>
      <c r="AB1123" s="11"/>
      <c r="AC1123" s="11"/>
      <c r="AD1123" s="11"/>
      <c r="AH1123" s="8"/>
      <c r="AI1123" s="20"/>
      <c r="AJ1123" s="20"/>
      <c r="AK1123" s="31"/>
      <c r="AL1123" s="31"/>
    </row>
    <row r="1124" spans="1:38" hidden="1" x14ac:dyDescent="0.25">
      <c r="A1124" s="9"/>
      <c r="B1124" s="7"/>
      <c r="C1124" s="7"/>
      <c r="D1124" s="7"/>
      <c r="E1124" s="7"/>
      <c r="F1124" s="7"/>
      <c r="G1124" s="7"/>
      <c r="H1124" s="7"/>
      <c r="I1124" s="7"/>
      <c r="J1124" s="20"/>
      <c r="K1124" s="20"/>
      <c r="L1124" s="20"/>
      <c r="M1124" s="20"/>
      <c r="N1124" s="9"/>
      <c r="P1124" s="7"/>
      <c r="Q1124" s="11"/>
      <c r="R1124" s="8"/>
      <c r="S1124" s="7"/>
      <c r="T1124" s="7"/>
      <c r="U1124" s="7"/>
      <c r="V1124" s="7"/>
      <c r="W1124" s="7"/>
      <c r="X1124" s="8"/>
      <c r="Y1124" s="7"/>
      <c r="Z1124" s="7"/>
      <c r="AA1124" s="11"/>
      <c r="AB1124" s="11"/>
      <c r="AC1124" s="11"/>
      <c r="AD1124" s="11"/>
      <c r="AH1124" s="8"/>
      <c r="AI1124" s="20"/>
      <c r="AJ1124" s="20"/>
      <c r="AK1124" s="31"/>
      <c r="AL1124" s="31"/>
    </row>
    <row r="1125" spans="1:38" hidden="1" x14ac:dyDescent="0.25">
      <c r="A1125" s="9"/>
      <c r="B1125" s="7"/>
      <c r="C1125" s="7"/>
      <c r="D1125" s="7"/>
      <c r="E1125" s="7"/>
      <c r="F1125" s="7"/>
      <c r="G1125" s="7"/>
      <c r="H1125" s="7"/>
      <c r="I1125" s="7"/>
      <c r="J1125" s="20"/>
      <c r="K1125" s="20"/>
      <c r="L1125" s="20"/>
      <c r="M1125" s="20"/>
      <c r="N1125" s="9"/>
      <c r="P1125" s="7"/>
      <c r="Q1125" s="11"/>
      <c r="R1125" s="8"/>
      <c r="S1125" s="7"/>
      <c r="T1125" s="7"/>
      <c r="U1125" s="7"/>
      <c r="V1125" s="7"/>
      <c r="W1125" s="7"/>
      <c r="X1125" s="8"/>
      <c r="Y1125" s="7"/>
      <c r="Z1125" s="7"/>
      <c r="AA1125" s="11"/>
      <c r="AB1125" s="11"/>
      <c r="AC1125" s="11"/>
      <c r="AD1125" s="11"/>
      <c r="AH1125" s="8"/>
      <c r="AI1125" s="20"/>
      <c r="AJ1125" s="20"/>
      <c r="AK1125" s="31"/>
      <c r="AL1125" s="31"/>
    </row>
    <row r="1126" spans="1:38" hidden="1" x14ac:dyDescent="0.25">
      <c r="A1126" s="9"/>
      <c r="B1126" s="7"/>
      <c r="C1126" s="7"/>
      <c r="D1126" s="7"/>
      <c r="E1126" s="7"/>
      <c r="F1126" s="7"/>
      <c r="G1126" s="7"/>
      <c r="H1126" s="7"/>
      <c r="I1126" s="7"/>
      <c r="J1126" s="20"/>
      <c r="K1126" s="20"/>
      <c r="L1126" s="20"/>
      <c r="M1126" s="20"/>
      <c r="N1126" s="9"/>
      <c r="P1126" s="7"/>
      <c r="Q1126" s="11"/>
      <c r="R1126" s="8"/>
      <c r="S1126" s="7"/>
      <c r="T1126" s="7"/>
      <c r="U1126" s="7"/>
      <c r="V1126" s="7"/>
      <c r="W1126" s="7"/>
      <c r="X1126" s="8"/>
      <c r="Y1126" s="7"/>
      <c r="Z1126" s="7"/>
      <c r="AA1126" s="11"/>
      <c r="AB1126" s="11"/>
      <c r="AC1126" s="11"/>
      <c r="AD1126" s="11"/>
      <c r="AH1126" s="8"/>
      <c r="AI1126" s="20"/>
      <c r="AJ1126" s="20"/>
      <c r="AK1126" s="31"/>
      <c r="AL1126" s="31"/>
    </row>
    <row r="1127" spans="1:38" hidden="1" x14ac:dyDescent="0.25">
      <c r="A1127" s="9"/>
      <c r="B1127" s="7"/>
      <c r="C1127" s="7"/>
      <c r="D1127" s="7"/>
      <c r="E1127" s="7"/>
      <c r="F1127" s="7"/>
      <c r="G1127" s="7"/>
      <c r="H1127" s="7"/>
      <c r="I1127" s="7"/>
      <c r="J1127" s="20"/>
      <c r="K1127" s="20"/>
      <c r="L1127" s="20"/>
      <c r="M1127" s="20"/>
      <c r="N1127" s="9"/>
      <c r="P1127" s="7"/>
      <c r="Q1127" s="11"/>
      <c r="R1127" s="8"/>
      <c r="S1127" s="7"/>
      <c r="T1127" s="7"/>
      <c r="U1127" s="7"/>
      <c r="V1127" s="7"/>
      <c r="W1127" s="7"/>
      <c r="X1127" s="8"/>
      <c r="Y1127" s="7"/>
      <c r="Z1127" s="7"/>
      <c r="AA1127" s="11"/>
      <c r="AB1127" s="11"/>
      <c r="AC1127" s="11"/>
      <c r="AD1127" s="11"/>
      <c r="AH1127" s="8"/>
      <c r="AI1127" s="20"/>
      <c r="AJ1127" s="20"/>
      <c r="AK1127" s="31"/>
      <c r="AL1127" s="31"/>
    </row>
    <row r="1128" spans="1:38" hidden="1" x14ac:dyDescent="0.25">
      <c r="A1128" s="9"/>
      <c r="B1128" s="7"/>
      <c r="C1128" s="7"/>
      <c r="D1128" s="7"/>
      <c r="E1128" s="7"/>
      <c r="F1128" s="7"/>
      <c r="G1128" s="7"/>
      <c r="H1128" s="7"/>
      <c r="I1128" s="7"/>
      <c r="J1128" s="20"/>
      <c r="K1128" s="20"/>
      <c r="L1128" s="20"/>
      <c r="M1128" s="20"/>
      <c r="N1128" s="9"/>
      <c r="P1128" s="7"/>
      <c r="Q1128" s="11"/>
      <c r="R1128" s="8"/>
      <c r="S1128" s="7"/>
      <c r="T1128" s="7"/>
      <c r="U1128" s="7"/>
      <c r="V1128" s="7"/>
      <c r="W1128" s="7"/>
      <c r="X1128" s="8"/>
      <c r="Y1128" s="7"/>
      <c r="Z1128" s="7"/>
      <c r="AA1128" s="11"/>
      <c r="AB1128" s="11"/>
      <c r="AC1128" s="11"/>
      <c r="AD1128" s="11"/>
      <c r="AH1128" s="8"/>
      <c r="AI1128" s="20"/>
      <c r="AJ1128" s="20"/>
      <c r="AK1128" s="31"/>
      <c r="AL1128" s="31"/>
    </row>
    <row r="1129" spans="1:38" hidden="1" x14ac:dyDescent="0.25">
      <c r="A1129" s="9"/>
      <c r="B1129" s="7"/>
      <c r="C1129" s="7"/>
      <c r="D1129" s="7"/>
      <c r="E1129" s="7"/>
      <c r="F1129" s="7"/>
      <c r="G1129" s="7"/>
      <c r="H1129" s="7"/>
      <c r="I1129" s="7"/>
      <c r="J1129" s="20"/>
      <c r="K1129" s="20"/>
      <c r="L1129" s="20"/>
      <c r="M1129" s="20"/>
      <c r="N1129" s="9"/>
      <c r="P1129" s="7"/>
      <c r="Q1129" s="11"/>
      <c r="R1129" s="8"/>
      <c r="S1129" s="7"/>
      <c r="T1129" s="7"/>
      <c r="U1129" s="7"/>
      <c r="V1129" s="7"/>
      <c r="W1129" s="7"/>
      <c r="X1129" s="8"/>
      <c r="Y1129" s="7"/>
      <c r="Z1129" s="7"/>
      <c r="AA1129" s="11"/>
      <c r="AB1129" s="11"/>
      <c r="AC1129" s="11"/>
      <c r="AD1129" s="11"/>
      <c r="AH1129" s="8"/>
      <c r="AI1129" s="20"/>
      <c r="AJ1129" s="20"/>
      <c r="AK1129" s="31"/>
      <c r="AL1129" s="31"/>
    </row>
    <row r="1130" spans="1:38" hidden="1" x14ac:dyDescent="0.25">
      <c r="A1130" s="9"/>
      <c r="B1130" s="7"/>
      <c r="C1130" s="7"/>
      <c r="D1130" s="7"/>
      <c r="E1130" s="7"/>
      <c r="F1130" s="7"/>
      <c r="G1130" s="7"/>
      <c r="H1130" s="7"/>
      <c r="I1130" s="7"/>
      <c r="J1130" s="20"/>
      <c r="K1130" s="20"/>
      <c r="L1130" s="20"/>
      <c r="M1130" s="20"/>
      <c r="N1130" s="9"/>
      <c r="P1130" s="7"/>
      <c r="Q1130" s="11"/>
      <c r="R1130" s="8"/>
      <c r="S1130" s="7"/>
      <c r="T1130" s="7"/>
      <c r="U1130" s="7"/>
      <c r="V1130" s="7"/>
      <c r="W1130" s="7"/>
      <c r="X1130" s="8"/>
      <c r="Y1130" s="7"/>
      <c r="Z1130" s="7"/>
      <c r="AA1130" s="11"/>
      <c r="AB1130" s="11"/>
      <c r="AC1130" s="11"/>
      <c r="AD1130" s="11"/>
      <c r="AH1130" s="8"/>
      <c r="AI1130" s="20"/>
      <c r="AJ1130" s="20"/>
      <c r="AK1130" s="31"/>
      <c r="AL1130" s="31"/>
    </row>
    <row r="1131" spans="1:38" hidden="1" x14ac:dyDescent="0.25">
      <c r="A1131" s="9"/>
      <c r="B1131" s="7"/>
      <c r="C1131" s="7"/>
      <c r="D1131" s="7"/>
      <c r="E1131" s="7"/>
      <c r="F1131" s="7"/>
      <c r="G1131" s="7"/>
      <c r="H1131" s="7"/>
      <c r="I1131" s="7"/>
      <c r="J1131" s="20"/>
      <c r="K1131" s="20"/>
      <c r="L1131" s="20"/>
      <c r="M1131" s="20"/>
      <c r="N1131" s="9"/>
      <c r="P1131" s="7"/>
      <c r="Q1131" s="11"/>
      <c r="R1131" s="8"/>
      <c r="S1131" s="7"/>
      <c r="T1131" s="7"/>
      <c r="U1131" s="7"/>
      <c r="V1131" s="7"/>
      <c r="W1131" s="7"/>
      <c r="X1131" s="8"/>
      <c r="Y1131" s="7"/>
      <c r="Z1131" s="7"/>
      <c r="AA1131" s="11"/>
      <c r="AB1131" s="11"/>
      <c r="AC1131" s="11"/>
      <c r="AD1131" s="11"/>
      <c r="AH1131" s="8"/>
      <c r="AI1131" s="20"/>
      <c r="AJ1131" s="20"/>
      <c r="AK1131" s="31"/>
      <c r="AL1131" s="31"/>
    </row>
    <row r="1132" spans="1:38" hidden="1" x14ac:dyDescent="0.25">
      <c r="A1132" s="9"/>
      <c r="B1132" s="7"/>
      <c r="C1132" s="7"/>
      <c r="D1132" s="7"/>
      <c r="E1132" s="7"/>
      <c r="F1132" s="7"/>
      <c r="G1132" s="7"/>
      <c r="H1132" s="7"/>
      <c r="I1132" s="7"/>
      <c r="J1132" s="20"/>
      <c r="K1132" s="20"/>
      <c r="L1132" s="20"/>
      <c r="M1132" s="20"/>
      <c r="N1132" s="9"/>
      <c r="P1132" s="7"/>
      <c r="Q1132" s="11"/>
      <c r="R1132" s="8"/>
      <c r="S1132" s="7"/>
      <c r="T1132" s="7"/>
      <c r="U1132" s="7"/>
      <c r="V1132" s="7"/>
      <c r="W1132" s="7"/>
      <c r="X1132" s="8"/>
      <c r="Y1132" s="7"/>
      <c r="Z1132" s="7"/>
      <c r="AA1132" s="11"/>
      <c r="AB1132" s="11"/>
      <c r="AC1132" s="11"/>
      <c r="AD1132" s="11"/>
      <c r="AH1132" s="8"/>
      <c r="AI1132" s="20"/>
      <c r="AJ1132" s="20"/>
      <c r="AK1132" s="31"/>
      <c r="AL1132" s="31"/>
    </row>
    <row r="1133" spans="1:38" hidden="1" x14ac:dyDescent="0.25">
      <c r="A1133" s="9"/>
      <c r="B1133" s="7"/>
      <c r="C1133" s="7"/>
      <c r="D1133" s="7"/>
      <c r="E1133" s="7"/>
      <c r="F1133" s="7"/>
      <c r="G1133" s="7"/>
      <c r="H1133" s="7"/>
      <c r="I1133" s="7"/>
      <c r="J1133" s="20"/>
      <c r="K1133" s="20"/>
      <c r="L1133" s="20"/>
      <c r="M1133" s="20"/>
      <c r="N1133" s="9"/>
      <c r="P1133" s="7"/>
      <c r="Q1133" s="11"/>
      <c r="R1133" s="8"/>
      <c r="S1133" s="7"/>
      <c r="T1133" s="7"/>
      <c r="U1133" s="7"/>
      <c r="V1133" s="7"/>
      <c r="W1133" s="7"/>
      <c r="X1133" s="8"/>
      <c r="Y1133" s="7"/>
      <c r="Z1133" s="7"/>
      <c r="AA1133" s="11"/>
      <c r="AB1133" s="11"/>
      <c r="AC1133" s="11"/>
      <c r="AD1133" s="11"/>
      <c r="AH1133" s="8"/>
      <c r="AI1133" s="20"/>
      <c r="AJ1133" s="20"/>
      <c r="AK1133" s="31"/>
      <c r="AL1133" s="31"/>
    </row>
    <row r="1134" spans="1:38" hidden="1" x14ac:dyDescent="0.25">
      <c r="A1134" s="9"/>
      <c r="B1134" s="7"/>
      <c r="C1134" s="7"/>
      <c r="D1134" s="7"/>
      <c r="E1134" s="7"/>
      <c r="F1134" s="7"/>
      <c r="G1134" s="7"/>
      <c r="H1134" s="7"/>
      <c r="I1134" s="7"/>
      <c r="J1134" s="20"/>
      <c r="K1134" s="20"/>
      <c r="L1134" s="20"/>
      <c r="M1134" s="20"/>
      <c r="N1134" s="9"/>
      <c r="P1134" s="7"/>
      <c r="Q1134" s="11"/>
      <c r="R1134" s="8"/>
      <c r="S1134" s="7"/>
      <c r="T1134" s="7"/>
      <c r="U1134" s="7"/>
      <c r="V1134" s="7"/>
      <c r="W1134" s="7"/>
      <c r="X1134" s="8"/>
      <c r="Y1134" s="7"/>
      <c r="Z1134" s="7"/>
      <c r="AA1134" s="11"/>
      <c r="AB1134" s="11"/>
      <c r="AC1134" s="11"/>
      <c r="AD1134" s="11"/>
      <c r="AH1134" s="8"/>
      <c r="AI1134" s="20"/>
      <c r="AJ1134" s="20"/>
      <c r="AK1134" s="31"/>
      <c r="AL1134" s="31"/>
    </row>
    <row r="1135" spans="1:38" hidden="1" x14ac:dyDescent="0.25">
      <c r="A1135" s="9"/>
      <c r="B1135" s="7"/>
      <c r="C1135" s="7"/>
      <c r="D1135" s="7"/>
      <c r="E1135" s="7"/>
      <c r="F1135" s="7"/>
      <c r="G1135" s="7"/>
      <c r="H1135" s="7"/>
      <c r="I1135" s="7"/>
      <c r="J1135" s="20"/>
      <c r="K1135" s="20"/>
      <c r="L1135" s="20"/>
      <c r="M1135" s="20"/>
      <c r="N1135" s="9"/>
      <c r="P1135" s="7"/>
      <c r="Q1135" s="11"/>
      <c r="R1135" s="8"/>
      <c r="S1135" s="7"/>
      <c r="T1135" s="7"/>
      <c r="U1135" s="7"/>
      <c r="V1135" s="7"/>
      <c r="W1135" s="7"/>
      <c r="X1135" s="8"/>
      <c r="Y1135" s="7"/>
      <c r="Z1135" s="7"/>
      <c r="AA1135" s="11"/>
      <c r="AB1135" s="11"/>
      <c r="AC1135" s="11"/>
      <c r="AD1135" s="11"/>
      <c r="AH1135" s="8"/>
      <c r="AI1135" s="20"/>
      <c r="AJ1135" s="20"/>
      <c r="AK1135" s="31"/>
      <c r="AL1135" s="31"/>
    </row>
    <row r="1136" spans="1:38" hidden="1" x14ac:dyDescent="0.25">
      <c r="A1136" s="9"/>
      <c r="B1136" s="7"/>
      <c r="C1136" s="7"/>
      <c r="D1136" s="7"/>
      <c r="E1136" s="7"/>
      <c r="F1136" s="7"/>
      <c r="G1136" s="7"/>
      <c r="H1136" s="7"/>
      <c r="I1136" s="7"/>
      <c r="J1136" s="20"/>
      <c r="K1136" s="20"/>
      <c r="L1136" s="20"/>
      <c r="M1136" s="20"/>
      <c r="N1136" s="9"/>
      <c r="P1136" s="7"/>
      <c r="Q1136" s="11"/>
      <c r="R1136" s="8"/>
      <c r="S1136" s="7"/>
      <c r="T1136" s="7"/>
      <c r="U1136" s="7"/>
      <c r="V1136" s="7"/>
      <c r="W1136" s="7"/>
      <c r="X1136" s="8"/>
      <c r="Y1136" s="7"/>
      <c r="Z1136" s="7"/>
      <c r="AA1136" s="11"/>
      <c r="AB1136" s="11"/>
      <c r="AC1136" s="11"/>
      <c r="AD1136" s="11"/>
      <c r="AH1136" s="8"/>
      <c r="AI1136" s="20"/>
      <c r="AJ1136" s="20"/>
      <c r="AK1136" s="31"/>
      <c r="AL1136" s="31"/>
    </row>
    <row r="1137" spans="1:38" hidden="1" x14ac:dyDescent="0.25">
      <c r="A1137" s="9"/>
      <c r="B1137" s="7"/>
      <c r="C1137" s="7"/>
      <c r="D1137" s="7"/>
      <c r="E1137" s="7"/>
      <c r="F1137" s="7"/>
      <c r="G1137" s="7"/>
      <c r="H1137" s="7"/>
      <c r="I1137" s="7"/>
      <c r="J1137" s="20"/>
      <c r="K1137" s="20"/>
      <c r="L1137" s="20"/>
      <c r="M1137" s="20"/>
      <c r="N1137" s="9"/>
      <c r="P1137" s="7"/>
      <c r="Q1137" s="11"/>
      <c r="R1137" s="8"/>
      <c r="S1137" s="7"/>
      <c r="T1137" s="7"/>
      <c r="U1137" s="7"/>
      <c r="V1137" s="7"/>
      <c r="W1137" s="7"/>
      <c r="X1137" s="8"/>
      <c r="Y1137" s="7"/>
      <c r="Z1137" s="7"/>
      <c r="AA1137" s="11"/>
      <c r="AB1137" s="11"/>
      <c r="AC1137" s="11"/>
      <c r="AD1137" s="11"/>
      <c r="AH1137" s="8"/>
      <c r="AI1137" s="20"/>
      <c r="AJ1137" s="20"/>
      <c r="AK1137" s="31"/>
      <c r="AL1137" s="31"/>
    </row>
    <row r="1138" spans="1:38" hidden="1" x14ac:dyDescent="0.25">
      <c r="A1138" s="9"/>
      <c r="B1138" s="7"/>
      <c r="C1138" s="7"/>
      <c r="D1138" s="7"/>
      <c r="E1138" s="7"/>
      <c r="F1138" s="7"/>
      <c r="G1138" s="7"/>
      <c r="H1138" s="7"/>
      <c r="I1138" s="7"/>
      <c r="J1138" s="20"/>
      <c r="K1138" s="20"/>
      <c r="L1138" s="20"/>
      <c r="M1138" s="20"/>
      <c r="N1138" s="9"/>
      <c r="P1138" s="7"/>
      <c r="Q1138" s="11"/>
      <c r="R1138" s="8"/>
      <c r="S1138" s="7"/>
      <c r="T1138" s="7"/>
      <c r="U1138" s="7"/>
      <c r="V1138" s="7"/>
      <c r="W1138" s="7"/>
      <c r="X1138" s="8"/>
      <c r="Y1138" s="7"/>
      <c r="Z1138" s="7"/>
      <c r="AA1138" s="11"/>
      <c r="AB1138" s="11"/>
      <c r="AC1138" s="11"/>
      <c r="AD1138" s="11"/>
      <c r="AH1138" s="8"/>
      <c r="AI1138" s="20"/>
      <c r="AJ1138" s="20"/>
      <c r="AK1138" s="31"/>
      <c r="AL1138" s="31"/>
    </row>
    <row r="1139" spans="1:38" hidden="1" x14ac:dyDescent="0.25">
      <c r="A1139" s="9"/>
      <c r="B1139" s="7"/>
      <c r="C1139" s="7"/>
      <c r="D1139" s="7"/>
      <c r="E1139" s="7"/>
      <c r="F1139" s="7"/>
      <c r="G1139" s="7"/>
      <c r="H1139" s="7"/>
      <c r="I1139" s="7"/>
      <c r="J1139" s="20"/>
      <c r="K1139" s="20"/>
      <c r="L1139" s="20"/>
      <c r="M1139" s="20"/>
      <c r="N1139" s="9"/>
      <c r="P1139" s="7"/>
      <c r="Q1139" s="11"/>
      <c r="R1139" s="8"/>
      <c r="S1139" s="7"/>
      <c r="T1139" s="7"/>
      <c r="U1139" s="7"/>
      <c r="V1139" s="7"/>
      <c r="W1139" s="7"/>
      <c r="X1139" s="8"/>
      <c r="Y1139" s="7"/>
      <c r="Z1139" s="7"/>
      <c r="AA1139" s="11"/>
      <c r="AB1139" s="11"/>
      <c r="AC1139" s="11"/>
      <c r="AD1139" s="11"/>
      <c r="AH1139" s="8"/>
      <c r="AI1139" s="20"/>
      <c r="AJ1139" s="20"/>
      <c r="AK1139" s="31"/>
      <c r="AL1139" s="31"/>
    </row>
    <row r="1140" spans="1:38" hidden="1" x14ac:dyDescent="0.25">
      <c r="A1140" s="9"/>
      <c r="B1140" s="7"/>
      <c r="C1140" s="7"/>
      <c r="D1140" s="7"/>
      <c r="E1140" s="7"/>
      <c r="F1140" s="7"/>
      <c r="G1140" s="7"/>
      <c r="H1140" s="7"/>
      <c r="I1140" s="7"/>
      <c r="J1140" s="20"/>
      <c r="K1140" s="20"/>
      <c r="L1140" s="20"/>
      <c r="M1140" s="20"/>
      <c r="N1140" s="9"/>
      <c r="P1140" s="7"/>
      <c r="Q1140" s="11"/>
      <c r="R1140" s="8"/>
      <c r="S1140" s="7"/>
      <c r="T1140" s="7"/>
      <c r="U1140" s="7"/>
      <c r="V1140" s="7"/>
      <c r="W1140" s="7"/>
      <c r="X1140" s="8"/>
      <c r="Y1140" s="7"/>
      <c r="Z1140" s="7"/>
      <c r="AA1140" s="11"/>
      <c r="AB1140" s="11"/>
      <c r="AC1140" s="11"/>
      <c r="AD1140" s="11"/>
      <c r="AH1140" s="8"/>
      <c r="AI1140" s="20"/>
      <c r="AJ1140" s="20"/>
      <c r="AK1140" s="31"/>
      <c r="AL1140" s="31"/>
    </row>
    <row r="1141" spans="1:38" hidden="1" x14ac:dyDescent="0.25">
      <c r="A1141" s="9"/>
      <c r="B1141" s="7"/>
      <c r="C1141" s="7"/>
      <c r="D1141" s="7"/>
      <c r="E1141" s="7"/>
      <c r="F1141" s="7"/>
      <c r="G1141" s="7"/>
      <c r="H1141" s="7"/>
      <c r="I1141" s="7"/>
      <c r="J1141" s="20"/>
      <c r="K1141" s="20"/>
      <c r="L1141" s="20"/>
      <c r="M1141" s="20"/>
      <c r="N1141" s="9"/>
      <c r="P1141" s="7"/>
      <c r="Q1141" s="11"/>
      <c r="R1141" s="8"/>
      <c r="S1141" s="7"/>
      <c r="T1141" s="7"/>
      <c r="U1141" s="7"/>
      <c r="V1141" s="7"/>
      <c r="W1141" s="7"/>
      <c r="X1141" s="8"/>
      <c r="Y1141" s="7"/>
      <c r="Z1141" s="7"/>
      <c r="AA1141" s="11"/>
      <c r="AB1141" s="11"/>
      <c r="AC1141" s="11"/>
      <c r="AD1141" s="11"/>
      <c r="AH1141" s="8"/>
      <c r="AI1141" s="20"/>
      <c r="AJ1141" s="20"/>
      <c r="AK1141" s="31"/>
      <c r="AL1141" s="31"/>
    </row>
    <row r="1142" spans="1:38" hidden="1" x14ac:dyDescent="0.25">
      <c r="A1142" s="9"/>
      <c r="B1142" s="7"/>
      <c r="C1142" s="7"/>
      <c r="D1142" s="7"/>
      <c r="E1142" s="7"/>
      <c r="F1142" s="7"/>
      <c r="G1142" s="7"/>
      <c r="H1142" s="7"/>
      <c r="I1142" s="7"/>
      <c r="J1142" s="20"/>
      <c r="K1142" s="20"/>
      <c r="L1142" s="20"/>
      <c r="M1142" s="20"/>
      <c r="N1142" s="9"/>
      <c r="P1142" s="7"/>
      <c r="Q1142" s="11"/>
      <c r="R1142" s="8"/>
      <c r="S1142" s="7"/>
      <c r="T1142" s="7"/>
      <c r="U1142" s="7"/>
      <c r="V1142" s="7"/>
      <c r="W1142" s="7"/>
      <c r="X1142" s="8"/>
      <c r="Y1142" s="7"/>
      <c r="Z1142" s="7"/>
      <c r="AA1142" s="11"/>
      <c r="AB1142" s="11"/>
      <c r="AC1142" s="11"/>
      <c r="AD1142" s="11"/>
      <c r="AH1142" s="8"/>
      <c r="AI1142" s="20"/>
      <c r="AJ1142" s="20"/>
      <c r="AK1142" s="31"/>
      <c r="AL1142" s="31"/>
    </row>
    <row r="1143" spans="1:38" hidden="1" x14ac:dyDescent="0.25">
      <c r="A1143" s="9"/>
      <c r="B1143" s="7"/>
      <c r="C1143" s="7"/>
      <c r="D1143" s="7"/>
      <c r="E1143" s="7"/>
      <c r="F1143" s="7"/>
      <c r="G1143" s="7"/>
      <c r="H1143" s="7"/>
      <c r="I1143" s="7"/>
      <c r="J1143" s="20"/>
      <c r="K1143" s="20"/>
      <c r="L1143" s="20"/>
      <c r="M1143" s="20"/>
      <c r="N1143" s="9"/>
      <c r="P1143" s="7"/>
      <c r="Q1143" s="11"/>
      <c r="R1143" s="8"/>
      <c r="S1143" s="7"/>
      <c r="T1143" s="7"/>
      <c r="U1143" s="7"/>
      <c r="V1143" s="7"/>
      <c r="W1143" s="7"/>
      <c r="X1143" s="8"/>
      <c r="Y1143" s="7"/>
      <c r="Z1143" s="7"/>
      <c r="AA1143" s="11"/>
      <c r="AB1143" s="11"/>
      <c r="AC1143" s="11"/>
      <c r="AD1143" s="11"/>
      <c r="AH1143" s="8"/>
      <c r="AI1143" s="20"/>
      <c r="AJ1143" s="20"/>
      <c r="AK1143" s="31"/>
      <c r="AL1143" s="31"/>
    </row>
    <row r="1144" spans="1:38" hidden="1" x14ac:dyDescent="0.25">
      <c r="A1144" s="9"/>
      <c r="B1144" s="7"/>
      <c r="C1144" s="7"/>
      <c r="D1144" s="7"/>
      <c r="E1144" s="7"/>
      <c r="F1144" s="7"/>
      <c r="G1144" s="7"/>
      <c r="H1144" s="7"/>
      <c r="I1144" s="7"/>
      <c r="J1144" s="20"/>
      <c r="K1144" s="20"/>
      <c r="L1144" s="20"/>
      <c r="M1144" s="20"/>
      <c r="N1144" s="9"/>
      <c r="P1144" s="7"/>
      <c r="Q1144" s="11"/>
      <c r="R1144" s="8"/>
      <c r="S1144" s="7"/>
      <c r="T1144" s="7"/>
      <c r="U1144" s="7"/>
      <c r="V1144" s="7"/>
      <c r="W1144" s="7"/>
      <c r="X1144" s="8"/>
      <c r="Y1144" s="7"/>
      <c r="Z1144" s="7"/>
      <c r="AA1144" s="11"/>
      <c r="AB1144" s="11"/>
      <c r="AC1144" s="11"/>
      <c r="AD1144" s="11"/>
      <c r="AH1144" s="8"/>
      <c r="AI1144" s="20"/>
      <c r="AJ1144" s="20"/>
      <c r="AK1144" s="31"/>
      <c r="AL1144" s="31"/>
    </row>
    <row r="1145" spans="1:38" hidden="1" x14ac:dyDescent="0.25">
      <c r="A1145" s="9"/>
      <c r="B1145" s="7"/>
      <c r="C1145" s="7"/>
      <c r="D1145" s="7"/>
      <c r="E1145" s="7"/>
      <c r="F1145" s="7"/>
      <c r="G1145" s="7"/>
      <c r="H1145" s="7"/>
      <c r="I1145" s="7"/>
      <c r="J1145" s="20"/>
      <c r="K1145" s="20"/>
      <c r="L1145" s="20"/>
      <c r="M1145" s="20"/>
      <c r="N1145" s="9"/>
      <c r="P1145" s="7"/>
      <c r="Q1145" s="11"/>
      <c r="R1145" s="8"/>
      <c r="S1145" s="7"/>
      <c r="T1145" s="7"/>
      <c r="U1145" s="7"/>
      <c r="V1145" s="7"/>
      <c r="W1145" s="7"/>
      <c r="X1145" s="8"/>
      <c r="Y1145" s="7"/>
      <c r="Z1145" s="7"/>
      <c r="AA1145" s="11"/>
      <c r="AB1145" s="11"/>
      <c r="AC1145" s="11"/>
      <c r="AD1145" s="11"/>
      <c r="AH1145" s="8"/>
      <c r="AI1145" s="20"/>
      <c r="AJ1145" s="20"/>
      <c r="AK1145" s="31"/>
      <c r="AL1145" s="31"/>
    </row>
    <row r="1146" spans="1:38" hidden="1" x14ac:dyDescent="0.25">
      <c r="A1146" s="9"/>
      <c r="B1146" s="7"/>
      <c r="C1146" s="7"/>
      <c r="D1146" s="7"/>
      <c r="E1146" s="7"/>
      <c r="F1146" s="7"/>
      <c r="G1146" s="7"/>
      <c r="H1146" s="7"/>
      <c r="I1146" s="7"/>
      <c r="J1146" s="20"/>
      <c r="K1146" s="20"/>
      <c r="L1146" s="20"/>
      <c r="M1146" s="20"/>
      <c r="N1146" s="9"/>
      <c r="P1146" s="7"/>
      <c r="Q1146" s="11"/>
      <c r="R1146" s="8"/>
      <c r="S1146" s="7"/>
      <c r="T1146" s="7"/>
      <c r="U1146" s="7"/>
      <c r="V1146" s="7"/>
      <c r="W1146" s="7"/>
      <c r="X1146" s="8"/>
      <c r="Y1146" s="7"/>
      <c r="Z1146" s="7"/>
      <c r="AA1146" s="11"/>
      <c r="AB1146" s="11"/>
      <c r="AC1146" s="11"/>
      <c r="AD1146" s="11"/>
      <c r="AH1146" s="8"/>
      <c r="AI1146" s="20"/>
      <c r="AJ1146" s="20"/>
      <c r="AK1146" s="31"/>
      <c r="AL1146" s="31"/>
    </row>
    <row r="1147" spans="1:38" hidden="1" x14ac:dyDescent="0.25">
      <c r="A1147" s="9"/>
      <c r="B1147" s="7"/>
      <c r="C1147" s="7"/>
      <c r="D1147" s="7"/>
      <c r="E1147" s="7"/>
      <c r="F1147" s="7"/>
      <c r="G1147" s="7"/>
      <c r="H1147" s="7"/>
      <c r="I1147" s="7"/>
      <c r="J1147" s="20"/>
      <c r="K1147" s="20"/>
      <c r="L1147" s="20"/>
      <c r="M1147" s="20"/>
      <c r="N1147" s="9"/>
      <c r="P1147" s="7"/>
      <c r="Q1147" s="11"/>
      <c r="R1147" s="8"/>
      <c r="S1147" s="7"/>
      <c r="T1147" s="7"/>
      <c r="U1147" s="7"/>
      <c r="V1147" s="7"/>
      <c r="W1147" s="7"/>
      <c r="X1147" s="8"/>
      <c r="Y1147" s="7"/>
      <c r="Z1147" s="7"/>
      <c r="AA1147" s="11"/>
      <c r="AB1147" s="11"/>
      <c r="AC1147" s="11"/>
      <c r="AD1147" s="11"/>
      <c r="AH1147" s="8"/>
      <c r="AI1147" s="20"/>
      <c r="AJ1147" s="20"/>
      <c r="AK1147" s="31"/>
      <c r="AL1147" s="31"/>
    </row>
    <row r="1148" spans="1:38" hidden="1" x14ac:dyDescent="0.25">
      <c r="A1148" s="9"/>
      <c r="B1148" s="7"/>
      <c r="C1148" s="7"/>
      <c r="D1148" s="7"/>
      <c r="E1148" s="7"/>
      <c r="F1148" s="7"/>
      <c r="G1148" s="7"/>
      <c r="H1148" s="7"/>
      <c r="I1148" s="7"/>
      <c r="J1148" s="20"/>
      <c r="K1148" s="20"/>
      <c r="L1148" s="20"/>
      <c r="M1148" s="20"/>
      <c r="N1148" s="9"/>
      <c r="P1148" s="7"/>
      <c r="Q1148" s="11"/>
      <c r="R1148" s="8"/>
      <c r="S1148" s="7"/>
      <c r="T1148" s="7"/>
      <c r="U1148" s="7"/>
      <c r="V1148" s="7"/>
      <c r="W1148" s="7"/>
      <c r="X1148" s="8"/>
      <c r="Y1148" s="7"/>
      <c r="Z1148" s="7"/>
      <c r="AA1148" s="11"/>
      <c r="AB1148" s="11"/>
      <c r="AC1148" s="11"/>
      <c r="AD1148" s="11"/>
      <c r="AH1148" s="8"/>
      <c r="AI1148" s="20"/>
      <c r="AJ1148" s="20"/>
      <c r="AK1148" s="31"/>
      <c r="AL1148" s="31"/>
    </row>
    <row r="1149" spans="1:38" hidden="1" x14ac:dyDescent="0.25">
      <c r="A1149" s="9"/>
      <c r="B1149" s="7"/>
      <c r="C1149" s="7"/>
      <c r="D1149" s="7"/>
      <c r="E1149" s="7"/>
      <c r="F1149" s="7"/>
      <c r="G1149" s="7"/>
      <c r="H1149" s="7"/>
      <c r="I1149" s="7"/>
      <c r="J1149" s="20"/>
      <c r="K1149" s="20"/>
      <c r="L1149" s="20"/>
      <c r="M1149" s="20"/>
      <c r="N1149" s="9"/>
      <c r="P1149" s="7"/>
      <c r="Q1149" s="11"/>
      <c r="R1149" s="8"/>
      <c r="S1149" s="7"/>
      <c r="T1149" s="7"/>
      <c r="U1149" s="7"/>
      <c r="V1149" s="7"/>
      <c r="W1149" s="7"/>
      <c r="X1149" s="8"/>
      <c r="Y1149" s="7"/>
      <c r="Z1149" s="7"/>
      <c r="AA1149" s="11"/>
      <c r="AB1149" s="11"/>
      <c r="AC1149" s="11"/>
      <c r="AD1149" s="11"/>
      <c r="AH1149" s="8"/>
      <c r="AI1149" s="20"/>
      <c r="AJ1149" s="20"/>
      <c r="AK1149" s="31"/>
      <c r="AL1149" s="31"/>
    </row>
    <row r="1150" spans="1:38" hidden="1" x14ac:dyDescent="0.25">
      <c r="A1150" s="9"/>
      <c r="B1150" s="7"/>
      <c r="C1150" s="7"/>
      <c r="D1150" s="7"/>
      <c r="E1150" s="7"/>
      <c r="F1150" s="7"/>
      <c r="G1150" s="7"/>
      <c r="H1150" s="7"/>
      <c r="I1150" s="7"/>
      <c r="J1150" s="20"/>
      <c r="K1150" s="20"/>
      <c r="L1150" s="20"/>
      <c r="M1150" s="20"/>
      <c r="N1150" s="9"/>
      <c r="P1150" s="7"/>
      <c r="Q1150" s="11"/>
      <c r="R1150" s="8"/>
      <c r="S1150" s="7"/>
      <c r="T1150" s="7"/>
      <c r="U1150" s="7"/>
      <c r="V1150" s="7"/>
      <c r="W1150" s="7"/>
      <c r="X1150" s="8"/>
      <c r="Y1150" s="7"/>
      <c r="Z1150" s="7"/>
      <c r="AA1150" s="11"/>
      <c r="AB1150" s="11"/>
      <c r="AC1150" s="11"/>
      <c r="AD1150" s="11"/>
      <c r="AH1150" s="8"/>
      <c r="AI1150" s="20"/>
      <c r="AJ1150" s="20"/>
      <c r="AK1150" s="31"/>
      <c r="AL1150" s="31"/>
    </row>
    <row r="1151" spans="1:38" hidden="1" x14ac:dyDescent="0.25">
      <c r="A1151" s="9"/>
      <c r="B1151" s="7"/>
      <c r="C1151" s="7"/>
      <c r="D1151" s="7"/>
      <c r="E1151" s="7"/>
      <c r="F1151" s="7"/>
      <c r="G1151" s="7"/>
      <c r="H1151" s="7"/>
      <c r="I1151" s="7"/>
      <c r="J1151" s="20"/>
      <c r="K1151" s="20"/>
      <c r="L1151" s="20"/>
      <c r="M1151" s="20"/>
      <c r="N1151" s="9"/>
      <c r="P1151" s="7"/>
      <c r="Q1151" s="11"/>
      <c r="R1151" s="8"/>
      <c r="S1151" s="7"/>
      <c r="T1151" s="7"/>
      <c r="U1151" s="7"/>
      <c r="V1151" s="7"/>
      <c r="W1151" s="7"/>
      <c r="X1151" s="8"/>
      <c r="Y1151" s="7"/>
      <c r="Z1151" s="7"/>
      <c r="AA1151" s="11"/>
      <c r="AB1151" s="11"/>
      <c r="AC1151" s="11"/>
      <c r="AD1151" s="11"/>
      <c r="AH1151" s="8"/>
      <c r="AI1151" s="20"/>
      <c r="AJ1151" s="20"/>
      <c r="AK1151" s="31"/>
      <c r="AL1151" s="31"/>
    </row>
    <row r="1152" spans="1:38" hidden="1" x14ac:dyDescent="0.25">
      <c r="A1152" s="9"/>
      <c r="B1152" s="7"/>
      <c r="C1152" s="7"/>
      <c r="D1152" s="7"/>
      <c r="E1152" s="7"/>
      <c r="F1152" s="7"/>
      <c r="G1152" s="7"/>
      <c r="H1152" s="7"/>
      <c r="I1152" s="7"/>
      <c r="J1152" s="20"/>
      <c r="K1152" s="20"/>
      <c r="L1152" s="20"/>
      <c r="M1152" s="20"/>
      <c r="N1152" s="9"/>
      <c r="P1152" s="7"/>
      <c r="Q1152" s="11"/>
      <c r="R1152" s="8"/>
      <c r="S1152" s="7"/>
      <c r="T1152" s="7"/>
      <c r="U1152" s="7"/>
      <c r="V1152" s="7"/>
      <c r="W1152" s="7"/>
      <c r="X1152" s="8"/>
      <c r="Y1152" s="7"/>
      <c r="Z1152" s="7"/>
      <c r="AA1152" s="11"/>
      <c r="AB1152" s="11"/>
      <c r="AC1152" s="11"/>
      <c r="AD1152" s="11"/>
      <c r="AH1152" s="8"/>
      <c r="AI1152" s="20"/>
      <c r="AJ1152" s="20"/>
      <c r="AK1152" s="31"/>
      <c r="AL1152" s="31"/>
    </row>
    <row r="1153" spans="1:38" hidden="1" x14ac:dyDescent="0.25">
      <c r="A1153" s="9"/>
      <c r="B1153" s="7"/>
      <c r="C1153" s="7"/>
      <c r="D1153" s="7"/>
      <c r="E1153" s="7"/>
      <c r="F1153" s="7"/>
      <c r="G1153" s="7"/>
      <c r="H1153" s="7"/>
      <c r="I1153" s="7"/>
      <c r="J1153" s="20"/>
      <c r="K1153" s="20"/>
      <c r="L1153" s="20"/>
      <c r="M1153" s="20"/>
      <c r="N1153" s="9"/>
      <c r="P1153" s="7"/>
      <c r="Q1153" s="11"/>
      <c r="R1153" s="8"/>
      <c r="S1153" s="7"/>
      <c r="T1153" s="7"/>
      <c r="U1153" s="7"/>
      <c r="V1153" s="7"/>
      <c r="W1153" s="7"/>
      <c r="X1153" s="8"/>
      <c r="Y1153" s="7"/>
      <c r="Z1153" s="7"/>
      <c r="AA1153" s="11"/>
      <c r="AB1153" s="11"/>
      <c r="AC1153" s="11"/>
      <c r="AD1153" s="11"/>
      <c r="AH1153" s="8"/>
      <c r="AI1153" s="20"/>
      <c r="AJ1153" s="20"/>
      <c r="AK1153" s="31"/>
      <c r="AL1153" s="31"/>
    </row>
    <row r="1154" spans="1:38" hidden="1" x14ac:dyDescent="0.25">
      <c r="A1154" s="9"/>
      <c r="B1154" s="7"/>
      <c r="C1154" s="7"/>
      <c r="D1154" s="7"/>
      <c r="E1154" s="7"/>
      <c r="F1154" s="7"/>
      <c r="G1154" s="7"/>
      <c r="H1154" s="7"/>
      <c r="I1154" s="7"/>
      <c r="J1154" s="20"/>
      <c r="K1154" s="20"/>
      <c r="L1154" s="20"/>
      <c r="M1154" s="20"/>
      <c r="N1154" s="9"/>
      <c r="P1154" s="7"/>
      <c r="Q1154" s="11"/>
      <c r="R1154" s="8"/>
      <c r="S1154" s="7"/>
      <c r="T1154" s="7"/>
      <c r="U1154" s="7"/>
      <c r="V1154" s="7"/>
      <c r="W1154" s="7"/>
      <c r="X1154" s="8"/>
      <c r="Y1154" s="7"/>
      <c r="Z1154" s="7"/>
      <c r="AA1154" s="11"/>
      <c r="AB1154" s="11"/>
      <c r="AC1154" s="11"/>
      <c r="AD1154" s="11"/>
      <c r="AH1154" s="8"/>
      <c r="AI1154" s="20"/>
      <c r="AJ1154" s="20"/>
      <c r="AK1154" s="31"/>
      <c r="AL1154" s="31"/>
    </row>
    <row r="1155" spans="1:38" hidden="1" x14ac:dyDescent="0.25">
      <c r="A1155" s="9"/>
      <c r="B1155" s="7"/>
      <c r="C1155" s="7"/>
      <c r="D1155" s="7"/>
      <c r="E1155" s="7"/>
      <c r="F1155" s="7"/>
      <c r="G1155" s="7"/>
      <c r="H1155" s="7"/>
      <c r="I1155" s="7"/>
      <c r="J1155" s="20"/>
      <c r="K1155" s="20"/>
      <c r="L1155" s="20"/>
      <c r="M1155" s="20"/>
      <c r="N1155" s="9"/>
      <c r="P1155" s="7"/>
      <c r="Q1155" s="11"/>
      <c r="R1155" s="8"/>
      <c r="S1155" s="7"/>
      <c r="T1155" s="7"/>
      <c r="U1155" s="7"/>
      <c r="V1155" s="7"/>
      <c r="W1155" s="7"/>
      <c r="X1155" s="8"/>
      <c r="Y1155" s="7"/>
      <c r="Z1155" s="7"/>
      <c r="AA1155" s="11"/>
      <c r="AB1155" s="11"/>
      <c r="AC1155" s="11"/>
      <c r="AD1155" s="11"/>
      <c r="AH1155" s="8"/>
      <c r="AI1155" s="20"/>
      <c r="AJ1155" s="20"/>
      <c r="AK1155" s="31"/>
      <c r="AL1155" s="31"/>
    </row>
    <row r="1156" spans="1:38" hidden="1" x14ac:dyDescent="0.25">
      <c r="A1156" s="9"/>
      <c r="B1156" s="7"/>
      <c r="C1156" s="7"/>
      <c r="D1156" s="7"/>
      <c r="E1156" s="7"/>
      <c r="F1156" s="7"/>
      <c r="G1156" s="7"/>
      <c r="H1156" s="7"/>
      <c r="I1156" s="7"/>
      <c r="J1156" s="20"/>
      <c r="K1156" s="20"/>
      <c r="L1156" s="20"/>
      <c r="M1156" s="20"/>
      <c r="N1156" s="9"/>
      <c r="P1156" s="7"/>
      <c r="Q1156" s="11"/>
      <c r="R1156" s="8"/>
      <c r="S1156" s="7"/>
      <c r="T1156" s="7"/>
      <c r="U1156" s="7"/>
      <c r="V1156" s="7"/>
      <c r="W1156" s="7"/>
      <c r="X1156" s="8"/>
      <c r="Y1156" s="7"/>
      <c r="Z1156" s="7"/>
      <c r="AA1156" s="11"/>
      <c r="AB1156" s="11"/>
      <c r="AC1156" s="11"/>
      <c r="AD1156" s="11"/>
      <c r="AH1156" s="8"/>
      <c r="AI1156" s="20"/>
      <c r="AJ1156" s="20"/>
      <c r="AK1156" s="31"/>
      <c r="AL1156" s="31"/>
    </row>
    <row r="1157" spans="1:38" hidden="1" x14ac:dyDescent="0.25">
      <c r="A1157" s="9"/>
      <c r="B1157" s="7"/>
      <c r="C1157" s="7"/>
      <c r="D1157" s="7"/>
      <c r="E1157" s="7"/>
      <c r="F1157" s="7"/>
      <c r="G1157" s="7"/>
      <c r="H1157" s="7"/>
      <c r="I1157" s="7"/>
      <c r="J1157" s="20"/>
      <c r="K1157" s="20"/>
      <c r="L1157" s="20"/>
      <c r="M1157" s="20"/>
      <c r="N1157" s="9"/>
      <c r="P1157" s="7"/>
      <c r="Q1157" s="11"/>
      <c r="R1157" s="8"/>
      <c r="S1157" s="7"/>
      <c r="T1157" s="7"/>
      <c r="U1157" s="7"/>
      <c r="V1157" s="7"/>
      <c r="W1157" s="7"/>
      <c r="X1157" s="8"/>
      <c r="Y1157" s="7"/>
      <c r="Z1157" s="7"/>
      <c r="AA1157" s="11"/>
      <c r="AB1157" s="11"/>
      <c r="AC1157" s="11"/>
      <c r="AD1157" s="11"/>
      <c r="AH1157" s="8"/>
      <c r="AI1157" s="20"/>
      <c r="AJ1157" s="20"/>
      <c r="AK1157" s="31"/>
      <c r="AL1157" s="31"/>
    </row>
    <row r="1158" spans="1:38" hidden="1" x14ac:dyDescent="0.25">
      <c r="A1158" s="9"/>
      <c r="B1158" s="7"/>
      <c r="C1158" s="7"/>
      <c r="D1158" s="7"/>
      <c r="E1158" s="7"/>
      <c r="F1158" s="7"/>
      <c r="G1158" s="7"/>
      <c r="H1158" s="7"/>
      <c r="I1158" s="7"/>
      <c r="J1158" s="20"/>
      <c r="K1158" s="20"/>
      <c r="L1158" s="20"/>
      <c r="M1158" s="20"/>
      <c r="N1158" s="9"/>
      <c r="P1158" s="7"/>
      <c r="Q1158" s="11"/>
      <c r="R1158" s="8"/>
      <c r="S1158" s="7"/>
      <c r="T1158" s="7"/>
      <c r="U1158" s="7"/>
      <c r="V1158" s="7"/>
      <c r="W1158" s="7"/>
      <c r="X1158" s="8"/>
      <c r="Y1158" s="7"/>
      <c r="Z1158" s="7"/>
      <c r="AA1158" s="11"/>
      <c r="AB1158" s="11"/>
      <c r="AC1158" s="11"/>
      <c r="AD1158" s="11"/>
      <c r="AH1158" s="8"/>
      <c r="AI1158" s="20"/>
      <c r="AJ1158" s="20"/>
      <c r="AK1158" s="31"/>
      <c r="AL1158" s="31"/>
    </row>
    <row r="1159" spans="1:38" hidden="1" x14ac:dyDescent="0.25">
      <c r="A1159" s="9"/>
      <c r="B1159" s="7"/>
      <c r="C1159" s="7"/>
      <c r="D1159" s="7"/>
      <c r="E1159" s="7"/>
      <c r="F1159" s="7"/>
      <c r="G1159" s="7"/>
      <c r="H1159" s="7"/>
      <c r="I1159" s="7"/>
      <c r="J1159" s="20"/>
      <c r="K1159" s="20"/>
      <c r="L1159" s="20"/>
      <c r="M1159" s="20"/>
      <c r="N1159" s="9"/>
      <c r="P1159" s="7"/>
      <c r="Q1159" s="11"/>
      <c r="R1159" s="8"/>
      <c r="S1159" s="7"/>
      <c r="T1159" s="7"/>
      <c r="U1159" s="7"/>
      <c r="V1159" s="7"/>
      <c r="W1159" s="7"/>
      <c r="X1159" s="8"/>
      <c r="Y1159" s="7"/>
      <c r="Z1159" s="7"/>
      <c r="AA1159" s="11"/>
      <c r="AB1159" s="11"/>
      <c r="AC1159" s="11"/>
      <c r="AD1159" s="11"/>
      <c r="AH1159" s="8"/>
      <c r="AI1159" s="20"/>
      <c r="AJ1159" s="20"/>
      <c r="AK1159" s="31"/>
      <c r="AL1159" s="31"/>
    </row>
    <row r="1160" spans="1:38" hidden="1" x14ac:dyDescent="0.25">
      <c r="A1160" s="9"/>
      <c r="B1160" s="7"/>
      <c r="C1160" s="7"/>
      <c r="D1160" s="7"/>
      <c r="E1160" s="7"/>
      <c r="F1160" s="7"/>
      <c r="G1160" s="7"/>
      <c r="H1160" s="7"/>
      <c r="I1160" s="7"/>
      <c r="J1160" s="20"/>
      <c r="K1160" s="20"/>
      <c r="L1160" s="20"/>
      <c r="M1160" s="20"/>
      <c r="N1160" s="9"/>
      <c r="P1160" s="7"/>
      <c r="Q1160" s="11"/>
      <c r="R1160" s="8"/>
      <c r="S1160" s="7"/>
      <c r="T1160" s="7"/>
      <c r="U1160" s="7"/>
      <c r="V1160" s="7"/>
      <c r="W1160" s="7"/>
      <c r="X1160" s="8"/>
      <c r="Y1160" s="7"/>
      <c r="Z1160" s="7"/>
      <c r="AA1160" s="11"/>
      <c r="AB1160" s="11"/>
      <c r="AC1160" s="11"/>
      <c r="AD1160" s="11"/>
      <c r="AH1160" s="8"/>
      <c r="AI1160" s="20"/>
      <c r="AJ1160" s="20"/>
      <c r="AK1160" s="31"/>
      <c r="AL1160" s="31"/>
    </row>
    <row r="1161" spans="1:38" hidden="1" x14ac:dyDescent="0.25">
      <c r="A1161" s="9"/>
      <c r="B1161" s="7"/>
      <c r="C1161" s="7"/>
      <c r="D1161" s="7"/>
      <c r="E1161" s="7"/>
      <c r="F1161" s="7"/>
      <c r="G1161" s="7"/>
      <c r="H1161" s="7"/>
      <c r="I1161" s="7"/>
      <c r="J1161" s="20"/>
      <c r="K1161" s="20"/>
      <c r="L1161" s="20"/>
      <c r="M1161" s="20"/>
      <c r="N1161" s="9"/>
      <c r="P1161" s="7"/>
      <c r="Q1161" s="11"/>
      <c r="R1161" s="8"/>
      <c r="S1161" s="7"/>
      <c r="T1161" s="7"/>
      <c r="U1161" s="7"/>
      <c r="V1161" s="7"/>
      <c r="W1161" s="7"/>
      <c r="X1161" s="8"/>
      <c r="Y1161" s="7"/>
      <c r="Z1161" s="7"/>
      <c r="AA1161" s="11"/>
      <c r="AB1161" s="11"/>
      <c r="AC1161" s="11"/>
      <c r="AD1161" s="11"/>
      <c r="AH1161" s="8"/>
      <c r="AI1161" s="20"/>
      <c r="AJ1161" s="20"/>
      <c r="AK1161" s="31"/>
      <c r="AL1161" s="31"/>
    </row>
    <row r="1162" spans="1:38" hidden="1" x14ac:dyDescent="0.25">
      <c r="A1162" s="9"/>
      <c r="B1162" s="7"/>
      <c r="C1162" s="7"/>
      <c r="D1162" s="7"/>
      <c r="E1162" s="7"/>
      <c r="F1162" s="7"/>
      <c r="G1162" s="7"/>
      <c r="H1162" s="7"/>
      <c r="I1162" s="7"/>
      <c r="J1162" s="20"/>
      <c r="K1162" s="20"/>
      <c r="L1162" s="20"/>
      <c r="M1162" s="20"/>
      <c r="N1162" s="9"/>
      <c r="P1162" s="7"/>
      <c r="Q1162" s="11"/>
      <c r="R1162" s="8"/>
      <c r="S1162" s="7"/>
      <c r="T1162" s="7"/>
      <c r="U1162" s="7"/>
      <c r="V1162" s="7"/>
      <c r="W1162" s="7"/>
      <c r="X1162" s="8"/>
      <c r="Y1162" s="7"/>
      <c r="Z1162" s="7"/>
      <c r="AA1162" s="11"/>
      <c r="AB1162" s="11"/>
      <c r="AC1162" s="11"/>
      <c r="AD1162" s="11"/>
      <c r="AH1162" s="8"/>
      <c r="AI1162" s="20"/>
      <c r="AJ1162" s="20"/>
      <c r="AK1162" s="31"/>
      <c r="AL1162" s="31"/>
    </row>
    <row r="1163" spans="1:38" hidden="1" x14ac:dyDescent="0.25">
      <c r="A1163" s="9"/>
      <c r="B1163" s="7"/>
      <c r="C1163" s="7"/>
      <c r="D1163" s="7"/>
      <c r="E1163" s="7"/>
      <c r="F1163" s="7"/>
      <c r="G1163" s="7"/>
      <c r="H1163" s="7"/>
      <c r="I1163" s="7"/>
      <c r="J1163" s="20"/>
      <c r="K1163" s="20"/>
      <c r="L1163" s="20"/>
      <c r="M1163" s="20"/>
      <c r="N1163" s="9"/>
      <c r="P1163" s="7"/>
      <c r="Q1163" s="11"/>
      <c r="R1163" s="8"/>
      <c r="S1163" s="7"/>
      <c r="T1163" s="7"/>
      <c r="U1163" s="7"/>
      <c r="V1163" s="7"/>
      <c r="W1163" s="7"/>
      <c r="X1163" s="8"/>
      <c r="Y1163" s="7"/>
      <c r="Z1163" s="7"/>
      <c r="AA1163" s="11"/>
      <c r="AB1163" s="11"/>
      <c r="AC1163" s="11"/>
      <c r="AD1163" s="11"/>
      <c r="AH1163" s="8"/>
      <c r="AI1163" s="20"/>
      <c r="AJ1163" s="20"/>
      <c r="AK1163" s="31"/>
      <c r="AL1163" s="31"/>
    </row>
    <row r="1164" spans="1:38" hidden="1" x14ac:dyDescent="0.25">
      <c r="A1164" s="9"/>
      <c r="B1164" s="7"/>
      <c r="C1164" s="7"/>
      <c r="D1164" s="7"/>
      <c r="E1164" s="7"/>
      <c r="F1164" s="7"/>
      <c r="G1164" s="7"/>
      <c r="H1164" s="7"/>
      <c r="I1164" s="7"/>
      <c r="J1164" s="20"/>
      <c r="K1164" s="20"/>
      <c r="L1164" s="20"/>
      <c r="M1164" s="20"/>
      <c r="N1164" s="9"/>
      <c r="P1164" s="7"/>
      <c r="Q1164" s="11"/>
      <c r="R1164" s="8"/>
      <c r="S1164" s="7"/>
      <c r="T1164" s="7"/>
      <c r="U1164" s="7"/>
      <c r="V1164" s="7"/>
      <c r="W1164" s="7"/>
      <c r="X1164" s="8"/>
      <c r="Y1164" s="7"/>
      <c r="Z1164" s="7"/>
      <c r="AA1164" s="11"/>
      <c r="AB1164" s="11"/>
      <c r="AC1164" s="11"/>
      <c r="AD1164" s="11"/>
      <c r="AH1164" s="8"/>
      <c r="AI1164" s="20"/>
      <c r="AJ1164" s="20"/>
      <c r="AK1164" s="31"/>
      <c r="AL1164" s="31"/>
    </row>
    <row r="1165" spans="1:38" hidden="1" x14ac:dyDescent="0.25">
      <c r="A1165" s="9"/>
      <c r="B1165" s="7"/>
      <c r="C1165" s="7"/>
      <c r="D1165" s="7"/>
      <c r="E1165" s="7"/>
      <c r="F1165" s="7"/>
      <c r="G1165" s="7"/>
      <c r="H1165" s="7"/>
      <c r="I1165" s="7"/>
      <c r="J1165" s="20"/>
      <c r="K1165" s="20"/>
      <c r="L1165" s="20"/>
      <c r="M1165" s="20"/>
      <c r="N1165" s="9"/>
      <c r="P1165" s="7"/>
      <c r="Q1165" s="11"/>
      <c r="R1165" s="8"/>
      <c r="S1165" s="7"/>
      <c r="T1165" s="7"/>
      <c r="U1165" s="7"/>
      <c r="V1165" s="7"/>
      <c r="W1165" s="7"/>
      <c r="X1165" s="8"/>
      <c r="Y1165" s="7"/>
      <c r="Z1165" s="7"/>
      <c r="AA1165" s="11"/>
      <c r="AB1165" s="11"/>
      <c r="AC1165" s="11"/>
      <c r="AD1165" s="11"/>
      <c r="AH1165" s="8"/>
      <c r="AI1165" s="20"/>
      <c r="AJ1165" s="20"/>
      <c r="AK1165" s="31"/>
      <c r="AL1165" s="31"/>
    </row>
    <row r="1166" spans="1:38" hidden="1" x14ac:dyDescent="0.25">
      <c r="A1166" s="9"/>
      <c r="B1166" s="7"/>
      <c r="C1166" s="7"/>
      <c r="D1166" s="7"/>
      <c r="E1166" s="7"/>
      <c r="F1166" s="7"/>
      <c r="G1166" s="7"/>
      <c r="H1166" s="7"/>
      <c r="I1166" s="7"/>
      <c r="J1166" s="20"/>
      <c r="K1166" s="20"/>
      <c r="L1166" s="20"/>
      <c r="M1166" s="20"/>
      <c r="N1166" s="9"/>
      <c r="P1166" s="7"/>
      <c r="Q1166" s="11"/>
      <c r="R1166" s="8"/>
      <c r="S1166" s="7"/>
      <c r="T1166" s="7"/>
      <c r="U1166" s="7"/>
      <c r="V1166" s="7"/>
      <c r="W1166" s="7"/>
      <c r="X1166" s="8"/>
      <c r="Y1166" s="7"/>
      <c r="Z1166" s="7"/>
      <c r="AA1166" s="11"/>
      <c r="AB1166" s="11"/>
      <c r="AC1166" s="11"/>
      <c r="AD1166" s="11"/>
      <c r="AH1166" s="8"/>
      <c r="AI1166" s="20"/>
      <c r="AJ1166" s="20"/>
      <c r="AK1166" s="31"/>
      <c r="AL1166" s="31"/>
    </row>
    <row r="1167" spans="1:38" hidden="1" x14ac:dyDescent="0.25">
      <c r="A1167" s="9"/>
      <c r="B1167" s="7"/>
      <c r="C1167" s="7"/>
      <c r="D1167" s="7"/>
      <c r="E1167" s="7"/>
      <c r="F1167" s="7"/>
      <c r="G1167" s="7"/>
      <c r="H1167" s="7"/>
      <c r="I1167" s="7"/>
      <c r="J1167" s="20"/>
      <c r="K1167" s="20"/>
      <c r="L1167" s="20"/>
      <c r="M1167" s="20"/>
      <c r="N1167" s="9"/>
      <c r="P1167" s="7"/>
      <c r="Q1167" s="11"/>
      <c r="R1167" s="8"/>
      <c r="S1167" s="7"/>
      <c r="T1167" s="7"/>
      <c r="U1167" s="7"/>
      <c r="V1167" s="7"/>
      <c r="W1167" s="7"/>
      <c r="X1167" s="8"/>
      <c r="Y1167" s="7"/>
      <c r="Z1167" s="7"/>
      <c r="AA1167" s="11"/>
      <c r="AB1167" s="11"/>
      <c r="AC1167" s="11"/>
      <c r="AD1167" s="11"/>
      <c r="AH1167" s="8"/>
      <c r="AI1167" s="20"/>
      <c r="AJ1167" s="20"/>
      <c r="AK1167" s="31"/>
      <c r="AL1167" s="31"/>
    </row>
    <row r="1168" spans="1:38" hidden="1" x14ac:dyDescent="0.25">
      <c r="A1168" s="9"/>
      <c r="B1168" s="7"/>
      <c r="C1168" s="7"/>
      <c r="D1168" s="7"/>
      <c r="E1168" s="7"/>
      <c r="F1168" s="7"/>
      <c r="G1168" s="7"/>
      <c r="H1168" s="7"/>
      <c r="I1168" s="7"/>
      <c r="J1168" s="20"/>
      <c r="K1168" s="20"/>
      <c r="L1168" s="20"/>
      <c r="M1168" s="20"/>
      <c r="N1168" s="9"/>
      <c r="P1168" s="7"/>
      <c r="Q1168" s="11"/>
      <c r="R1168" s="8"/>
      <c r="S1168" s="7"/>
      <c r="T1168" s="7"/>
      <c r="U1168" s="7"/>
      <c r="V1168" s="7"/>
      <c r="W1168" s="7"/>
      <c r="X1168" s="8"/>
      <c r="Y1168" s="7"/>
      <c r="Z1168" s="7"/>
      <c r="AA1168" s="11"/>
      <c r="AB1168" s="11"/>
      <c r="AC1168" s="11"/>
      <c r="AD1168" s="11"/>
      <c r="AH1168" s="8"/>
      <c r="AI1168" s="20"/>
      <c r="AJ1168" s="20"/>
      <c r="AK1168" s="31"/>
      <c r="AL1168" s="31"/>
    </row>
    <row r="1169" spans="1:38" hidden="1" x14ac:dyDescent="0.25">
      <c r="A1169" s="9"/>
      <c r="B1169" s="7"/>
      <c r="C1169" s="7"/>
      <c r="D1169" s="7"/>
      <c r="E1169" s="7"/>
      <c r="F1169" s="7"/>
      <c r="G1169" s="7"/>
      <c r="H1169" s="7"/>
      <c r="I1169" s="7"/>
      <c r="J1169" s="20"/>
      <c r="K1169" s="20"/>
      <c r="L1169" s="20"/>
      <c r="M1169" s="20"/>
      <c r="N1169" s="9"/>
      <c r="P1169" s="7"/>
      <c r="Q1169" s="11"/>
      <c r="R1169" s="8"/>
      <c r="S1169" s="7"/>
      <c r="T1169" s="7"/>
      <c r="U1169" s="7"/>
      <c r="V1169" s="7"/>
      <c r="W1169" s="7"/>
      <c r="X1169" s="8"/>
      <c r="Y1169" s="7"/>
      <c r="Z1169" s="7"/>
      <c r="AA1169" s="11"/>
      <c r="AB1169" s="11"/>
      <c r="AC1169" s="11"/>
      <c r="AD1169" s="11"/>
      <c r="AH1169" s="8"/>
      <c r="AI1169" s="20"/>
      <c r="AJ1169" s="20"/>
      <c r="AK1169" s="31"/>
      <c r="AL1169" s="31"/>
    </row>
    <row r="1170" spans="1:38" hidden="1" x14ac:dyDescent="0.25">
      <c r="A1170" s="9"/>
      <c r="B1170" s="7"/>
      <c r="C1170" s="7"/>
      <c r="D1170" s="7"/>
      <c r="E1170" s="7"/>
      <c r="F1170" s="7"/>
      <c r="G1170" s="7"/>
      <c r="H1170" s="7"/>
      <c r="I1170" s="7"/>
      <c r="J1170" s="20"/>
      <c r="K1170" s="20"/>
      <c r="L1170" s="20"/>
      <c r="M1170" s="20"/>
      <c r="N1170" s="9"/>
      <c r="P1170" s="7"/>
      <c r="Q1170" s="11"/>
      <c r="R1170" s="8"/>
      <c r="S1170" s="7"/>
      <c r="T1170" s="7"/>
      <c r="U1170" s="7"/>
      <c r="V1170" s="7"/>
      <c r="W1170" s="7"/>
      <c r="X1170" s="8"/>
      <c r="Y1170" s="7"/>
      <c r="Z1170" s="7"/>
      <c r="AA1170" s="11"/>
      <c r="AB1170" s="11"/>
      <c r="AC1170" s="11"/>
      <c r="AD1170" s="11"/>
      <c r="AH1170" s="8"/>
      <c r="AI1170" s="20"/>
      <c r="AJ1170" s="20"/>
      <c r="AK1170" s="31"/>
      <c r="AL1170" s="31"/>
    </row>
    <row r="1171" spans="1:38" hidden="1" x14ac:dyDescent="0.25">
      <c r="A1171" s="9"/>
      <c r="B1171" s="7"/>
      <c r="C1171" s="7"/>
      <c r="D1171" s="7"/>
      <c r="E1171" s="7"/>
      <c r="F1171" s="7"/>
      <c r="G1171" s="7"/>
      <c r="H1171" s="7"/>
      <c r="I1171" s="7"/>
      <c r="J1171" s="20"/>
      <c r="K1171" s="20"/>
      <c r="L1171" s="20"/>
      <c r="M1171" s="20"/>
      <c r="N1171" s="9"/>
      <c r="P1171" s="7"/>
      <c r="Q1171" s="11"/>
      <c r="R1171" s="8"/>
      <c r="S1171" s="7"/>
      <c r="T1171" s="7"/>
      <c r="U1171" s="7"/>
      <c r="V1171" s="7"/>
      <c r="W1171" s="7"/>
      <c r="X1171" s="8"/>
      <c r="Y1171" s="7"/>
      <c r="Z1171" s="7"/>
      <c r="AA1171" s="11"/>
      <c r="AB1171" s="11"/>
      <c r="AC1171" s="11"/>
      <c r="AD1171" s="11"/>
      <c r="AH1171" s="8"/>
      <c r="AI1171" s="20"/>
      <c r="AJ1171" s="20"/>
      <c r="AK1171" s="31"/>
      <c r="AL1171" s="31"/>
    </row>
    <row r="1172" spans="1:38" hidden="1" x14ac:dyDescent="0.25">
      <c r="A1172" s="9"/>
      <c r="B1172" s="7"/>
      <c r="C1172" s="7"/>
      <c r="D1172" s="7"/>
      <c r="E1172" s="7"/>
      <c r="F1172" s="7"/>
      <c r="G1172" s="7"/>
      <c r="H1172" s="7"/>
      <c r="I1172" s="7"/>
      <c r="J1172" s="20"/>
      <c r="K1172" s="20"/>
      <c r="L1172" s="20"/>
      <c r="M1172" s="20"/>
      <c r="N1172" s="9"/>
      <c r="P1172" s="7"/>
      <c r="Q1172" s="11"/>
      <c r="R1172" s="8"/>
      <c r="S1172" s="7"/>
      <c r="T1172" s="7"/>
      <c r="U1172" s="7"/>
      <c r="V1172" s="7"/>
      <c r="W1172" s="7"/>
      <c r="X1172" s="8"/>
      <c r="Y1172" s="7"/>
      <c r="Z1172" s="7"/>
      <c r="AA1172" s="11"/>
      <c r="AB1172" s="11"/>
      <c r="AC1172" s="11"/>
      <c r="AD1172" s="11"/>
      <c r="AH1172" s="8"/>
      <c r="AI1172" s="20"/>
      <c r="AJ1172" s="20"/>
      <c r="AK1172" s="31"/>
      <c r="AL1172" s="31"/>
    </row>
    <row r="1173" spans="1:38" hidden="1" x14ac:dyDescent="0.25">
      <c r="A1173" s="9"/>
      <c r="B1173" s="7"/>
      <c r="C1173" s="7"/>
      <c r="D1173" s="7"/>
      <c r="E1173" s="7"/>
      <c r="F1173" s="7"/>
      <c r="G1173" s="7"/>
      <c r="H1173" s="7"/>
      <c r="I1173" s="7"/>
      <c r="J1173" s="20"/>
      <c r="K1173" s="20"/>
      <c r="L1173" s="20"/>
      <c r="M1173" s="20"/>
      <c r="N1173" s="9"/>
      <c r="P1173" s="7"/>
      <c r="Q1173" s="11"/>
      <c r="R1173" s="8"/>
      <c r="S1173" s="7"/>
      <c r="T1173" s="7"/>
      <c r="U1173" s="7"/>
      <c r="V1173" s="7"/>
      <c r="W1173" s="7"/>
      <c r="X1173" s="8"/>
      <c r="Y1173" s="7"/>
      <c r="Z1173" s="7"/>
      <c r="AA1173" s="11"/>
      <c r="AB1173" s="11"/>
      <c r="AC1173" s="11"/>
      <c r="AD1173" s="11"/>
      <c r="AH1173" s="8"/>
      <c r="AI1173" s="20"/>
      <c r="AJ1173" s="20"/>
      <c r="AK1173" s="31"/>
      <c r="AL1173" s="31"/>
    </row>
    <row r="1174" spans="1:38" hidden="1" x14ac:dyDescent="0.25">
      <c r="A1174" s="9"/>
      <c r="B1174" s="7"/>
      <c r="C1174" s="7"/>
      <c r="D1174" s="7"/>
      <c r="E1174" s="7"/>
      <c r="F1174" s="7"/>
      <c r="G1174" s="7"/>
      <c r="H1174" s="7"/>
      <c r="I1174" s="7"/>
      <c r="J1174" s="20"/>
      <c r="K1174" s="20"/>
      <c r="L1174" s="20"/>
      <c r="M1174" s="20"/>
      <c r="N1174" s="9"/>
      <c r="P1174" s="7"/>
      <c r="Q1174" s="11"/>
      <c r="R1174" s="8"/>
      <c r="S1174" s="7"/>
      <c r="T1174" s="7"/>
      <c r="U1174" s="7"/>
      <c r="V1174" s="7"/>
      <c r="W1174" s="7"/>
      <c r="X1174" s="8"/>
      <c r="Y1174" s="7"/>
      <c r="Z1174" s="7"/>
      <c r="AA1174" s="11"/>
      <c r="AB1174" s="11"/>
      <c r="AC1174" s="11"/>
      <c r="AD1174" s="11"/>
      <c r="AH1174" s="8"/>
      <c r="AI1174" s="20"/>
      <c r="AJ1174" s="20"/>
      <c r="AK1174" s="31"/>
      <c r="AL1174" s="31"/>
    </row>
    <row r="1175" spans="1:38" hidden="1" x14ac:dyDescent="0.25">
      <c r="A1175" s="9"/>
      <c r="B1175" s="7"/>
      <c r="C1175" s="7"/>
      <c r="D1175" s="7"/>
      <c r="E1175" s="7"/>
      <c r="F1175" s="7"/>
      <c r="G1175" s="7"/>
      <c r="H1175" s="7"/>
      <c r="I1175" s="7"/>
      <c r="J1175" s="20"/>
      <c r="K1175" s="20"/>
      <c r="L1175" s="20"/>
      <c r="M1175" s="20"/>
      <c r="N1175" s="9"/>
      <c r="P1175" s="7"/>
      <c r="Q1175" s="11"/>
      <c r="R1175" s="8"/>
      <c r="S1175" s="7"/>
      <c r="T1175" s="7"/>
      <c r="U1175" s="7"/>
      <c r="V1175" s="7"/>
      <c r="W1175" s="7"/>
      <c r="X1175" s="8"/>
      <c r="Y1175" s="7"/>
      <c r="Z1175" s="7"/>
      <c r="AA1175" s="11"/>
      <c r="AB1175" s="11"/>
      <c r="AC1175" s="11"/>
      <c r="AD1175" s="11"/>
      <c r="AH1175" s="8"/>
      <c r="AI1175" s="20"/>
      <c r="AJ1175" s="20"/>
      <c r="AK1175" s="31"/>
      <c r="AL1175" s="31"/>
    </row>
    <row r="1176" spans="1:38" hidden="1" x14ac:dyDescent="0.25">
      <c r="A1176" s="9"/>
      <c r="B1176" s="7"/>
      <c r="C1176" s="7"/>
      <c r="D1176" s="7"/>
      <c r="E1176" s="7"/>
      <c r="F1176" s="7"/>
      <c r="G1176" s="7"/>
      <c r="H1176" s="7"/>
      <c r="I1176" s="7"/>
      <c r="J1176" s="20"/>
      <c r="K1176" s="20"/>
      <c r="L1176" s="20"/>
      <c r="M1176" s="20"/>
      <c r="N1176" s="9"/>
      <c r="P1176" s="7"/>
      <c r="Q1176" s="11"/>
      <c r="R1176" s="8"/>
      <c r="S1176" s="7"/>
      <c r="T1176" s="7"/>
      <c r="U1176" s="7"/>
      <c r="V1176" s="7"/>
      <c r="W1176" s="7"/>
      <c r="X1176" s="8"/>
      <c r="Y1176" s="7"/>
      <c r="Z1176" s="7"/>
      <c r="AA1176" s="11"/>
      <c r="AB1176" s="11"/>
      <c r="AC1176" s="11"/>
      <c r="AD1176" s="11"/>
      <c r="AH1176" s="8"/>
      <c r="AI1176" s="20"/>
      <c r="AJ1176" s="20"/>
      <c r="AK1176" s="31"/>
      <c r="AL1176" s="31"/>
    </row>
    <row r="1177" spans="1:38" hidden="1" x14ac:dyDescent="0.25">
      <c r="A1177" s="9"/>
      <c r="B1177" s="7"/>
      <c r="C1177" s="7"/>
      <c r="D1177" s="7"/>
      <c r="E1177" s="7"/>
      <c r="F1177" s="7"/>
      <c r="G1177" s="7"/>
      <c r="H1177" s="7"/>
      <c r="I1177" s="7"/>
      <c r="J1177" s="20"/>
      <c r="K1177" s="20"/>
      <c r="L1177" s="20"/>
      <c r="M1177" s="20"/>
      <c r="N1177" s="9"/>
      <c r="P1177" s="7"/>
      <c r="Q1177" s="11"/>
      <c r="R1177" s="8"/>
      <c r="S1177" s="7"/>
      <c r="T1177" s="7"/>
      <c r="U1177" s="7"/>
      <c r="V1177" s="7"/>
      <c r="W1177" s="7"/>
      <c r="X1177" s="8"/>
      <c r="Y1177" s="7"/>
      <c r="Z1177" s="7"/>
      <c r="AA1177" s="11"/>
      <c r="AB1177" s="11"/>
      <c r="AC1177" s="11"/>
      <c r="AD1177" s="11"/>
      <c r="AH1177" s="8"/>
      <c r="AI1177" s="20"/>
      <c r="AJ1177" s="20"/>
      <c r="AK1177" s="31"/>
      <c r="AL1177" s="31"/>
    </row>
    <row r="1178" spans="1:38" hidden="1" x14ac:dyDescent="0.25">
      <c r="A1178" s="9"/>
      <c r="B1178" s="7"/>
      <c r="C1178" s="7"/>
      <c r="D1178" s="7"/>
      <c r="E1178" s="7"/>
      <c r="F1178" s="7"/>
      <c r="G1178" s="7"/>
      <c r="H1178" s="7"/>
      <c r="I1178" s="7"/>
      <c r="J1178" s="20"/>
      <c r="K1178" s="20"/>
      <c r="L1178" s="20"/>
      <c r="M1178" s="20"/>
      <c r="N1178" s="9"/>
      <c r="P1178" s="7"/>
      <c r="Q1178" s="11"/>
      <c r="R1178" s="8"/>
      <c r="S1178" s="7"/>
      <c r="T1178" s="7"/>
      <c r="U1178" s="7"/>
      <c r="V1178" s="7"/>
      <c r="W1178" s="7"/>
      <c r="X1178" s="8"/>
      <c r="Y1178" s="7"/>
      <c r="Z1178" s="7"/>
      <c r="AA1178" s="11"/>
      <c r="AB1178" s="11"/>
      <c r="AC1178" s="11"/>
      <c r="AD1178" s="11"/>
      <c r="AH1178" s="8"/>
      <c r="AI1178" s="20"/>
      <c r="AJ1178" s="20"/>
      <c r="AK1178" s="31"/>
      <c r="AL1178" s="31"/>
    </row>
    <row r="1179" spans="1:38" hidden="1" x14ac:dyDescent="0.25">
      <c r="A1179" s="9"/>
      <c r="B1179" s="7"/>
      <c r="C1179" s="7"/>
      <c r="D1179" s="7"/>
      <c r="E1179" s="7"/>
      <c r="F1179" s="7"/>
      <c r="G1179" s="7"/>
      <c r="H1179" s="7"/>
      <c r="I1179" s="7"/>
      <c r="J1179" s="20"/>
      <c r="K1179" s="20"/>
      <c r="L1179" s="20"/>
      <c r="M1179" s="20"/>
      <c r="N1179" s="9"/>
      <c r="P1179" s="7"/>
      <c r="Q1179" s="11"/>
      <c r="R1179" s="8"/>
      <c r="S1179" s="7"/>
      <c r="T1179" s="7"/>
      <c r="U1179" s="7"/>
      <c r="V1179" s="7"/>
      <c r="W1179" s="7"/>
      <c r="X1179" s="8"/>
      <c r="Y1179" s="7"/>
      <c r="Z1179" s="7"/>
      <c r="AA1179" s="11"/>
      <c r="AB1179" s="11"/>
      <c r="AC1179" s="11"/>
      <c r="AD1179" s="11"/>
      <c r="AH1179" s="8"/>
      <c r="AI1179" s="20"/>
      <c r="AJ1179" s="20"/>
      <c r="AK1179" s="31"/>
      <c r="AL1179" s="31"/>
    </row>
    <row r="1180" spans="1:38" hidden="1" x14ac:dyDescent="0.25">
      <c r="A1180" s="9"/>
      <c r="B1180" s="7"/>
      <c r="C1180" s="7"/>
      <c r="D1180" s="7"/>
      <c r="E1180" s="7"/>
      <c r="F1180" s="7"/>
      <c r="G1180" s="7"/>
      <c r="H1180" s="7"/>
      <c r="I1180" s="7"/>
      <c r="J1180" s="20"/>
      <c r="K1180" s="20"/>
      <c r="L1180" s="20"/>
      <c r="M1180" s="20"/>
      <c r="N1180" s="9"/>
      <c r="P1180" s="7"/>
      <c r="Q1180" s="11"/>
      <c r="R1180" s="8"/>
      <c r="S1180" s="7"/>
      <c r="T1180" s="7"/>
      <c r="U1180" s="7"/>
      <c r="V1180" s="7"/>
      <c r="W1180" s="7"/>
      <c r="X1180" s="8"/>
      <c r="Y1180" s="7"/>
      <c r="Z1180" s="7"/>
      <c r="AA1180" s="11"/>
      <c r="AB1180" s="11"/>
      <c r="AC1180" s="11"/>
      <c r="AD1180" s="11"/>
      <c r="AH1180" s="8"/>
      <c r="AI1180" s="20"/>
      <c r="AJ1180" s="20"/>
      <c r="AK1180" s="31"/>
      <c r="AL1180" s="31"/>
    </row>
    <row r="1181" spans="1:38" hidden="1" x14ac:dyDescent="0.25">
      <c r="A1181" s="9"/>
      <c r="B1181" s="7"/>
      <c r="C1181" s="7"/>
      <c r="D1181" s="7"/>
      <c r="E1181" s="7"/>
      <c r="F1181" s="7"/>
      <c r="G1181" s="7"/>
      <c r="H1181" s="7"/>
      <c r="I1181" s="7"/>
      <c r="J1181" s="20"/>
      <c r="K1181" s="20"/>
      <c r="L1181" s="20"/>
      <c r="M1181" s="20"/>
      <c r="N1181" s="9"/>
      <c r="P1181" s="7"/>
      <c r="Q1181" s="11"/>
      <c r="R1181" s="8"/>
      <c r="S1181" s="7"/>
      <c r="T1181" s="7"/>
      <c r="U1181" s="7"/>
      <c r="V1181" s="7"/>
      <c r="W1181" s="7"/>
      <c r="X1181" s="8"/>
      <c r="Y1181" s="7"/>
      <c r="Z1181" s="7"/>
      <c r="AA1181" s="11"/>
      <c r="AB1181" s="11"/>
      <c r="AC1181" s="11"/>
      <c r="AD1181" s="11"/>
      <c r="AH1181" s="8"/>
      <c r="AI1181" s="20"/>
      <c r="AJ1181" s="20"/>
      <c r="AK1181" s="31"/>
      <c r="AL1181" s="31"/>
    </row>
    <row r="1182" spans="1:38" hidden="1" x14ac:dyDescent="0.25">
      <c r="A1182" s="9"/>
      <c r="B1182" s="7"/>
      <c r="C1182" s="7"/>
      <c r="D1182" s="7"/>
      <c r="E1182" s="7"/>
      <c r="F1182" s="7"/>
      <c r="G1182" s="7"/>
      <c r="H1182" s="7"/>
      <c r="I1182" s="7"/>
      <c r="J1182" s="20"/>
      <c r="K1182" s="20"/>
      <c r="L1182" s="20"/>
      <c r="M1182" s="20"/>
      <c r="N1182" s="9"/>
      <c r="P1182" s="7"/>
      <c r="Q1182" s="11"/>
      <c r="R1182" s="8"/>
      <c r="S1182" s="7"/>
      <c r="T1182" s="7"/>
      <c r="U1182" s="7"/>
      <c r="V1182" s="7"/>
      <c r="W1182" s="7"/>
      <c r="X1182" s="8"/>
      <c r="Y1182" s="7"/>
      <c r="Z1182" s="7"/>
      <c r="AA1182" s="11"/>
      <c r="AB1182" s="11"/>
      <c r="AC1182" s="11"/>
      <c r="AD1182" s="11"/>
      <c r="AH1182" s="8"/>
      <c r="AI1182" s="20"/>
      <c r="AJ1182" s="20"/>
      <c r="AK1182" s="31"/>
      <c r="AL1182" s="31"/>
    </row>
    <row r="1183" spans="1:38" hidden="1" x14ac:dyDescent="0.25">
      <c r="A1183" s="9"/>
      <c r="B1183" s="7"/>
      <c r="C1183" s="7"/>
      <c r="D1183" s="7"/>
      <c r="E1183" s="7"/>
      <c r="F1183" s="7"/>
      <c r="G1183" s="7"/>
      <c r="H1183" s="7"/>
      <c r="I1183" s="7"/>
      <c r="J1183" s="20"/>
      <c r="K1183" s="20"/>
      <c r="L1183" s="20"/>
      <c r="M1183" s="20"/>
      <c r="N1183" s="9"/>
      <c r="P1183" s="7"/>
      <c r="Q1183" s="11"/>
      <c r="R1183" s="8"/>
      <c r="S1183" s="7"/>
      <c r="T1183" s="7"/>
      <c r="U1183" s="7"/>
      <c r="V1183" s="7"/>
      <c r="W1183" s="7"/>
      <c r="X1183" s="8"/>
      <c r="Y1183" s="7"/>
      <c r="Z1183" s="7"/>
      <c r="AA1183" s="11"/>
      <c r="AB1183" s="11"/>
      <c r="AC1183" s="11"/>
      <c r="AD1183" s="11"/>
      <c r="AH1183" s="8"/>
      <c r="AI1183" s="20"/>
      <c r="AJ1183" s="20"/>
      <c r="AK1183" s="31"/>
      <c r="AL1183" s="31"/>
    </row>
    <row r="1184" spans="1:38" hidden="1" x14ac:dyDescent="0.25">
      <c r="A1184" s="9"/>
      <c r="B1184" s="7"/>
      <c r="C1184" s="7"/>
      <c r="D1184" s="7"/>
      <c r="E1184" s="7"/>
      <c r="F1184" s="7"/>
      <c r="G1184" s="7"/>
      <c r="H1184" s="7"/>
      <c r="I1184" s="7"/>
      <c r="J1184" s="20"/>
      <c r="K1184" s="20"/>
      <c r="L1184" s="20"/>
      <c r="M1184" s="20"/>
      <c r="N1184" s="9"/>
      <c r="P1184" s="7"/>
      <c r="Q1184" s="11"/>
      <c r="R1184" s="8"/>
      <c r="S1184" s="7"/>
      <c r="T1184" s="7"/>
      <c r="U1184" s="7"/>
      <c r="V1184" s="7"/>
      <c r="W1184" s="7"/>
      <c r="X1184" s="8"/>
      <c r="Y1184" s="7"/>
      <c r="Z1184" s="7"/>
      <c r="AA1184" s="11"/>
      <c r="AB1184" s="11"/>
      <c r="AC1184" s="11"/>
      <c r="AD1184" s="11"/>
      <c r="AH1184" s="8"/>
      <c r="AI1184" s="20"/>
      <c r="AJ1184" s="20"/>
      <c r="AK1184" s="31"/>
      <c r="AL1184" s="31"/>
    </row>
    <row r="1185" spans="1:38" hidden="1" x14ac:dyDescent="0.25">
      <c r="A1185" s="9"/>
      <c r="B1185" s="7"/>
      <c r="C1185" s="7"/>
      <c r="D1185" s="7"/>
      <c r="E1185" s="7"/>
      <c r="F1185" s="7"/>
      <c r="G1185" s="7"/>
      <c r="H1185" s="7"/>
      <c r="I1185" s="7"/>
      <c r="J1185" s="20"/>
      <c r="K1185" s="20"/>
      <c r="L1185" s="20"/>
      <c r="M1185" s="20"/>
      <c r="N1185" s="9"/>
      <c r="P1185" s="7"/>
      <c r="Q1185" s="11"/>
      <c r="R1185" s="8"/>
      <c r="S1185" s="7"/>
      <c r="T1185" s="7"/>
      <c r="U1185" s="7"/>
      <c r="V1185" s="7"/>
      <c r="W1185" s="7"/>
      <c r="X1185" s="8"/>
      <c r="Y1185" s="7"/>
      <c r="Z1185" s="7"/>
      <c r="AA1185" s="11"/>
      <c r="AB1185" s="11"/>
      <c r="AC1185" s="11"/>
      <c r="AD1185" s="11"/>
      <c r="AH1185" s="8"/>
      <c r="AI1185" s="20"/>
      <c r="AJ1185" s="20"/>
      <c r="AK1185" s="31"/>
      <c r="AL1185" s="31"/>
    </row>
    <row r="1186" spans="1:38" hidden="1" x14ac:dyDescent="0.25">
      <c r="A1186" s="9"/>
      <c r="B1186" s="7"/>
      <c r="C1186" s="7"/>
      <c r="D1186" s="7"/>
      <c r="E1186" s="7"/>
      <c r="F1186" s="7"/>
      <c r="G1186" s="7"/>
      <c r="H1186" s="7"/>
      <c r="I1186" s="7"/>
      <c r="J1186" s="20"/>
      <c r="K1186" s="20"/>
      <c r="L1186" s="20"/>
      <c r="M1186" s="20"/>
      <c r="N1186" s="9"/>
      <c r="P1186" s="7"/>
      <c r="Q1186" s="11"/>
      <c r="R1186" s="8"/>
      <c r="S1186" s="7"/>
      <c r="T1186" s="7"/>
      <c r="U1186" s="7"/>
      <c r="V1186" s="7"/>
      <c r="W1186" s="7"/>
      <c r="X1186" s="8"/>
      <c r="Y1186" s="7"/>
      <c r="Z1186" s="7"/>
      <c r="AA1186" s="11"/>
      <c r="AB1186" s="11"/>
      <c r="AC1186" s="11"/>
      <c r="AD1186" s="11"/>
      <c r="AH1186" s="8"/>
      <c r="AI1186" s="20"/>
      <c r="AJ1186" s="20"/>
      <c r="AK1186" s="31"/>
      <c r="AL1186" s="31"/>
    </row>
    <row r="1187" spans="1:38" hidden="1" x14ac:dyDescent="0.25">
      <c r="A1187" s="9"/>
      <c r="B1187" s="7"/>
      <c r="C1187" s="7"/>
      <c r="D1187" s="7"/>
      <c r="E1187" s="7"/>
      <c r="F1187" s="7"/>
      <c r="G1187" s="7"/>
      <c r="H1187" s="7"/>
      <c r="I1187" s="7"/>
      <c r="J1187" s="20"/>
      <c r="K1187" s="20"/>
      <c r="L1187" s="20"/>
      <c r="M1187" s="20"/>
      <c r="N1187" s="9"/>
      <c r="P1187" s="7"/>
      <c r="Q1187" s="11"/>
      <c r="R1187" s="8"/>
      <c r="S1187" s="7"/>
      <c r="T1187" s="7"/>
      <c r="U1187" s="7"/>
      <c r="V1187" s="7"/>
      <c r="W1187" s="7"/>
      <c r="X1187" s="8"/>
      <c r="Y1187" s="7"/>
      <c r="Z1187" s="7"/>
      <c r="AA1187" s="11"/>
      <c r="AB1187" s="11"/>
      <c r="AC1187" s="11"/>
      <c r="AD1187" s="11"/>
      <c r="AH1187" s="8"/>
      <c r="AI1187" s="20"/>
      <c r="AJ1187" s="20"/>
      <c r="AK1187" s="31"/>
      <c r="AL1187" s="31"/>
    </row>
    <row r="1188" spans="1:38" hidden="1" x14ac:dyDescent="0.25">
      <c r="A1188" s="9"/>
      <c r="B1188" s="7"/>
      <c r="C1188" s="7"/>
      <c r="D1188" s="7"/>
      <c r="E1188" s="7"/>
      <c r="F1188" s="7"/>
      <c r="G1188" s="7"/>
      <c r="H1188" s="7"/>
      <c r="I1188" s="7"/>
      <c r="J1188" s="20"/>
      <c r="K1188" s="20"/>
      <c r="L1188" s="20"/>
      <c r="M1188" s="20"/>
      <c r="N1188" s="9"/>
      <c r="P1188" s="7"/>
      <c r="Q1188" s="11"/>
      <c r="R1188" s="8"/>
      <c r="S1188" s="7"/>
      <c r="T1188" s="7"/>
      <c r="U1188" s="7"/>
      <c r="V1188" s="7"/>
      <c r="W1188" s="7"/>
      <c r="X1188" s="8"/>
      <c r="Y1188" s="7"/>
      <c r="Z1188" s="7"/>
      <c r="AA1188" s="11"/>
      <c r="AB1188" s="11"/>
      <c r="AC1188" s="11"/>
      <c r="AD1188" s="11"/>
      <c r="AH1188" s="8"/>
      <c r="AI1188" s="20"/>
      <c r="AJ1188" s="20"/>
      <c r="AK1188" s="31"/>
      <c r="AL1188" s="31"/>
    </row>
    <row r="1189" spans="1:38" hidden="1" x14ac:dyDescent="0.25">
      <c r="A1189" s="9"/>
      <c r="B1189" s="7"/>
      <c r="C1189" s="7"/>
      <c r="D1189" s="7"/>
      <c r="E1189" s="7"/>
      <c r="F1189" s="7"/>
      <c r="G1189" s="7"/>
      <c r="H1189" s="7"/>
      <c r="I1189" s="7"/>
      <c r="J1189" s="20"/>
      <c r="K1189" s="20"/>
      <c r="L1189" s="20"/>
      <c r="M1189" s="20"/>
      <c r="N1189" s="9"/>
      <c r="P1189" s="7"/>
      <c r="Q1189" s="11"/>
      <c r="R1189" s="8"/>
      <c r="S1189" s="7"/>
      <c r="T1189" s="7"/>
      <c r="U1189" s="7"/>
      <c r="V1189" s="7"/>
      <c r="W1189" s="7"/>
      <c r="X1189" s="8"/>
      <c r="Y1189" s="7"/>
      <c r="Z1189" s="7"/>
      <c r="AA1189" s="11"/>
      <c r="AB1189" s="11"/>
      <c r="AC1189" s="11"/>
      <c r="AD1189" s="11"/>
      <c r="AH1189" s="8"/>
      <c r="AI1189" s="20"/>
      <c r="AJ1189" s="20"/>
      <c r="AK1189" s="31"/>
      <c r="AL1189" s="31"/>
    </row>
    <row r="1190" spans="1:38" hidden="1" x14ac:dyDescent="0.25">
      <c r="A1190" s="9"/>
      <c r="B1190" s="7"/>
      <c r="C1190" s="7"/>
      <c r="D1190" s="7"/>
      <c r="E1190" s="7"/>
      <c r="F1190" s="7"/>
      <c r="G1190" s="7"/>
      <c r="H1190" s="7"/>
      <c r="I1190" s="7"/>
      <c r="J1190" s="20"/>
      <c r="K1190" s="20"/>
      <c r="L1190" s="20"/>
      <c r="M1190" s="20"/>
      <c r="N1190" s="9"/>
      <c r="P1190" s="7"/>
      <c r="Q1190" s="11"/>
      <c r="R1190" s="8"/>
      <c r="S1190" s="7"/>
      <c r="T1190" s="7"/>
      <c r="U1190" s="7"/>
      <c r="V1190" s="7"/>
      <c r="W1190" s="7"/>
      <c r="X1190" s="8"/>
      <c r="Y1190" s="7"/>
      <c r="Z1190" s="7"/>
      <c r="AA1190" s="11"/>
      <c r="AB1190" s="11"/>
      <c r="AC1190" s="11"/>
      <c r="AD1190" s="11"/>
      <c r="AH1190" s="8"/>
      <c r="AI1190" s="20"/>
      <c r="AJ1190" s="20"/>
      <c r="AK1190" s="31"/>
      <c r="AL1190" s="31"/>
    </row>
    <row r="1191" spans="1:38" hidden="1" x14ac:dyDescent="0.25">
      <c r="A1191" s="9"/>
      <c r="B1191" s="7"/>
      <c r="C1191" s="7"/>
      <c r="D1191" s="7"/>
      <c r="E1191" s="7"/>
      <c r="F1191" s="7"/>
      <c r="G1191" s="7"/>
      <c r="H1191" s="7"/>
      <c r="I1191" s="7"/>
      <c r="J1191" s="20"/>
      <c r="K1191" s="20"/>
      <c r="L1191" s="20"/>
      <c r="M1191" s="20"/>
      <c r="N1191" s="9"/>
      <c r="P1191" s="7"/>
      <c r="Q1191" s="11"/>
      <c r="R1191" s="8"/>
      <c r="S1191" s="7"/>
      <c r="T1191" s="7"/>
      <c r="U1191" s="7"/>
      <c r="V1191" s="7"/>
      <c r="W1191" s="7"/>
      <c r="X1191" s="8"/>
      <c r="Y1191" s="7"/>
      <c r="Z1191" s="7"/>
      <c r="AA1191" s="11"/>
      <c r="AB1191" s="11"/>
      <c r="AC1191" s="11"/>
      <c r="AD1191" s="11"/>
      <c r="AH1191" s="8"/>
      <c r="AI1191" s="20"/>
      <c r="AJ1191" s="20"/>
      <c r="AK1191" s="31"/>
      <c r="AL1191" s="31"/>
    </row>
    <row r="1192" spans="1:38" hidden="1" x14ac:dyDescent="0.25">
      <c r="A1192" s="9"/>
      <c r="B1192" s="7"/>
      <c r="C1192" s="7"/>
      <c r="D1192" s="7"/>
      <c r="E1192" s="7"/>
      <c r="F1192" s="7"/>
      <c r="G1192" s="7"/>
      <c r="H1192" s="7"/>
      <c r="I1192" s="7"/>
      <c r="J1192" s="20"/>
      <c r="K1192" s="20"/>
      <c r="L1192" s="20"/>
      <c r="M1192" s="20"/>
      <c r="N1192" s="9"/>
      <c r="P1192" s="7"/>
      <c r="Q1192" s="11"/>
      <c r="R1192" s="8"/>
      <c r="S1192" s="7"/>
      <c r="T1192" s="7"/>
      <c r="U1192" s="7"/>
      <c r="V1192" s="7"/>
      <c r="W1192" s="7"/>
      <c r="X1192" s="8"/>
      <c r="Y1192" s="7"/>
      <c r="Z1192" s="7"/>
      <c r="AA1192" s="11"/>
      <c r="AB1192" s="11"/>
      <c r="AC1192" s="11"/>
      <c r="AD1192" s="11"/>
      <c r="AH1192" s="8"/>
      <c r="AI1192" s="20"/>
      <c r="AJ1192" s="20"/>
      <c r="AK1192" s="31"/>
      <c r="AL1192" s="31"/>
    </row>
    <row r="1193" spans="1:38" hidden="1" x14ac:dyDescent="0.25">
      <c r="A1193" s="9"/>
      <c r="B1193" s="7"/>
      <c r="C1193" s="7"/>
      <c r="D1193" s="7"/>
      <c r="E1193" s="7"/>
      <c r="F1193" s="7"/>
      <c r="G1193" s="7"/>
      <c r="H1193" s="7"/>
      <c r="I1193" s="7"/>
      <c r="J1193" s="20"/>
      <c r="K1193" s="20"/>
      <c r="L1193" s="20"/>
      <c r="M1193" s="20"/>
      <c r="N1193" s="9"/>
      <c r="P1193" s="7"/>
      <c r="Q1193" s="11"/>
      <c r="R1193" s="8"/>
      <c r="S1193" s="7"/>
      <c r="T1193" s="7"/>
      <c r="U1193" s="7"/>
      <c r="V1193" s="7"/>
      <c r="W1193" s="7"/>
      <c r="X1193" s="8"/>
      <c r="Y1193" s="7"/>
      <c r="Z1193" s="7"/>
      <c r="AA1193" s="11"/>
      <c r="AB1193" s="11"/>
      <c r="AC1193" s="11"/>
      <c r="AD1193" s="11"/>
      <c r="AH1193" s="8"/>
      <c r="AI1193" s="20"/>
      <c r="AJ1193" s="20"/>
      <c r="AK1193" s="31"/>
      <c r="AL1193" s="31"/>
    </row>
    <row r="1194" spans="1:38" hidden="1" x14ac:dyDescent="0.25">
      <c r="A1194" s="9"/>
      <c r="B1194" s="7"/>
      <c r="C1194" s="7"/>
      <c r="D1194" s="7"/>
      <c r="E1194" s="7"/>
      <c r="F1194" s="7"/>
      <c r="G1194" s="7"/>
      <c r="H1194" s="7"/>
      <c r="I1194" s="7"/>
      <c r="J1194" s="20"/>
      <c r="K1194" s="20"/>
      <c r="L1194" s="20"/>
      <c r="M1194" s="20"/>
      <c r="N1194" s="9"/>
      <c r="P1194" s="7"/>
      <c r="Q1194" s="11"/>
      <c r="R1194" s="8"/>
      <c r="S1194" s="7"/>
      <c r="T1194" s="7"/>
      <c r="U1194" s="7"/>
      <c r="V1194" s="7"/>
      <c r="W1194" s="7"/>
      <c r="X1194" s="8"/>
      <c r="Y1194" s="7"/>
      <c r="Z1194" s="7"/>
      <c r="AA1194" s="11"/>
      <c r="AB1194" s="11"/>
      <c r="AC1194" s="11"/>
      <c r="AD1194" s="11"/>
      <c r="AH1194" s="8"/>
      <c r="AI1194" s="20"/>
      <c r="AJ1194" s="20"/>
      <c r="AK1194" s="31"/>
      <c r="AL1194" s="31"/>
    </row>
    <row r="1195" spans="1:38" hidden="1" x14ac:dyDescent="0.25">
      <c r="A1195" s="9"/>
      <c r="B1195" s="7"/>
      <c r="C1195" s="7"/>
      <c r="D1195" s="7"/>
      <c r="E1195" s="7"/>
      <c r="F1195" s="7"/>
      <c r="G1195" s="7"/>
      <c r="H1195" s="7"/>
      <c r="I1195" s="7"/>
      <c r="J1195" s="20"/>
      <c r="K1195" s="20"/>
      <c r="L1195" s="20"/>
      <c r="M1195" s="20"/>
      <c r="N1195" s="9"/>
      <c r="P1195" s="7"/>
      <c r="Q1195" s="11"/>
      <c r="R1195" s="8"/>
      <c r="S1195" s="7"/>
      <c r="T1195" s="7"/>
      <c r="U1195" s="7"/>
      <c r="V1195" s="7"/>
      <c r="W1195" s="7"/>
      <c r="X1195" s="8"/>
      <c r="Y1195" s="7"/>
      <c r="Z1195" s="7"/>
      <c r="AA1195" s="11"/>
      <c r="AB1195" s="11"/>
      <c r="AC1195" s="11"/>
      <c r="AD1195" s="11"/>
      <c r="AH1195" s="8"/>
      <c r="AI1195" s="20"/>
      <c r="AJ1195" s="20"/>
      <c r="AK1195" s="31"/>
      <c r="AL1195" s="31"/>
    </row>
    <row r="1196" spans="1:38" hidden="1" x14ac:dyDescent="0.25">
      <c r="A1196" s="9"/>
      <c r="B1196" s="7"/>
      <c r="C1196" s="7"/>
      <c r="D1196" s="7"/>
      <c r="E1196" s="7"/>
      <c r="F1196" s="7"/>
      <c r="G1196" s="7"/>
      <c r="H1196" s="7"/>
      <c r="I1196" s="7"/>
      <c r="J1196" s="20"/>
      <c r="K1196" s="20"/>
      <c r="L1196" s="20"/>
      <c r="M1196" s="20"/>
      <c r="N1196" s="9"/>
      <c r="P1196" s="7"/>
      <c r="Q1196" s="11"/>
      <c r="R1196" s="8"/>
      <c r="S1196" s="7"/>
      <c r="T1196" s="7"/>
      <c r="U1196" s="7"/>
      <c r="V1196" s="7"/>
      <c r="W1196" s="7"/>
      <c r="X1196" s="8"/>
      <c r="Y1196" s="7"/>
      <c r="Z1196" s="7"/>
      <c r="AA1196" s="11"/>
      <c r="AB1196" s="11"/>
      <c r="AC1196" s="11"/>
      <c r="AD1196" s="11"/>
      <c r="AH1196" s="8"/>
      <c r="AI1196" s="20"/>
      <c r="AJ1196" s="20"/>
      <c r="AK1196" s="31"/>
      <c r="AL1196" s="31"/>
    </row>
    <row r="1197" spans="1:38" hidden="1" x14ac:dyDescent="0.25">
      <c r="A1197" s="9"/>
      <c r="B1197" s="7"/>
      <c r="C1197" s="7"/>
      <c r="D1197" s="7"/>
      <c r="E1197" s="7"/>
      <c r="F1197" s="7"/>
      <c r="G1197" s="7"/>
      <c r="H1197" s="7"/>
      <c r="I1197" s="7"/>
      <c r="J1197" s="20"/>
      <c r="K1197" s="20"/>
      <c r="L1197" s="20"/>
      <c r="M1197" s="20"/>
      <c r="N1197" s="9"/>
      <c r="P1197" s="7"/>
      <c r="Q1197" s="11"/>
      <c r="R1197" s="8"/>
      <c r="S1197" s="7"/>
      <c r="T1197" s="7"/>
      <c r="U1197" s="7"/>
      <c r="V1197" s="7"/>
      <c r="W1197" s="7"/>
      <c r="X1197" s="8"/>
      <c r="Y1197" s="7"/>
      <c r="Z1197" s="7"/>
      <c r="AA1197" s="11"/>
      <c r="AB1197" s="11"/>
      <c r="AC1197" s="11"/>
      <c r="AD1197" s="11"/>
      <c r="AH1197" s="8"/>
      <c r="AI1197" s="20"/>
      <c r="AJ1197" s="20"/>
      <c r="AK1197" s="31"/>
      <c r="AL1197" s="31"/>
    </row>
    <row r="1198" spans="1:38" hidden="1" x14ac:dyDescent="0.25">
      <c r="A1198" s="9"/>
      <c r="B1198" s="7"/>
      <c r="C1198" s="7"/>
      <c r="D1198" s="7"/>
      <c r="E1198" s="7"/>
      <c r="F1198" s="7"/>
      <c r="G1198" s="7"/>
      <c r="H1198" s="7"/>
      <c r="I1198" s="7"/>
      <c r="J1198" s="20"/>
      <c r="K1198" s="20"/>
      <c r="L1198" s="20"/>
      <c r="M1198" s="20"/>
      <c r="N1198" s="9"/>
      <c r="P1198" s="7"/>
      <c r="Q1198" s="11"/>
      <c r="R1198" s="8"/>
      <c r="S1198" s="7"/>
      <c r="T1198" s="7"/>
      <c r="U1198" s="7"/>
      <c r="V1198" s="7"/>
      <c r="W1198" s="7"/>
      <c r="X1198" s="8"/>
      <c r="Y1198" s="7"/>
      <c r="Z1198" s="7"/>
      <c r="AA1198" s="11"/>
      <c r="AB1198" s="11"/>
      <c r="AC1198" s="11"/>
      <c r="AD1198" s="11"/>
      <c r="AH1198" s="8"/>
      <c r="AI1198" s="20"/>
      <c r="AJ1198" s="20"/>
      <c r="AK1198" s="31"/>
      <c r="AL1198" s="31"/>
    </row>
    <row r="1199" spans="1:38" hidden="1" x14ac:dyDescent="0.25">
      <c r="A1199" s="9"/>
      <c r="B1199" s="7"/>
      <c r="C1199" s="7"/>
      <c r="D1199" s="7"/>
      <c r="E1199" s="7"/>
      <c r="F1199" s="7"/>
      <c r="G1199" s="7"/>
      <c r="H1199" s="7"/>
      <c r="I1199" s="7"/>
      <c r="J1199" s="20"/>
      <c r="K1199" s="20"/>
      <c r="L1199" s="20"/>
      <c r="M1199" s="20"/>
      <c r="N1199" s="9"/>
      <c r="P1199" s="7"/>
      <c r="Q1199" s="11"/>
      <c r="R1199" s="8"/>
      <c r="S1199" s="7"/>
      <c r="T1199" s="7"/>
      <c r="U1199" s="7"/>
      <c r="V1199" s="7"/>
      <c r="W1199" s="7"/>
      <c r="X1199" s="8"/>
      <c r="Y1199" s="7"/>
      <c r="Z1199" s="7"/>
      <c r="AA1199" s="11"/>
      <c r="AB1199" s="11"/>
      <c r="AC1199" s="11"/>
      <c r="AD1199" s="11"/>
      <c r="AH1199" s="8"/>
      <c r="AI1199" s="20"/>
      <c r="AJ1199" s="20"/>
      <c r="AK1199" s="31"/>
      <c r="AL1199" s="31"/>
    </row>
    <row r="1200" spans="1:38" hidden="1" x14ac:dyDescent="0.25">
      <c r="A1200" s="9"/>
      <c r="B1200" s="7"/>
      <c r="C1200" s="7"/>
      <c r="D1200" s="7"/>
      <c r="E1200" s="7"/>
      <c r="F1200" s="7"/>
      <c r="G1200" s="7"/>
      <c r="H1200" s="7"/>
      <c r="I1200" s="7"/>
      <c r="J1200" s="20"/>
      <c r="K1200" s="20"/>
      <c r="L1200" s="20"/>
      <c r="M1200" s="20"/>
      <c r="N1200" s="9"/>
      <c r="P1200" s="7"/>
      <c r="Q1200" s="11"/>
      <c r="R1200" s="8"/>
      <c r="S1200" s="7"/>
      <c r="T1200" s="7"/>
      <c r="U1200" s="7"/>
      <c r="V1200" s="7"/>
      <c r="W1200" s="7"/>
      <c r="X1200" s="8"/>
      <c r="Y1200" s="7"/>
      <c r="Z1200" s="7"/>
      <c r="AA1200" s="11"/>
      <c r="AB1200" s="11"/>
      <c r="AC1200" s="11"/>
      <c r="AD1200" s="11"/>
      <c r="AH1200" s="8"/>
      <c r="AI1200" s="20"/>
      <c r="AJ1200" s="20"/>
      <c r="AK1200" s="31"/>
      <c r="AL1200" s="31"/>
    </row>
    <row r="1201" spans="1:38" hidden="1" x14ac:dyDescent="0.25">
      <c r="A1201" s="9"/>
      <c r="B1201" s="7"/>
      <c r="C1201" s="7"/>
      <c r="D1201" s="7"/>
      <c r="E1201" s="7"/>
      <c r="F1201" s="7"/>
      <c r="G1201" s="7"/>
      <c r="H1201" s="7"/>
      <c r="I1201" s="7"/>
      <c r="J1201" s="20"/>
      <c r="K1201" s="20"/>
      <c r="L1201" s="20"/>
      <c r="M1201" s="20"/>
      <c r="N1201" s="9"/>
      <c r="P1201" s="7"/>
      <c r="Q1201" s="11"/>
      <c r="R1201" s="8"/>
      <c r="S1201" s="7"/>
      <c r="T1201" s="7"/>
      <c r="U1201" s="7"/>
      <c r="V1201" s="7"/>
      <c r="W1201" s="7"/>
      <c r="X1201" s="8"/>
      <c r="Y1201" s="7"/>
      <c r="Z1201" s="7"/>
      <c r="AA1201" s="11"/>
      <c r="AB1201" s="11"/>
      <c r="AC1201" s="11"/>
      <c r="AD1201" s="11"/>
      <c r="AH1201" s="8"/>
      <c r="AI1201" s="20"/>
      <c r="AJ1201" s="20"/>
      <c r="AK1201" s="31"/>
      <c r="AL1201" s="31"/>
    </row>
    <row r="1202" spans="1:38" hidden="1" x14ac:dyDescent="0.25">
      <c r="A1202" s="9"/>
      <c r="B1202" s="7"/>
      <c r="C1202" s="7"/>
      <c r="D1202" s="7"/>
      <c r="E1202" s="7"/>
      <c r="F1202" s="7"/>
      <c r="G1202" s="7"/>
      <c r="H1202" s="7"/>
      <c r="I1202" s="7"/>
      <c r="J1202" s="20"/>
      <c r="K1202" s="20"/>
      <c r="L1202" s="20"/>
      <c r="M1202" s="20"/>
      <c r="N1202" s="9"/>
      <c r="P1202" s="7"/>
      <c r="Q1202" s="11"/>
      <c r="R1202" s="8"/>
      <c r="S1202" s="7"/>
      <c r="T1202" s="7"/>
      <c r="U1202" s="7"/>
      <c r="V1202" s="7"/>
      <c r="W1202" s="7"/>
      <c r="X1202" s="8"/>
      <c r="Y1202" s="7"/>
      <c r="Z1202" s="7"/>
      <c r="AA1202" s="11"/>
      <c r="AB1202" s="11"/>
      <c r="AC1202" s="11"/>
      <c r="AD1202" s="11"/>
      <c r="AH1202" s="8"/>
      <c r="AI1202" s="20"/>
      <c r="AJ1202" s="20"/>
      <c r="AK1202" s="31"/>
      <c r="AL1202" s="31"/>
    </row>
    <row r="1203" spans="1:38" hidden="1" x14ac:dyDescent="0.25">
      <c r="A1203" s="9"/>
      <c r="B1203" s="7"/>
      <c r="C1203" s="7"/>
      <c r="D1203" s="7"/>
      <c r="E1203" s="7"/>
      <c r="F1203" s="7"/>
      <c r="G1203" s="7"/>
      <c r="H1203" s="7"/>
      <c r="I1203" s="7"/>
      <c r="J1203" s="20"/>
      <c r="K1203" s="20"/>
      <c r="L1203" s="20"/>
      <c r="M1203" s="20"/>
      <c r="N1203" s="9"/>
      <c r="P1203" s="7"/>
      <c r="Q1203" s="11"/>
      <c r="R1203" s="8"/>
      <c r="S1203" s="7"/>
      <c r="T1203" s="7"/>
      <c r="U1203" s="7"/>
      <c r="V1203" s="7"/>
      <c r="W1203" s="7"/>
      <c r="X1203" s="8"/>
      <c r="Y1203" s="7"/>
      <c r="Z1203" s="7"/>
      <c r="AA1203" s="11"/>
      <c r="AB1203" s="11"/>
      <c r="AC1203" s="11"/>
      <c r="AD1203" s="11"/>
      <c r="AH1203" s="8"/>
      <c r="AI1203" s="20"/>
      <c r="AJ1203" s="20"/>
      <c r="AK1203" s="31"/>
      <c r="AL1203" s="31"/>
    </row>
    <row r="1204" spans="1:38" hidden="1" x14ac:dyDescent="0.25">
      <c r="A1204" s="9"/>
      <c r="B1204" s="7"/>
      <c r="C1204" s="7"/>
      <c r="D1204" s="7"/>
      <c r="E1204" s="7"/>
      <c r="F1204" s="7"/>
      <c r="G1204" s="7"/>
      <c r="H1204" s="7"/>
      <c r="I1204" s="7"/>
      <c r="J1204" s="20"/>
      <c r="K1204" s="20"/>
      <c r="L1204" s="20"/>
      <c r="M1204" s="20"/>
      <c r="N1204" s="9"/>
      <c r="P1204" s="7"/>
      <c r="Q1204" s="11"/>
      <c r="R1204" s="8"/>
      <c r="S1204" s="7"/>
      <c r="T1204" s="7"/>
      <c r="U1204" s="7"/>
      <c r="V1204" s="7"/>
      <c r="W1204" s="7"/>
      <c r="X1204" s="8"/>
      <c r="Y1204" s="7"/>
      <c r="Z1204" s="7"/>
      <c r="AA1204" s="11"/>
      <c r="AB1204" s="11"/>
      <c r="AC1204" s="11"/>
      <c r="AD1204" s="11"/>
      <c r="AH1204" s="8"/>
      <c r="AI1204" s="20"/>
      <c r="AJ1204" s="20"/>
      <c r="AK1204" s="31"/>
      <c r="AL1204" s="31"/>
    </row>
    <row r="1205" spans="1:38" hidden="1" x14ac:dyDescent="0.25">
      <c r="A1205" s="9"/>
      <c r="B1205" s="7"/>
      <c r="C1205" s="7"/>
      <c r="D1205" s="7"/>
      <c r="E1205" s="7"/>
      <c r="F1205" s="7"/>
      <c r="G1205" s="7"/>
      <c r="H1205" s="7"/>
      <c r="I1205" s="7"/>
      <c r="J1205" s="20"/>
      <c r="K1205" s="20"/>
      <c r="L1205" s="20"/>
      <c r="M1205" s="20"/>
      <c r="N1205" s="9"/>
      <c r="P1205" s="7"/>
      <c r="Q1205" s="11"/>
      <c r="R1205" s="8"/>
      <c r="S1205" s="7"/>
      <c r="T1205" s="7"/>
      <c r="U1205" s="7"/>
      <c r="V1205" s="7"/>
      <c r="W1205" s="7"/>
      <c r="X1205" s="8"/>
      <c r="Y1205" s="7"/>
      <c r="Z1205" s="7"/>
      <c r="AA1205" s="11"/>
      <c r="AB1205" s="11"/>
      <c r="AC1205" s="11"/>
      <c r="AD1205" s="11"/>
      <c r="AH1205" s="8"/>
      <c r="AI1205" s="20"/>
      <c r="AJ1205" s="20"/>
      <c r="AK1205" s="31"/>
      <c r="AL1205" s="31"/>
    </row>
    <row r="1206" spans="1:38" hidden="1" x14ac:dyDescent="0.25">
      <c r="A1206" s="9"/>
      <c r="B1206" s="7"/>
      <c r="C1206" s="7"/>
      <c r="D1206" s="7"/>
      <c r="E1206" s="7"/>
      <c r="F1206" s="7"/>
      <c r="G1206" s="7"/>
      <c r="H1206" s="7"/>
      <c r="I1206" s="7"/>
      <c r="J1206" s="20"/>
      <c r="K1206" s="20"/>
      <c r="L1206" s="20"/>
      <c r="M1206" s="20"/>
      <c r="N1206" s="9"/>
      <c r="P1206" s="7"/>
      <c r="Q1206" s="11"/>
      <c r="R1206" s="8"/>
      <c r="S1206" s="7"/>
      <c r="T1206" s="7"/>
      <c r="U1206" s="7"/>
      <c r="V1206" s="7"/>
      <c r="W1206" s="7"/>
      <c r="X1206" s="8"/>
      <c r="Y1206" s="7"/>
      <c r="Z1206" s="7"/>
      <c r="AA1206" s="11"/>
      <c r="AB1206" s="11"/>
      <c r="AC1206" s="11"/>
      <c r="AD1206" s="11"/>
      <c r="AH1206" s="8"/>
      <c r="AI1206" s="20"/>
      <c r="AJ1206" s="20"/>
      <c r="AK1206" s="31"/>
      <c r="AL1206" s="31"/>
    </row>
    <row r="1207" spans="1:38" hidden="1" x14ac:dyDescent="0.25">
      <c r="A1207" s="9"/>
      <c r="B1207" s="7"/>
      <c r="C1207" s="7"/>
      <c r="D1207" s="7"/>
      <c r="E1207" s="7"/>
      <c r="F1207" s="7"/>
      <c r="G1207" s="7"/>
      <c r="H1207" s="7"/>
      <c r="I1207" s="7"/>
      <c r="J1207" s="20"/>
      <c r="K1207" s="20"/>
      <c r="L1207" s="20"/>
      <c r="M1207" s="20"/>
      <c r="N1207" s="9"/>
      <c r="P1207" s="7"/>
      <c r="Q1207" s="11"/>
      <c r="R1207" s="8"/>
      <c r="S1207" s="7"/>
      <c r="T1207" s="7"/>
      <c r="U1207" s="7"/>
      <c r="V1207" s="7"/>
      <c r="W1207" s="7"/>
      <c r="X1207" s="8"/>
      <c r="Y1207" s="7"/>
      <c r="Z1207" s="7"/>
      <c r="AA1207" s="11"/>
      <c r="AB1207" s="11"/>
      <c r="AC1207" s="11"/>
      <c r="AD1207" s="11"/>
      <c r="AH1207" s="8"/>
      <c r="AI1207" s="20"/>
      <c r="AJ1207" s="20"/>
      <c r="AK1207" s="31"/>
      <c r="AL1207" s="31"/>
    </row>
    <row r="1208" spans="1:38" hidden="1" x14ac:dyDescent="0.25">
      <c r="A1208" s="9"/>
      <c r="B1208" s="7"/>
      <c r="C1208" s="7"/>
      <c r="D1208" s="7"/>
      <c r="E1208" s="7"/>
      <c r="F1208" s="7"/>
      <c r="G1208" s="7"/>
      <c r="H1208" s="7"/>
      <c r="I1208" s="7"/>
      <c r="J1208" s="20"/>
      <c r="K1208" s="20"/>
      <c r="L1208" s="20"/>
      <c r="M1208" s="20"/>
      <c r="N1208" s="9"/>
      <c r="P1208" s="7"/>
      <c r="Q1208" s="11"/>
      <c r="R1208" s="8"/>
      <c r="S1208" s="7"/>
      <c r="T1208" s="7"/>
      <c r="U1208" s="7"/>
      <c r="V1208" s="7"/>
      <c r="W1208" s="7"/>
      <c r="X1208" s="8"/>
      <c r="Y1208" s="7"/>
      <c r="Z1208" s="7"/>
      <c r="AA1208" s="11"/>
      <c r="AB1208" s="11"/>
      <c r="AC1208" s="11"/>
      <c r="AD1208" s="11"/>
      <c r="AH1208" s="8"/>
      <c r="AI1208" s="20"/>
      <c r="AJ1208" s="20"/>
      <c r="AK1208" s="31"/>
      <c r="AL1208" s="31"/>
    </row>
    <row r="1209" spans="1:38" hidden="1" x14ac:dyDescent="0.25">
      <c r="A1209" s="9"/>
      <c r="B1209" s="7"/>
      <c r="C1209" s="7"/>
      <c r="D1209" s="7"/>
      <c r="E1209" s="7"/>
      <c r="F1209" s="7"/>
      <c r="G1209" s="7"/>
      <c r="H1209" s="7"/>
      <c r="I1209" s="7"/>
      <c r="J1209" s="20"/>
      <c r="K1209" s="20"/>
      <c r="L1209" s="20"/>
      <c r="M1209" s="20"/>
      <c r="N1209" s="9"/>
      <c r="P1209" s="7"/>
      <c r="Q1209" s="11"/>
      <c r="R1209" s="8"/>
      <c r="S1209" s="7"/>
      <c r="T1209" s="7"/>
      <c r="U1209" s="7"/>
      <c r="V1209" s="7"/>
      <c r="W1209" s="7"/>
      <c r="X1209" s="8"/>
      <c r="Y1209" s="7"/>
      <c r="Z1209" s="7"/>
      <c r="AA1209" s="11"/>
      <c r="AB1209" s="11"/>
      <c r="AC1209" s="11"/>
      <c r="AD1209" s="11"/>
      <c r="AH1209" s="8"/>
      <c r="AI1209" s="20"/>
      <c r="AJ1209" s="20"/>
      <c r="AK1209" s="31"/>
      <c r="AL1209" s="31"/>
    </row>
    <row r="1210" spans="1:38" hidden="1" x14ac:dyDescent="0.25">
      <c r="A1210" s="9"/>
      <c r="B1210" s="7"/>
      <c r="C1210" s="7"/>
      <c r="D1210" s="7"/>
      <c r="E1210" s="7"/>
      <c r="F1210" s="7"/>
      <c r="G1210" s="7"/>
      <c r="H1210" s="7"/>
      <c r="I1210" s="7"/>
      <c r="J1210" s="20"/>
      <c r="K1210" s="20"/>
      <c r="L1210" s="20"/>
      <c r="M1210" s="20"/>
      <c r="N1210" s="9"/>
      <c r="P1210" s="7"/>
      <c r="Q1210" s="11"/>
      <c r="R1210" s="8"/>
      <c r="S1210" s="7"/>
      <c r="T1210" s="7"/>
      <c r="U1210" s="7"/>
      <c r="V1210" s="7"/>
      <c r="W1210" s="7"/>
      <c r="X1210" s="8"/>
      <c r="Y1210" s="7"/>
      <c r="Z1210" s="7"/>
      <c r="AA1210" s="11"/>
      <c r="AB1210" s="11"/>
      <c r="AC1210" s="11"/>
      <c r="AD1210" s="11"/>
      <c r="AH1210" s="8"/>
      <c r="AI1210" s="20"/>
      <c r="AJ1210" s="20"/>
      <c r="AK1210" s="31"/>
      <c r="AL1210" s="31"/>
    </row>
    <row r="1211" spans="1:38" hidden="1" x14ac:dyDescent="0.25">
      <c r="A1211" s="9"/>
      <c r="B1211" s="7"/>
      <c r="C1211" s="7"/>
      <c r="D1211" s="7"/>
      <c r="E1211" s="7"/>
      <c r="F1211" s="7"/>
      <c r="G1211" s="7"/>
      <c r="H1211" s="7"/>
      <c r="I1211" s="7"/>
      <c r="J1211" s="20"/>
      <c r="K1211" s="20"/>
      <c r="L1211" s="20"/>
      <c r="M1211" s="20"/>
      <c r="N1211" s="9"/>
      <c r="P1211" s="7"/>
      <c r="Q1211" s="11"/>
      <c r="R1211" s="8"/>
      <c r="S1211" s="7"/>
      <c r="T1211" s="7"/>
      <c r="U1211" s="7"/>
      <c r="V1211" s="7"/>
      <c r="W1211" s="7"/>
      <c r="X1211" s="8"/>
      <c r="Y1211" s="7"/>
      <c r="Z1211" s="7"/>
      <c r="AA1211" s="11"/>
      <c r="AB1211" s="11"/>
      <c r="AC1211" s="11"/>
      <c r="AD1211" s="11"/>
      <c r="AH1211" s="8"/>
      <c r="AI1211" s="20"/>
      <c r="AJ1211" s="20"/>
      <c r="AK1211" s="31"/>
      <c r="AL1211" s="31"/>
    </row>
    <row r="1212" spans="1:38" hidden="1" x14ac:dyDescent="0.25">
      <c r="A1212" s="9"/>
      <c r="B1212" s="7"/>
      <c r="C1212" s="7"/>
      <c r="D1212" s="7"/>
      <c r="E1212" s="7"/>
      <c r="F1212" s="7"/>
      <c r="G1212" s="7"/>
      <c r="H1212" s="7"/>
      <c r="I1212" s="7"/>
      <c r="J1212" s="20"/>
      <c r="K1212" s="20"/>
      <c r="L1212" s="20"/>
      <c r="M1212" s="20"/>
      <c r="N1212" s="9"/>
      <c r="P1212" s="7"/>
      <c r="Q1212" s="11"/>
      <c r="R1212" s="8"/>
      <c r="S1212" s="7"/>
      <c r="T1212" s="7"/>
      <c r="U1212" s="7"/>
      <c r="V1212" s="7"/>
      <c r="W1212" s="7"/>
      <c r="X1212" s="8"/>
      <c r="Y1212" s="7"/>
      <c r="Z1212" s="7"/>
      <c r="AA1212" s="11"/>
      <c r="AB1212" s="11"/>
      <c r="AC1212" s="11"/>
      <c r="AD1212" s="11"/>
      <c r="AH1212" s="8"/>
      <c r="AI1212" s="20"/>
      <c r="AJ1212" s="20"/>
      <c r="AK1212" s="31"/>
      <c r="AL1212" s="31"/>
    </row>
    <row r="1213" spans="1:38" hidden="1" x14ac:dyDescent="0.25">
      <c r="A1213" s="9"/>
      <c r="B1213" s="7"/>
      <c r="C1213" s="7"/>
      <c r="D1213" s="7"/>
      <c r="E1213" s="7"/>
      <c r="F1213" s="7"/>
      <c r="G1213" s="7"/>
      <c r="H1213" s="7"/>
      <c r="I1213" s="7"/>
      <c r="J1213" s="20"/>
      <c r="K1213" s="20"/>
      <c r="L1213" s="20"/>
      <c r="M1213" s="20"/>
      <c r="N1213" s="9"/>
      <c r="P1213" s="7"/>
      <c r="Q1213" s="11"/>
      <c r="R1213" s="8"/>
      <c r="S1213" s="7"/>
      <c r="T1213" s="7"/>
      <c r="U1213" s="7"/>
      <c r="V1213" s="7"/>
      <c r="W1213" s="7"/>
      <c r="X1213" s="8"/>
      <c r="Y1213" s="7"/>
      <c r="Z1213" s="7"/>
      <c r="AA1213" s="11"/>
      <c r="AB1213" s="11"/>
      <c r="AC1213" s="11"/>
      <c r="AD1213" s="11"/>
      <c r="AH1213" s="8"/>
      <c r="AI1213" s="20"/>
      <c r="AJ1213" s="20"/>
      <c r="AK1213" s="31"/>
      <c r="AL1213" s="31"/>
    </row>
    <row r="1214" spans="1:38" hidden="1" x14ac:dyDescent="0.25">
      <c r="A1214" s="9"/>
      <c r="B1214" s="7"/>
      <c r="C1214" s="7"/>
      <c r="D1214" s="7"/>
      <c r="E1214" s="7"/>
      <c r="F1214" s="7"/>
      <c r="G1214" s="7"/>
      <c r="H1214" s="7"/>
      <c r="I1214" s="7"/>
      <c r="J1214" s="20"/>
      <c r="K1214" s="20"/>
      <c r="L1214" s="20"/>
      <c r="M1214" s="20"/>
      <c r="N1214" s="9"/>
      <c r="P1214" s="7"/>
      <c r="Q1214" s="11"/>
      <c r="R1214" s="8"/>
      <c r="S1214" s="7"/>
      <c r="T1214" s="7"/>
      <c r="U1214" s="7"/>
      <c r="V1214" s="7"/>
      <c r="W1214" s="7"/>
      <c r="X1214" s="8"/>
      <c r="Y1214" s="7"/>
      <c r="Z1214" s="7"/>
      <c r="AA1214" s="11"/>
      <c r="AB1214" s="11"/>
      <c r="AC1214" s="11"/>
      <c r="AD1214" s="11"/>
      <c r="AH1214" s="8"/>
      <c r="AI1214" s="20"/>
      <c r="AJ1214" s="20"/>
      <c r="AK1214" s="31"/>
      <c r="AL1214" s="31"/>
    </row>
    <row r="1215" spans="1:38" hidden="1" x14ac:dyDescent="0.25">
      <c r="A1215" s="9"/>
      <c r="B1215" s="7"/>
      <c r="C1215" s="7"/>
      <c r="D1215" s="7"/>
      <c r="E1215" s="7"/>
      <c r="F1215" s="7"/>
      <c r="G1215" s="7"/>
      <c r="H1215" s="7"/>
      <c r="I1215" s="7"/>
      <c r="J1215" s="20"/>
      <c r="K1215" s="20"/>
      <c r="L1215" s="20"/>
      <c r="M1215" s="20"/>
      <c r="N1215" s="9"/>
      <c r="P1215" s="7"/>
      <c r="Q1215" s="11"/>
      <c r="R1215" s="8"/>
      <c r="S1215" s="7"/>
      <c r="T1215" s="7"/>
      <c r="U1215" s="7"/>
      <c r="V1215" s="7"/>
      <c r="W1215" s="7"/>
      <c r="X1215" s="8"/>
      <c r="Y1215" s="7"/>
      <c r="Z1215" s="7"/>
      <c r="AA1215" s="11"/>
      <c r="AB1215" s="11"/>
      <c r="AC1215" s="11"/>
      <c r="AD1215" s="11"/>
      <c r="AH1215" s="8"/>
      <c r="AI1215" s="20"/>
      <c r="AJ1215" s="20"/>
      <c r="AK1215" s="31"/>
      <c r="AL1215" s="31"/>
    </row>
    <row r="1216" spans="1:38" hidden="1" x14ac:dyDescent="0.25">
      <c r="A1216" s="9"/>
      <c r="B1216" s="7"/>
      <c r="C1216" s="7"/>
      <c r="D1216" s="7"/>
      <c r="E1216" s="7"/>
      <c r="F1216" s="7"/>
      <c r="G1216" s="7"/>
      <c r="H1216" s="7"/>
      <c r="I1216" s="7"/>
      <c r="J1216" s="20"/>
      <c r="K1216" s="20"/>
      <c r="L1216" s="20"/>
      <c r="M1216" s="20"/>
      <c r="N1216" s="9"/>
      <c r="P1216" s="7"/>
      <c r="Q1216" s="11"/>
      <c r="R1216" s="8"/>
      <c r="S1216" s="7"/>
      <c r="T1216" s="7"/>
      <c r="U1216" s="7"/>
      <c r="V1216" s="7"/>
      <c r="W1216" s="7"/>
      <c r="X1216" s="8"/>
      <c r="Y1216" s="7"/>
      <c r="Z1216" s="7"/>
      <c r="AA1216" s="11"/>
      <c r="AB1216" s="11"/>
      <c r="AC1216" s="11"/>
      <c r="AD1216" s="11"/>
      <c r="AH1216" s="8"/>
      <c r="AI1216" s="20"/>
      <c r="AJ1216" s="20"/>
      <c r="AK1216" s="31"/>
      <c r="AL1216" s="31"/>
    </row>
    <row r="1217" spans="1:38" hidden="1" x14ac:dyDescent="0.25">
      <c r="A1217" s="9"/>
      <c r="B1217" s="7"/>
      <c r="C1217" s="7"/>
      <c r="D1217" s="7"/>
      <c r="E1217" s="7"/>
      <c r="F1217" s="7"/>
      <c r="G1217" s="7"/>
      <c r="H1217" s="7"/>
      <c r="I1217" s="7"/>
      <c r="J1217" s="20"/>
      <c r="K1217" s="20"/>
      <c r="L1217" s="20"/>
      <c r="M1217" s="20"/>
      <c r="N1217" s="9"/>
      <c r="P1217" s="7"/>
      <c r="Q1217" s="11"/>
      <c r="R1217" s="8"/>
      <c r="S1217" s="7"/>
      <c r="T1217" s="7"/>
      <c r="U1217" s="7"/>
      <c r="V1217" s="7"/>
      <c r="W1217" s="7"/>
      <c r="X1217" s="8"/>
      <c r="Y1217" s="7"/>
      <c r="Z1217" s="7"/>
      <c r="AA1217" s="11"/>
      <c r="AB1217" s="11"/>
      <c r="AC1217" s="11"/>
      <c r="AD1217" s="11"/>
      <c r="AH1217" s="8"/>
      <c r="AI1217" s="20"/>
      <c r="AJ1217" s="20"/>
      <c r="AK1217" s="31"/>
      <c r="AL1217" s="31"/>
    </row>
    <row r="1218" spans="1:38" hidden="1" x14ac:dyDescent="0.25">
      <c r="A1218" s="9"/>
      <c r="B1218" s="7"/>
      <c r="C1218" s="7"/>
      <c r="D1218" s="7"/>
      <c r="E1218" s="7"/>
      <c r="F1218" s="7"/>
      <c r="G1218" s="7"/>
      <c r="H1218" s="7"/>
      <c r="I1218" s="7"/>
      <c r="J1218" s="20"/>
      <c r="K1218" s="20"/>
      <c r="L1218" s="20"/>
      <c r="M1218" s="20"/>
      <c r="N1218" s="9"/>
      <c r="P1218" s="7"/>
      <c r="Q1218" s="11"/>
      <c r="R1218" s="8"/>
      <c r="S1218" s="7"/>
      <c r="T1218" s="7"/>
      <c r="U1218" s="7"/>
      <c r="V1218" s="7"/>
      <c r="W1218" s="7"/>
      <c r="X1218" s="8"/>
      <c r="Y1218" s="7"/>
      <c r="Z1218" s="7"/>
      <c r="AA1218" s="11"/>
      <c r="AB1218" s="11"/>
      <c r="AC1218" s="11"/>
      <c r="AD1218" s="11"/>
      <c r="AH1218" s="8"/>
      <c r="AI1218" s="20"/>
      <c r="AJ1218" s="20"/>
      <c r="AK1218" s="31"/>
      <c r="AL1218" s="31"/>
    </row>
    <row r="1219" spans="1:38" hidden="1" x14ac:dyDescent="0.25">
      <c r="A1219" s="9"/>
      <c r="B1219" s="7"/>
      <c r="C1219" s="7"/>
      <c r="D1219" s="7"/>
      <c r="E1219" s="7"/>
      <c r="F1219" s="7"/>
      <c r="G1219" s="7"/>
      <c r="H1219" s="7"/>
      <c r="I1219" s="7"/>
      <c r="J1219" s="20"/>
      <c r="K1219" s="20"/>
      <c r="L1219" s="20"/>
      <c r="M1219" s="20"/>
      <c r="N1219" s="9"/>
      <c r="P1219" s="7"/>
      <c r="Q1219" s="11"/>
      <c r="R1219" s="8"/>
      <c r="S1219" s="7"/>
      <c r="T1219" s="7"/>
      <c r="U1219" s="7"/>
      <c r="V1219" s="7"/>
      <c r="W1219" s="7"/>
      <c r="X1219" s="8"/>
      <c r="Y1219" s="7"/>
      <c r="Z1219" s="7"/>
      <c r="AA1219" s="11"/>
      <c r="AB1219" s="11"/>
      <c r="AC1219" s="11"/>
      <c r="AD1219" s="11"/>
      <c r="AH1219" s="8"/>
      <c r="AI1219" s="20"/>
      <c r="AJ1219" s="20"/>
      <c r="AK1219" s="31"/>
      <c r="AL1219" s="31"/>
    </row>
    <row r="1220" spans="1:38" hidden="1" x14ac:dyDescent="0.25">
      <c r="A1220" s="9"/>
      <c r="B1220" s="7"/>
      <c r="C1220" s="7"/>
      <c r="D1220" s="7"/>
      <c r="E1220" s="7"/>
      <c r="F1220" s="7"/>
      <c r="G1220" s="7"/>
      <c r="H1220" s="7"/>
      <c r="I1220" s="7"/>
      <c r="J1220" s="20"/>
      <c r="K1220" s="20"/>
      <c r="L1220" s="20"/>
      <c r="M1220" s="20"/>
      <c r="N1220" s="9"/>
      <c r="P1220" s="7"/>
      <c r="Q1220" s="11"/>
      <c r="R1220" s="8"/>
      <c r="S1220" s="7"/>
      <c r="T1220" s="7"/>
      <c r="U1220" s="7"/>
      <c r="V1220" s="7"/>
      <c r="W1220" s="7"/>
      <c r="X1220" s="8"/>
      <c r="Y1220" s="7"/>
      <c r="Z1220" s="7"/>
      <c r="AA1220" s="11"/>
      <c r="AB1220" s="11"/>
      <c r="AC1220" s="11"/>
      <c r="AD1220" s="11"/>
      <c r="AH1220" s="8"/>
      <c r="AI1220" s="20"/>
      <c r="AJ1220" s="20"/>
      <c r="AK1220" s="31"/>
      <c r="AL1220" s="31"/>
    </row>
    <row r="1221" spans="1:38" hidden="1" x14ac:dyDescent="0.25">
      <c r="A1221" s="9"/>
      <c r="B1221" s="7"/>
      <c r="C1221" s="7"/>
      <c r="D1221" s="7"/>
      <c r="E1221" s="7"/>
      <c r="F1221" s="7"/>
      <c r="G1221" s="7"/>
      <c r="H1221" s="7"/>
      <c r="I1221" s="7"/>
      <c r="J1221" s="20"/>
      <c r="K1221" s="20"/>
      <c r="L1221" s="20"/>
      <c r="M1221" s="20"/>
      <c r="N1221" s="9"/>
      <c r="P1221" s="7"/>
      <c r="Q1221" s="11"/>
      <c r="R1221" s="8"/>
      <c r="S1221" s="7"/>
      <c r="T1221" s="7"/>
      <c r="U1221" s="7"/>
      <c r="V1221" s="7"/>
      <c r="W1221" s="7"/>
      <c r="X1221" s="8"/>
      <c r="Y1221" s="7"/>
      <c r="Z1221" s="7"/>
      <c r="AA1221" s="11"/>
      <c r="AB1221" s="11"/>
      <c r="AC1221" s="11"/>
      <c r="AD1221" s="11"/>
      <c r="AH1221" s="8"/>
      <c r="AI1221" s="20"/>
      <c r="AJ1221" s="20"/>
      <c r="AK1221" s="31"/>
      <c r="AL1221" s="31"/>
    </row>
    <row r="1222" spans="1:38" hidden="1" x14ac:dyDescent="0.25">
      <c r="A1222" s="9"/>
      <c r="B1222" s="7"/>
      <c r="C1222" s="7"/>
      <c r="D1222" s="7"/>
      <c r="E1222" s="7"/>
      <c r="F1222" s="7"/>
      <c r="G1222" s="7"/>
      <c r="H1222" s="7"/>
      <c r="I1222" s="7"/>
      <c r="J1222" s="20"/>
      <c r="K1222" s="20"/>
      <c r="L1222" s="20"/>
      <c r="M1222" s="20"/>
      <c r="N1222" s="9"/>
      <c r="P1222" s="7"/>
      <c r="Q1222" s="11"/>
      <c r="R1222" s="8"/>
      <c r="S1222" s="7"/>
      <c r="T1222" s="7"/>
      <c r="U1222" s="7"/>
      <c r="V1222" s="7"/>
      <c r="W1222" s="7"/>
      <c r="X1222" s="8"/>
      <c r="Y1222" s="7"/>
      <c r="Z1222" s="7"/>
      <c r="AA1222" s="11"/>
      <c r="AB1222" s="11"/>
      <c r="AC1222" s="11"/>
      <c r="AD1222" s="11"/>
      <c r="AH1222" s="8"/>
      <c r="AI1222" s="20"/>
      <c r="AJ1222" s="20"/>
      <c r="AK1222" s="31"/>
      <c r="AL1222" s="31"/>
    </row>
    <row r="1223" spans="1:38" hidden="1" x14ac:dyDescent="0.25">
      <c r="A1223" s="9"/>
      <c r="B1223" s="7"/>
      <c r="C1223" s="7"/>
      <c r="D1223" s="7"/>
      <c r="E1223" s="7"/>
      <c r="F1223" s="7"/>
      <c r="G1223" s="7"/>
      <c r="H1223" s="7"/>
      <c r="I1223" s="7"/>
      <c r="J1223" s="20"/>
      <c r="K1223" s="20"/>
      <c r="L1223" s="20"/>
      <c r="M1223" s="20"/>
      <c r="N1223" s="9"/>
      <c r="P1223" s="7"/>
      <c r="Q1223" s="11"/>
      <c r="R1223" s="8"/>
      <c r="S1223" s="7"/>
      <c r="T1223" s="7"/>
      <c r="U1223" s="7"/>
      <c r="V1223" s="7"/>
      <c r="W1223" s="7"/>
      <c r="X1223" s="8"/>
      <c r="Y1223" s="7"/>
      <c r="Z1223" s="7"/>
      <c r="AA1223" s="11"/>
      <c r="AB1223" s="11"/>
      <c r="AC1223" s="11"/>
      <c r="AD1223" s="11"/>
      <c r="AH1223" s="8"/>
      <c r="AI1223" s="20"/>
      <c r="AJ1223" s="20"/>
      <c r="AK1223" s="31"/>
      <c r="AL1223" s="31"/>
    </row>
    <row r="1224" spans="1:38" hidden="1" x14ac:dyDescent="0.25">
      <c r="A1224" s="9"/>
      <c r="B1224" s="7"/>
      <c r="C1224" s="7"/>
      <c r="D1224" s="7"/>
      <c r="E1224" s="7"/>
      <c r="F1224" s="7"/>
      <c r="G1224" s="7"/>
      <c r="H1224" s="7"/>
      <c r="I1224" s="7"/>
      <c r="J1224" s="20"/>
      <c r="K1224" s="20"/>
      <c r="L1224" s="20"/>
      <c r="M1224" s="20"/>
      <c r="N1224" s="9"/>
      <c r="P1224" s="7"/>
      <c r="Q1224" s="11"/>
      <c r="R1224" s="8"/>
      <c r="S1224" s="7"/>
      <c r="T1224" s="7"/>
      <c r="U1224" s="7"/>
      <c r="V1224" s="7"/>
      <c r="W1224" s="7"/>
      <c r="X1224" s="8"/>
      <c r="Y1224" s="7"/>
      <c r="Z1224" s="7"/>
      <c r="AA1224" s="11"/>
      <c r="AB1224" s="11"/>
      <c r="AC1224" s="11"/>
      <c r="AD1224" s="11"/>
      <c r="AH1224" s="8"/>
      <c r="AI1224" s="20"/>
      <c r="AJ1224" s="20"/>
      <c r="AK1224" s="31"/>
      <c r="AL1224" s="31"/>
    </row>
    <row r="1225" spans="1:38" hidden="1" x14ac:dyDescent="0.25">
      <c r="A1225" s="9"/>
      <c r="B1225" s="7"/>
      <c r="C1225" s="7"/>
      <c r="D1225" s="7"/>
      <c r="E1225" s="7"/>
      <c r="F1225" s="7"/>
      <c r="G1225" s="7"/>
      <c r="H1225" s="7"/>
      <c r="I1225" s="7"/>
      <c r="J1225" s="20"/>
      <c r="K1225" s="20"/>
      <c r="L1225" s="20"/>
      <c r="M1225" s="20"/>
      <c r="N1225" s="9"/>
      <c r="P1225" s="7"/>
      <c r="Q1225" s="11"/>
      <c r="R1225" s="8"/>
      <c r="S1225" s="7"/>
      <c r="T1225" s="7"/>
      <c r="U1225" s="7"/>
      <c r="V1225" s="7"/>
      <c r="W1225" s="7"/>
      <c r="X1225" s="8"/>
      <c r="Y1225" s="7"/>
      <c r="Z1225" s="7"/>
      <c r="AA1225" s="11"/>
      <c r="AB1225" s="11"/>
      <c r="AC1225" s="11"/>
      <c r="AD1225" s="11"/>
      <c r="AH1225" s="8"/>
      <c r="AI1225" s="20"/>
      <c r="AJ1225" s="20"/>
      <c r="AK1225" s="31"/>
      <c r="AL1225" s="31"/>
    </row>
    <row r="1226" spans="1:38" hidden="1" x14ac:dyDescent="0.25">
      <c r="A1226" s="9"/>
      <c r="B1226" s="7"/>
      <c r="C1226" s="7"/>
      <c r="D1226" s="7"/>
      <c r="E1226" s="7"/>
      <c r="F1226" s="7"/>
      <c r="G1226" s="7"/>
      <c r="H1226" s="7"/>
      <c r="I1226" s="7"/>
      <c r="J1226" s="20"/>
      <c r="K1226" s="20"/>
      <c r="L1226" s="20"/>
      <c r="M1226" s="20"/>
      <c r="N1226" s="9"/>
      <c r="P1226" s="7"/>
      <c r="Q1226" s="11"/>
      <c r="R1226" s="8"/>
      <c r="S1226" s="7"/>
      <c r="T1226" s="7"/>
      <c r="U1226" s="7"/>
      <c r="V1226" s="7"/>
      <c r="W1226" s="7"/>
      <c r="X1226" s="8"/>
      <c r="Y1226" s="7"/>
      <c r="Z1226" s="7"/>
      <c r="AA1226" s="11"/>
      <c r="AB1226" s="11"/>
      <c r="AC1226" s="11"/>
      <c r="AD1226" s="11"/>
      <c r="AH1226" s="8"/>
      <c r="AI1226" s="20"/>
      <c r="AJ1226" s="20"/>
      <c r="AK1226" s="31"/>
      <c r="AL1226" s="31"/>
    </row>
    <row r="1227" spans="1:38" hidden="1" x14ac:dyDescent="0.25">
      <c r="A1227" s="9"/>
      <c r="B1227" s="7"/>
      <c r="C1227" s="7"/>
      <c r="D1227" s="7"/>
      <c r="E1227" s="7"/>
      <c r="F1227" s="7"/>
      <c r="G1227" s="7"/>
      <c r="H1227" s="7"/>
      <c r="I1227" s="7"/>
      <c r="J1227" s="20"/>
      <c r="K1227" s="20"/>
      <c r="L1227" s="20"/>
      <c r="M1227" s="20"/>
      <c r="N1227" s="9"/>
      <c r="P1227" s="7"/>
      <c r="Q1227" s="11"/>
      <c r="R1227" s="8"/>
      <c r="S1227" s="7"/>
      <c r="T1227" s="7"/>
      <c r="U1227" s="7"/>
      <c r="V1227" s="7"/>
      <c r="W1227" s="7"/>
      <c r="X1227" s="8"/>
      <c r="Y1227" s="7"/>
      <c r="Z1227" s="7"/>
      <c r="AA1227" s="11"/>
      <c r="AB1227" s="11"/>
      <c r="AC1227" s="11"/>
      <c r="AD1227" s="11"/>
      <c r="AH1227" s="8"/>
      <c r="AI1227" s="20"/>
      <c r="AJ1227" s="20"/>
      <c r="AK1227" s="31"/>
      <c r="AL1227" s="31"/>
    </row>
    <row r="1228" spans="1:38" hidden="1" x14ac:dyDescent="0.25">
      <c r="A1228" s="9"/>
      <c r="B1228" s="7"/>
      <c r="C1228" s="7"/>
      <c r="D1228" s="7"/>
      <c r="E1228" s="7"/>
      <c r="F1228" s="7"/>
      <c r="G1228" s="7"/>
      <c r="H1228" s="7"/>
      <c r="I1228" s="7"/>
      <c r="J1228" s="20"/>
      <c r="K1228" s="20"/>
      <c r="L1228" s="20"/>
      <c r="M1228" s="20"/>
      <c r="N1228" s="9"/>
      <c r="P1228" s="7"/>
      <c r="Q1228" s="11"/>
      <c r="R1228" s="8"/>
      <c r="S1228" s="7"/>
      <c r="T1228" s="7"/>
      <c r="U1228" s="7"/>
      <c r="V1228" s="7"/>
      <c r="W1228" s="7"/>
      <c r="X1228" s="8"/>
      <c r="Y1228" s="7"/>
      <c r="Z1228" s="7"/>
      <c r="AA1228" s="11"/>
      <c r="AB1228" s="11"/>
      <c r="AC1228" s="11"/>
      <c r="AD1228" s="11"/>
      <c r="AH1228" s="8"/>
      <c r="AI1228" s="20"/>
      <c r="AJ1228" s="20"/>
      <c r="AK1228" s="31"/>
      <c r="AL1228" s="31"/>
    </row>
    <row r="1229" spans="1:38" hidden="1" x14ac:dyDescent="0.25">
      <c r="A1229" s="9"/>
      <c r="B1229" s="7"/>
      <c r="C1229" s="7"/>
      <c r="D1229" s="7"/>
      <c r="E1229" s="7"/>
      <c r="F1229" s="7"/>
      <c r="G1229" s="7"/>
      <c r="H1229" s="7"/>
      <c r="I1229" s="7"/>
      <c r="J1229" s="20"/>
      <c r="K1229" s="20"/>
      <c r="L1229" s="20"/>
      <c r="M1229" s="20"/>
      <c r="N1229" s="9"/>
      <c r="P1229" s="7"/>
      <c r="Q1229" s="11"/>
      <c r="R1229" s="8"/>
      <c r="S1229" s="7"/>
      <c r="T1229" s="7"/>
      <c r="U1229" s="7"/>
      <c r="V1229" s="7"/>
      <c r="W1229" s="7"/>
      <c r="X1229" s="8"/>
      <c r="Y1229" s="7"/>
      <c r="Z1229" s="7"/>
      <c r="AA1229" s="11"/>
      <c r="AB1229" s="11"/>
      <c r="AC1229" s="11"/>
      <c r="AD1229" s="11"/>
      <c r="AH1229" s="8"/>
      <c r="AI1229" s="20"/>
      <c r="AJ1229" s="20"/>
      <c r="AK1229" s="31"/>
      <c r="AL1229" s="31"/>
    </row>
    <row r="1230" spans="1:38" hidden="1" x14ac:dyDescent="0.25">
      <c r="A1230" s="9"/>
      <c r="B1230" s="7"/>
      <c r="C1230" s="7"/>
      <c r="D1230" s="7"/>
      <c r="E1230" s="7"/>
      <c r="F1230" s="7"/>
      <c r="G1230" s="7"/>
      <c r="H1230" s="7"/>
      <c r="I1230" s="7"/>
      <c r="J1230" s="20"/>
      <c r="K1230" s="20"/>
      <c r="L1230" s="20"/>
      <c r="M1230" s="20"/>
      <c r="N1230" s="9"/>
      <c r="P1230" s="7"/>
      <c r="Q1230" s="11"/>
      <c r="R1230" s="8"/>
      <c r="S1230" s="7"/>
      <c r="T1230" s="7"/>
      <c r="U1230" s="7"/>
      <c r="V1230" s="7"/>
      <c r="W1230" s="7"/>
      <c r="X1230" s="8"/>
      <c r="Y1230" s="7"/>
      <c r="Z1230" s="7"/>
      <c r="AA1230" s="11"/>
      <c r="AB1230" s="11"/>
      <c r="AC1230" s="11"/>
      <c r="AD1230" s="11"/>
      <c r="AH1230" s="8"/>
      <c r="AI1230" s="20"/>
      <c r="AJ1230" s="20"/>
      <c r="AK1230" s="31"/>
      <c r="AL1230" s="31"/>
    </row>
    <row r="1231" spans="1:38" hidden="1" x14ac:dyDescent="0.25">
      <c r="A1231" s="9"/>
      <c r="B1231" s="7"/>
      <c r="C1231" s="7"/>
      <c r="D1231" s="7"/>
      <c r="E1231" s="7"/>
      <c r="F1231" s="7"/>
      <c r="G1231" s="7"/>
      <c r="H1231" s="7"/>
      <c r="I1231" s="7"/>
      <c r="J1231" s="20"/>
      <c r="K1231" s="20"/>
      <c r="L1231" s="20"/>
      <c r="M1231" s="20"/>
      <c r="N1231" s="9"/>
      <c r="P1231" s="7"/>
      <c r="Q1231" s="11"/>
      <c r="R1231" s="8"/>
      <c r="S1231" s="7"/>
      <c r="T1231" s="7"/>
      <c r="U1231" s="7"/>
      <c r="V1231" s="7"/>
      <c r="W1231" s="7"/>
      <c r="X1231" s="8"/>
      <c r="Y1231" s="7"/>
      <c r="Z1231" s="7"/>
      <c r="AA1231" s="11"/>
      <c r="AB1231" s="11"/>
      <c r="AC1231" s="11"/>
      <c r="AD1231" s="11"/>
      <c r="AH1231" s="8"/>
      <c r="AI1231" s="20"/>
      <c r="AJ1231" s="20"/>
      <c r="AK1231" s="31"/>
      <c r="AL1231" s="31"/>
    </row>
    <row r="1232" spans="1:38" hidden="1" x14ac:dyDescent="0.25">
      <c r="A1232" s="9"/>
      <c r="B1232" s="7"/>
      <c r="C1232" s="7"/>
      <c r="D1232" s="7"/>
      <c r="E1232" s="7"/>
      <c r="F1232" s="7"/>
      <c r="G1232" s="7"/>
      <c r="H1232" s="7"/>
      <c r="I1232" s="7"/>
      <c r="J1232" s="20"/>
      <c r="K1232" s="20"/>
      <c r="L1232" s="20"/>
      <c r="M1232" s="20"/>
      <c r="N1232" s="9"/>
      <c r="P1232" s="7"/>
      <c r="Q1232" s="11"/>
      <c r="R1232" s="8"/>
      <c r="S1232" s="7"/>
      <c r="T1232" s="7"/>
      <c r="U1232" s="7"/>
      <c r="V1232" s="7"/>
      <c r="W1232" s="7"/>
      <c r="X1232" s="8"/>
      <c r="Y1232" s="7"/>
      <c r="Z1232" s="7"/>
      <c r="AA1232" s="11"/>
      <c r="AB1232" s="11"/>
      <c r="AC1232" s="11"/>
      <c r="AD1232" s="11"/>
      <c r="AH1232" s="8"/>
      <c r="AI1232" s="20"/>
      <c r="AJ1232" s="20"/>
      <c r="AK1232" s="31"/>
      <c r="AL1232" s="31"/>
    </row>
    <row r="1233" spans="1:38" hidden="1" x14ac:dyDescent="0.25">
      <c r="A1233" s="9"/>
      <c r="B1233" s="7"/>
      <c r="C1233" s="7"/>
      <c r="D1233" s="7"/>
      <c r="E1233" s="7"/>
      <c r="F1233" s="7"/>
      <c r="G1233" s="7"/>
      <c r="H1233" s="7"/>
      <c r="I1233" s="7"/>
      <c r="J1233" s="20"/>
      <c r="K1233" s="20"/>
      <c r="L1233" s="20"/>
      <c r="M1233" s="20"/>
      <c r="N1233" s="9"/>
      <c r="P1233" s="7"/>
      <c r="Q1233" s="11"/>
      <c r="R1233" s="8"/>
      <c r="S1233" s="7"/>
      <c r="T1233" s="7"/>
      <c r="U1233" s="7"/>
      <c r="V1233" s="7"/>
      <c r="W1233" s="7"/>
      <c r="X1233" s="8"/>
      <c r="Y1233" s="7"/>
      <c r="Z1233" s="7"/>
      <c r="AA1233" s="11"/>
      <c r="AB1233" s="11"/>
      <c r="AC1233" s="11"/>
      <c r="AD1233" s="11"/>
      <c r="AH1233" s="8"/>
      <c r="AI1233" s="20"/>
      <c r="AJ1233" s="20"/>
      <c r="AK1233" s="31"/>
      <c r="AL1233" s="31"/>
    </row>
    <row r="1234" spans="1:38" hidden="1" x14ac:dyDescent="0.25">
      <c r="A1234" s="9"/>
      <c r="B1234" s="7"/>
      <c r="C1234" s="7"/>
      <c r="D1234" s="7"/>
      <c r="E1234" s="7"/>
      <c r="F1234" s="7"/>
      <c r="G1234" s="7"/>
      <c r="H1234" s="7"/>
      <c r="I1234" s="7"/>
      <c r="J1234" s="20"/>
      <c r="K1234" s="20"/>
      <c r="L1234" s="20"/>
      <c r="M1234" s="20"/>
      <c r="N1234" s="9"/>
      <c r="P1234" s="7"/>
      <c r="Q1234" s="11"/>
      <c r="R1234" s="8"/>
      <c r="S1234" s="7"/>
      <c r="T1234" s="7"/>
      <c r="U1234" s="7"/>
      <c r="V1234" s="7"/>
      <c r="W1234" s="7"/>
      <c r="X1234" s="8"/>
      <c r="Y1234" s="7"/>
      <c r="Z1234" s="7"/>
      <c r="AA1234" s="11"/>
      <c r="AB1234" s="11"/>
      <c r="AC1234" s="11"/>
      <c r="AD1234" s="11"/>
      <c r="AH1234" s="8"/>
      <c r="AI1234" s="20"/>
      <c r="AJ1234" s="20"/>
      <c r="AK1234" s="31"/>
      <c r="AL1234" s="31"/>
    </row>
    <row r="1235" spans="1:38" hidden="1" x14ac:dyDescent="0.25">
      <c r="A1235" s="9"/>
      <c r="B1235" s="7"/>
      <c r="C1235" s="7"/>
      <c r="D1235" s="7"/>
      <c r="E1235" s="7"/>
      <c r="F1235" s="7"/>
      <c r="G1235" s="7"/>
      <c r="H1235" s="7"/>
      <c r="I1235" s="7"/>
      <c r="J1235" s="20"/>
      <c r="K1235" s="20"/>
      <c r="L1235" s="20"/>
      <c r="M1235" s="20"/>
      <c r="N1235" s="9"/>
      <c r="P1235" s="7"/>
      <c r="Q1235" s="11"/>
      <c r="R1235" s="8"/>
      <c r="S1235" s="7"/>
      <c r="T1235" s="7"/>
      <c r="U1235" s="7"/>
      <c r="V1235" s="7"/>
      <c r="W1235" s="7"/>
      <c r="X1235" s="8"/>
      <c r="Y1235" s="7"/>
      <c r="Z1235" s="7"/>
      <c r="AA1235" s="11"/>
      <c r="AB1235" s="11"/>
      <c r="AC1235" s="11"/>
      <c r="AD1235" s="11"/>
      <c r="AH1235" s="8"/>
      <c r="AI1235" s="20"/>
      <c r="AJ1235" s="20"/>
      <c r="AK1235" s="31"/>
      <c r="AL1235" s="31"/>
    </row>
    <row r="1236" spans="1:38" hidden="1" x14ac:dyDescent="0.25">
      <c r="A1236" s="9"/>
      <c r="B1236" s="7"/>
      <c r="C1236" s="7"/>
      <c r="D1236" s="7"/>
      <c r="E1236" s="7"/>
      <c r="F1236" s="7"/>
      <c r="G1236" s="7"/>
      <c r="H1236" s="7"/>
      <c r="I1236" s="7"/>
      <c r="J1236" s="20"/>
      <c r="K1236" s="20"/>
      <c r="L1236" s="20"/>
      <c r="M1236" s="20"/>
      <c r="N1236" s="9"/>
      <c r="P1236" s="7"/>
      <c r="Q1236" s="11"/>
      <c r="R1236" s="8"/>
      <c r="S1236" s="7"/>
      <c r="T1236" s="7"/>
      <c r="U1236" s="7"/>
      <c r="V1236" s="7"/>
      <c r="W1236" s="7"/>
      <c r="X1236" s="8"/>
      <c r="Y1236" s="7"/>
      <c r="Z1236" s="7"/>
      <c r="AA1236" s="11"/>
      <c r="AB1236" s="11"/>
      <c r="AC1236" s="11"/>
      <c r="AD1236" s="11"/>
      <c r="AH1236" s="8"/>
      <c r="AI1236" s="20"/>
      <c r="AJ1236" s="20"/>
      <c r="AK1236" s="31"/>
      <c r="AL1236" s="31"/>
    </row>
    <row r="1237" spans="1:38" hidden="1" x14ac:dyDescent="0.25">
      <c r="A1237" s="9"/>
      <c r="B1237" s="7"/>
      <c r="C1237" s="7"/>
      <c r="D1237" s="7"/>
      <c r="E1237" s="7"/>
      <c r="F1237" s="7"/>
      <c r="G1237" s="7"/>
      <c r="H1237" s="7"/>
      <c r="I1237" s="7"/>
      <c r="J1237" s="20"/>
      <c r="K1237" s="20"/>
      <c r="L1237" s="20"/>
      <c r="M1237" s="20"/>
      <c r="N1237" s="9"/>
      <c r="P1237" s="7"/>
      <c r="Q1237" s="11"/>
      <c r="R1237" s="8"/>
      <c r="S1237" s="7"/>
      <c r="T1237" s="7"/>
      <c r="U1237" s="7"/>
      <c r="V1237" s="7"/>
      <c r="W1237" s="7"/>
      <c r="X1237" s="8"/>
      <c r="Y1237" s="7"/>
      <c r="Z1237" s="7"/>
      <c r="AA1237" s="11"/>
      <c r="AB1237" s="11"/>
      <c r="AC1237" s="11"/>
      <c r="AD1237" s="11"/>
      <c r="AH1237" s="8"/>
      <c r="AI1237" s="20"/>
      <c r="AJ1237" s="20"/>
      <c r="AK1237" s="31"/>
      <c r="AL1237" s="31"/>
    </row>
    <row r="1238" spans="1:38" hidden="1" x14ac:dyDescent="0.25">
      <c r="A1238" s="9"/>
      <c r="B1238" s="7"/>
      <c r="C1238" s="7"/>
      <c r="D1238" s="7"/>
      <c r="E1238" s="7"/>
      <c r="F1238" s="7"/>
      <c r="G1238" s="7"/>
      <c r="H1238" s="7"/>
      <c r="I1238" s="7"/>
      <c r="J1238" s="20"/>
      <c r="K1238" s="20"/>
      <c r="L1238" s="20"/>
      <c r="M1238" s="20"/>
      <c r="N1238" s="9"/>
      <c r="P1238" s="7"/>
      <c r="Q1238" s="11"/>
      <c r="R1238" s="8"/>
      <c r="S1238" s="7"/>
      <c r="T1238" s="7"/>
      <c r="U1238" s="7"/>
      <c r="V1238" s="7"/>
      <c r="W1238" s="7"/>
      <c r="X1238" s="8"/>
      <c r="Y1238" s="7"/>
      <c r="Z1238" s="7"/>
      <c r="AA1238" s="11"/>
      <c r="AB1238" s="11"/>
      <c r="AC1238" s="11"/>
      <c r="AD1238" s="11"/>
      <c r="AH1238" s="8"/>
      <c r="AI1238" s="20"/>
      <c r="AJ1238" s="20"/>
      <c r="AK1238" s="31"/>
      <c r="AL1238" s="31"/>
    </row>
    <row r="1239" spans="1:38" hidden="1" x14ac:dyDescent="0.25">
      <c r="A1239" s="9"/>
      <c r="B1239" s="7"/>
      <c r="C1239" s="7"/>
      <c r="D1239" s="7"/>
      <c r="E1239" s="7"/>
      <c r="F1239" s="7"/>
      <c r="G1239" s="7"/>
      <c r="H1239" s="7"/>
      <c r="I1239" s="7"/>
      <c r="J1239" s="20"/>
      <c r="K1239" s="20"/>
      <c r="L1239" s="20"/>
      <c r="M1239" s="20"/>
      <c r="N1239" s="9"/>
      <c r="P1239" s="7"/>
      <c r="Q1239" s="11"/>
      <c r="R1239" s="8"/>
      <c r="S1239" s="7"/>
      <c r="T1239" s="7"/>
      <c r="U1239" s="7"/>
      <c r="V1239" s="7"/>
      <c r="W1239" s="7"/>
      <c r="X1239" s="8"/>
      <c r="Y1239" s="7"/>
      <c r="Z1239" s="7"/>
      <c r="AA1239" s="11"/>
      <c r="AB1239" s="11"/>
      <c r="AC1239" s="11"/>
      <c r="AD1239" s="11"/>
      <c r="AH1239" s="8"/>
      <c r="AI1239" s="20"/>
      <c r="AJ1239" s="20"/>
      <c r="AK1239" s="31"/>
      <c r="AL1239" s="31"/>
    </row>
    <row r="1240" spans="1:38" hidden="1" x14ac:dyDescent="0.25">
      <c r="A1240" s="9"/>
      <c r="B1240" s="7"/>
      <c r="C1240" s="7"/>
      <c r="D1240" s="7"/>
      <c r="E1240" s="7"/>
      <c r="F1240" s="7"/>
      <c r="G1240" s="7"/>
      <c r="H1240" s="7"/>
      <c r="I1240" s="7"/>
      <c r="J1240" s="20"/>
      <c r="K1240" s="20"/>
      <c r="L1240" s="20"/>
      <c r="M1240" s="20"/>
      <c r="N1240" s="9"/>
      <c r="P1240" s="7"/>
      <c r="Q1240" s="11"/>
      <c r="R1240" s="8"/>
      <c r="S1240" s="7"/>
      <c r="T1240" s="7"/>
      <c r="U1240" s="7"/>
      <c r="V1240" s="7"/>
      <c r="W1240" s="7"/>
      <c r="X1240" s="8"/>
      <c r="Y1240" s="7"/>
      <c r="Z1240" s="7"/>
      <c r="AA1240" s="11"/>
      <c r="AB1240" s="11"/>
      <c r="AC1240" s="11"/>
      <c r="AD1240" s="11"/>
      <c r="AH1240" s="8"/>
      <c r="AI1240" s="20"/>
      <c r="AJ1240" s="20"/>
      <c r="AK1240" s="31"/>
      <c r="AL1240" s="31"/>
    </row>
    <row r="1241" spans="1:38" hidden="1" x14ac:dyDescent="0.25">
      <c r="A1241" s="9"/>
      <c r="B1241" s="7"/>
      <c r="C1241" s="7"/>
      <c r="D1241" s="7"/>
      <c r="E1241" s="7"/>
      <c r="F1241" s="7"/>
      <c r="G1241" s="7"/>
      <c r="H1241" s="7"/>
      <c r="I1241" s="7"/>
      <c r="J1241" s="20"/>
      <c r="K1241" s="20"/>
      <c r="L1241" s="20"/>
      <c r="M1241" s="20"/>
      <c r="N1241" s="9"/>
      <c r="P1241" s="7"/>
      <c r="Q1241" s="11"/>
      <c r="R1241" s="8"/>
      <c r="S1241" s="7"/>
      <c r="T1241" s="7"/>
      <c r="U1241" s="7"/>
      <c r="V1241" s="7"/>
      <c r="W1241" s="7"/>
      <c r="X1241" s="8"/>
      <c r="Y1241" s="7"/>
      <c r="Z1241" s="7"/>
      <c r="AA1241" s="11"/>
      <c r="AB1241" s="11"/>
      <c r="AC1241" s="11"/>
      <c r="AD1241" s="11"/>
      <c r="AH1241" s="8"/>
      <c r="AI1241" s="20"/>
      <c r="AJ1241" s="20"/>
      <c r="AK1241" s="31"/>
      <c r="AL1241" s="31"/>
    </row>
    <row r="1242" spans="1:38" hidden="1" x14ac:dyDescent="0.25">
      <c r="A1242" s="9"/>
      <c r="B1242" s="7"/>
      <c r="C1242" s="7"/>
      <c r="D1242" s="7"/>
      <c r="E1242" s="7"/>
      <c r="F1242" s="7"/>
      <c r="G1242" s="7"/>
      <c r="H1242" s="7"/>
      <c r="I1242" s="7"/>
      <c r="J1242" s="20"/>
      <c r="K1242" s="20"/>
      <c r="L1242" s="20"/>
      <c r="M1242" s="20"/>
      <c r="N1242" s="9"/>
      <c r="P1242" s="7"/>
      <c r="Q1242" s="11"/>
      <c r="R1242" s="8"/>
      <c r="S1242" s="7"/>
      <c r="T1242" s="7"/>
      <c r="U1242" s="7"/>
      <c r="V1242" s="7"/>
      <c r="W1242" s="7"/>
      <c r="X1242" s="8"/>
      <c r="Y1242" s="7"/>
      <c r="Z1242" s="7"/>
      <c r="AA1242" s="11"/>
      <c r="AB1242" s="11"/>
      <c r="AC1242" s="11"/>
      <c r="AD1242" s="11"/>
      <c r="AH1242" s="8"/>
      <c r="AI1242" s="20"/>
      <c r="AJ1242" s="20"/>
      <c r="AK1242" s="31"/>
      <c r="AL1242" s="31"/>
    </row>
    <row r="1243" spans="1:38" hidden="1" x14ac:dyDescent="0.25">
      <c r="A1243" s="9"/>
      <c r="B1243" s="7"/>
      <c r="C1243" s="7"/>
      <c r="D1243" s="7"/>
      <c r="E1243" s="7"/>
      <c r="F1243" s="7"/>
      <c r="G1243" s="7"/>
      <c r="H1243" s="7"/>
      <c r="I1243" s="7"/>
      <c r="J1243" s="20"/>
      <c r="K1243" s="20"/>
      <c r="L1243" s="20"/>
      <c r="M1243" s="20"/>
      <c r="N1243" s="9"/>
      <c r="P1243" s="7"/>
      <c r="Q1243" s="11"/>
      <c r="R1243" s="8"/>
      <c r="S1243" s="7"/>
      <c r="T1243" s="7"/>
      <c r="U1243" s="7"/>
      <c r="V1243" s="7"/>
      <c r="W1243" s="7"/>
      <c r="X1243" s="8"/>
      <c r="Y1243" s="7"/>
      <c r="Z1243" s="7"/>
      <c r="AA1243" s="11"/>
      <c r="AB1243" s="11"/>
      <c r="AC1243" s="11"/>
      <c r="AD1243" s="11"/>
      <c r="AH1243" s="8"/>
      <c r="AI1243" s="20"/>
      <c r="AJ1243" s="20"/>
      <c r="AK1243" s="31"/>
      <c r="AL1243" s="31"/>
    </row>
    <row r="1244" spans="1:38" hidden="1" x14ac:dyDescent="0.25">
      <c r="A1244" s="9"/>
      <c r="B1244" s="7"/>
      <c r="C1244" s="7"/>
      <c r="D1244" s="7"/>
      <c r="E1244" s="7"/>
      <c r="F1244" s="7"/>
      <c r="G1244" s="7"/>
      <c r="H1244" s="7"/>
      <c r="I1244" s="7"/>
      <c r="J1244" s="20"/>
      <c r="K1244" s="20"/>
      <c r="L1244" s="20"/>
      <c r="M1244" s="20"/>
      <c r="N1244" s="9"/>
      <c r="P1244" s="7"/>
      <c r="Q1244" s="11"/>
      <c r="R1244" s="8"/>
      <c r="S1244" s="7"/>
      <c r="T1244" s="7"/>
      <c r="U1244" s="7"/>
      <c r="V1244" s="7"/>
      <c r="W1244" s="7"/>
      <c r="X1244" s="8"/>
      <c r="Y1244" s="7"/>
      <c r="Z1244" s="7"/>
      <c r="AA1244" s="11"/>
      <c r="AB1244" s="11"/>
      <c r="AC1244" s="11"/>
      <c r="AD1244" s="11"/>
      <c r="AH1244" s="8"/>
      <c r="AI1244" s="20"/>
      <c r="AJ1244" s="20"/>
      <c r="AK1244" s="31"/>
      <c r="AL1244" s="31"/>
    </row>
    <row r="1245" spans="1:38" hidden="1" x14ac:dyDescent="0.25">
      <c r="A1245" s="9"/>
      <c r="B1245" s="7"/>
      <c r="C1245" s="7"/>
      <c r="D1245" s="7"/>
      <c r="E1245" s="7"/>
      <c r="F1245" s="7"/>
      <c r="G1245" s="7"/>
      <c r="H1245" s="7"/>
      <c r="I1245" s="7"/>
      <c r="J1245" s="20"/>
      <c r="K1245" s="20"/>
      <c r="L1245" s="20"/>
      <c r="M1245" s="20"/>
      <c r="N1245" s="9"/>
      <c r="P1245" s="7"/>
      <c r="Q1245" s="11"/>
      <c r="R1245" s="8"/>
      <c r="S1245" s="7"/>
      <c r="T1245" s="7"/>
      <c r="U1245" s="7"/>
      <c r="V1245" s="7"/>
      <c r="W1245" s="7"/>
      <c r="X1245" s="8"/>
      <c r="Y1245" s="7"/>
      <c r="Z1245" s="7"/>
      <c r="AA1245" s="11"/>
      <c r="AB1245" s="11"/>
      <c r="AC1245" s="11"/>
      <c r="AD1245" s="11"/>
      <c r="AH1245" s="8"/>
      <c r="AI1245" s="20"/>
      <c r="AJ1245" s="20"/>
      <c r="AK1245" s="31"/>
      <c r="AL1245" s="31"/>
    </row>
    <row r="1246" spans="1:38" hidden="1" x14ac:dyDescent="0.25">
      <c r="A1246" s="9"/>
      <c r="B1246" s="7"/>
      <c r="C1246" s="7"/>
      <c r="D1246" s="7"/>
      <c r="E1246" s="7"/>
      <c r="F1246" s="7"/>
      <c r="G1246" s="7"/>
      <c r="H1246" s="7"/>
      <c r="I1246" s="7"/>
      <c r="J1246" s="20"/>
      <c r="K1246" s="20"/>
      <c r="L1246" s="20"/>
      <c r="M1246" s="20"/>
      <c r="N1246" s="9"/>
      <c r="P1246" s="7"/>
      <c r="Q1246" s="11"/>
      <c r="R1246" s="8"/>
      <c r="S1246" s="7"/>
      <c r="T1246" s="7"/>
      <c r="U1246" s="7"/>
      <c r="V1246" s="7"/>
      <c r="W1246" s="7"/>
      <c r="X1246" s="8"/>
      <c r="Y1246" s="7"/>
      <c r="Z1246" s="7"/>
      <c r="AA1246" s="11"/>
      <c r="AB1246" s="11"/>
      <c r="AC1246" s="11"/>
      <c r="AD1246" s="11"/>
      <c r="AH1246" s="8"/>
      <c r="AI1246" s="20"/>
      <c r="AJ1246" s="20"/>
      <c r="AK1246" s="31"/>
      <c r="AL1246" s="31"/>
    </row>
    <row r="1247" spans="1:38" hidden="1" x14ac:dyDescent="0.25">
      <c r="A1247" s="9"/>
      <c r="B1247" s="7"/>
      <c r="C1247" s="7"/>
      <c r="D1247" s="7"/>
      <c r="E1247" s="7"/>
      <c r="F1247" s="7"/>
      <c r="G1247" s="7"/>
      <c r="H1247" s="7"/>
      <c r="I1247" s="7"/>
      <c r="J1247" s="20"/>
      <c r="K1247" s="20"/>
      <c r="L1247" s="20"/>
      <c r="M1247" s="20"/>
      <c r="N1247" s="9"/>
      <c r="P1247" s="7"/>
      <c r="Q1247" s="11"/>
      <c r="R1247" s="8"/>
      <c r="S1247" s="7"/>
      <c r="T1247" s="7"/>
      <c r="U1247" s="7"/>
      <c r="V1247" s="7"/>
      <c r="W1247" s="7"/>
      <c r="X1247" s="8"/>
      <c r="Y1247" s="7"/>
      <c r="Z1247" s="7"/>
      <c r="AA1247" s="11"/>
      <c r="AB1247" s="11"/>
      <c r="AC1247" s="11"/>
      <c r="AD1247" s="11"/>
      <c r="AH1247" s="8"/>
      <c r="AI1247" s="20"/>
      <c r="AJ1247" s="20"/>
      <c r="AK1247" s="31"/>
      <c r="AL1247" s="31"/>
    </row>
    <row r="1248" spans="1:38" hidden="1" x14ac:dyDescent="0.25">
      <c r="A1248" s="9"/>
      <c r="B1248" s="7"/>
      <c r="C1248" s="7"/>
      <c r="D1248" s="7"/>
      <c r="E1248" s="7"/>
      <c r="F1248" s="7"/>
      <c r="G1248" s="7"/>
      <c r="H1248" s="7"/>
      <c r="I1248" s="7"/>
      <c r="J1248" s="20"/>
      <c r="K1248" s="20"/>
      <c r="L1248" s="20"/>
      <c r="M1248" s="20"/>
      <c r="N1248" s="9"/>
      <c r="P1248" s="7"/>
      <c r="Q1248" s="11"/>
      <c r="R1248" s="8"/>
      <c r="S1248" s="7"/>
      <c r="T1248" s="7"/>
      <c r="U1248" s="7"/>
      <c r="V1248" s="7"/>
      <c r="W1248" s="7"/>
      <c r="X1248" s="8"/>
      <c r="Y1248" s="7"/>
      <c r="Z1248" s="7"/>
      <c r="AA1248" s="11"/>
      <c r="AB1248" s="11"/>
      <c r="AC1248" s="11"/>
      <c r="AD1248" s="11"/>
      <c r="AH1248" s="8"/>
      <c r="AI1248" s="20"/>
      <c r="AJ1248" s="20"/>
      <c r="AK1248" s="31"/>
      <c r="AL1248" s="31"/>
    </row>
    <row r="1249" spans="1:38" hidden="1" x14ac:dyDescent="0.25">
      <c r="A1249" s="9"/>
      <c r="B1249" s="7"/>
      <c r="C1249" s="7"/>
      <c r="D1249" s="7"/>
      <c r="E1249" s="7"/>
      <c r="F1249" s="7"/>
      <c r="G1249" s="7"/>
      <c r="H1249" s="7"/>
      <c r="I1249" s="7"/>
      <c r="J1249" s="20"/>
      <c r="K1249" s="20"/>
      <c r="L1249" s="20"/>
      <c r="M1249" s="20"/>
      <c r="N1249" s="9"/>
      <c r="P1249" s="7"/>
      <c r="Q1249" s="11"/>
      <c r="R1249" s="8"/>
      <c r="S1249" s="7"/>
      <c r="T1249" s="7"/>
      <c r="U1249" s="7"/>
      <c r="V1249" s="7"/>
      <c r="W1249" s="7"/>
      <c r="X1249" s="8"/>
      <c r="Y1249" s="7"/>
      <c r="Z1249" s="7"/>
      <c r="AA1249" s="11"/>
      <c r="AB1249" s="11"/>
      <c r="AC1249" s="11"/>
      <c r="AD1249" s="11"/>
      <c r="AH1249" s="8"/>
      <c r="AI1249" s="20"/>
      <c r="AJ1249" s="20"/>
      <c r="AK1249" s="31"/>
      <c r="AL1249" s="31"/>
    </row>
    <row r="1250" spans="1:38" hidden="1" x14ac:dyDescent="0.25">
      <c r="A1250" s="9"/>
      <c r="B1250" s="7"/>
      <c r="C1250" s="7"/>
      <c r="D1250" s="7"/>
      <c r="E1250" s="7"/>
      <c r="F1250" s="7"/>
      <c r="G1250" s="7"/>
      <c r="H1250" s="7"/>
      <c r="I1250" s="7"/>
      <c r="J1250" s="20"/>
      <c r="K1250" s="20"/>
      <c r="L1250" s="20"/>
      <c r="M1250" s="20"/>
      <c r="N1250" s="9"/>
      <c r="P1250" s="7"/>
      <c r="Q1250" s="11"/>
      <c r="R1250" s="8"/>
      <c r="S1250" s="7"/>
      <c r="T1250" s="7"/>
      <c r="U1250" s="7"/>
      <c r="V1250" s="7"/>
      <c r="W1250" s="7"/>
      <c r="X1250" s="8"/>
      <c r="Y1250" s="7"/>
      <c r="Z1250" s="7"/>
      <c r="AA1250" s="11"/>
      <c r="AB1250" s="11"/>
      <c r="AC1250" s="11"/>
      <c r="AD1250" s="11"/>
      <c r="AH1250" s="8"/>
      <c r="AI1250" s="20"/>
      <c r="AJ1250" s="20"/>
      <c r="AK1250" s="31"/>
      <c r="AL1250" s="31"/>
    </row>
    <row r="1251" spans="1:38" hidden="1" x14ac:dyDescent="0.25">
      <c r="A1251" s="9"/>
      <c r="B1251" s="7"/>
      <c r="C1251" s="7"/>
      <c r="D1251" s="7"/>
      <c r="E1251" s="7"/>
      <c r="F1251" s="7"/>
      <c r="G1251" s="7"/>
      <c r="H1251" s="7"/>
      <c r="I1251" s="7"/>
      <c r="J1251" s="20"/>
      <c r="K1251" s="20"/>
      <c r="L1251" s="20"/>
      <c r="M1251" s="20"/>
      <c r="N1251" s="9"/>
      <c r="P1251" s="7"/>
      <c r="Q1251" s="11"/>
      <c r="R1251" s="8"/>
      <c r="S1251" s="7"/>
      <c r="T1251" s="7"/>
      <c r="U1251" s="7"/>
      <c r="V1251" s="7"/>
      <c r="W1251" s="7"/>
      <c r="X1251" s="8"/>
      <c r="Y1251" s="7"/>
      <c r="Z1251" s="7"/>
      <c r="AA1251" s="11"/>
      <c r="AB1251" s="11"/>
      <c r="AC1251" s="11"/>
      <c r="AD1251" s="11"/>
      <c r="AH1251" s="8"/>
      <c r="AI1251" s="20"/>
      <c r="AJ1251" s="20"/>
      <c r="AK1251" s="31"/>
      <c r="AL1251" s="31"/>
    </row>
    <row r="1252" spans="1:38" hidden="1" x14ac:dyDescent="0.25">
      <c r="A1252" s="9"/>
      <c r="B1252" s="7"/>
      <c r="C1252" s="7"/>
      <c r="D1252" s="7"/>
      <c r="E1252" s="7"/>
      <c r="F1252" s="7"/>
      <c r="G1252" s="7"/>
      <c r="H1252" s="7"/>
      <c r="I1252" s="7"/>
      <c r="J1252" s="20"/>
      <c r="K1252" s="20"/>
      <c r="L1252" s="20"/>
      <c r="M1252" s="20"/>
      <c r="N1252" s="9"/>
      <c r="P1252" s="7"/>
      <c r="Q1252" s="11"/>
      <c r="R1252" s="8"/>
      <c r="S1252" s="7"/>
      <c r="T1252" s="7"/>
      <c r="U1252" s="7"/>
      <c r="V1252" s="7"/>
      <c r="W1252" s="7"/>
      <c r="X1252" s="8"/>
      <c r="Y1252" s="7"/>
      <c r="Z1252" s="7"/>
      <c r="AA1252" s="11"/>
      <c r="AB1252" s="11"/>
      <c r="AC1252" s="11"/>
      <c r="AD1252" s="11"/>
      <c r="AH1252" s="8"/>
      <c r="AI1252" s="20"/>
      <c r="AJ1252" s="20"/>
      <c r="AK1252" s="31"/>
      <c r="AL1252" s="31"/>
    </row>
    <row r="1253" spans="1:38" hidden="1" x14ac:dyDescent="0.25">
      <c r="A1253" s="9"/>
      <c r="B1253" s="7"/>
      <c r="C1253" s="7"/>
      <c r="D1253" s="7"/>
      <c r="E1253" s="7"/>
      <c r="F1253" s="7"/>
      <c r="G1253" s="7"/>
      <c r="H1253" s="7"/>
      <c r="I1253" s="7"/>
      <c r="J1253" s="20"/>
      <c r="K1253" s="20"/>
      <c r="L1253" s="20"/>
      <c r="M1253" s="20"/>
      <c r="N1253" s="9"/>
      <c r="P1253" s="7"/>
      <c r="Q1253" s="11"/>
      <c r="R1253" s="8"/>
      <c r="S1253" s="7"/>
      <c r="T1253" s="7"/>
      <c r="U1253" s="7"/>
      <c r="V1253" s="7"/>
      <c r="W1253" s="7"/>
      <c r="X1253" s="8"/>
      <c r="Y1253" s="7"/>
      <c r="Z1253" s="7"/>
      <c r="AA1253" s="11"/>
      <c r="AB1253" s="11"/>
      <c r="AC1253" s="11"/>
      <c r="AD1253" s="11"/>
      <c r="AH1253" s="8"/>
      <c r="AI1253" s="20"/>
      <c r="AJ1253" s="20"/>
      <c r="AK1253" s="31"/>
      <c r="AL1253" s="31"/>
    </row>
    <row r="1254" spans="1:38" hidden="1" x14ac:dyDescent="0.25">
      <c r="A1254" s="9"/>
      <c r="B1254" s="7"/>
      <c r="C1254" s="7"/>
      <c r="D1254" s="7"/>
      <c r="E1254" s="7"/>
      <c r="F1254" s="7"/>
      <c r="G1254" s="7"/>
      <c r="H1254" s="7"/>
      <c r="I1254" s="7"/>
      <c r="J1254" s="20"/>
      <c r="K1254" s="20"/>
      <c r="L1254" s="20"/>
      <c r="M1254" s="20"/>
      <c r="N1254" s="9"/>
      <c r="P1254" s="7"/>
      <c r="Q1254" s="11"/>
      <c r="R1254" s="8"/>
      <c r="S1254" s="7"/>
      <c r="T1254" s="7"/>
      <c r="U1254" s="7"/>
      <c r="V1254" s="7"/>
      <c r="W1254" s="7"/>
      <c r="X1254" s="8"/>
      <c r="Y1254" s="7"/>
      <c r="Z1254" s="7"/>
      <c r="AA1254" s="11"/>
      <c r="AB1254" s="11"/>
      <c r="AC1254" s="11"/>
      <c r="AD1254" s="11"/>
      <c r="AH1254" s="8"/>
      <c r="AI1254" s="20"/>
      <c r="AJ1254" s="20"/>
      <c r="AK1254" s="31"/>
      <c r="AL1254" s="31"/>
    </row>
    <row r="1255" spans="1:38" hidden="1" x14ac:dyDescent="0.25">
      <c r="A1255" s="9"/>
      <c r="B1255" s="7"/>
      <c r="C1255" s="7"/>
      <c r="D1255" s="7"/>
      <c r="E1255" s="7"/>
      <c r="F1255" s="7"/>
      <c r="G1255" s="7"/>
      <c r="H1255" s="7"/>
      <c r="I1255" s="7"/>
      <c r="J1255" s="20"/>
      <c r="K1255" s="20"/>
      <c r="L1255" s="20"/>
      <c r="M1255" s="20"/>
      <c r="N1255" s="9"/>
      <c r="P1255" s="7"/>
      <c r="Q1255" s="11"/>
      <c r="R1255" s="8"/>
      <c r="S1255" s="7"/>
      <c r="T1255" s="7"/>
      <c r="U1255" s="7"/>
      <c r="V1255" s="7"/>
      <c r="W1255" s="7"/>
      <c r="X1255" s="8"/>
      <c r="Y1255" s="7"/>
      <c r="Z1255" s="7"/>
      <c r="AA1255" s="11"/>
      <c r="AB1255" s="11"/>
      <c r="AC1255" s="11"/>
      <c r="AD1255" s="11"/>
      <c r="AH1255" s="8"/>
      <c r="AI1255" s="20"/>
      <c r="AJ1255" s="20"/>
      <c r="AK1255" s="31"/>
      <c r="AL1255" s="31"/>
    </row>
    <row r="1256" spans="1:38" hidden="1" x14ac:dyDescent="0.25">
      <c r="A1256" s="9"/>
      <c r="B1256" s="7"/>
      <c r="C1256" s="7"/>
      <c r="D1256" s="7"/>
      <c r="E1256" s="7"/>
      <c r="F1256" s="7"/>
      <c r="G1256" s="7"/>
      <c r="H1256" s="7"/>
      <c r="I1256" s="7"/>
      <c r="J1256" s="20"/>
      <c r="K1256" s="20"/>
      <c r="L1256" s="20"/>
      <c r="M1256" s="20"/>
      <c r="N1256" s="9"/>
      <c r="P1256" s="7"/>
      <c r="Q1256" s="11"/>
      <c r="R1256" s="8"/>
      <c r="S1256" s="7"/>
      <c r="T1256" s="7"/>
      <c r="U1256" s="7"/>
      <c r="V1256" s="7"/>
      <c r="W1256" s="7"/>
      <c r="X1256" s="8"/>
      <c r="Y1256" s="7"/>
      <c r="Z1256" s="7"/>
      <c r="AA1256" s="11"/>
      <c r="AB1256" s="11"/>
      <c r="AC1256" s="11"/>
      <c r="AD1256" s="11"/>
      <c r="AH1256" s="8"/>
      <c r="AI1256" s="20"/>
      <c r="AJ1256" s="20"/>
      <c r="AK1256" s="31"/>
      <c r="AL1256" s="31"/>
    </row>
    <row r="1257" spans="1:38" hidden="1" x14ac:dyDescent="0.25">
      <c r="A1257" s="9"/>
      <c r="B1257" s="7"/>
      <c r="C1257" s="7"/>
      <c r="D1257" s="7"/>
      <c r="E1257" s="7"/>
      <c r="F1257" s="7"/>
      <c r="G1257" s="7"/>
      <c r="H1257" s="7"/>
      <c r="I1257" s="7"/>
      <c r="J1257" s="20"/>
      <c r="K1257" s="20"/>
      <c r="L1257" s="20"/>
      <c r="M1257" s="20"/>
      <c r="N1257" s="9"/>
      <c r="P1257" s="7"/>
      <c r="Q1257" s="11"/>
      <c r="R1257" s="8"/>
      <c r="S1257" s="7"/>
      <c r="T1257" s="7"/>
      <c r="U1257" s="7"/>
      <c r="V1257" s="7"/>
      <c r="W1257" s="7"/>
      <c r="X1257" s="8"/>
      <c r="Y1257" s="7"/>
      <c r="Z1257" s="7"/>
      <c r="AA1257" s="11"/>
      <c r="AB1257" s="11"/>
      <c r="AC1257" s="11"/>
      <c r="AD1257" s="11"/>
      <c r="AH1257" s="8"/>
      <c r="AI1257" s="20"/>
      <c r="AJ1257" s="20"/>
      <c r="AK1257" s="31"/>
      <c r="AL1257" s="31"/>
    </row>
    <row r="1258" spans="1:38" hidden="1" x14ac:dyDescent="0.25">
      <c r="A1258" s="9"/>
      <c r="B1258" s="7"/>
      <c r="C1258" s="7"/>
      <c r="D1258" s="7"/>
      <c r="E1258" s="7"/>
      <c r="F1258" s="7"/>
      <c r="G1258" s="7"/>
      <c r="H1258" s="7"/>
      <c r="I1258" s="7"/>
      <c r="J1258" s="20"/>
      <c r="K1258" s="20"/>
      <c r="L1258" s="20"/>
      <c r="M1258" s="20"/>
      <c r="N1258" s="9"/>
      <c r="P1258" s="7"/>
      <c r="Q1258" s="11"/>
      <c r="R1258" s="8"/>
      <c r="S1258" s="7"/>
      <c r="T1258" s="7"/>
      <c r="U1258" s="7"/>
      <c r="V1258" s="7"/>
      <c r="W1258" s="7"/>
      <c r="X1258" s="8"/>
      <c r="Y1258" s="7"/>
      <c r="Z1258" s="7"/>
      <c r="AA1258" s="11"/>
      <c r="AB1258" s="11"/>
      <c r="AC1258" s="11"/>
      <c r="AD1258" s="11"/>
      <c r="AH1258" s="8"/>
      <c r="AI1258" s="20"/>
      <c r="AJ1258" s="20"/>
      <c r="AK1258" s="31"/>
      <c r="AL1258" s="31"/>
    </row>
    <row r="1259" spans="1:38" hidden="1" x14ac:dyDescent="0.25">
      <c r="A1259" s="9"/>
      <c r="B1259" s="7"/>
      <c r="C1259" s="7"/>
      <c r="D1259" s="7"/>
      <c r="E1259" s="7"/>
      <c r="F1259" s="7"/>
      <c r="G1259" s="7"/>
      <c r="H1259" s="7"/>
      <c r="I1259" s="7"/>
      <c r="J1259" s="20"/>
      <c r="K1259" s="20"/>
      <c r="L1259" s="20"/>
      <c r="M1259" s="20"/>
      <c r="N1259" s="9"/>
      <c r="P1259" s="7"/>
      <c r="Q1259" s="11"/>
      <c r="R1259" s="8"/>
      <c r="S1259" s="7"/>
      <c r="T1259" s="7"/>
      <c r="U1259" s="7"/>
      <c r="V1259" s="7"/>
      <c r="W1259" s="7"/>
      <c r="X1259" s="8"/>
      <c r="Y1259" s="7"/>
      <c r="Z1259" s="7"/>
      <c r="AA1259" s="11"/>
      <c r="AB1259" s="11"/>
      <c r="AC1259" s="11"/>
      <c r="AD1259" s="11"/>
      <c r="AH1259" s="8"/>
      <c r="AI1259" s="20"/>
      <c r="AJ1259" s="20"/>
      <c r="AK1259" s="31"/>
      <c r="AL1259" s="31"/>
    </row>
    <row r="1260" spans="1:38" hidden="1" x14ac:dyDescent="0.25">
      <c r="A1260" s="9"/>
      <c r="B1260" s="7"/>
      <c r="C1260" s="7"/>
      <c r="D1260" s="7"/>
      <c r="E1260" s="7"/>
      <c r="F1260" s="7"/>
      <c r="G1260" s="7"/>
      <c r="H1260" s="7"/>
      <c r="I1260" s="7"/>
      <c r="J1260" s="20"/>
      <c r="K1260" s="20"/>
      <c r="L1260" s="20"/>
      <c r="M1260" s="20"/>
      <c r="N1260" s="9"/>
      <c r="P1260" s="7"/>
      <c r="Q1260" s="11"/>
      <c r="R1260" s="8"/>
      <c r="S1260" s="7"/>
      <c r="T1260" s="7"/>
      <c r="U1260" s="7"/>
      <c r="V1260" s="7"/>
      <c r="W1260" s="7"/>
      <c r="X1260" s="8"/>
      <c r="Y1260" s="7"/>
      <c r="Z1260" s="7"/>
      <c r="AA1260" s="11"/>
      <c r="AB1260" s="11"/>
      <c r="AC1260" s="11"/>
      <c r="AD1260" s="11"/>
      <c r="AH1260" s="8"/>
      <c r="AI1260" s="20"/>
      <c r="AJ1260" s="20"/>
      <c r="AK1260" s="31"/>
      <c r="AL1260" s="31"/>
    </row>
    <row r="1261" spans="1:38" hidden="1" x14ac:dyDescent="0.25">
      <c r="A1261" s="9"/>
      <c r="B1261" s="7"/>
      <c r="C1261" s="7"/>
      <c r="D1261" s="7"/>
      <c r="E1261" s="7"/>
      <c r="F1261" s="7"/>
      <c r="G1261" s="7"/>
      <c r="H1261" s="7"/>
      <c r="I1261" s="7"/>
      <c r="J1261" s="20"/>
      <c r="K1261" s="20"/>
      <c r="L1261" s="20"/>
      <c r="M1261" s="20"/>
      <c r="N1261" s="9"/>
      <c r="P1261" s="7"/>
      <c r="Q1261" s="11"/>
      <c r="R1261" s="8"/>
      <c r="S1261" s="7"/>
      <c r="T1261" s="7"/>
      <c r="U1261" s="7"/>
      <c r="V1261" s="7"/>
      <c r="W1261" s="7"/>
      <c r="X1261" s="8"/>
      <c r="Y1261" s="7"/>
      <c r="Z1261" s="7"/>
      <c r="AA1261" s="11"/>
      <c r="AB1261" s="11"/>
      <c r="AC1261" s="11"/>
      <c r="AD1261" s="11"/>
      <c r="AH1261" s="8"/>
      <c r="AI1261" s="20"/>
      <c r="AJ1261" s="20"/>
      <c r="AK1261" s="31"/>
      <c r="AL1261" s="31"/>
    </row>
    <row r="1262" spans="1:38" hidden="1" x14ac:dyDescent="0.25">
      <c r="A1262" s="9"/>
      <c r="B1262" s="7"/>
      <c r="C1262" s="7"/>
      <c r="D1262" s="7"/>
      <c r="E1262" s="7"/>
      <c r="F1262" s="7"/>
      <c r="G1262" s="7"/>
      <c r="H1262" s="7"/>
      <c r="I1262" s="7"/>
      <c r="J1262" s="20"/>
      <c r="K1262" s="20"/>
      <c r="L1262" s="20"/>
      <c r="M1262" s="20"/>
      <c r="N1262" s="9"/>
      <c r="P1262" s="7"/>
      <c r="Q1262" s="11"/>
      <c r="R1262" s="8"/>
      <c r="S1262" s="7"/>
      <c r="T1262" s="7"/>
      <c r="U1262" s="7"/>
      <c r="V1262" s="7"/>
      <c r="W1262" s="7"/>
      <c r="X1262" s="8"/>
      <c r="Y1262" s="7"/>
      <c r="Z1262" s="7"/>
      <c r="AA1262" s="11"/>
      <c r="AB1262" s="11"/>
      <c r="AC1262" s="11"/>
      <c r="AD1262" s="11"/>
      <c r="AH1262" s="8"/>
      <c r="AI1262" s="20"/>
      <c r="AJ1262" s="20"/>
      <c r="AK1262" s="31"/>
      <c r="AL1262" s="31"/>
    </row>
    <row r="1263" spans="1:38" hidden="1" x14ac:dyDescent="0.25">
      <c r="A1263" s="9"/>
      <c r="B1263" s="7"/>
      <c r="C1263" s="7"/>
      <c r="D1263" s="7"/>
      <c r="E1263" s="7"/>
      <c r="F1263" s="7"/>
      <c r="G1263" s="7"/>
      <c r="H1263" s="7"/>
      <c r="I1263" s="7"/>
      <c r="J1263" s="20"/>
      <c r="K1263" s="20"/>
      <c r="L1263" s="20"/>
      <c r="M1263" s="20"/>
      <c r="N1263" s="9"/>
      <c r="P1263" s="7"/>
      <c r="Q1263" s="11"/>
      <c r="R1263" s="8"/>
      <c r="S1263" s="7"/>
      <c r="T1263" s="7"/>
      <c r="U1263" s="7"/>
      <c r="V1263" s="7"/>
      <c r="W1263" s="7"/>
      <c r="X1263" s="8"/>
      <c r="Y1263" s="7"/>
      <c r="Z1263" s="7"/>
      <c r="AA1263" s="11"/>
      <c r="AB1263" s="11"/>
      <c r="AC1263" s="11"/>
      <c r="AD1263" s="11"/>
      <c r="AH1263" s="8"/>
      <c r="AI1263" s="20"/>
      <c r="AJ1263" s="20"/>
      <c r="AK1263" s="31"/>
      <c r="AL1263" s="31"/>
    </row>
    <row r="1264" spans="1:38" hidden="1" x14ac:dyDescent="0.25">
      <c r="A1264" s="9"/>
      <c r="B1264" s="7"/>
      <c r="C1264" s="7"/>
      <c r="D1264" s="7"/>
      <c r="E1264" s="7"/>
      <c r="F1264" s="7"/>
      <c r="G1264" s="7"/>
      <c r="H1264" s="7"/>
      <c r="I1264" s="7"/>
      <c r="J1264" s="20"/>
      <c r="K1264" s="20"/>
      <c r="L1264" s="20"/>
      <c r="M1264" s="20"/>
      <c r="N1264" s="9"/>
      <c r="P1264" s="7"/>
      <c r="Q1264" s="11"/>
      <c r="R1264" s="8"/>
      <c r="S1264" s="7"/>
      <c r="T1264" s="7"/>
      <c r="U1264" s="7"/>
      <c r="V1264" s="7"/>
      <c r="W1264" s="7"/>
      <c r="X1264" s="8"/>
      <c r="Y1264" s="7"/>
      <c r="Z1264" s="7"/>
      <c r="AA1264" s="11"/>
      <c r="AB1264" s="11"/>
      <c r="AC1264" s="11"/>
      <c r="AD1264" s="11"/>
      <c r="AH1264" s="8"/>
      <c r="AI1264" s="20"/>
      <c r="AJ1264" s="20"/>
      <c r="AK1264" s="31"/>
      <c r="AL1264" s="31"/>
    </row>
    <row r="1265" spans="1:38" hidden="1" x14ac:dyDescent="0.25">
      <c r="A1265" s="9"/>
      <c r="B1265" s="7"/>
      <c r="C1265" s="7"/>
      <c r="D1265" s="7"/>
      <c r="E1265" s="7"/>
      <c r="F1265" s="7"/>
      <c r="G1265" s="7"/>
      <c r="H1265" s="7"/>
      <c r="I1265" s="7"/>
      <c r="J1265" s="20"/>
      <c r="K1265" s="20"/>
      <c r="L1265" s="20"/>
      <c r="M1265" s="20"/>
      <c r="N1265" s="9"/>
      <c r="P1265" s="7"/>
      <c r="Q1265" s="11"/>
      <c r="R1265" s="8"/>
      <c r="S1265" s="7"/>
      <c r="T1265" s="7"/>
      <c r="U1265" s="7"/>
      <c r="V1265" s="7"/>
      <c r="W1265" s="7"/>
      <c r="X1265" s="8"/>
      <c r="Y1265" s="7"/>
      <c r="Z1265" s="7"/>
      <c r="AA1265" s="11"/>
      <c r="AB1265" s="11"/>
      <c r="AC1265" s="11"/>
      <c r="AD1265" s="11"/>
      <c r="AH1265" s="8"/>
      <c r="AI1265" s="20"/>
      <c r="AJ1265" s="20"/>
      <c r="AK1265" s="31"/>
      <c r="AL1265" s="31"/>
    </row>
    <row r="1266" spans="1:38" hidden="1" x14ac:dyDescent="0.25">
      <c r="A1266" s="9"/>
      <c r="B1266" s="7"/>
      <c r="C1266" s="7"/>
      <c r="D1266" s="7"/>
      <c r="E1266" s="7"/>
      <c r="F1266" s="7"/>
      <c r="G1266" s="7"/>
      <c r="H1266" s="7"/>
      <c r="I1266" s="7"/>
      <c r="J1266" s="20"/>
      <c r="K1266" s="20"/>
      <c r="L1266" s="20"/>
      <c r="M1266" s="20"/>
      <c r="N1266" s="9"/>
      <c r="P1266" s="7"/>
      <c r="Q1266" s="11"/>
      <c r="R1266" s="8"/>
      <c r="S1266" s="7"/>
      <c r="T1266" s="7"/>
      <c r="U1266" s="7"/>
      <c r="V1266" s="7"/>
      <c r="W1266" s="7"/>
      <c r="X1266" s="8"/>
      <c r="Y1266" s="7"/>
      <c r="Z1266" s="7"/>
      <c r="AA1266" s="11"/>
      <c r="AB1266" s="11"/>
      <c r="AC1266" s="11"/>
      <c r="AD1266" s="11"/>
      <c r="AH1266" s="8"/>
      <c r="AI1266" s="20"/>
      <c r="AJ1266" s="20"/>
      <c r="AK1266" s="31"/>
      <c r="AL1266" s="31"/>
    </row>
    <row r="1267" spans="1:38" hidden="1" x14ac:dyDescent="0.25">
      <c r="A1267" s="9"/>
      <c r="B1267" s="7"/>
      <c r="C1267" s="7"/>
      <c r="D1267" s="7"/>
      <c r="E1267" s="7"/>
      <c r="F1267" s="7"/>
      <c r="G1267" s="7"/>
      <c r="H1267" s="7"/>
      <c r="I1267" s="7"/>
      <c r="J1267" s="20"/>
      <c r="K1267" s="20"/>
      <c r="L1267" s="20"/>
      <c r="M1267" s="20"/>
      <c r="N1267" s="9"/>
      <c r="P1267" s="7"/>
      <c r="Q1267" s="11"/>
      <c r="R1267" s="8"/>
      <c r="S1267" s="7"/>
      <c r="T1267" s="7"/>
      <c r="U1267" s="7"/>
      <c r="V1267" s="7"/>
      <c r="W1267" s="7"/>
      <c r="X1267" s="8"/>
      <c r="Y1267" s="7"/>
      <c r="Z1267" s="7"/>
      <c r="AA1267" s="11"/>
      <c r="AB1267" s="11"/>
      <c r="AC1267" s="11"/>
      <c r="AD1267" s="11"/>
      <c r="AH1267" s="8"/>
      <c r="AI1267" s="20"/>
      <c r="AJ1267" s="20"/>
      <c r="AK1267" s="31"/>
      <c r="AL1267" s="31"/>
    </row>
    <row r="1268" spans="1:38" hidden="1" x14ac:dyDescent="0.25">
      <c r="A1268" s="9"/>
      <c r="B1268" s="7"/>
      <c r="C1268" s="7"/>
      <c r="D1268" s="7"/>
      <c r="E1268" s="7"/>
      <c r="F1268" s="7"/>
      <c r="G1268" s="7"/>
      <c r="H1268" s="7"/>
      <c r="I1268" s="7"/>
      <c r="J1268" s="20"/>
      <c r="K1268" s="20"/>
      <c r="L1268" s="20"/>
      <c r="M1268" s="20"/>
      <c r="N1268" s="9"/>
      <c r="P1268" s="7"/>
      <c r="Q1268" s="11"/>
      <c r="R1268" s="8"/>
      <c r="S1268" s="7"/>
      <c r="T1268" s="7"/>
      <c r="U1268" s="7"/>
      <c r="V1268" s="7"/>
      <c r="W1268" s="7"/>
      <c r="X1268" s="8"/>
      <c r="Y1268" s="7"/>
      <c r="Z1268" s="7"/>
      <c r="AA1268" s="11"/>
      <c r="AB1268" s="11"/>
      <c r="AC1268" s="11"/>
      <c r="AD1268" s="11"/>
      <c r="AH1268" s="8"/>
      <c r="AI1268" s="20"/>
      <c r="AJ1268" s="20"/>
      <c r="AK1268" s="31"/>
      <c r="AL1268" s="31"/>
    </row>
    <row r="1269" spans="1:38" hidden="1" x14ac:dyDescent="0.25">
      <c r="A1269" s="9"/>
      <c r="B1269" s="7"/>
      <c r="C1269" s="7"/>
      <c r="D1269" s="7"/>
      <c r="E1269" s="7"/>
      <c r="F1269" s="7"/>
      <c r="G1269" s="7"/>
      <c r="H1269" s="7"/>
      <c r="I1269" s="7"/>
      <c r="J1269" s="20"/>
      <c r="K1269" s="20"/>
      <c r="L1269" s="20"/>
      <c r="M1269" s="20"/>
      <c r="N1269" s="9"/>
      <c r="P1269" s="7"/>
      <c r="Q1269" s="11"/>
      <c r="R1269" s="8"/>
      <c r="S1269" s="7"/>
      <c r="T1269" s="7"/>
      <c r="U1269" s="7"/>
      <c r="V1269" s="7"/>
      <c r="W1269" s="7"/>
      <c r="X1269" s="8"/>
      <c r="Y1269" s="7"/>
      <c r="Z1269" s="7"/>
      <c r="AA1269" s="11"/>
      <c r="AB1269" s="11"/>
      <c r="AC1269" s="11"/>
      <c r="AD1269" s="11"/>
      <c r="AH1269" s="8"/>
      <c r="AI1269" s="20"/>
      <c r="AJ1269" s="20"/>
      <c r="AK1269" s="31"/>
      <c r="AL1269" s="31"/>
    </row>
    <row r="1270" spans="1:38" hidden="1" x14ac:dyDescent="0.25">
      <c r="A1270" s="9"/>
      <c r="B1270" s="7"/>
      <c r="C1270" s="7"/>
      <c r="D1270" s="7"/>
      <c r="E1270" s="7"/>
      <c r="F1270" s="7"/>
      <c r="G1270" s="7"/>
      <c r="H1270" s="7"/>
      <c r="I1270" s="7"/>
      <c r="J1270" s="20"/>
      <c r="K1270" s="20"/>
      <c r="L1270" s="20"/>
      <c r="M1270" s="20"/>
      <c r="N1270" s="9"/>
      <c r="P1270" s="7"/>
      <c r="Q1270" s="11"/>
      <c r="R1270" s="8"/>
      <c r="S1270" s="7"/>
      <c r="T1270" s="7"/>
      <c r="U1270" s="7"/>
      <c r="V1270" s="7"/>
      <c r="W1270" s="7"/>
      <c r="X1270" s="8"/>
      <c r="Y1270" s="7"/>
      <c r="Z1270" s="7"/>
      <c r="AA1270" s="11"/>
      <c r="AB1270" s="11"/>
      <c r="AC1270" s="11"/>
      <c r="AD1270" s="11"/>
      <c r="AH1270" s="8"/>
      <c r="AI1270" s="20"/>
      <c r="AJ1270" s="20"/>
      <c r="AK1270" s="31"/>
      <c r="AL1270" s="31"/>
    </row>
    <row r="1271" spans="1:38" hidden="1" x14ac:dyDescent="0.25">
      <c r="A1271" s="9"/>
      <c r="B1271" s="7"/>
      <c r="C1271" s="7"/>
      <c r="D1271" s="7"/>
      <c r="E1271" s="7"/>
      <c r="F1271" s="7"/>
      <c r="G1271" s="7"/>
      <c r="H1271" s="7"/>
      <c r="I1271" s="7"/>
      <c r="J1271" s="20"/>
      <c r="K1271" s="20"/>
      <c r="L1271" s="20"/>
      <c r="M1271" s="20"/>
      <c r="N1271" s="9"/>
      <c r="P1271" s="7"/>
      <c r="Q1271" s="11"/>
      <c r="R1271" s="8"/>
      <c r="S1271" s="7"/>
      <c r="T1271" s="7"/>
      <c r="U1271" s="7"/>
      <c r="V1271" s="7"/>
      <c r="W1271" s="7"/>
      <c r="X1271" s="8"/>
      <c r="Y1271" s="7"/>
      <c r="Z1271" s="7"/>
      <c r="AA1271" s="11"/>
      <c r="AB1271" s="11"/>
      <c r="AC1271" s="11"/>
      <c r="AD1271" s="11"/>
      <c r="AH1271" s="8"/>
      <c r="AI1271" s="20"/>
      <c r="AJ1271" s="20"/>
      <c r="AK1271" s="31"/>
      <c r="AL1271" s="31"/>
    </row>
    <row r="1272" spans="1:38" hidden="1" x14ac:dyDescent="0.25">
      <c r="A1272" s="9"/>
      <c r="B1272" s="7"/>
      <c r="C1272" s="7"/>
      <c r="D1272" s="7"/>
      <c r="E1272" s="7"/>
      <c r="F1272" s="7"/>
      <c r="G1272" s="7"/>
      <c r="H1272" s="7"/>
      <c r="I1272" s="7"/>
      <c r="J1272" s="20"/>
      <c r="K1272" s="20"/>
      <c r="L1272" s="20"/>
      <c r="M1272" s="20"/>
      <c r="N1272" s="9"/>
      <c r="P1272" s="7"/>
      <c r="Q1272" s="11"/>
      <c r="R1272" s="8"/>
      <c r="S1272" s="7"/>
      <c r="T1272" s="7"/>
      <c r="U1272" s="7"/>
      <c r="V1272" s="7"/>
      <c r="W1272" s="7"/>
      <c r="X1272" s="8"/>
      <c r="Y1272" s="7"/>
      <c r="Z1272" s="7"/>
      <c r="AA1272" s="11"/>
      <c r="AB1272" s="11"/>
      <c r="AC1272" s="11"/>
      <c r="AD1272" s="11"/>
      <c r="AH1272" s="8"/>
      <c r="AI1272" s="20"/>
      <c r="AJ1272" s="20"/>
      <c r="AK1272" s="31"/>
      <c r="AL1272" s="31"/>
    </row>
    <row r="1273" spans="1:38" hidden="1" x14ac:dyDescent="0.25">
      <c r="A1273" s="9"/>
      <c r="B1273" s="7"/>
      <c r="C1273" s="7"/>
      <c r="D1273" s="7"/>
      <c r="E1273" s="7"/>
      <c r="F1273" s="7"/>
      <c r="G1273" s="7"/>
      <c r="H1273" s="7"/>
      <c r="I1273" s="7"/>
      <c r="J1273" s="20"/>
      <c r="K1273" s="20"/>
      <c r="L1273" s="20"/>
      <c r="M1273" s="20"/>
      <c r="N1273" s="9"/>
      <c r="P1273" s="7"/>
      <c r="Q1273" s="11"/>
      <c r="R1273" s="8"/>
      <c r="S1273" s="7"/>
      <c r="T1273" s="7"/>
      <c r="U1273" s="7"/>
      <c r="V1273" s="7"/>
      <c r="W1273" s="7"/>
      <c r="X1273" s="8"/>
      <c r="Y1273" s="7"/>
      <c r="Z1273" s="7"/>
      <c r="AA1273" s="11"/>
      <c r="AB1273" s="11"/>
      <c r="AC1273" s="11"/>
      <c r="AD1273" s="11"/>
      <c r="AH1273" s="8"/>
      <c r="AI1273" s="20"/>
      <c r="AJ1273" s="20"/>
      <c r="AK1273" s="31"/>
      <c r="AL1273" s="31"/>
    </row>
    <row r="1274" spans="1:38" hidden="1" x14ac:dyDescent="0.25">
      <c r="A1274" s="9"/>
      <c r="B1274" s="7"/>
      <c r="C1274" s="7"/>
      <c r="D1274" s="7"/>
      <c r="E1274" s="7"/>
      <c r="F1274" s="7"/>
      <c r="G1274" s="7"/>
      <c r="H1274" s="7"/>
      <c r="I1274" s="7"/>
      <c r="J1274" s="20"/>
      <c r="K1274" s="20"/>
      <c r="L1274" s="20"/>
      <c r="M1274" s="20"/>
      <c r="N1274" s="9"/>
      <c r="P1274" s="7"/>
      <c r="Q1274" s="11"/>
      <c r="R1274" s="8"/>
      <c r="S1274" s="7"/>
      <c r="T1274" s="7"/>
      <c r="U1274" s="7"/>
      <c r="V1274" s="7"/>
      <c r="W1274" s="7"/>
      <c r="X1274" s="8"/>
      <c r="Y1274" s="7"/>
      <c r="Z1274" s="7"/>
      <c r="AA1274" s="11"/>
      <c r="AB1274" s="11"/>
      <c r="AC1274" s="11"/>
      <c r="AD1274" s="11"/>
      <c r="AH1274" s="8"/>
      <c r="AI1274" s="20"/>
      <c r="AJ1274" s="20"/>
      <c r="AK1274" s="31"/>
      <c r="AL1274" s="31"/>
    </row>
    <row r="1275" spans="1:38" hidden="1" x14ac:dyDescent="0.25">
      <c r="A1275" s="9"/>
      <c r="B1275" s="7"/>
      <c r="C1275" s="7"/>
      <c r="D1275" s="7"/>
      <c r="E1275" s="7"/>
      <c r="F1275" s="7"/>
      <c r="G1275" s="7"/>
      <c r="H1275" s="7"/>
      <c r="I1275" s="7"/>
      <c r="J1275" s="20"/>
      <c r="K1275" s="20"/>
      <c r="L1275" s="20"/>
      <c r="M1275" s="20"/>
      <c r="N1275" s="9"/>
      <c r="P1275" s="7"/>
      <c r="Q1275" s="11"/>
      <c r="R1275" s="8"/>
      <c r="S1275" s="7"/>
      <c r="T1275" s="7"/>
      <c r="U1275" s="7"/>
      <c r="V1275" s="7"/>
      <c r="W1275" s="7"/>
      <c r="X1275" s="8"/>
      <c r="Y1275" s="7"/>
      <c r="Z1275" s="7"/>
      <c r="AA1275" s="11"/>
      <c r="AB1275" s="11"/>
      <c r="AC1275" s="11"/>
      <c r="AD1275" s="11"/>
      <c r="AH1275" s="8"/>
      <c r="AI1275" s="20"/>
      <c r="AJ1275" s="20"/>
      <c r="AK1275" s="31"/>
      <c r="AL1275" s="31"/>
    </row>
    <row r="1276" spans="1:38" hidden="1" x14ac:dyDescent="0.25">
      <c r="A1276" s="9"/>
      <c r="B1276" s="7"/>
      <c r="C1276" s="7"/>
      <c r="D1276" s="7"/>
      <c r="E1276" s="7"/>
      <c r="F1276" s="7"/>
      <c r="G1276" s="7"/>
      <c r="H1276" s="7"/>
      <c r="I1276" s="7"/>
      <c r="J1276" s="20"/>
      <c r="K1276" s="20"/>
      <c r="L1276" s="20"/>
      <c r="M1276" s="20"/>
      <c r="N1276" s="9"/>
      <c r="P1276" s="7"/>
      <c r="Q1276" s="11"/>
      <c r="R1276" s="8"/>
      <c r="S1276" s="7"/>
      <c r="T1276" s="7"/>
      <c r="U1276" s="7"/>
      <c r="V1276" s="7"/>
      <c r="W1276" s="7"/>
      <c r="X1276" s="8"/>
      <c r="Y1276" s="7"/>
      <c r="Z1276" s="7"/>
      <c r="AA1276" s="11"/>
      <c r="AB1276" s="11"/>
      <c r="AC1276" s="11"/>
      <c r="AD1276" s="11"/>
      <c r="AH1276" s="8"/>
      <c r="AI1276" s="20"/>
      <c r="AJ1276" s="20"/>
      <c r="AK1276" s="31"/>
      <c r="AL1276" s="31"/>
    </row>
    <row r="1277" spans="1:38" hidden="1" x14ac:dyDescent="0.25">
      <c r="A1277" s="9"/>
      <c r="B1277" s="7"/>
      <c r="C1277" s="7"/>
      <c r="D1277" s="7"/>
      <c r="E1277" s="7"/>
      <c r="F1277" s="7"/>
      <c r="G1277" s="7"/>
      <c r="H1277" s="7"/>
      <c r="I1277" s="7"/>
      <c r="J1277" s="20"/>
      <c r="K1277" s="20"/>
      <c r="L1277" s="20"/>
      <c r="M1277" s="20"/>
      <c r="N1277" s="9"/>
      <c r="P1277" s="7"/>
      <c r="Q1277" s="11"/>
      <c r="R1277" s="8"/>
      <c r="S1277" s="7"/>
      <c r="T1277" s="7"/>
      <c r="U1277" s="7"/>
      <c r="V1277" s="7"/>
      <c r="W1277" s="7"/>
      <c r="X1277" s="8"/>
      <c r="Y1277" s="7"/>
      <c r="Z1277" s="7"/>
      <c r="AA1277" s="11"/>
      <c r="AB1277" s="11"/>
      <c r="AC1277" s="11"/>
      <c r="AD1277" s="11"/>
      <c r="AH1277" s="8"/>
      <c r="AI1277" s="20"/>
      <c r="AJ1277" s="20"/>
      <c r="AK1277" s="31"/>
      <c r="AL1277" s="31"/>
    </row>
    <row r="1278" spans="1:38" hidden="1" x14ac:dyDescent="0.25">
      <c r="A1278" s="9"/>
      <c r="B1278" s="7"/>
      <c r="C1278" s="7"/>
      <c r="D1278" s="7"/>
      <c r="E1278" s="7"/>
      <c r="F1278" s="7"/>
      <c r="G1278" s="7"/>
      <c r="H1278" s="7"/>
      <c r="I1278" s="7"/>
      <c r="J1278" s="20"/>
      <c r="K1278" s="20"/>
      <c r="L1278" s="20"/>
      <c r="M1278" s="20"/>
      <c r="N1278" s="9"/>
      <c r="P1278" s="7"/>
      <c r="Q1278" s="11"/>
      <c r="R1278" s="8"/>
      <c r="S1278" s="7"/>
      <c r="T1278" s="7"/>
      <c r="U1278" s="7"/>
      <c r="V1278" s="7"/>
      <c r="W1278" s="7"/>
      <c r="X1278" s="8"/>
      <c r="Y1278" s="7"/>
      <c r="Z1278" s="7"/>
      <c r="AA1278" s="11"/>
      <c r="AB1278" s="11"/>
      <c r="AC1278" s="11"/>
      <c r="AD1278" s="11"/>
      <c r="AH1278" s="8"/>
      <c r="AI1278" s="20"/>
      <c r="AJ1278" s="20"/>
      <c r="AK1278" s="31"/>
      <c r="AL1278" s="31"/>
    </row>
    <row r="1279" spans="1:38" hidden="1" x14ac:dyDescent="0.25">
      <c r="A1279" s="9"/>
      <c r="B1279" s="7"/>
      <c r="C1279" s="7"/>
      <c r="D1279" s="7"/>
      <c r="E1279" s="7"/>
      <c r="F1279" s="7"/>
      <c r="G1279" s="7"/>
      <c r="H1279" s="7"/>
      <c r="I1279" s="7"/>
      <c r="J1279" s="20"/>
      <c r="K1279" s="20"/>
      <c r="L1279" s="20"/>
      <c r="M1279" s="20"/>
      <c r="N1279" s="9"/>
      <c r="P1279" s="7"/>
      <c r="Q1279" s="11"/>
      <c r="R1279" s="8"/>
      <c r="S1279" s="7"/>
      <c r="T1279" s="7"/>
      <c r="U1279" s="7"/>
      <c r="V1279" s="7"/>
      <c r="W1279" s="7"/>
      <c r="X1279" s="8"/>
      <c r="Y1279" s="7"/>
      <c r="Z1279" s="7"/>
      <c r="AA1279" s="11"/>
      <c r="AB1279" s="11"/>
      <c r="AC1279" s="11"/>
      <c r="AD1279" s="11"/>
      <c r="AH1279" s="8"/>
      <c r="AI1279" s="20"/>
      <c r="AJ1279" s="20"/>
      <c r="AK1279" s="31"/>
      <c r="AL1279" s="31"/>
    </row>
    <row r="1280" spans="1:38" hidden="1" x14ac:dyDescent="0.25">
      <c r="A1280" s="9"/>
      <c r="B1280" s="7"/>
      <c r="C1280" s="7"/>
      <c r="D1280" s="7"/>
      <c r="E1280" s="7"/>
      <c r="F1280" s="7"/>
      <c r="G1280" s="7"/>
      <c r="H1280" s="7"/>
      <c r="I1280" s="7"/>
      <c r="J1280" s="20"/>
      <c r="K1280" s="20"/>
      <c r="L1280" s="20"/>
      <c r="M1280" s="20"/>
      <c r="N1280" s="9"/>
      <c r="P1280" s="7"/>
      <c r="Q1280" s="11"/>
      <c r="R1280" s="8"/>
      <c r="S1280" s="7"/>
      <c r="T1280" s="7"/>
      <c r="U1280" s="7"/>
      <c r="V1280" s="7"/>
      <c r="W1280" s="7"/>
      <c r="X1280" s="8"/>
      <c r="Y1280" s="7"/>
      <c r="Z1280" s="7"/>
      <c r="AA1280" s="11"/>
      <c r="AB1280" s="11"/>
      <c r="AC1280" s="11"/>
      <c r="AD1280" s="11"/>
      <c r="AH1280" s="8"/>
      <c r="AI1280" s="20"/>
      <c r="AJ1280" s="20"/>
      <c r="AK1280" s="31"/>
      <c r="AL1280" s="31"/>
    </row>
    <row r="1281" spans="1:38" hidden="1" x14ac:dyDescent="0.25">
      <c r="A1281" s="9"/>
      <c r="B1281" s="7"/>
      <c r="C1281" s="7"/>
      <c r="D1281" s="7"/>
      <c r="E1281" s="7"/>
      <c r="F1281" s="7"/>
      <c r="G1281" s="7"/>
      <c r="H1281" s="7"/>
      <c r="I1281" s="7"/>
      <c r="J1281" s="20"/>
      <c r="K1281" s="20"/>
      <c r="L1281" s="20"/>
      <c r="M1281" s="20"/>
      <c r="N1281" s="9"/>
      <c r="P1281" s="7"/>
      <c r="Q1281" s="11"/>
      <c r="R1281" s="8"/>
      <c r="S1281" s="7"/>
      <c r="T1281" s="7"/>
      <c r="U1281" s="7"/>
      <c r="V1281" s="7"/>
      <c r="W1281" s="7"/>
      <c r="X1281" s="8"/>
      <c r="Y1281" s="7"/>
      <c r="Z1281" s="7"/>
      <c r="AA1281" s="11"/>
      <c r="AB1281" s="11"/>
      <c r="AC1281" s="11"/>
      <c r="AD1281" s="11"/>
      <c r="AH1281" s="8"/>
      <c r="AI1281" s="20"/>
      <c r="AJ1281" s="20"/>
      <c r="AK1281" s="31"/>
      <c r="AL1281" s="31"/>
    </row>
    <row r="1282" spans="1:38" hidden="1" x14ac:dyDescent="0.25">
      <c r="A1282" s="9"/>
      <c r="B1282" s="7"/>
      <c r="C1282" s="7"/>
      <c r="D1282" s="7"/>
      <c r="E1282" s="7"/>
      <c r="F1282" s="7"/>
      <c r="G1282" s="7"/>
      <c r="H1282" s="7"/>
      <c r="I1282" s="7"/>
      <c r="J1282" s="20"/>
      <c r="K1282" s="20"/>
      <c r="L1282" s="20"/>
      <c r="M1282" s="20"/>
      <c r="N1282" s="9"/>
      <c r="P1282" s="7"/>
      <c r="Q1282" s="11"/>
      <c r="R1282" s="8"/>
      <c r="S1282" s="7"/>
      <c r="T1282" s="7"/>
      <c r="U1282" s="7"/>
      <c r="V1282" s="7"/>
      <c r="W1282" s="7"/>
      <c r="X1282" s="8"/>
      <c r="Y1282" s="7"/>
      <c r="Z1282" s="7"/>
      <c r="AA1282" s="11"/>
      <c r="AB1282" s="11"/>
      <c r="AC1282" s="11"/>
      <c r="AD1282" s="11"/>
      <c r="AH1282" s="8"/>
      <c r="AI1282" s="20"/>
      <c r="AJ1282" s="20"/>
      <c r="AK1282" s="31"/>
      <c r="AL1282" s="31"/>
    </row>
    <row r="1283" spans="1:38" hidden="1" x14ac:dyDescent="0.25">
      <c r="A1283" s="9"/>
      <c r="B1283" s="7"/>
      <c r="C1283" s="7"/>
      <c r="D1283" s="7"/>
      <c r="E1283" s="7"/>
      <c r="F1283" s="7"/>
      <c r="G1283" s="7"/>
      <c r="H1283" s="7"/>
      <c r="I1283" s="7"/>
      <c r="J1283" s="20"/>
      <c r="K1283" s="20"/>
      <c r="L1283" s="20"/>
      <c r="M1283" s="20"/>
      <c r="N1283" s="9"/>
      <c r="P1283" s="7"/>
      <c r="Q1283" s="11"/>
      <c r="R1283" s="8"/>
      <c r="S1283" s="7"/>
      <c r="T1283" s="7"/>
      <c r="U1283" s="7"/>
      <c r="V1283" s="7"/>
      <c r="W1283" s="7"/>
      <c r="X1283" s="8"/>
      <c r="Y1283" s="7"/>
      <c r="Z1283" s="7"/>
      <c r="AA1283" s="11"/>
      <c r="AB1283" s="11"/>
      <c r="AC1283" s="11"/>
      <c r="AD1283" s="11"/>
      <c r="AH1283" s="8"/>
      <c r="AI1283" s="20"/>
      <c r="AJ1283" s="20"/>
      <c r="AK1283" s="31"/>
      <c r="AL1283" s="31"/>
    </row>
    <row r="1284" spans="1:38" hidden="1" x14ac:dyDescent="0.25">
      <c r="A1284" s="9"/>
      <c r="B1284" s="7"/>
      <c r="C1284" s="7"/>
      <c r="D1284" s="7"/>
      <c r="E1284" s="7"/>
      <c r="F1284" s="7"/>
      <c r="G1284" s="7"/>
      <c r="H1284" s="7"/>
      <c r="I1284" s="7"/>
      <c r="J1284" s="20"/>
      <c r="K1284" s="20"/>
      <c r="L1284" s="20"/>
      <c r="M1284" s="20"/>
      <c r="N1284" s="9"/>
      <c r="P1284" s="7"/>
      <c r="Q1284" s="11"/>
      <c r="R1284" s="8"/>
      <c r="S1284" s="7"/>
      <c r="T1284" s="7"/>
      <c r="U1284" s="7"/>
      <c r="V1284" s="7"/>
      <c r="W1284" s="7"/>
      <c r="X1284" s="8"/>
      <c r="Y1284" s="7"/>
      <c r="Z1284" s="7"/>
      <c r="AA1284" s="11"/>
      <c r="AB1284" s="11"/>
      <c r="AC1284" s="11"/>
      <c r="AD1284" s="11"/>
      <c r="AH1284" s="8"/>
      <c r="AI1284" s="20"/>
      <c r="AJ1284" s="20"/>
      <c r="AK1284" s="31"/>
      <c r="AL1284" s="31"/>
    </row>
    <row r="1285" spans="1:38" hidden="1" x14ac:dyDescent="0.25">
      <c r="A1285" s="9"/>
      <c r="B1285" s="7"/>
      <c r="C1285" s="7"/>
      <c r="D1285" s="7"/>
      <c r="E1285" s="7"/>
      <c r="F1285" s="7"/>
      <c r="G1285" s="7"/>
      <c r="H1285" s="7"/>
      <c r="I1285" s="7"/>
      <c r="J1285" s="20"/>
      <c r="K1285" s="20"/>
      <c r="L1285" s="20"/>
      <c r="M1285" s="20"/>
      <c r="N1285" s="9"/>
      <c r="P1285" s="7"/>
      <c r="Q1285" s="11"/>
      <c r="R1285" s="8"/>
      <c r="S1285" s="7"/>
      <c r="T1285" s="7"/>
      <c r="U1285" s="7"/>
      <c r="V1285" s="7"/>
      <c r="W1285" s="7"/>
      <c r="X1285" s="8"/>
      <c r="Y1285" s="7"/>
      <c r="Z1285" s="7"/>
      <c r="AA1285" s="11"/>
      <c r="AB1285" s="11"/>
      <c r="AC1285" s="11"/>
      <c r="AD1285" s="11"/>
      <c r="AH1285" s="8"/>
      <c r="AI1285" s="20"/>
      <c r="AJ1285" s="20"/>
      <c r="AK1285" s="31"/>
      <c r="AL1285" s="31"/>
    </row>
    <row r="1286" spans="1:38" hidden="1" x14ac:dyDescent="0.25">
      <c r="A1286" s="9"/>
      <c r="B1286" s="7"/>
      <c r="C1286" s="7"/>
      <c r="D1286" s="7"/>
      <c r="E1286" s="7"/>
      <c r="F1286" s="7"/>
      <c r="G1286" s="7"/>
      <c r="H1286" s="7"/>
      <c r="I1286" s="7"/>
      <c r="J1286" s="20"/>
      <c r="K1286" s="20"/>
      <c r="L1286" s="20"/>
      <c r="M1286" s="20"/>
      <c r="N1286" s="9"/>
      <c r="P1286" s="7"/>
      <c r="Q1286" s="11"/>
      <c r="R1286" s="8"/>
      <c r="S1286" s="7"/>
      <c r="T1286" s="7"/>
      <c r="U1286" s="7"/>
      <c r="V1286" s="7"/>
      <c r="W1286" s="7"/>
      <c r="X1286" s="8"/>
      <c r="Y1286" s="7"/>
      <c r="Z1286" s="7"/>
      <c r="AA1286" s="11"/>
      <c r="AB1286" s="11"/>
      <c r="AC1286" s="11"/>
      <c r="AD1286" s="11"/>
      <c r="AH1286" s="8"/>
      <c r="AI1286" s="20"/>
      <c r="AJ1286" s="20"/>
      <c r="AK1286" s="31"/>
      <c r="AL1286" s="31"/>
    </row>
    <row r="1287" spans="1:38" hidden="1" x14ac:dyDescent="0.25">
      <c r="A1287" s="9"/>
      <c r="B1287" s="7"/>
      <c r="C1287" s="7"/>
      <c r="D1287" s="7"/>
      <c r="E1287" s="7"/>
      <c r="F1287" s="7"/>
      <c r="G1287" s="7"/>
      <c r="H1287" s="7"/>
      <c r="I1287" s="7"/>
      <c r="J1287" s="20"/>
      <c r="K1287" s="20"/>
      <c r="L1287" s="20"/>
      <c r="M1287" s="20"/>
      <c r="N1287" s="9"/>
      <c r="P1287" s="7"/>
      <c r="Q1287" s="11"/>
      <c r="R1287" s="8"/>
      <c r="S1287" s="7"/>
      <c r="T1287" s="7"/>
      <c r="U1287" s="7"/>
      <c r="V1287" s="7"/>
      <c r="W1287" s="7"/>
      <c r="X1287" s="8"/>
      <c r="Y1287" s="7"/>
      <c r="Z1287" s="7"/>
      <c r="AA1287" s="11"/>
      <c r="AB1287" s="11"/>
      <c r="AC1287" s="11"/>
      <c r="AD1287" s="11"/>
      <c r="AH1287" s="8"/>
      <c r="AI1287" s="20"/>
      <c r="AJ1287" s="20"/>
      <c r="AK1287" s="31"/>
      <c r="AL1287" s="31"/>
    </row>
    <row r="1288" spans="1:38" hidden="1" x14ac:dyDescent="0.25">
      <c r="A1288" s="9"/>
      <c r="B1288" s="7"/>
      <c r="C1288" s="7"/>
      <c r="D1288" s="7"/>
      <c r="E1288" s="7"/>
      <c r="F1288" s="7"/>
      <c r="G1288" s="7"/>
      <c r="H1288" s="7"/>
      <c r="I1288" s="7"/>
      <c r="J1288" s="20"/>
      <c r="K1288" s="20"/>
      <c r="L1288" s="20"/>
      <c r="M1288" s="20"/>
      <c r="N1288" s="9"/>
      <c r="P1288" s="7"/>
      <c r="Q1288" s="11"/>
      <c r="R1288" s="8"/>
      <c r="S1288" s="7"/>
      <c r="T1288" s="7"/>
      <c r="U1288" s="7"/>
      <c r="V1288" s="7"/>
      <c r="W1288" s="7"/>
      <c r="X1288" s="8"/>
      <c r="Y1288" s="7"/>
      <c r="Z1288" s="7"/>
      <c r="AA1288" s="11"/>
      <c r="AB1288" s="11"/>
      <c r="AC1288" s="11"/>
      <c r="AD1288" s="11"/>
      <c r="AH1288" s="8"/>
      <c r="AI1288" s="20"/>
      <c r="AJ1288" s="20"/>
      <c r="AK1288" s="31"/>
      <c r="AL1288" s="31"/>
    </row>
    <row r="1289" spans="1:38" hidden="1" x14ac:dyDescent="0.25">
      <c r="A1289" s="9"/>
      <c r="B1289" s="7"/>
      <c r="C1289" s="7"/>
      <c r="D1289" s="7"/>
      <c r="E1289" s="7"/>
      <c r="F1289" s="7"/>
      <c r="G1289" s="7"/>
      <c r="H1289" s="7"/>
      <c r="I1289" s="7"/>
      <c r="J1289" s="20"/>
      <c r="K1289" s="20"/>
      <c r="L1289" s="20"/>
      <c r="M1289" s="20"/>
      <c r="N1289" s="9"/>
      <c r="P1289" s="7"/>
      <c r="Q1289" s="11"/>
      <c r="R1289" s="8"/>
      <c r="S1289" s="7"/>
      <c r="T1289" s="7"/>
      <c r="U1289" s="7"/>
      <c r="V1289" s="7"/>
      <c r="W1289" s="7"/>
      <c r="X1289" s="8"/>
      <c r="Y1289" s="7"/>
      <c r="Z1289" s="7"/>
      <c r="AA1289" s="11"/>
      <c r="AB1289" s="11"/>
      <c r="AC1289" s="11"/>
      <c r="AD1289" s="11"/>
      <c r="AH1289" s="8"/>
      <c r="AI1289" s="20"/>
      <c r="AJ1289" s="20"/>
      <c r="AK1289" s="31"/>
      <c r="AL1289" s="31"/>
    </row>
    <row r="1290" spans="1:38" hidden="1" x14ac:dyDescent="0.25">
      <c r="A1290" s="9"/>
      <c r="B1290" s="7"/>
      <c r="C1290" s="7"/>
      <c r="D1290" s="7"/>
      <c r="E1290" s="7"/>
      <c r="F1290" s="7"/>
      <c r="G1290" s="7"/>
      <c r="H1290" s="7"/>
      <c r="I1290" s="7"/>
      <c r="J1290" s="20"/>
      <c r="K1290" s="20"/>
      <c r="L1290" s="20"/>
      <c r="M1290" s="20"/>
      <c r="N1290" s="9"/>
      <c r="P1290" s="7"/>
      <c r="Q1290" s="11"/>
      <c r="R1290" s="8"/>
      <c r="S1290" s="7"/>
      <c r="T1290" s="7"/>
      <c r="U1290" s="7"/>
      <c r="V1290" s="7"/>
      <c r="W1290" s="7"/>
      <c r="X1290" s="8"/>
      <c r="Y1290" s="7"/>
      <c r="Z1290" s="7"/>
      <c r="AA1290" s="11"/>
      <c r="AB1290" s="11"/>
      <c r="AC1290" s="11"/>
      <c r="AD1290" s="11"/>
      <c r="AH1290" s="8"/>
      <c r="AI1290" s="20"/>
      <c r="AJ1290" s="20"/>
      <c r="AK1290" s="31"/>
      <c r="AL1290" s="31"/>
    </row>
    <row r="1291" spans="1:38" hidden="1" x14ac:dyDescent="0.25">
      <c r="A1291" s="9"/>
      <c r="B1291" s="7"/>
      <c r="C1291" s="7"/>
      <c r="D1291" s="7"/>
      <c r="E1291" s="7"/>
      <c r="F1291" s="7"/>
      <c r="G1291" s="7"/>
      <c r="H1291" s="7"/>
      <c r="I1291" s="7"/>
      <c r="J1291" s="20"/>
      <c r="K1291" s="20"/>
      <c r="L1291" s="20"/>
      <c r="M1291" s="20"/>
      <c r="N1291" s="9"/>
      <c r="P1291" s="7"/>
      <c r="Q1291" s="11"/>
      <c r="R1291" s="8"/>
      <c r="S1291" s="7"/>
      <c r="T1291" s="7"/>
      <c r="U1291" s="7"/>
      <c r="V1291" s="7"/>
      <c r="W1291" s="7"/>
      <c r="X1291" s="8"/>
      <c r="Y1291" s="7"/>
      <c r="Z1291" s="7"/>
      <c r="AA1291" s="11"/>
      <c r="AB1291" s="11"/>
      <c r="AC1291" s="11"/>
      <c r="AD1291" s="11"/>
      <c r="AH1291" s="8"/>
      <c r="AI1291" s="20"/>
      <c r="AJ1291" s="20"/>
      <c r="AK1291" s="31"/>
      <c r="AL1291" s="31"/>
    </row>
    <row r="1292" spans="1:38" hidden="1" x14ac:dyDescent="0.25">
      <c r="A1292" s="9"/>
      <c r="B1292" s="7"/>
      <c r="C1292" s="7"/>
      <c r="D1292" s="7"/>
      <c r="E1292" s="7"/>
      <c r="F1292" s="7"/>
      <c r="G1292" s="7"/>
      <c r="H1292" s="7"/>
      <c r="I1292" s="7"/>
      <c r="J1292" s="20"/>
      <c r="K1292" s="20"/>
      <c r="L1292" s="20"/>
      <c r="M1292" s="20"/>
      <c r="N1292" s="9"/>
      <c r="P1292" s="7"/>
      <c r="Q1292" s="11"/>
      <c r="R1292" s="8"/>
      <c r="S1292" s="7"/>
      <c r="T1292" s="7"/>
      <c r="U1292" s="7"/>
      <c r="V1292" s="7"/>
      <c r="W1292" s="7"/>
      <c r="X1292" s="8"/>
      <c r="Y1292" s="7"/>
      <c r="Z1292" s="7"/>
      <c r="AA1292" s="11"/>
      <c r="AB1292" s="11"/>
      <c r="AC1292" s="11"/>
      <c r="AD1292" s="11"/>
      <c r="AH1292" s="8"/>
      <c r="AI1292" s="20"/>
      <c r="AJ1292" s="20"/>
      <c r="AK1292" s="31"/>
      <c r="AL1292" s="31"/>
    </row>
    <row r="1293" spans="1:38" hidden="1" x14ac:dyDescent="0.25">
      <c r="A1293" s="9"/>
      <c r="B1293" s="7"/>
      <c r="C1293" s="7"/>
      <c r="D1293" s="7"/>
      <c r="E1293" s="7"/>
      <c r="F1293" s="7"/>
      <c r="G1293" s="7"/>
      <c r="H1293" s="7"/>
      <c r="I1293" s="7"/>
      <c r="J1293" s="20"/>
      <c r="K1293" s="20"/>
      <c r="L1293" s="20"/>
      <c r="M1293" s="20"/>
      <c r="N1293" s="9"/>
      <c r="P1293" s="7"/>
      <c r="Q1293" s="11"/>
      <c r="R1293" s="8"/>
      <c r="S1293" s="7"/>
      <c r="T1293" s="7"/>
      <c r="U1293" s="7"/>
      <c r="V1293" s="7"/>
      <c r="W1293" s="7"/>
      <c r="X1293" s="8"/>
      <c r="Y1293" s="7"/>
      <c r="Z1293" s="7"/>
      <c r="AA1293" s="11"/>
      <c r="AB1293" s="11"/>
      <c r="AC1293" s="11"/>
      <c r="AD1293" s="11"/>
      <c r="AH1293" s="8"/>
      <c r="AI1293" s="20"/>
      <c r="AJ1293" s="20"/>
      <c r="AK1293" s="31"/>
      <c r="AL1293" s="31"/>
    </row>
    <row r="1294" spans="1:38" hidden="1" x14ac:dyDescent="0.25">
      <c r="A1294" s="9"/>
      <c r="B1294" s="7"/>
      <c r="C1294" s="7"/>
      <c r="D1294" s="7"/>
      <c r="E1294" s="7"/>
      <c r="F1294" s="7"/>
      <c r="G1294" s="7"/>
      <c r="H1294" s="7"/>
      <c r="I1294" s="7"/>
      <c r="J1294" s="20"/>
      <c r="K1294" s="20"/>
      <c r="L1294" s="20"/>
      <c r="M1294" s="20"/>
      <c r="N1294" s="9"/>
      <c r="P1294" s="7"/>
      <c r="Q1294" s="11"/>
      <c r="R1294" s="8"/>
      <c r="S1294" s="7"/>
      <c r="T1294" s="7"/>
      <c r="U1294" s="7"/>
      <c r="V1294" s="7"/>
      <c r="W1294" s="7"/>
      <c r="X1294" s="8"/>
      <c r="Y1294" s="7"/>
      <c r="Z1294" s="7"/>
      <c r="AA1294" s="11"/>
      <c r="AB1294" s="11"/>
      <c r="AC1294" s="11"/>
      <c r="AD1294" s="11"/>
      <c r="AH1294" s="8"/>
      <c r="AI1294" s="20"/>
      <c r="AJ1294" s="20"/>
      <c r="AK1294" s="31"/>
      <c r="AL1294" s="31"/>
    </row>
    <row r="1295" spans="1:38" hidden="1" x14ac:dyDescent="0.25">
      <c r="A1295" s="9"/>
      <c r="B1295" s="7"/>
      <c r="C1295" s="7"/>
      <c r="D1295" s="7"/>
      <c r="E1295" s="7"/>
      <c r="F1295" s="7"/>
      <c r="G1295" s="7"/>
      <c r="H1295" s="7"/>
      <c r="I1295" s="7"/>
      <c r="J1295" s="20"/>
      <c r="K1295" s="20"/>
      <c r="L1295" s="20"/>
      <c r="M1295" s="20"/>
      <c r="N1295" s="9"/>
      <c r="P1295" s="7"/>
      <c r="Q1295" s="11"/>
      <c r="R1295" s="8"/>
      <c r="S1295" s="7"/>
      <c r="T1295" s="7"/>
      <c r="U1295" s="7"/>
      <c r="V1295" s="7"/>
      <c r="W1295" s="7"/>
      <c r="X1295" s="8"/>
      <c r="Y1295" s="7"/>
      <c r="Z1295" s="7"/>
      <c r="AA1295" s="11"/>
      <c r="AB1295" s="11"/>
      <c r="AC1295" s="11"/>
      <c r="AD1295" s="11"/>
      <c r="AH1295" s="8"/>
      <c r="AI1295" s="20"/>
      <c r="AJ1295" s="20"/>
      <c r="AK1295" s="31"/>
      <c r="AL1295" s="31"/>
    </row>
    <row r="1296" spans="1:38" hidden="1" x14ac:dyDescent="0.25">
      <c r="A1296" s="9"/>
      <c r="B1296" s="7"/>
      <c r="C1296" s="7"/>
      <c r="D1296" s="7"/>
      <c r="E1296" s="7"/>
      <c r="F1296" s="7"/>
      <c r="G1296" s="7"/>
      <c r="H1296" s="7"/>
      <c r="I1296" s="7"/>
      <c r="J1296" s="20"/>
      <c r="K1296" s="20"/>
      <c r="L1296" s="20"/>
      <c r="M1296" s="20"/>
      <c r="N1296" s="9"/>
      <c r="P1296" s="7"/>
      <c r="Q1296" s="11"/>
      <c r="R1296" s="8"/>
      <c r="S1296" s="7"/>
      <c r="T1296" s="7"/>
      <c r="U1296" s="7"/>
      <c r="V1296" s="7"/>
      <c r="W1296" s="7"/>
      <c r="X1296" s="8"/>
      <c r="Y1296" s="7"/>
      <c r="Z1296" s="7"/>
      <c r="AA1296" s="11"/>
      <c r="AB1296" s="11"/>
      <c r="AC1296" s="11"/>
      <c r="AD1296" s="11"/>
      <c r="AH1296" s="8"/>
      <c r="AI1296" s="20"/>
      <c r="AJ1296" s="20"/>
      <c r="AK1296" s="31"/>
      <c r="AL1296" s="31"/>
    </row>
    <row r="1297" spans="1:38" hidden="1" x14ac:dyDescent="0.25">
      <c r="A1297" s="9"/>
      <c r="B1297" s="7"/>
      <c r="C1297" s="7"/>
      <c r="D1297" s="7"/>
      <c r="E1297" s="7"/>
      <c r="F1297" s="7"/>
      <c r="G1297" s="7"/>
      <c r="H1297" s="7"/>
      <c r="I1297" s="7"/>
      <c r="J1297" s="20"/>
      <c r="K1297" s="20"/>
      <c r="L1297" s="20"/>
      <c r="M1297" s="20"/>
      <c r="N1297" s="9"/>
      <c r="P1297" s="7"/>
      <c r="Q1297" s="11"/>
      <c r="R1297" s="8"/>
      <c r="S1297" s="7"/>
      <c r="T1297" s="7"/>
      <c r="U1297" s="7"/>
      <c r="V1297" s="7"/>
      <c r="W1297" s="7"/>
      <c r="X1297" s="8"/>
      <c r="Y1297" s="7"/>
      <c r="Z1297" s="7"/>
      <c r="AA1297" s="11"/>
      <c r="AB1297" s="11"/>
      <c r="AC1297" s="11"/>
      <c r="AD1297" s="11"/>
      <c r="AH1297" s="8"/>
      <c r="AI1297" s="20"/>
      <c r="AJ1297" s="20"/>
      <c r="AK1297" s="31"/>
      <c r="AL1297" s="31"/>
    </row>
    <row r="1298" spans="1:38" hidden="1" x14ac:dyDescent="0.25">
      <c r="A1298" s="9"/>
      <c r="B1298" s="7"/>
      <c r="C1298" s="7"/>
      <c r="D1298" s="7"/>
      <c r="E1298" s="7"/>
      <c r="F1298" s="7"/>
      <c r="G1298" s="7"/>
      <c r="H1298" s="7"/>
      <c r="I1298" s="7"/>
      <c r="J1298" s="20"/>
      <c r="K1298" s="20"/>
      <c r="L1298" s="20"/>
      <c r="M1298" s="20"/>
      <c r="N1298" s="9"/>
      <c r="P1298" s="7"/>
      <c r="Q1298" s="11"/>
      <c r="R1298" s="8"/>
      <c r="S1298" s="7"/>
      <c r="T1298" s="7"/>
      <c r="U1298" s="7"/>
      <c r="V1298" s="7"/>
      <c r="W1298" s="7"/>
      <c r="X1298" s="8"/>
      <c r="Y1298" s="7"/>
      <c r="Z1298" s="7"/>
      <c r="AA1298" s="11"/>
      <c r="AB1298" s="11"/>
      <c r="AC1298" s="11"/>
      <c r="AD1298" s="11"/>
      <c r="AH1298" s="8"/>
      <c r="AI1298" s="20"/>
      <c r="AJ1298" s="20"/>
      <c r="AK1298" s="31"/>
      <c r="AL1298" s="31"/>
    </row>
    <row r="1299" spans="1:38" hidden="1" x14ac:dyDescent="0.25">
      <c r="A1299" s="9"/>
      <c r="B1299" s="7"/>
      <c r="C1299" s="7"/>
      <c r="D1299" s="7"/>
      <c r="E1299" s="7"/>
      <c r="F1299" s="7"/>
      <c r="G1299" s="7"/>
      <c r="H1299" s="7"/>
      <c r="I1299" s="7"/>
      <c r="J1299" s="20"/>
      <c r="K1299" s="20"/>
      <c r="L1299" s="20"/>
      <c r="M1299" s="20"/>
      <c r="N1299" s="9"/>
      <c r="P1299" s="7"/>
      <c r="Q1299" s="11"/>
      <c r="R1299" s="8"/>
      <c r="S1299" s="7"/>
      <c r="T1299" s="7"/>
      <c r="U1299" s="7"/>
      <c r="V1299" s="7"/>
      <c r="W1299" s="7"/>
      <c r="X1299" s="8"/>
      <c r="Y1299" s="7"/>
      <c r="Z1299" s="7"/>
      <c r="AA1299" s="11"/>
      <c r="AB1299" s="11"/>
      <c r="AC1299" s="11"/>
      <c r="AD1299" s="11"/>
      <c r="AH1299" s="8"/>
      <c r="AI1299" s="20"/>
      <c r="AJ1299" s="20"/>
      <c r="AK1299" s="31"/>
      <c r="AL1299" s="31"/>
    </row>
    <row r="1300" spans="1:38" hidden="1" x14ac:dyDescent="0.25">
      <c r="A1300" s="9"/>
      <c r="B1300" s="7"/>
      <c r="C1300" s="7"/>
      <c r="D1300" s="7"/>
      <c r="E1300" s="7"/>
      <c r="F1300" s="7"/>
      <c r="G1300" s="7"/>
      <c r="H1300" s="7"/>
      <c r="I1300" s="7"/>
      <c r="J1300" s="20"/>
      <c r="K1300" s="20"/>
      <c r="L1300" s="20"/>
      <c r="M1300" s="20"/>
      <c r="N1300" s="9"/>
      <c r="P1300" s="7"/>
      <c r="Q1300" s="11"/>
      <c r="R1300" s="8"/>
      <c r="S1300" s="7"/>
      <c r="T1300" s="7"/>
      <c r="U1300" s="7"/>
      <c r="V1300" s="7"/>
      <c r="W1300" s="7"/>
      <c r="X1300" s="8"/>
      <c r="Y1300" s="7"/>
      <c r="Z1300" s="7"/>
      <c r="AA1300" s="11"/>
      <c r="AB1300" s="11"/>
      <c r="AC1300" s="11"/>
      <c r="AD1300" s="11"/>
      <c r="AH1300" s="8"/>
      <c r="AI1300" s="20"/>
      <c r="AJ1300" s="20"/>
      <c r="AK1300" s="31"/>
      <c r="AL1300" s="31"/>
    </row>
    <row r="1301" spans="1:38" hidden="1" x14ac:dyDescent="0.25">
      <c r="A1301" s="9"/>
      <c r="B1301" s="7"/>
      <c r="C1301" s="7"/>
      <c r="D1301" s="7"/>
      <c r="E1301" s="7"/>
      <c r="F1301" s="7"/>
      <c r="G1301" s="7"/>
      <c r="H1301" s="7"/>
      <c r="I1301" s="7"/>
      <c r="J1301" s="20"/>
      <c r="K1301" s="20"/>
      <c r="L1301" s="20"/>
      <c r="M1301" s="20"/>
      <c r="N1301" s="9"/>
      <c r="P1301" s="7"/>
      <c r="Q1301" s="11"/>
      <c r="R1301" s="8"/>
      <c r="S1301" s="7"/>
      <c r="T1301" s="7"/>
      <c r="U1301" s="7"/>
      <c r="V1301" s="7"/>
      <c r="W1301" s="7"/>
      <c r="X1301" s="8"/>
      <c r="Y1301" s="7"/>
      <c r="Z1301" s="7"/>
      <c r="AA1301" s="11"/>
      <c r="AB1301" s="11"/>
      <c r="AC1301" s="11"/>
      <c r="AD1301" s="11"/>
      <c r="AH1301" s="8"/>
      <c r="AI1301" s="20"/>
      <c r="AJ1301" s="20"/>
      <c r="AK1301" s="31"/>
      <c r="AL1301" s="31"/>
    </row>
    <row r="1302" spans="1:38" hidden="1" x14ac:dyDescent="0.25">
      <c r="A1302" s="9"/>
      <c r="B1302" s="7"/>
      <c r="C1302" s="7"/>
      <c r="D1302" s="7"/>
      <c r="E1302" s="7"/>
      <c r="F1302" s="7"/>
      <c r="G1302" s="7"/>
      <c r="H1302" s="7"/>
      <c r="I1302" s="7"/>
      <c r="J1302" s="20"/>
      <c r="K1302" s="20"/>
      <c r="L1302" s="20"/>
      <c r="M1302" s="20"/>
      <c r="N1302" s="9"/>
      <c r="P1302" s="7"/>
      <c r="Q1302" s="11"/>
      <c r="R1302" s="8"/>
      <c r="S1302" s="7"/>
      <c r="T1302" s="7"/>
      <c r="U1302" s="7"/>
      <c r="V1302" s="7"/>
      <c r="W1302" s="7"/>
      <c r="X1302" s="8"/>
      <c r="Y1302" s="7"/>
      <c r="Z1302" s="7"/>
      <c r="AA1302" s="11"/>
      <c r="AB1302" s="11"/>
      <c r="AC1302" s="11"/>
      <c r="AD1302" s="11"/>
      <c r="AH1302" s="8"/>
      <c r="AI1302" s="20"/>
      <c r="AJ1302" s="20"/>
      <c r="AK1302" s="31"/>
      <c r="AL1302" s="31"/>
    </row>
    <row r="1303" spans="1:38" hidden="1" x14ac:dyDescent="0.25">
      <c r="A1303" s="9"/>
      <c r="B1303" s="7"/>
      <c r="C1303" s="7"/>
      <c r="D1303" s="7"/>
      <c r="E1303" s="7"/>
      <c r="F1303" s="7"/>
      <c r="G1303" s="7"/>
      <c r="H1303" s="7"/>
      <c r="I1303" s="7"/>
      <c r="J1303" s="20"/>
      <c r="K1303" s="20"/>
      <c r="L1303" s="20"/>
      <c r="M1303" s="20"/>
      <c r="N1303" s="9"/>
      <c r="P1303" s="7"/>
      <c r="Q1303" s="11"/>
      <c r="R1303" s="8"/>
      <c r="S1303" s="7"/>
      <c r="T1303" s="7"/>
      <c r="U1303" s="7"/>
      <c r="V1303" s="7"/>
      <c r="W1303" s="7"/>
      <c r="X1303" s="8"/>
      <c r="Y1303" s="7"/>
      <c r="Z1303" s="7"/>
      <c r="AA1303" s="11"/>
      <c r="AB1303" s="11"/>
      <c r="AC1303" s="11"/>
      <c r="AD1303" s="11"/>
      <c r="AH1303" s="8"/>
      <c r="AI1303" s="20"/>
      <c r="AJ1303" s="20"/>
      <c r="AK1303" s="31"/>
      <c r="AL1303" s="31"/>
    </row>
    <row r="1304" spans="1:38" hidden="1" x14ac:dyDescent="0.25">
      <c r="A1304" s="9"/>
      <c r="B1304" s="7"/>
      <c r="C1304" s="7"/>
      <c r="D1304" s="7"/>
      <c r="E1304" s="7"/>
      <c r="F1304" s="7"/>
      <c r="G1304" s="7"/>
      <c r="H1304" s="7"/>
      <c r="I1304" s="7"/>
      <c r="J1304" s="20"/>
      <c r="K1304" s="20"/>
      <c r="L1304" s="20"/>
      <c r="M1304" s="20"/>
      <c r="N1304" s="9"/>
      <c r="P1304" s="7"/>
      <c r="Q1304" s="11"/>
      <c r="R1304" s="8"/>
      <c r="S1304" s="7"/>
      <c r="T1304" s="7"/>
      <c r="U1304" s="7"/>
      <c r="V1304" s="7"/>
      <c r="W1304" s="7"/>
      <c r="X1304" s="8"/>
      <c r="Y1304" s="7"/>
      <c r="Z1304" s="7"/>
      <c r="AA1304" s="11"/>
      <c r="AB1304" s="11"/>
      <c r="AC1304" s="11"/>
      <c r="AD1304" s="11"/>
      <c r="AH1304" s="8"/>
      <c r="AI1304" s="20"/>
      <c r="AJ1304" s="20"/>
      <c r="AK1304" s="31"/>
      <c r="AL1304" s="31"/>
    </row>
    <row r="1305" spans="1:38" hidden="1" x14ac:dyDescent="0.25">
      <c r="A1305" s="9"/>
      <c r="B1305" s="7"/>
      <c r="C1305" s="7"/>
      <c r="D1305" s="7"/>
      <c r="E1305" s="7"/>
      <c r="F1305" s="7"/>
      <c r="G1305" s="7"/>
      <c r="H1305" s="7"/>
      <c r="I1305" s="7"/>
      <c r="J1305" s="20"/>
      <c r="K1305" s="20"/>
      <c r="L1305" s="20"/>
      <c r="M1305" s="20"/>
      <c r="N1305" s="9"/>
      <c r="P1305" s="7"/>
      <c r="Q1305" s="11"/>
      <c r="R1305" s="8"/>
      <c r="S1305" s="7"/>
      <c r="T1305" s="7"/>
      <c r="U1305" s="7"/>
      <c r="V1305" s="7"/>
      <c r="W1305" s="7"/>
      <c r="X1305" s="8"/>
      <c r="Y1305" s="7"/>
      <c r="Z1305" s="7"/>
      <c r="AA1305" s="11"/>
      <c r="AB1305" s="11"/>
      <c r="AC1305" s="11"/>
      <c r="AD1305" s="11"/>
      <c r="AH1305" s="8"/>
      <c r="AI1305" s="20"/>
      <c r="AJ1305" s="20"/>
      <c r="AK1305" s="31"/>
      <c r="AL1305" s="31"/>
    </row>
    <row r="1306" spans="1:38" hidden="1" x14ac:dyDescent="0.25">
      <c r="A1306" s="9"/>
      <c r="B1306" s="7"/>
      <c r="C1306" s="7"/>
      <c r="D1306" s="7"/>
      <c r="E1306" s="7"/>
      <c r="F1306" s="7"/>
      <c r="G1306" s="7"/>
      <c r="H1306" s="7"/>
      <c r="I1306" s="7"/>
      <c r="J1306" s="20"/>
      <c r="K1306" s="20"/>
      <c r="L1306" s="20"/>
      <c r="M1306" s="20"/>
      <c r="N1306" s="9"/>
      <c r="P1306" s="7"/>
      <c r="Q1306" s="11"/>
      <c r="R1306" s="8"/>
      <c r="S1306" s="7"/>
      <c r="T1306" s="7"/>
      <c r="U1306" s="7"/>
      <c r="V1306" s="7"/>
      <c r="W1306" s="7"/>
      <c r="X1306" s="8"/>
      <c r="Y1306" s="7"/>
      <c r="Z1306" s="7"/>
      <c r="AA1306" s="11"/>
      <c r="AB1306" s="11"/>
      <c r="AC1306" s="11"/>
      <c r="AD1306" s="11"/>
      <c r="AH1306" s="8"/>
      <c r="AI1306" s="20"/>
      <c r="AJ1306" s="20"/>
      <c r="AK1306" s="31"/>
      <c r="AL1306" s="31"/>
    </row>
    <row r="1307" spans="1:38" hidden="1" x14ac:dyDescent="0.25">
      <c r="A1307" s="9"/>
      <c r="B1307" s="7"/>
      <c r="C1307" s="7"/>
      <c r="D1307" s="7"/>
      <c r="E1307" s="7"/>
      <c r="F1307" s="7"/>
      <c r="G1307" s="7"/>
      <c r="H1307" s="7"/>
      <c r="I1307" s="7"/>
      <c r="J1307" s="20"/>
      <c r="K1307" s="20"/>
      <c r="L1307" s="20"/>
      <c r="M1307" s="20"/>
      <c r="N1307" s="9"/>
      <c r="P1307" s="7"/>
      <c r="Q1307" s="11"/>
      <c r="R1307" s="8"/>
      <c r="S1307" s="7"/>
      <c r="T1307" s="7"/>
      <c r="U1307" s="7"/>
      <c r="V1307" s="7"/>
      <c r="W1307" s="7"/>
      <c r="X1307" s="8"/>
      <c r="Y1307" s="7"/>
      <c r="Z1307" s="7"/>
      <c r="AA1307" s="11"/>
      <c r="AB1307" s="11"/>
      <c r="AC1307" s="11"/>
      <c r="AD1307" s="11"/>
      <c r="AH1307" s="8"/>
      <c r="AI1307" s="20"/>
      <c r="AJ1307" s="20"/>
      <c r="AK1307" s="31"/>
      <c r="AL1307" s="31"/>
    </row>
    <row r="1308" spans="1:38" hidden="1" x14ac:dyDescent="0.25">
      <c r="A1308" s="9"/>
      <c r="B1308" s="7"/>
      <c r="C1308" s="7"/>
      <c r="D1308" s="7"/>
      <c r="E1308" s="7"/>
      <c r="F1308" s="7"/>
      <c r="G1308" s="7"/>
      <c r="H1308" s="7"/>
      <c r="I1308" s="7"/>
      <c r="J1308" s="20"/>
      <c r="K1308" s="20"/>
      <c r="L1308" s="20"/>
      <c r="M1308" s="20"/>
      <c r="N1308" s="9"/>
      <c r="P1308" s="7"/>
      <c r="Q1308" s="11"/>
      <c r="R1308" s="8"/>
      <c r="S1308" s="7"/>
      <c r="T1308" s="7"/>
      <c r="U1308" s="7"/>
      <c r="V1308" s="7"/>
      <c r="W1308" s="7"/>
      <c r="X1308" s="8"/>
      <c r="Y1308" s="7"/>
      <c r="Z1308" s="7"/>
      <c r="AA1308" s="11"/>
      <c r="AB1308" s="11"/>
      <c r="AC1308" s="11"/>
      <c r="AD1308" s="11"/>
      <c r="AH1308" s="8"/>
      <c r="AI1308" s="20"/>
      <c r="AJ1308" s="20"/>
      <c r="AK1308" s="31"/>
      <c r="AL1308" s="31"/>
    </row>
    <row r="1309" spans="1:38" hidden="1" x14ac:dyDescent="0.25">
      <c r="A1309" s="9"/>
      <c r="B1309" s="7"/>
      <c r="C1309" s="7"/>
      <c r="D1309" s="7"/>
      <c r="E1309" s="7"/>
      <c r="F1309" s="7"/>
      <c r="G1309" s="7"/>
      <c r="H1309" s="7"/>
      <c r="I1309" s="7"/>
      <c r="J1309" s="20"/>
      <c r="K1309" s="20"/>
      <c r="L1309" s="20"/>
      <c r="M1309" s="20"/>
      <c r="N1309" s="9"/>
      <c r="P1309" s="7"/>
      <c r="Q1309" s="11"/>
      <c r="R1309" s="8"/>
      <c r="S1309" s="7"/>
      <c r="T1309" s="7"/>
      <c r="U1309" s="7"/>
      <c r="V1309" s="7"/>
      <c r="W1309" s="7"/>
      <c r="X1309" s="8"/>
      <c r="Y1309" s="7"/>
      <c r="Z1309" s="7"/>
      <c r="AA1309" s="11"/>
      <c r="AB1309" s="11"/>
      <c r="AC1309" s="11"/>
      <c r="AD1309" s="11"/>
      <c r="AH1309" s="8"/>
      <c r="AI1309" s="20"/>
      <c r="AJ1309" s="20"/>
      <c r="AK1309" s="31"/>
      <c r="AL1309" s="31"/>
    </row>
    <row r="1310" spans="1:38" hidden="1" x14ac:dyDescent="0.25">
      <c r="A1310" s="9"/>
      <c r="B1310" s="7"/>
      <c r="C1310" s="7"/>
      <c r="D1310" s="7"/>
      <c r="E1310" s="7"/>
      <c r="F1310" s="7"/>
      <c r="G1310" s="7"/>
      <c r="H1310" s="7"/>
      <c r="I1310" s="7"/>
      <c r="J1310" s="20"/>
      <c r="K1310" s="20"/>
      <c r="L1310" s="20"/>
      <c r="M1310" s="20"/>
      <c r="N1310" s="9"/>
      <c r="P1310" s="7"/>
      <c r="Q1310" s="11"/>
      <c r="R1310" s="8"/>
      <c r="S1310" s="7"/>
      <c r="T1310" s="7"/>
      <c r="U1310" s="7"/>
      <c r="V1310" s="7"/>
      <c r="W1310" s="7"/>
      <c r="X1310" s="8"/>
      <c r="Y1310" s="7"/>
      <c r="Z1310" s="7"/>
      <c r="AA1310" s="11"/>
      <c r="AB1310" s="11"/>
      <c r="AC1310" s="11"/>
      <c r="AD1310" s="11"/>
      <c r="AH1310" s="8"/>
      <c r="AI1310" s="20"/>
      <c r="AJ1310" s="20"/>
      <c r="AK1310" s="31"/>
      <c r="AL1310" s="31"/>
    </row>
    <row r="1311" spans="1:38" hidden="1" x14ac:dyDescent="0.25">
      <c r="A1311" s="9"/>
      <c r="B1311" s="7"/>
      <c r="C1311" s="7"/>
      <c r="D1311" s="7"/>
      <c r="E1311" s="7"/>
      <c r="F1311" s="7"/>
      <c r="G1311" s="7"/>
      <c r="H1311" s="7"/>
      <c r="I1311" s="7"/>
      <c r="J1311" s="20"/>
      <c r="K1311" s="20"/>
      <c r="L1311" s="20"/>
      <c r="M1311" s="20"/>
      <c r="N1311" s="9"/>
      <c r="P1311" s="7"/>
      <c r="Q1311" s="11"/>
      <c r="R1311" s="8"/>
      <c r="S1311" s="7"/>
      <c r="T1311" s="7"/>
      <c r="U1311" s="7"/>
      <c r="V1311" s="7"/>
      <c r="W1311" s="7"/>
      <c r="X1311" s="8"/>
      <c r="Y1311" s="7"/>
      <c r="Z1311" s="7"/>
      <c r="AA1311" s="11"/>
      <c r="AB1311" s="11"/>
      <c r="AC1311" s="11"/>
      <c r="AD1311" s="11"/>
      <c r="AH1311" s="8"/>
      <c r="AI1311" s="20"/>
      <c r="AJ1311" s="20"/>
      <c r="AK1311" s="31"/>
      <c r="AL1311" s="31"/>
    </row>
    <row r="1312" spans="1:38" hidden="1" x14ac:dyDescent="0.25">
      <c r="A1312" s="9"/>
      <c r="B1312" s="7"/>
      <c r="C1312" s="7"/>
      <c r="D1312" s="7"/>
      <c r="E1312" s="7"/>
      <c r="F1312" s="7"/>
      <c r="G1312" s="7"/>
      <c r="H1312" s="7"/>
      <c r="I1312" s="7"/>
      <c r="J1312" s="20"/>
      <c r="K1312" s="20"/>
      <c r="L1312" s="20"/>
      <c r="M1312" s="20"/>
      <c r="N1312" s="9"/>
      <c r="P1312" s="7"/>
      <c r="Q1312" s="11"/>
      <c r="R1312" s="8"/>
      <c r="S1312" s="7"/>
      <c r="T1312" s="7"/>
      <c r="U1312" s="7"/>
      <c r="V1312" s="7"/>
      <c r="W1312" s="7"/>
      <c r="X1312" s="8"/>
      <c r="Y1312" s="7"/>
      <c r="Z1312" s="7"/>
      <c r="AA1312" s="11"/>
      <c r="AB1312" s="11"/>
      <c r="AC1312" s="11"/>
      <c r="AD1312" s="11"/>
      <c r="AH1312" s="8"/>
      <c r="AI1312" s="20"/>
      <c r="AJ1312" s="20"/>
      <c r="AK1312" s="31"/>
      <c r="AL1312" s="31"/>
    </row>
    <row r="1313" spans="1:38" hidden="1" x14ac:dyDescent="0.25">
      <c r="A1313" s="9"/>
      <c r="B1313" s="7"/>
      <c r="C1313" s="7"/>
      <c r="D1313" s="7"/>
      <c r="E1313" s="7"/>
      <c r="F1313" s="7"/>
      <c r="G1313" s="7"/>
      <c r="H1313" s="7"/>
      <c r="I1313" s="7"/>
      <c r="J1313" s="20"/>
      <c r="K1313" s="20"/>
      <c r="L1313" s="20"/>
      <c r="M1313" s="20"/>
      <c r="N1313" s="9"/>
      <c r="P1313" s="7"/>
      <c r="Q1313" s="11"/>
      <c r="R1313" s="8"/>
      <c r="S1313" s="7"/>
      <c r="T1313" s="7"/>
      <c r="U1313" s="7"/>
      <c r="V1313" s="7"/>
      <c r="W1313" s="7"/>
      <c r="X1313" s="8"/>
      <c r="Y1313" s="7"/>
      <c r="Z1313" s="7"/>
      <c r="AA1313" s="11"/>
      <c r="AB1313" s="11"/>
      <c r="AC1313" s="11"/>
      <c r="AD1313" s="11"/>
      <c r="AH1313" s="8"/>
      <c r="AI1313" s="20"/>
      <c r="AJ1313" s="20"/>
      <c r="AK1313" s="31"/>
      <c r="AL1313" s="31"/>
    </row>
    <row r="1314" spans="1:38" hidden="1" x14ac:dyDescent="0.25">
      <c r="A1314" s="9"/>
      <c r="B1314" s="7"/>
      <c r="C1314" s="7"/>
      <c r="D1314" s="7"/>
      <c r="E1314" s="7"/>
      <c r="F1314" s="7"/>
      <c r="G1314" s="7"/>
      <c r="H1314" s="7"/>
      <c r="I1314" s="7"/>
      <c r="J1314" s="20"/>
      <c r="K1314" s="20"/>
      <c r="L1314" s="20"/>
      <c r="M1314" s="20"/>
      <c r="N1314" s="9"/>
      <c r="P1314" s="7"/>
      <c r="Q1314" s="11"/>
      <c r="R1314" s="8"/>
      <c r="S1314" s="7"/>
      <c r="T1314" s="7"/>
      <c r="U1314" s="7"/>
      <c r="V1314" s="7"/>
      <c r="W1314" s="7"/>
      <c r="X1314" s="8"/>
      <c r="Y1314" s="7"/>
      <c r="Z1314" s="7"/>
      <c r="AA1314" s="11"/>
      <c r="AB1314" s="11"/>
      <c r="AC1314" s="11"/>
      <c r="AD1314" s="11"/>
      <c r="AH1314" s="8"/>
      <c r="AI1314" s="20"/>
      <c r="AJ1314" s="20"/>
      <c r="AK1314" s="31"/>
      <c r="AL1314" s="31"/>
    </row>
    <row r="1315" spans="1:38" hidden="1" x14ac:dyDescent="0.25">
      <c r="A1315" s="9"/>
      <c r="B1315" s="7"/>
      <c r="C1315" s="7"/>
      <c r="D1315" s="7"/>
      <c r="E1315" s="7"/>
      <c r="F1315" s="7"/>
      <c r="G1315" s="7"/>
      <c r="H1315" s="7"/>
      <c r="I1315" s="7"/>
      <c r="J1315" s="20"/>
      <c r="K1315" s="20"/>
      <c r="L1315" s="20"/>
      <c r="M1315" s="20"/>
      <c r="N1315" s="9"/>
      <c r="P1315" s="7"/>
      <c r="Q1315" s="11"/>
      <c r="R1315" s="8"/>
      <c r="S1315" s="7"/>
      <c r="T1315" s="7"/>
      <c r="U1315" s="7"/>
      <c r="V1315" s="7"/>
      <c r="W1315" s="7"/>
      <c r="X1315" s="8"/>
      <c r="Y1315" s="7"/>
      <c r="Z1315" s="7"/>
      <c r="AA1315" s="11"/>
      <c r="AB1315" s="11"/>
      <c r="AC1315" s="11"/>
      <c r="AD1315" s="11"/>
      <c r="AH1315" s="8"/>
      <c r="AI1315" s="20"/>
      <c r="AJ1315" s="20"/>
      <c r="AK1315" s="31"/>
      <c r="AL1315" s="31"/>
    </row>
    <row r="1316" spans="1:38" hidden="1" x14ac:dyDescent="0.25">
      <c r="A1316" s="9"/>
      <c r="B1316" s="7"/>
      <c r="C1316" s="7"/>
      <c r="D1316" s="7"/>
      <c r="E1316" s="7"/>
      <c r="F1316" s="7"/>
      <c r="G1316" s="7"/>
      <c r="H1316" s="7"/>
      <c r="I1316" s="7"/>
      <c r="J1316" s="20"/>
      <c r="K1316" s="20"/>
      <c r="L1316" s="20"/>
      <c r="M1316" s="20"/>
      <c r="N1316" s="9"/>
      <c r="P1316" s="7"/>
      <c r="Q1316" s="11"/>
      <c r="R1316" s="8"/>
      <c r="S1316" s="7"/>
      <c r="T1316" s="7"/>
      <c r="U1316" s="7"/>
      <c r="V1316" s="7"/>
      <c r="W1316" s="7"/>
      <c r="X1316" s="8"/>
      <c r="Y1316" s="7"/>
      <c r="Z1316" s="7"/>
      <c r="AA1316" s="11"/>
      <c r="AB1316" s="11"/>
      <c r="AC1316" s="11"/>
      <c r="AD1316" s="11"/>
      <c r="AH1316" s="8"/>
      <c r="AI1316" s="20"/>
      <c r="AJ1316" s="20"/>
      <c r="AK1316" s="31"/>
      <c r="AL1316" s="31"/>
    </row>
    <row r="1317" spans="1:38" hidden="1" x14ac:dyDescent="0.25">
      <c r="A1317" s="9"/>
      <c r="B1317" s="7"/>
      <c r="C1317" s="7"/>
      <c r="D1317" s="7"/>
      <c r="E1317" s="7"/>
      <c r="F1317" s="7"/>
      <c r="G1317" s="7"/>
      <c r="H1317" s="7"/>
      <c r="I1317" s="7"/>
      <c r="J1317" s="20"/>
      <c r="K1317" s="20"/>
      <c r="L1317" s="20"/>
      <c r="M1317" s="20"/>
      <c r="N1317" s="9"/>
      <c r="P1317" s="7"/>
      <c r="Q1317" s="11"/>
      <c r="R1317" s="8"/>
      <c r="S1317" s="7"/>
      <c r="T1317" s="7"/>
      <c r="U1317" s="7"/>
      <c r="V1317" s="7"/>
      <c r="W1317" s="7"/>
      <c r="X1317" s="8"/>
      <c r="Y1317" s="7"/>
      <c r="Z1317" s="7"/>
      <c r="AA1317" s="11"/>
      <c r="AB1317" s="11"/>
      <c r="AC1317" s="11"/>
      <c r="AD1317" s="11"/>
      <c r="AH1317" s="8"/>
      <c r="AI1317" s="20"/>
      <c r="AJ1317" s="20"/>
      <c r="AK1317" s="31"/>
      <c r="AL1317" s="31"/>
    </row>
    <row r="1318" spans="1:38" hidden="1" x14ac:dyDescent="0.25">
      <c r="A1318" s="9"/>
      <c r="B1318" s="7"/>
      <c r="C1318" s="7"/>
      <c r="D1318" s="7"/>
      <c r="E1318" s="7"/>
      <c r="F1318" s="7"/>
      <c r="G1318" s="7"/>
      <c r="H1318" s="7"/>
      <c r="I1318" s="7"/>
      <c r="J1318" s="20"/>
      <c r="K1318" s="20"/>
      <c r="L1318" s="20"/>
      <c r="M1318" s="20"/>
      <c r="N1318" s="9"/>
      <c r="P1318" s="7"/>
      <c r="Q1318" s="11"/>
      <c r="R1318" s="8"/>
      <c r="S1318" s="7"/>
      <c r="T1318" s="7"/>
      <c r="U1318" s="7"/>
      <c r="V1318" s="7"/>
      <c r="W1318" s="7"/>
      <c r="X1318" s="8"/>
      <c r="Y1318" s="7"/>
      <c r="Z1318" s="7"/>
      <c r="AA1318" s="11"/>
      <c r="AB1318" s="11"/>
      <c r="AC1318" s="11"/>
      <c r="AD1318" s="11"/>
      <c r="AH1318" s="8"/>
      <c r="AI1318" s="20"/>
      <c r="AJ1318" s="20"/>
      <c r="AK1318" s="31"/>
      <c r="AL1318" s="31"/>
    </row>
    <row r="1319" spans="1:38" hidden="1" x14ac:dyDescent="0.25">
      <c r="A1319" s="9"/>
      <c r="B1319" s="7"/>
      <c r="C1319" s="7"/>
      <c r="D1319" s="7"/>
      <c r="E1319" s="7"/>
      <c r="F1319" s="7"/>
      <c r="G1319" s="7"/>
      <c r="H1319" s="7"/>
      <c r="I1319" s="7"/>
      <c r="J1319" s="20"/>
      <c r="K1319" s="20"/>
      <c r="L1319" s="20"/>
      <c r="M1319" s="20"/>
      <c r="N1319" s="9"/>
      <c r="P1319" s="7"/>
      <c r="Q1319" s="11"/>
      <c r="R1319" s="8"/>
      <c r="S1319" s="7"/>
      <c r="T1319" s="7"/>
      <c r="U1319" s="7"/>
      <c r="V1319" s="7"/>
      <c r="W1319" s="7"/>
      <c r="X1319" s="8"/>
      <c r="Y1319" s="7"/>
      <c r="Z1319" s="7"/>
      <c r="AA1319" s="11"/>
      <c r="AB1319" s="11"/>
      <c r="AC1319" s="11"/>
      <c r="AD1319" s="11"/>
      <c r="AH1319" s="8"/>
      <c r="AI1319" s="20"/>
      <c r="AJ1319" s="20"/>
      <c r="AK1319" s="31"/>
      <c r="AL1319" s="31"/>
    </row>
    <row r="1320" spans="1:38" hidden="1" x14ac:dyDescent="0.25">
      <c r="A1320" s="9"/>
      <c r="B1320" s="7"/>
      <c r="C1320" s="7"/>
      <c r="D1320" s="7"/>
      <c r="E1320" s="7"/>
      <c r="F1320" s="7"/>
      <c r="G1320" s="7"/>
      <c r="H1320" s="7"/>
      <c r="I1320" s="7"/>
      <c r="J1320" s="20"/>
      <c r="K1320" s="20"/>
      <c r="L1320" s="20"/>
      <c r="M1320" s="20"/>
      <c r="N1320" s="9"/>
      <c r="P1320" s="7"/>
      <c r="Q1320" s="11"/>
      <c r="R1320" s="8"/>
      <c r="S1320" s="7"/>
      <c r="T1320" s="7"/>
      <c r="U1320" s="7"/>
      <c r="V1320" s="7"/>
      <c r="W1320" s="7"/>
      <c r="X1320" s="8"/>
      <c r="Y1320" s="7"/>
      <c r="Z1320" s="7"/>
      <c r="AA1320" s="11"/>
      <c r="AB1320" s="11"/>
      <c r="AC1320" s="11"/>
      <c r="AD1320" s="11"/>
      <c r="AH1320" s="8"/>
      <c r="AI1320" s="20"/>
      <c r="AJ1320" s="20"/>
      <c r="AK1320" s="31"/>
      <c r="AL1320" s="31"/>
    </row>
    <row r="1321" spans="1:38" hidden="1" x14ac:dyDescent="0.25">
      <c r="A1321" s="9"/>
      <c r="B1321" s="7"/>
      <c r="C1321" s="7"/>
      <c r="D1321" s="7"/>
      <c r="E1321" s="7"/>
      <c r="F1321" s="7"/>
      <c r="G1321" s="7"/>
      <c r="H1321" s="7"/>
      <c r="I1321" s="7"/>
      <c r="J1321" s="20"/>
      <c r="K1321" s="20"/>
      <c r="L1321" s="20"/>
      <c r="M1321" s="20"/>
      <c r="N1321" s="9"/>
      <c r="P1321" s="7"/>
      <c r="Q1321" s="11"/>
      <c r="R1321" s="8"/>
      <c r="S1321" s="7"/>
      <c r="T1321" s="7"/>
      <c r="U1321" s="7"/>
      <c r="V1321" s="7"/>
      <c r="W1321" s="7"/>
      <c r="X1321" s="8"/>
      <c r="Y1321" s="7"/>
      <c r="Z1321" s="7"/>
      <c r="AA1321" s="11"/>
      <c r="AB1321" s="11"/>
      <c r="AC1321" s="11"/>
      <c r="AD1321" s="11"/>
      <c r="AH1321" s="8"/>
      <c r="AI1321" s="20"/>
      <c r="AJ1321" s="20"/>
      <c r="AK1321" s="31"/>
      <c r="AL1321" s="31"/>
    </row>
    <row r="1322" spans="1:38" hidden="1" x14ac:dyDescent="0.25">
      <c r="A1322" s="9"/>
      <c r="B1322" s="7"/>
      <c r="C1322" s="7"/>
      <c r="D1322" s="7"/>
      <c r="E1322" s="7"/>
      <c r="F1322" s="7"/>
      <c r="G1322" s="7"/>
      <c r="H1322" s="7"/>
      <c r="I1322" s="7"/>
      <c r="J1322" s="20"/>
      <c r="K1322" s="20"/>
      <c r="L1322" s="20"/>
      <c r="M1322" s="20"/>
      <c r="N1322" s="9"/>
      <c r="P1322" s="7"/>
      <c r="Q1322" s="11"/>
      <c r="R1322" s="8"/>
      <c r="S1322" s="7"/>
      <c r="T1322" s="7"/>
      <c r="U1322" s="7"/>
      <c r="V1322" s="7"/>
      <c r="W1322" s="7"/>
      <c r="X1322" s="8"/>
      <c r="Y1322" s="7"/>
      <c r="Z1322" s="7"/>
      <c r="AA1322" s="11"/>
      <c r="AB1322" s="11"/>
      <c r="AC1322" s="11"/>
      <c r="AD1322" s="11"/>
      <c r="AH1322" s="8"/>
      <c r="AI1322" s="20"/>
      <c r="AJ1322" s="20"/>
      <c r="AK1322" s="31"/>
      <c r="AL1322" s="31"/>
    </row>
    <row r="1323" spans="1:38" hidden="1" x14ac:dyDescent="0.25">
      <c r="A1323" s="9"/>
      <c r="B1323" s="7"/>
      <c r="C1323" s="7"/>
      <c r="D1323" s="7"/>
      <c r="E1323" s="7"/>
      <c r="F1323" s="7"/>
      <c r="G1323" s="7"/>
      <c r="H1323" s="7"/>
      <c r="I1323" s="7"/>
      <c r="J1323" s="20"/>
      <c r="K1323" s="20"/>
      <c r="L1323" s="20"/>
      <c r="M1323" s="20"/>
      <c r="N1323" s="9"/>
      <c r="P1323" s="7"/>
      <c r="Q1323" s="11"/>
      <c r="R1323" s="8"/>
      <c r="S1323" s="7"/>
      <c r="T1323" s="7"/>
      <c r="U1323" s="7"/>
      <c r="V1323" s="7"/>
      <c r="W1323" s="7"/>
      <c r="X1323" s="8"/>
      <c r="Y1323" s="7"/>
      <c r="Z1323" s="7"/>
      <c r="AA1323" s="11"/>
      <c r="AB1323" s="11"/>
      <c r="AC1323" s="11"/>
      <c r="AD1323" s="11"/>
      <c r="AH1323" s="8"/>
      <c r="AI1323" s="20"/>
      <c r="AJ1323" s="20"/>
      <c r="AK1323" s="31"/>
      <c r="AL1323" s="31"/>
    </row>
    <row r="1324" spans="1:38" hidden="1" x14ac:dyDescent="0.25">
      <c r="A1324" s="9"/>
      <c r="B1324" s="7"/>
      <c r="C1324" s="7"/>
      <c r="D1324" s="7"/>
      <c r="E1324" s="7"/>
      <c r="F1324" s="7"/>
      <c r="G1324" s="7"/>
      <c r="H1324" s="7"/>
      <c r="I1324" s="7"/>
      <c r="J1324" s="20"/>
      <c r="K1324" s="20"/>
      <c r="L1324" s="20"/>
      <c r="M1324" s="20"/>
      <c r="N1324" s="9"/>
      <c r="P1324" s="7"/>
      <c r="Q1324" s="11"/>
      <c r="R1324" s="8"/>
      <c r="S1324" s="7"/>
      <c r="T1324" s="7"/>
      <c r="U1324" s="7"/>
      <c r="V1324" s="7"/>
      <c r="W1324" s="7"/>
      <c r="X1324" s="8"/>
      <c r="Y1324" s="7"/>
      <c r="Z1324" s="7"/>
      <c r="AA1324" s="11"/>
      <c r="AB1324" s="11"/>
      <c r="AC1324" s="11"/>
      <c r="AD1324" s="11"/>
      <c r="AH1324" s="8"/>
      <c r="AI1324" s="20"/>
      <c r="AJ1324" s="20"/>
      <c r="AK1324" s="31"/>
      <c r="AL1324" s="31"/>
    </row>
    <row r="1325" spans="1:38" hidden="1" x14ac:dyDescent="0.25">
      <c r="A1325" s="9"/>
      <c r="B1325" s="7"/>
      <c r="C1325" s="7"/>
      <c r="D1325" s="7"/>
      <c r="E1325" s="7"/>
      <c r="F1325" s="7"/>
      <c r="G1325" s="7"/>
      <c r="H1325" s="7"/>
      <c r="I1325" s="7"/>
      <c r="J1325" s="20"/>
      <c r="K1325" s="20"/>
      <c r="L1325" s="20"/>
      <c r="M1325" s="20"/>
      <c r="N1325" s="9"/>
      <c r="P1325" s="7"/>
      <c r="Q1325" s="11"/>
      <c r="R1325" s="8"/>
      <c r="S1325" s="7"/>
      <c r="T1325" s="7"/>
      <c r="U1325" s="7"/>
      <c r="V1325" s="7"/>
      <c r="W1325" s="7"/>
      <c r="X1325" s="8"/>
      <c r="Y1325" s="7"/>
      <c r="Z1325" s="7"/>
      <c r="AA1325" s="11"/>
      <c r="AB1325" s="11"/>
      <c r="AC1325" s="11"/>
      <c r="AD1325" s="11"/>
      <c r="AH1325" s="8"/>
      <c r="AI1325" s="20"/>
      <c r="AJ1325" s="20"/>
      <c r="AK1325" s="31"/>
      <c r="AL1325" s="31"/>
    </row>
    <row r="1326" spans="1:38" hidden="1" x14ac:dyDescent="0.25">
      <c r="A1326" s="9"/>
      <c r="B1326" s="7"/>
      <c r="C1326" s="7"/>
      <c r="D1326" s="7"/>
      <c r="E1326" s="7"/>
      <c r="F1326" s="7"/>
      <c r="G1326" s="7"/>
      <c r="H1326" s="7"/>
      <c r="I1326" s="7"/>
      <c r="J1326" s="20"/>
      <c r="K1326" s="20"/>
      <c r="L1326" s="20"/>
      <c r="M1326" s="20"/>
      <c r="N1326" s="9"/>
      <c r="P1326" s="7"/>
      <c r="Q1326" s="11"/>
      <c r="R1326" s="8"/>
      <c r="S1326" s="7"/>
      <c r="T1326" s="7"/>
      <c r="U1326" s="7"/>
      <c r="V1326" s="7"/>
      <c r="W1326" s="7"/>
      <c r="X1326" s="8"/>
      <c r="Y1326" s="7"/>
      <c r="Z1326" s="7"/>
      <c r="AA1326" s="11"/>
      <c r="AB1326" s="11"/>
      <c r="AC1326" s="11"/>
      <c r="AD1326" s="11"/>
      <c r="AH1326" s="8"/>
      <c r="AI1326" s="20"/>
      <c r="AJ1326" s="20"/>
      <c r="AK1326" s="31"/>
      <c r="AL1326" s="31"/>
    </row>
    <row r="1327" spans="1:38" hidden="1" x14ac:dyDescent="0.25">
      <c r="A1327" s="9"/>
      <c r="B1327" s="7"/>
      <c r="C1327" s="7"/>
      <c r="D1327" s="7"/>
      <c r="E1327" s="7"/>
      <c r="F1327" s="7"/>
      <c r="G1327" s="7"/>
      <c r="H1327" s="7"/>
      <c r="I1327" s="7"/>
      <c r="J1327" s="20"/>
      <c r="K1327" s="20"/>
      <c r="L1327" s="20"/>
      <c r="M1327" s="20"/>
      <c r="N1327" s="9"/>
      <c r="P1327" s="7"/>
      <c r="Q1327" s="11"/>
      <c r="R1327" s="8"/>
      <c r="S1327" s="7"/>
      <c r="T1327" s="7"/>
      <c r="U1327" s="7"/>
      <c r="V1327" s="7"/>
      <c r="W1327" s="7"/>
      <c r="X1327" s="8"/>
      <c r="Y1327" s="7"/>
      <c r="Z1327" s="7"/>
      <c r="AA1327" s="11"/>
      <c r="AB1327" s="11"/>
      <c r="AC1327" s="11"/>
      <c r="AD1327" s="11"/>
      <c r="AH1327" s="8"/>
      <c r="AI1327" s="20"/>
      <c r="AJ1327" s="20"/>
      <c r="AK1327" s="31"/>
      <c r="AL1327" s="31"/>
    </row>
    <row r="1328" spans="1:38" hidden="1" x14ac:dyDescent="0.25">
      <c r="A1328" s="9"/>
      <c r="B1328" s="7"/>
      <c r="C1328" s="7"/>
      <c r="D1328" s="7"/>
      <c r="E1328" s="7"/>
      <c r="F1328" s="7"/>
      <c r="G1328" s="7"/>
      <c r="H1328" s="7"/>
      <c r="I1328" s="7"/>
      <c r="J1328" s="20"/>
      <c r="K1328" s="20"/>
      <c r="L1328" s="20"/>
      <c r="M1328" s="20"/>
      <c r="N1328" s="9"/>
      <c r="P1328" s="7"/>
      <c r="Q1328" s="11"/>
      <c r="R1328" s="8"/>
      <c r="S1328" s="7"/>
      <c r="T1328" s="7"/>
      <c r="U1328" s="7"/>
      <c r="V1328" s="7"/>
      <c r="W1328" s="7"/>
      <c r="X1328" s="8"/>
      <c r="Y1328" s="7"/>
      <c r="Z1328" s="7"/>
      <c r="AA1328" s="11"/>
      <c r="AB1328" s="11"/>
      <c r="AC1328" s="11"/>
      <c r="AD1328" s="11"/>
      <c r="AH1328" s="8"/>
      <c r="AI1328" s="20"/>
      <c r="AJ1328" s="20"/>
      <c r="AK1328" s="31"/>
      <c r="AL1328" s="31"/>
    </row>
    <row r="1329" spans="1:38" hidden="1" x14ac:dyDescent="0.25">
      <c r="A1329" s="9"/>
      <c r="B1329" s="7"/>
      <c r="C1329" s="7"/>
      <c r="D1329" s="7"/>
      <c r="E1329" s="7"/>
      <c r="F1329" s="7"/>
      <c r="G1329" s="7"/>
      <c r="H1329" s="7"/>
      <c r="I1329" s="7"/>
      <c r="J1329" s="20"/>
      <c r="K1329" s="20"/>
      <c r="L1329" s="20"/>
      <c r="M1329" s="20"/>
      <c r="N1329" s="9"/>
      <c r="P1329" s="7"/>
      <c r="Q1329" s="11"/>
      <c r="R1329" s="8"/>
      <c r="S1329" s="7"/>
      <c r="T1329" s="7"/>
      <c r="U1329" s="7"/>
      <c r="V1329" s="7"/>
      <c r="W1329" s="7"/>
      <c r="X1329" s="8"/>
      <c r="Y1329" s="7"/>
      <c r="Z1329" s="7"/>
      <c r="AA1329" s="11"/>
      <c r="AB1329" s="11"/>
      <c r="AC1329" s="11"/>
      <c r="AD1329" s="11"/>
      <c r="AH1329" s="8"/>
      <c r="AI1329" s="20"/>
      <c r="AJ1329" s="20"/>
      <c r="AK1329" s="31"/>
      <c r="AL1329" s="31"/>
    </row>
    <row r="1330" spans="1:38" hidden="1" x14ac:dyDescent="0.25">
      <c r="A1330" s="9"/>
      <c r="B1330" s="7"/>
      <c r="C1330" s="7"/>
      <c r="D1330" s="7"/>
      <c r="E1330" s="7"/>
      <c r="F1330" s="7"/>
      <c r="G1330" s="7"/>
      <c r="H1330" s="7"/>
      <c r="I1330" s="7"/>
      <c r="J1330" s="20"/>
      <c r="K1330" s="20"/>
      <c r="L1330" s="20"/>
      <c r="M1330" s="20"/>
      <c r="N1330" s="9"/>
      <c r="P1330" s="7"/>
      <c r="Q1330" s="11"/>
      <c r="R1330" s="8"/>
      <c r="S1330" s="7"/>
      <c r="T1330" s="7"/>
      <c r="U1330" s="7"/>
      <c r="V1330" s="7"/>
      <c r="W1330" s="7"/>
      <c r="X1330" s="8"/>
      <c r="Y1330" s="7"/>
      <c r="Z1330" s="7"/>
      <c r="AA1330" s="11"/>
      <c r="AB1330" s="11"/>
      <c r="AC1330" s="11"/>
      <c r="AD1330" s="11"/>
      <c r="AH1330" s="8"/>
      <c r="AI1330" s="20"/>
      <c r="AJ1330" s="20"/>
      <c r="AK1330" s="31"/>
      <c r="AL1330" s="31"/>
    </row>
    <row r="1331" spans="1:38" hidden="1" x14ac:dyDescent="0.25">
      <c r="A1331" s="9"/>
      <c r="B1331" s="7"/>
      <c r="C1331" s="7"/>
      <c r="D1331" s="7"/>
      <c r="E1331" s="7"/>
      <c r="F1331" s="7"/>
      <c r="G1331" s="7"/>
      <c r="H1331" s="7"/>
      <c r="I1331" s="7"/>
      <c r="J1331" s="20"/>
      <c r="K1331" s="20"/>
      <c r="L1331" s="20"/>
      <c r="M1331" s="20"/>
      <c r="N1331" s="9"/>
      <c r="P1331" s="7"/>
      <c r="Q1331" s="11"/>
      <c r="R1331" s="8"/>
      <c r="S1331" s="7"/>
      <c r="T1331" s="7"/>
      <c r="U1331" s="7"/>
      <c r="V1331" s="7"/>
      <c r="W1331" s="7"/>
      <c r="X1331" s="8"/>
      <c r="Y1331" s="7"/>
      <c r="Z1331" s="7"/>
      <c r="AA1331" s="11"/>
      <c r="AB1331" s="11"/>
      <c r="AC1331" s="11"/>
      <c r="AD1331" s="11"/>
      <c r="AH1331" s="8"/>
      <c r="AI1331" s="20"/>
      <c r="AJ1331" s="20"/>
      <c r="AK1331" s="31"/>
      <c r="AL1331" s="31"/>
    </row>
    <row r="1332" spans="1:38" hidden="1" x14ac:dyDescent="0.25">
      <c r="A1332" s="9"/>
      <c r="B1332" s="7"/>
      <c r="C1332" s="7"/>
      <c r="D1332" s="7"/>
      <c r="E1332" s="7"/>
      <c r="F1332" s="7"/>
      <c r="G1332" s="7"/>
      <c r="H1332" s="7"/>
      <c r="I1332" s="7"/>
      <c r="J1332" s="20"/>
      <c r="K1332" s="20"/>
      <c r="L1332" s="20"/>
      <c r="M1332" s="20"/>
      <c r="N1332" s="9"/>
      <c r="P1332" s="7"/>
      <c r="Q1332" s="11"/>
      <c r="R1332" s="8"/>
      <c r="S1332" s="7"/>
      <c r="T1332" s="7"/>
      <c r="U1332" s="7"/>
      <c r="V1332" s="7"/>
      <c r="W1332" s="7"/>
      <c r="X1332" s="8"/>
      <c r="Y1332" s="7"/>
      <c r="Z1332" s="7"/>
      <c r="AA1332" s="11"/>
      <c r="AB1332" s="11"/>
      <c r="AC1332" s="11"/>
      <c r="AD1332" s="11"/>
      <c r="AH1332" s="8"/>
      <c r="AI1332" s="20"/>
      <c r="AJ1332" s="20"/>
      <c r="AK1332" s="31"/>
      <c r="AL1332" s="31"/>
    </row>
    <row r="1333" spans="1:38" hidden="1" x14ac:dyDescent="0.25">
      <c r="A1333" s="9"/>
      <c r="B1333" s="7"/>
      <c r="C1333" s="7"/>
      <c r="D1333" s="7"/>
      <c r="E1333" s="7"/>
      <c r="F1333" s="7"/>
      <c r="G1333" s="7"/>
      <c r="H1333" s="7"/>
      <c r="I1333" s="7"/>
      <c r="J1333" s="20"/>
      <c r="K1333" s="20"/>
      <c r="L1333" s="20"/>
      <c r="M1333" s="20"/>
      <c r="N1333" s="9"/>
      <c r="P1333" s="7"/>
      <c r="Q1333" s="11"/>
      <c r="R1333" s="8"/>
      <c r="S1333" s="7"/>
      <c r="T1333" s="7"/>
      <c r="U1333" s="7"/>
      <c r="V1333" s="7"/>
      <c r="W1333" s="7"/>
      <c r="X1333" s="8"/>
      <c r="Y1333" s="7"/>
      <c r="Z1333" s="7"/>
      <c r="AA1333" s="11"/>
      <c r="AB1333" s="11"/>
      <c r="AC1333" s="11"/>
      <c r="AD1333" s="11"/>
      <c r="AH1333" s="8"/>
      <c r="AI1333" s="20"/>
      <c r="AJ1333" s="20"/>
      <c r="AK1333" s="31"/>
      <c r="AL1333" s="31"/>
    </row>
    <row r="1334" spans="1:38" hidden="1" x14ac:dyDescent="0.25">
      <c r="A1334" s="9"/>
      <c r="B1334" s="7"/>
      <c r="C1334" s="7"/>
      <c r="D1334" s="7"/>
      <c r="E1334" s="7"/>
      <c r="F1334" s="7"/>
      <c r="G1334" s="7"/>
      <c r="H1334" s="7"/>
      <c r="I1334" s="7"/>
      <c r="J1334" s="20"/>
      <c r="K1334" s="20"/>
      <c r="L1334" s="20"/>
      <c r="M1334" s="20"/>
      <c r="N1334" s="9"/>
      <c r="P1334" s="7"/>
      <c r="Q1334" s="11"/>
      <c r="R1334" s="8"/>
      <c r="S1334" s="7"/>
      <c r="T1334" s="7"/>
      <c r="U1334" s="7"/>
      <c r="V1334" s="7"/>
      <c r="W1334" s="7"/>
      <c r="X1334" s="8"/>
      <c r="Y1334" s="7"/>
      <c r="Z1334" s="7"/>
      <c r="AA1334" s="11"/>
      <c r="AB1334" s="11"/>
      <c r="AC1334" s="11"/>
      <c r="AD1334" s="11"/>
      <c r="AH1334" s="8"/>
      <c r="AI1334" s="20"/>
      <c r="AJ1334" s="20"/>
      <c r="AK1334" s="31"/>
      <c r="AL1334" s="31"/>
    </row>
    <row r="1335" spans="1:38" hidden="1" x14ac:dyDescent="0.25">
      <c r="A1335" s="9"/>
      <c r="B1335" s="7"/>
      <c r="C1335" s="7"/>
      <c r="D1335" s="7"/>
      <c r="E1335" s="7"/>
      <c r="F1335" s="7"/>
      <c r="G1335" s="7"/>
      <c r="H1335" s="7"/>
      <c r="I1335" s="7"/>
      <c r="J1335" s="20"/>
      <c r="K1335" s="20"/>
      <c r="L1335" s="20"/>
      <c r="M1335" s="20"/>
      <c r="N1335" s="9"/>
      <c r="P1335" s="7"/>
      <c r="Q1335" s="11"/>
      <c r="R1335" s="8"/>
      <c r="S1335" s="7"/>
      <c r="T1335" s="7"/>
      <c r="U1335" s="7"/>
      <c r="V1335" s="7"/>
      <c r="W1335" s="7"/>
      <c r="X1335" s="8"/>
      <c r="Y1335" s="7"/>
      <c r="Z1335" s="7"/>
      <c r="AA1335" s="11"/>
      <c r="AB1335" s="11"/>
      <c r="AC1335" s="11"/>
      <c r="AD1335" s="11"/>
      <c r="AH1335" s="8"/>
      <c r="AI1335" s="20"/>
      <c r="AJ1335" s="20"/>
      <c r="AK1335" s="31"/>
      <c r="AL1335" s="31"/>
    </row>
    <row r="1336" spans="1:38" hidden="1" x14ac:dyDescent="0.25">
      <c r="A1336" s="9"/>
      <c r="B1336" s="7"/>
      <c r="C1336" s="7"/>
      <c r="D1336" s="7"/>
      <c r="E1336" s="7"/>
      <c r="F1336" s="7"/>
      <c r="G1336" s="7"/>
      <c r="H1336" s="7"/>
      <c r="I1336" s="7"/>
      <c r="J1336" s="20"/>
      <c r="K1336" s="20"/>
      <c r="L1336" s="20"/>
      <c r="M1336" s="20"/>
      <c r="N1336" s="9"/>
      <c r="P1336" s="7"/>
      <c r="Q1336" s="11"/>
      <c r="R1336" s="8"/>
      <c r="S1336" s="7"/>
      <c r="T1336" s="7"/>
      <c r="U1336" s="7"/>
      <c r="V1336" s="7"/>
      <c r="W1336" s="7"/>
      <c r="X1336" s="8"/>
      <c r="Y1336" s="7"/>
      <c r="Z1336" s="7"/>
      <c r="AA1336" s="11"/>
      <c r="AB1336" s="11"/>
      <c r="AC1336" s="11"/>
      <c r="AD1336" s="11"/>
      <c r="AH1336" s="8"/>
      <c r="AI1336" s="20"/>
      <c r="AJ1336" s="20"/>
      <c r="AK1336" s="31"/>
      <c r="AL1336" s="31"/>
    </row>
    <row r="1337" spans="1:38" hidden="1" x14ac:dyDescent="0.25">
      <c r="A1337" s="9"/>
      <c r="B1337" s="7"/>
      <c r="C1337" s="7"/>
      <c r="D1337" s="7"/>
      <c r="E1337" s="7"/>
      <c r="F1337" s="7"/>
      <c r="G1337" s="7"/>
      <c r="H1337" s="7"/>
      <c r="I1337" s="7"/>
      <c r="J1337" s="20"/>
      <c r="K1337" s="20"/>
      <c r="L1337" s="20"/>
      <c r="M1337" s="20"/>
      <c r="N1337" s="9"/>
      <c r="P1337" s="7"/>
      <c r="Q1337" s="11"/>
      <c r="R1337" s="8"/>
      <c r="S1337" s="7"/>
      <c r="T1337" s="7"/>
      <c r="U1337" s="7"/>
      <c r="V1337" s="7"/>
      <c r="W1337" s="7"/>
      <c r="X1337" s="8"/>
      <c r="Y1337" s="7"/>
      <c r="Z1337" s="7"/>
      <c r="AA1337" s="11"/>
      <c r="AB1337" s="11"/>
      <c r="AC1337" s="11"/>
      <c r="AD1337" s="11"/>
      <c r="AH1337" s="8"/>
      <c r="AI1337" s="20"/>
      <c r="AJ1337" s="20"/>
      <c r="AK1337" s="31"/>
      <c r="AL1337" s="31"/>
    </row>
    <row r="1338" spans="1:38" hidden="1" x14ac:dyDescent="0.25">
      <c r="A1338" s="9"/>
      <c r="B1338" s="7"/>
      <c r="C1338" s="7"/>
      <c r="D1338" s="7"/>
      <c r="E1338" s="7"/>
      <c r="F1338" s="7"/>
      <c r="G1338" s="7"/>
      <c r="H1338" s="7"/>
      <c r="I1338" s="7"/>
      <c r="J1338" s="20"/>
      <c r="K1338" s="20"/>
      <c r="L1338" s="20"/>
      <c r="M1338" s="20"/>
      <c r="N1338" s="9"/>
      <c r="P1338" s="7"/>
      <c r="Q1338" s="11"/>
      <c r="R1338" s="8"/>
      <c r="S1338" s="7"/>
      <c r="T1338" s="7"/>
      <c r="U1338" s="7"/>
      <c r="V1338" s="7"/>
      <c r="W1338" s="7"/>
      <c r="X1338" s="8"/>
      <c r="Y1338" s="7"/>
      <c r="Z1338" s="7"/>
      <c r="AA1338" s="11"/>
      <c r="AB1338" s="11"/>
      <c r="AC1338" s="11"/>
      <c r="AD1338" s="11"/>
      <c r="AH1338" s="8"/>
      <c r="AI1338" s="20"/>
      <c r="AJ1338" s="20"/>
      <c r="AK1338" s="31"/>
      <c r="AL1338" s="31"/>
    </row>
    <row r="1339" spans="1:38" hidden="1" x14ac:dyDescent="0.25">
      <c r="A1339" s="9"/>
      <c r="B1339" s="7"/>
      <c r="C1339" s="7"/>
      <c r="D1339" s="7"/>
      <c r="E1339" s="7"/>
      <c r="F1339" s="7"/>
      <c r="G1339" s="7"/>
      <c r="H1339" s="7"/>
      <c r="I1339" s="7"/>
      <c r="J1339" s="20"/>
      <c r="K1339" s="20"/>
      <c r="L1339" s="20"/>
      <c r="M1339" s="20"/>
      <c r="N1339" s="9"/>
      <c r="P1339" s="7"/>
      <c r="Q1339" s="11"/>
      <c r="R1339" s="8"/>
      <c r="S1339" s="7"/>
      <c r="T1339" s="7"/>
      <c r="U1339" s="7"/>
      <c r="V1339" s="7"/>
      <c r="W1339" s="7"/>
      <c r="X1339" s="8"/>
      <c r="Y1339" s="7"/>
      <c r="Z1339" s="7"/>
      <c r="AA1339" s="11"/>
      <c r="AB1339" s="11"/>
      <c r="AC1339" s="11"/>
      <c r="AD1339" s="11"/>
      <c r="AH1339" s="8"/>
      <c r="AI1339" s="20"/>
      <c r="AJ1339" s="20"/>
      <c r="AK1339" s="31"/>
      <c r="AL1339" s="31"/>
    </row>
    <row r="1340" spans="1:38" hidden="1" x14ac:dyDescent="0.25">
      <c r="A1340" s="9"/>
      <c r="B1340" s="7"/>
      <c r="C1340" s="7"/>
      <c r="D1340" s="7"/>
      <c r="E1340" s="7"/>
      <c r="F1340" s="7"/>
      <c r="G1340" s="7"/>
      <c r="H1340" s="7"/>
      <c r="I1340" s="7"/>
      <c r="J1340" s="20"/>
      <c r="K1340" s="20"/>
      <c r="L1340" s="20"/>
      <c r="M1340" s="20"/>
      <c r="N1340" s="9"/>
      <c r="P1340" s="7"/>
      <c r="Q1340" s="11"/>
      <c r="R1340" s="8"/>
      <c r="S1340" s="7"/>
      <c r="T1340" s="7"/>
      <c r="U1340" s="7"/>
      <c r="V1340" s="7"/>
      <c r="W1340" s="7"/>
      <c r="X1340" s="8"/>
      <c r="Y1340" s="7"/>
      <c r="Z1340" s="7"/>
      <c r="AA1340" s="11"/>
      <c r="AB1340" s="11"/>
      <c r="AC1340" s="11"/>
      <c r="AD1340" s="11"/>
      <c r="AH1340" s="8"/>
      <c r="AI1340" s="20"/>
      <c r="AJ1340" s="20"/>
      <c r="AK1340" s="31"/>
      <c r="AL1340" s="31"/>
    </row>
    <row r="1341" spans="1:38" hidden="1" x14ac:dyDescent="0.25">
      <c r="A1341" s="9"/>
      <c r="B1341" s="7"/>
      <c r="C1341" s="7"/>
      <c r="D1341" s="7"/>
      <c r="E1341" s="7"/>
      <c r="F1341" s="7"/>
      <c r="G1341" s="7"/>
      <c r="H1341" s="7"/>
      <c r="I1341" s="7"/>
      <c r="J1341" s="20"/>
      <c r="K1341" s="20"/>
      <c r="L1341" s="20"/>
      <c r="M1341" s="20"/>
      <c r="N1341" s="9"/>
      <c r="P1341" s="7"/>
      <c r="Q1341" s="11"/>
      <c r="R1341" s="8"/>
      <c r="S1341" s="7"/>
      <c r="T1341" s="7"/>
      <c r="U1341" s="7"/>
      <c r="V1341" s="7"/>
      <c r="W1341" s="7"/>
      <c r="X1341" s="8"/>
      <c r="Y1341" s="7"/>
      <c r="Z1341" s="7"/>
      <c r="AA1341" s="11"/>
      <c r="AB1341" s="11"/>
      <c r="AC1341" s="11"/>
      <c r="AD1341" s="11"/>
      <c r="AH1341" s="8"/>
      <c r="AI1341" s="20"/>
      <c r="AJ1341" s="20"/>
      <c r="AK1341" s="31"/>
      <c r="AL1341" s="31"/>
    </row>
    <row r="1342" spans="1:38" hidden="1" x14ac:dyDescent="0.25">
      <c r="A1342" s="9"/>
      <c r="B1342" s="7"/>
      <c r="C1342" s="7"/>
      <c r="D1342" s="7"/>
      <c r="E1342" s="7"/>
      <c r="F1342" s="7"/>
      <c r="G1342" s="7"/>
      <c r="H1342" s="7"/>
      <c r="I1342" s="7"/>
      <c r="J1342" s="20"/>
      <c r="K1342" s="20"/>
      <c r="L1342" s="20"/>
      <c r="M1342" s="20"/>
      <c r="N1342" s="9"/>
      <c r="P1342" s="7"/>
      <c r="Q1342" s="11"/>
      <c r="R1342" s="8"/>
      <c r="S1342" s="7"/>
      <c r="T1342" s="7"/>
      <c r="U1342" s="7"/>
      <c r="V1342" s="7"/>
      <c r="W1342" s="7"/>
      <c r="X1342" s="8"/>
      <c r="Y1342" s="7"/>
      <c r="Z1342" s="7"/>
      <c r="AA1342" s="11"/>
      <c r="AB1342" s="11"/>
      <c r="AC1342" s="11"/>
      <c r="AD1342" s="11"/>
      <c r="AH1342" s="8"/>
      <c r="AI1342" s="20"/>
      <c r="AJ1342" s="20"/>
      <c r="AK1342" s="31"/>
      <c r="AL1342" s="31"/>
    </row>
    <row r="1343" spans="1:38" hidden="1" x14ac:dyDescent="0.25">
      <c r="A1343" s="9"/>
      <c r="B1343" s="7"/>
      <c r="C1343" s="7"/>
      <c r="D1343" s="7"/>
      <c r="E1343" s="7"/>
      <c r="F1343" s="7"/>
      <c r="G1343" s="7"/>
      <c r="H1343" s="7"/>
      <c r="I1343" s="7"/>
      <c r="J1343" s="20"/>
      <c r="K1343" s="20"/>
      <c r="L1343" s="20"/>
      <c r="M1343" s="20"/>
      <c r="N1343" s="9"/>
      <c r="P1343" s="7"/>
      <c r="Q1343" s="11"/>
      <c r="R1343" s="8"/>
      <c r="S1343" s="7"/>
      <c r="T1343" s="7"/>
      <c r="U1343" s="7"/>
      <c r="V1343" s="7"/>
      <c r="W1343" s="7"/>
      <c r="X1343" s="8"/>
      <c r="Y1343" s="7"/>
      <c r="Z1343" s="7"/>
      <c r="AA1343" s="11"/>
      <c r="AB1343" s="11"/>
      <c r="AC1343" s="11"/>
      <c r="AD1343" s="11"/>
      <c r="AH1343" s="8"/>
      <c r="AI1343" s="20"/>
      <c r="AJ1343" s="20"/>
      <c r="AK1343" s="31"/>
      <c r="AL1343" s="31"/>
    </row>
    <row r="1344" spans="1:38" hidden="1" x14ac:dyDescent="0.25">
      <c r="A1344" s="9"/>
      <c r="B1344" s="7"/>
      <c r="C1344" s="7"/>
      <c r="D1344" s="7"/>
      <c r="E1344" s="7"/>
      <c r="F1344" s="7"/>
      <c r="G1344" s="7"/>
      <c r="H1344" s="7"/>
      <c r="I1344" s="7"/>
      <c r="J1344" s="20"/>
      <c r="K1344" s="20"/>
      <c r="L1344" s="20"/>
      <c r="M1344" s="20"/>
      <c r="N1344" s="9"/>
      <c r="P1344" s="7"/>
      <c r="Q1344" s="11"/>
      <c r="R1344" s="8"/>
      <c r="S1344" s="7"/>
      <c r="T1344" s="7"/>
      <c r="U1344" s="7"/>
      <c r="V1344" s="7"/>
      <c r="W1344" s="7"/>
      <c r="X1344" s="8"/>
      <c r="Y1344" s="7"/>
      <c r="Z1344" s="7"/>
      <c r="AA1344" s="11"/>
      <c r="AB1344" s="11"/>
      <c r="AC1344" s="11"/>
      <c r="AD1344" s="11"/>
      <c r="AH1344" s="8"/>
      <c r="AI1344" s="20"/>
      <c r="AJ1344" s="20"/>
      <c r="AK1344" s="31"/>
      <c r="AL1344" s="31"/>
    </row>
    <row r="1345" spans="1:38" hidden="1" x14ac:dyDescent="0.25">
      <c r="A1345" s="9"/>
      <c r="B1345" s="7"/>
      <c r="C1345" s="7"/>
      <c r="D1345" s="7"/>
      <c r="E1345" s="7"/>
      <c r="F1345" s="7"/>
      <c r="G1345" s="7"/>
      <c r="H1345" s="7"/>
      <c r="I1345" s="7"/>
      <c r="J1345" s="20"/>
      <c r="K1345" s="20"/>
      <c r="L1345" s="20"/>
      <c r="M1345" s="20"/>
      <c r="N1345" s="9"/>
      <c r="P1345" s="7"/>
      <c r="Q1345" s="11"/>
      <c r="R1345" s="8"/>
      <c r="S1345" s="7"/>
      <c r="T1345" s="7"/>
      <c r="U1345" s="7"/>
      <c r="V1345" s="7"/>
      <c r="W1345" s="7"/>
      <c r="X1345" s="8"/>
      <c r="Y1345" s="7"/>
      <c r="Z1345" s="7"/>
      <c r="AA1345" s="11"/>
      <c r="AB1345" s="11"/>
      <c r="AC1345" s="11"/>
      <c r="AD1345" s="11"/>
      <c r="AH1345" s="8"/>
      <c r="AI1345" s="20"/>
      <c r="AJ1345" s="20"/>
      <c r="AK1345" s="31"/>
      <c r="AL1345" s="31"/>
    </row>
    <row r="1346" spans="1:38" hidden="1" x14ac:dyDescent="0.25">
      <c r="A1346" s="9"/>
      <c r="B1346" s="7"/>
      <c r="C1346" s="7"/>
      <c r="D1346" s="7"/>
      <c r="E1346" s="7"/>
      <c r="F1346" s="7"/>
      <c r="G1346" s="7"/>
      <c r="H1346" s="7"/>
      <c r="I1346" s="7"/>
      <c r="J1346" s="20"/>
      <c r="K1346" s="20"/>
      <c r="L1346" s="20"/>
      <c r="M1346" s="20"/>
      <c r="N1346" s="9"/>
      <c r="P1346" s="7"/>
      <c r="Q1346" s="11"/>
      <c r="R1346" s="8"/>
      <c r="S1346" s="7"/>
      <c r="T1346" s="7"/>
      <c r="U1346" s="7"/>
      <c r="V1346" s="7"/>
      <c r="W1346" s="7"/>
      <c r="X1346" s="8"/>
      <c r="Y1346" s="7"/>
      <c r="Z1346" s="7"/>
      <c r="AA1346" s="11"/>
      <c r="AB1346" s="11"/>
      <c r="AC1346" s="11"/>
      <c r="AD1346" s="11"/>
      <c r="AH1346" s="8"/>
      <c r="AI1346" s="20"/>
      <c r="AJ1346" s="20"/>
      <c r="AK1346" s="31"/>
      <c r="AL1346" s="31"/>
    </row>
    <row r="1347" spans="1:38" hidden="1" x14ac:dyDescent="0.25">
      <c r="A1347" s="9"/>
      <c r="B1347" s="7"/>
      <c r="C1347" s="7"/>
      <c r="D1347" s="7"/>
      <c r="E1347" s="7"/>
      <c r="F1347" s="7"/>
      <c r="G1347" s="7"/>
      <c r="H1347" s="7"/>
      <c r="I1347" s="7"/>
      <c r="J1347" s="20"/>
      <c r="K1347" s="20"/>
      <c r="L1347" s="20"/>
      <c r="M1347" s="20"/>
      <c r="N1347" s="9"/>
      <c r="P1347" s="7"/>
      <c r="Q1347" s="11"/>
      <c r="R1347" s="8"/>
      <c r="S1347" s="7"/>
      <c r="T1347" s="7"/>
      <c r="U1347" s="7"/>
      <c r="V1347" s="7"/>
      <c r="W1347" s="7"/>
      <c r="X1347" s="8"/>
      <c r="Y1347" s="7"/>
      <c r="Z1347" s="7"/>
      <c r="AA1347" s="11"/>
      <c r="AB1347" s="11"/>
      <c r="AC1347" s="11"/>
      <c r="AD1347" s="11"/>
      <c r="AH1347" s="8"/>
      <c r="AI1347" s="20"/>
      <c r="AJ1347" s="20"/>
      <c r="AK1347" s="31"/>
      <c r="AL1347" s="31"/>
    </row>
    <row r="1348" spans="1:38" hidden="1" x14ac:dyDescent="0.25">
      <c r="A1348" s="9"/>
      <c r="B1348" s="7"/>
      <c r="C1348" s="7"/>
      <c r="D1348" s="7"/>
      <c r="E1348" s="7"/>
      <c r="F1348" s="7"/>
      <c r="G1348" s="7"/>
      <c r="H1348" s="7"/>
      <c r="I1348" s="7"/>
      <c r="J1348" s="20"/>
      <c r="K1348" s="20"/>
      <c r="L1348" s="20"/>
      <c r="M1348" s="20"/>
      <c r="N1348" s="9"/>
      <c r="P1348" s="7"/>
      <c r="Q1348" s="11"/>
      <c r="R1348" s="8"/>
      <c r="S1348" s="7"/>
      <c r="T1348" s="7"/>
      <c r="U1348" s="7"/>
      <c r="V1348" s="7"/>
      <c r="W1348" s="7"/>
      <c r="X1348" s="8"/>
      <c r="Y1348" s="7"/>
      <c r="Z1348" s="7"/>
      <c r="AA1348" s="11"/>
      <c r="AB1348" s="11"/>
      <c r="AC1348" s="11"/>
      <c r="AD1348" s="11"/>
      <c r="AH1348" s="8"/>
      <c r="AI1348" s="20"/>
      <c r="AJ1348" s="20"/>
      <c r="AK1348" s="31"/>
      <c r="AL1348" s="31"/>
    </row>
    <row r="1349" spans="1:38" hidden="1" x14ac:dyDescent="0.25">
      <c r="A1349" s="9"/>
      <c r="B1349" s="7"/>
      <c r="C1349" s="7"/>
      <c r="D1349" s="7"/>
      <c r="E1349" s="7"/>
      <c r="F1349" s="7"/>
      <c r="G1349" s="7"/>
      <c r="H1349" s="7"/>
      <c r="I1349" s="7"/>
      <c r="J1349" s="20"/>
      <c r="K1349" s="20"/>
      <c r="L1349" s="20"/>
      <c r="M1349" s="20"/>
      <c r="N1349" s="9"/>
      <c r="P1349" s="7"/>
      <c r="Q1349" s="11"/>
      <c r="R1349" s="8"/>
      <c r="S1349" s="7"/>
      <c r="T1349" s="7"/>
      <c r="U1349" s="7"/>
      <c r="V1349" s="7"/>
      <c r="W1349" s="7"/>
      <c r="X1349" s="8"/>
      <c r="Y1349" s="7"/>
      <c r="Z1349" s="7"/>
      <c r="AA1349" s="11"/>
      <c r="AB1349" s="11"/>
      <c r="AC1349" s="11"/>
      <c r="AD1349" s="11"/>
      <c r="AH1349" s="8"/>
      <c r="AI1349" s="20"/>
      <c r="AJ1349" s="20"/>
      <c r="AK1349" s="31"/>
      <c r="AL1349" s="31"/>
    </row>
    <row r="1350" spans="1:38" hidden="1" x14ac:dyDescent="0.25">
      <c r="A1350" s="9"/>
      <c r="B1350" s="7"/>
      <c r="C1350" s="7"/>
      <c r="D1350" s="7"/>
      <c r="E1350" s="7"/>
      <c r="F1350" s="7"/>
      <c r="G1350" s="7"/>
      <c r="H1350" s="7"/>
      <c r="I1350" s="7"/>
      <c r="J1350" s="20"/>
      <c r="K1350" s="20"/>
      <c r="L1350" s="20"/>
      <c r="M1350" s="20"/>
      <c r="N1350" s="9"/>
      <c r="P1350" s="7"/>
      <c r="Q1350" s="11"/>
      <c r="R1350" s="8"/>
      <c r="S1350" s="7"/>
      <c r="T1350" s="7"/>
      <c r="U1350" s="7"/>
      <c r="V1350" s="7"/>
      <c r="W1350" s="7"/>
      <c r="X1350" s="8"/>
      <c r="Y1350" s="7"/>
      <c r="Z1350" s="7"/>
      <c r="AA1350" s="11"/>
      <c r="AB1350" s="11"/>
      <c r="AC1350" s="11"/>
      <c r="AD1350" s="11"/>
      <c r="AH1350" s="8"/>
      <c r="AI1350" s="20"/>
      <c r="AJ1350" s="20"/>
      <c r="AK1350" s="31"/>
      <c r="AL1350" s="31"/>
    </row>
    <row r="1351" spans="1:38" hidden="1" x14ac:dyDescent="0.25">
      <c r="A1351" s="9"/>
      <c r="B1351" s="7"/>
      <c r="C1351" s="7"/>
      <c r="D1351" s="7"/>
      <c r="E1351" s="7"/>
      <c r="F1351" s="7"/>
      <c r="G1351" s="7"/>
      <c r="H1351" s="7"/>
      <c r="I1351" s="7"/>
      <c r="J1351" s="20"/>
      <c r="K1351" s="20"/>
      <c r="L1351" s="20"/>
      <c r="M1351" s="20"/>
      <c r="N1351" s="9"/>
      <c r="P1351" s="7"/>
      <c r="Q1351" s="11"/>
      <c r="R1351" s="8"/>
      <c r="S1351" s="7"/>
      <c r="T1351" s="7"/>
      <c r="U1351" s="7"/>
      <c r="V1351" s="7"/>
      <c r="W1351" s="7"/>
      <c r="X1351" s="8"/>
      <c r="Y1351" s="7"/>
      <c r="Z1351" s="7"/>
      <c r="AA1351" s="11"/>
      <c r="AB1351" s="11"/>
      <c r="AC1351" s="11"/>
      <c r="AD1351" s="11"/>
      <c r="AH1351" s="8"/>
      <c r="AI1351" s="20"/>
      <c r="AJ1351" s="20"/>
      <c r="AK1351" s="31"/>
      <c r="AL1351" s="31"/>
    </row>
    <row r="1352" spans="1:38" hidden="1" x14ac:dyDescent="0.25">
      <c r="A1352" s="9"/>
      <c r="B1352" s="7"/>
      <c r="C1352" s="7"/>
      <c r="D1352" s="7"/>
      <c r="E1352" s="7"/>
      <c r="F1352" s="7"/>
      <c r="G1352" s="7"/>
      <c r="H1352" s="7"/>
      <c r="I1352" s="7"/>
      <c r="J1352" s="20"/>
      <c r="K1352" s="20"/>
      <c r="L1352" s="20"/>
      <c r="M1352" s="20"/>
      <c r="N1352" s="9"/>
      <c r="P1352" s="7"/>
      <c r="Q1352" s="11"/>
      <c r="R1352" s="8"/>
      <c r="S1352" s="7"/>
      <c r="T1352" s="7"/>
      <c r="U1352" s="7"/>
      <c r="V1352" s="7"/>
      <c r="W1352" s="7"/>
      <c r="X1352" s="8"/>
      <c r="Y1352" s="7"/>
      <c r="Z1352" s="7"/>
      <c r="AA1352" s="11"/>
      <c r="AB1352" s="11"/>
      <c r="AC1352" s="11"/>
      <c r="AD1352" s="11"/>
      <c r="AH1352" s="8"/>
      <c r="AI1352" s="20"/>
      <c r="AJ1352" s="20"/>
      <c r="AK1352" s="31"/>
      <c r="AL1352" s="31"/>
    </row>
    <row r="1353" spans="1:38" hidden="1" x14ac:dyDescent="0.25">
      <c r="A1353" s="9"/>
      <c r="B1353" s="7"/>
      <c r="C1353" s="7"/>
      <c r="D1353" s="7"/>
      <c r="E1353" s="7"/>
      <c r="F1353" s="7"/>
      <c r="G1353" s="7"/>
      <c r="H1353" s="7"/>
      <c r="I1353" s="7"/>
      <c r="J1353" s="20"/>
      <c r="K1353" s="20"/>
      <c r="L1353" s="20"/>
      <c r="M1353" s="20"/>
      <c r="N1353" s="9"/>
      <c r="P1353" s="7"/>
      <c r="Q1353" s="11"/>
      <c r="R1353" s="8"/>
      <c r="S1353" s="7"/>
      <c r="T1353" s="7"/>
      <c r="U1353" s="7"/>
      <c r="V1353" s="7"/>
      <c r="W1353" s="7"/>
      <c r="X1353" s="8"/>
      <c r="Y1353" s="7"/>
      <c r="Z1353" s="7"/>
      <c r="AA1353" s="11"/>
      <c r="AB1353" s="11"/>
      <c r="AC1353" s="11"/>
      <c r="AD1353" s="11"/>
      <c r="AH1353" s="8"/>
      <c r="AI1353" s="20"/>
      <c r="AJ1353" s="20"/>
      <c r="AK1353" s="31"/>
      <c r="AL1353" s="31"/>
    </row>
    <row r="1354" spans="1:38" hidden="1" x14ac:dyDescent="0.25">
      <c r="A1354" s="9"/>
      <c r="B1354" s="7"/>
      <c r="C1354" s="7"/>
      <c r="D1354" s="7"/>
      <c r="E1354" s="7"/>
      <c r="F1354" s="7"/>
      <c r="G1354" s="7"/>
      <c r="H1354" s="7"/>
      <c r="I1354" s="7"/>
      <c r="J1354" s="20"/>
      <c r="K1354" s="20"/>
      <c r="L1354" s="20"/>
      <c r="M1354" s="20"/>
      <c r="N1354" s="9"/>
      <c r="P1354" s="7"/>
      <c r="Q1354" s="11"/>
      <c r="R1354" s="8"/>
      <c r="S1354" s="7"/>
      <c r="T1354" s="7"/>
      <c r="U1354" s="7"/>
      <c r="V1354" s="7"/>
      <c r="W1354" s="7"/>
      <c r="X1354" s="8"/>
      <c r="Y1354" s="7"/>
      <c r="Z1354" s="7"/>
      <c r="AA1354" s="11"/>
      <c r="AB1354" s="11"/>
      <c r="AC1354" s="11"/>
      <c r="AD1354" s="11"/>
      <c r="AH1354" s="8"/>
      <c r="AI1354" s="20"/>
      <c r="AJ1354" s="20"/>
      <c r="AK1354" s="31"/>
      <c r="AL1354" s="31"/>
    </row>
    <row r="1355" spans="1:38" hidden="1" x14ac:dyDescent="0.25">
      <c r="A1355" s="9"/>
      <c r="B1355" s="7"/>
      <c r="C1355" s="7"/>
      <c r="D1355" s="7"/>
      <c r="E1355" s="7"/>
      <c r="F1355" s="7"/>
      <c r="G1355" s="7"/>
      <c r="H1355" s="7"/>
      <c r="I1355" s="7"/>
      <c r="J1355" s="20"/>
      <c r="K1355" s="20"/>
      <c r="L1355" s="20"/>
      <c r="M1355" s="20"/>
      <c r="N1355" s="9"/>
      <c r="P1355" s="7"/>
      <c r="Q1355" s="11"/>
      <c r="R1355" s="8"/>
      <c r="S1355" s="7"/>
      <c r="T1355" s="7"/>
      <c r="U1355" s="7"/>
      <c r="V1355" s="7"/>
      <c r="W1355" s="7"/>
      <c r="X1355" s="8"/>
      <c r="Y1355" s="7"/>
      <c r="Z1355" s="7"/>
      <c r="AA1355" s="11"/>
      <c r="AB1355" s="11"/>
      <c r="AC1355" s="11"/>
      <c r="AD1355" s="11"/>
      <c r="AH1355" s="8"/>
      <c r="AI1355" s="20"/>
      <c r="AJ1355" s="20"/>
      <c r="AK1355" s="31"/>
      <c r="AL1355" s="31"/>
    </row>
    <row r="1356" spans="1:38" hidden="1" x14ac:dyDescent="0.25">
      <c r="A1356" s="9"/>
      <c r="B1356" s="7"/>
      <c r="C1356" s="7"/>
      <c r="D1356" s="7"/>
      <c r="E1356" s="7"/>
      <c r="F1356" s="7"/>
      <c r="G1356" s="7"/>
      <c r="H1356" s="7"/>
      <c r="I1356" s="7"/>
      <c r="J1356" s="20"/>
      <c r="K1356" s="20"/>
      <c r="L1356" s="20"/>
      <c r="M1356" s="20"/>
      <c r="N1356" s="9"/>
      <c r="P1356" s="7"/>
      <c r="Q1356" s="11"/>
      <c r="R1356" s="8"/>
      <c r="S1356" s="7"/>
      <c r="T1356" s="7"/>
      <c r="U1356" s="7"/>
      <c r="V1356" s="7"/>
      <c r="W1356" s="7"/>
      <c r="X1356" s="8"/>
      <c r="Y1356" s="7"/>
      <c r="Z1356" s="7"/>
      <c r="AA1356" s="11"/>
      <c r="AB1356" s="11"/>
      <c r="AC1356" s="11"/>
      <c r="AD1356" s="11"/>
      <c r="AH1356" s="8"/>
      <c r="AI1356" s="20"/>
      <c r="AJ1356" s="20"/>
      <c r="AK1356" s="31"/>
      <c r="AL1356" s="31"/>
    </row>
    <row r="1357" spans="1:38" hidden="1" x14ac:dyDescent="0.25">
      <c r="A1357" s="9"/>
      <c r="B1357" s="7"/>
      <c r="C1357" s="7"/>
      <c r="D1357" s="7"/>
      <c r="E1357" s="7"/>
      <c r="F1357" s="7"/>
      <c r="G1357" s="7"/>
      <c r="H1357" s="7"/>
      <c r="I1357" s="7"/>
      <c r="J1357" s="20"/>
      <c r="K1357" s="20"/>
      <c r="L1357" s="20"/>
      <c r="M1357" s="20"/>
      <c r="N1357" s="9"/>
      <c r="P1357" s="7"/>
      <c r="Q1357" s="11"/>
      <c r="R1357" s="8"/>
      <c r="S1357" s="7"/>
      <c r="T1357" s="7"/>
      <c r="U1357" s="7"/>
      <c r="V1357" s="7"/>
      <c r="W1357" s="7"/>
      <c r="X1357" s="8"/>
      <c r="Y1357" s="7"/>
      <c r="Z1357" s="7"/>
      <c r="AA1357" s="11"/>
      <c r="AB1357" s="11"/>
      <c r="AC1357" s="11"/>
      <c r="AD1357" s="11"/>
      <c r="AH1357" s="8"/>
      <c r="AI1357" s="20"/>
      <c r="AJ1357" s="20"/>
      <c r="AK1357" s="31"/>
      <c r="AL1357" s="31"/>
    </row>
    <row r="1358" spans="1:38" hidden="1" x14ac:dyDescent="0.25">
      <c r="A1358" s="9"/>
      <c r="B1358" s="7"/>
      <c r="C1358" s="7"/>
      <c r="D1358" s="7"/>
      <c r="E1358" s="7"/>
      <c r="F1358" s="7"/>
      <c r="G1358" s="7"/>
      <c r="H1358" s="7"/>
      <c r="I1358" s="7"/>
      <c r="J1358" s="20"/>
      <c r="K1358" s="20"/>
      <c r="L1358" s="20"/>
      <c r="M1358" s="20"/>
      <c r="N1358" s="9"/>
      <c r="P1358" s="7"/>
      <c r="Q1358" s="11"/>
      <c r="R1358" s="8"/>
      <c r="S1358" s="7"/>
      <c r="T1358" s="7"/>
      <c r="U1358" s="7"/>
      <c r="V1358" s="7"/>
      <c r="W1358" s="7"/>
      <c r="X1358" s="8"/>
      <c r="Y1358" s="7"/>
      <c r="Z1358" s="7"/>
      <c r="AA1358" s="11"/>
      <c r="AB1358" s="11"/>
      <c r="AC1358" s="11"/>
      <c r="AD1358" s="11"/>
      <c r="AH1358" s="8"/>
      <c r="AI1358" s="20"/>
      <c r="AJ1358" s="20"/>
      <c r="AK1358" s="31"/>
      <c r="AL1358" s="31"/>
    </row>
    <row r="1359" spans="1:38" hidden="1" x14ac:dyDescent="0.25">
      <c r="A1359" s="9"/>
      <c r="B1359" s="7"/>
      <c r="C1359" s="7"/>
      <c r="D1359" s="7"/>
      <c r="E1359" s="7"/>
      <c r="F1359" s="7"/>
      <c r="G1359" s="7"/>
      <c r="H1359" s="7"/>
      <c r="I1359" s="7"/>
      <c r="J1359" s="20"/>
      <c r="K1359" s="20"/>
      <c r="L1359" s="20"/>
      <c r="M1359" s="20"/>
      <c r="N1359" s="9"/>
      <c r="P1359" s="7"/>
      <c r="Q1359" s="11"/>
      <c r="R1359" s="8"/>
      <c r="S1359" s="7"/>
      <c r="T1359" s="7"/>
      <c r="U1359" s="7"/>
      <c r="V1359" s="7"/>
      <c r="W1359" s="7"/>
      <c r="X1359" s="8"/>
      <c r="Y1359" s="7"/>
      <c r="Z1359" s="7"/>
      <c r="AA1359" s="11"/>
      <c r="AB1359" s="11"/>
      <c r="AC1359" s="11"/>
      <c r="AD1359" s="11"/>
      <c r="AH1359" s="8"/>
      <c r="AI1359" s="20"/>
      <c r="AJ1359" s="20"/>
      <c r="AK1359" s="31"/>
      <c r="AL1359" s="31"/>
    </row>
    <row r="1360" spans="1:38" hidden="1" x14ac:dyDescent="0.25">
      <c r="A1360" s="9"/>
      <c r="B1360" s="7"/>
      <c r="C1360" s="7"/>
      <c r="D1360" s="7"/>
      <c r="E1360" s="7"/>
      <c r="F1360" s="7"/>
      <c r="G1360" s="7"/>
      <c r="H1360" s="7"/>
      <c r="I1360" s="7"/>
      <c r="J1360" s="20"/>
      <c r="K1360" s="20"/>
      <c r="L1360" s="20"/>
      <c r="M1360" s="20"/>
      <c r="N1360" s="9"/>
      <c r="P1360" s="7"/>
      <c r="Q1360" s="11"/>
      <c r="R1360" s="8"/>
      <c r="S1360" s="7"/>
      <c r="T1360" s="7"/>
      <c r="U1360" s="7"/>
      <c r="V1360" s="7"/>
      <c r="W1360" s="7"/>
      <c r="X1360" s="8"/>
      <c r="Y1360" s="7"/>
      <c r="Z1360" s="7"/>
      <c r="AA1360" s="11"/>
      <c r="AB1360" s="11"/>
      <c r="AC1360" s="11"/>
      <c r="AD1360" s="11"/>
      <c r="AH1360" s="8"/>
      <c r="AI1360" s="20"/>
      <c r="AJ1360" s="20"/>
      <c r="AK1360" s="31"/>
      <c r="AL1360" s="31"/>
    </row>
    <row r="1361" spans="1:38" hidden="1" x14ac:dyDescent="0.25">
      <c r="A1361" s="9"/>
      <c r="B1361" s="7"/>
      <c r="C1361" s="7"/>
      <c r="D1361" s="7"/>
      <c r="E1361" s="7"/>
      <c r="F1361" s="7"/>
      <c r="G1361" s="7"/>
      <c r="H1361" s="7"/>
      <c r="I1361" s="7"/>
      <c r="J1361" s="20"/>
      <c r="K1361" s="20"/>
      <c r="L1361" s="20"/>
      <c r="M1361" s="20"/>
      <c r="N1361" s="9"/>
      <c r="P1361" s="7"/>
      <c r="Q1361" s="11"/>
      <c r="R1361" s="8"/>
      <c r="S1361" s="7"/>
      <c r="T1361" s="7"/>
      <c r="U1361" s="7"/>
      <c r="V1361" s="7"/>
      <c r="W1361" s="7"/>
      <c r="X1361" s="8"/>
      <c r="Y1361" s="7"/>
      <c r="Z1361" s="7"/>
      <c r="AA1361" s="11"/>
      <c r="AB1361" s="11"/>
      <c r="AC1361" s="11"/>
      <c r="AD1361" s="11"/>
      <c r="AH1361" s="8"/>
      <c r="AI1361" s="20"/>
      <c r="AJ1361" s="20"/>
      <c r="AK1361" s="31"/>
      <c r="AL1361" s="31"/>
    </row>
    <row r="1362" spans="1:38" hidden="1" x14ac:dyDescent="0.25">
      <c r="A1362" s="9"/>
      <c r="B1362" s="7"/>
      <c r="C1362" s="7"/>
      <c r="D1362" s="7"/>
      <c r="E1362" s="7"/>
      <c r="F1362" s="7"/>
      <c r="G1362" s="7"/>
      <c r="H1362" s="7"/>
      <c r="I1362" s="7"/>
      <c r="J1362" s="20"/>
      <c r="K1362" s="20"/>
      <c r="L1362" s="20"/>
      <c r="M1362" s="20"/>
      <c r="N1362" s="9"/>
      <c r="P1362" s="7"/>
      <c r="Q1362" s="11"/>
      <c r="R1362" s="8"/>
      <c r="S1362" s="7"/>
      <c r="T1362" s="7"/>
      <c r="U1362" s="7"/>
      <c r="V1362" s="7"/>
      <c r="W1362" s="7"/>
      <c r="X1362" s="8"/>
      <c r="Y1362" s="7"/>
      <c r="Z1362" s="7"/>
      <c r="AA1362" s="11"/>
      <c r="AB1362" s="11"/>
      <c r="AC1362" s="11"/>
      <c r="AD1362" s="11"/>
      <c r="AH1362" s="8"/>
      <c r="AI1362" s="20"/>
      <c r="AJ1362" s="20"/>
      <c r="AK1362" s="31"/>
      <c r="AL1362" s="31"/>
    </row>
    <row r="1363" spans="1:38" hidden="1" x14ac:dyDescent="0.25">
      <c r="A1363" s="9"/>
      <c r="B1363" s="7"/>
      <c r="C1363" s="7"/>
      <c r="D1363" s="7"/>
      <c r="E1363" s="7"/>
      <c r="F1363" s="7"/>
      <c r="G1363" s="7"/>
      <c r="H1363" s="7"/>
      <c r="I1363" s="7"/>
      <c r="J1363" s="20"/>
      <c r="K1363" s="20"/>
      <c r="L1363" s="20"/>
      <c r="M1363" s="20"/>
      <c r="N1363" s="9"/>
      <c r="P1363" s="7"/>
      <c r="Q1363" s="11"/>
      <c r="R1363" s="8"/>
      <c r="S1363" s="7"/>
      <c r="T1363" s="7"/>
      <c r="U1363" s="7"/>
      <c r="V1363" s="7"/>
      <c r="W1363" s="7"/>
      <c r="X1363" s="8"/>
      <c r="Y1363" s="7"/>
      <c r="Z1363" s="7"/>
      <c r="AA1363" s="11"/>
      <c r="AB1363" s="11"/>
      <c r="AC1363" s="11"/>
      <c r="AD1363" s="11"/>
      <c r="AH1363" s="8"/>
      <c r="AI1363" s="20"/>
      <c r="AJ1363" s="20"/>
      <c r="AK1363" s="31"/>
      <c r="AL1363" s="31"/>
    </row>
    <row r="1364" spans="1:38" hidden="1" x14ac:dyDescent="0.25">
      <c r="A1364" s="9"/>
      <c r="B1364" s="7"/>
      <c r="C1364" s="7"/>
      <c r="D1364" s="7"/>
      <c r="E1364" s="7"/>
      <c r="F1364" s="7"/>
      <c r="G1364" s="7"/>
      <c r="H1364" s="7"/>
      <c r="I1364" s="7"/>
      <c r="J1364" s="20"/>
      <c r="K1364" s="20"/>
      <c r="L1364" s="20"/>
      <c r="M1364" s="20"/>
      <c r="N1364" s="9"/>
      <c r="P1364" s="7"/>
      <c r="Q1364" s="11"/>
      <c r="R1364" s="8"/>
      <c r="S1364" s="7"/>
      <c r="T1364" s="7"/>
      <c r="U1364" s="7"/>
      <c r="V1364" s="7"/>
      <c r="W1364" s="7"/>
      <c r="X1364" s="8"/>
      <c r="Y1364" s="7"/>
      <c r="Z1364" s="7"/>
      <c r="AA1364" s="11"/>
      <c r="AB1364" s="11"/>
      <c r="AC1364" s="11"/>
      <c r="AD1364" s="11"/>
      <c r="AH1364" s="8"/>
      <c r="AI1364" s="20"/>
      <c r="AJ1364" s="20"/>
      <c r="AK1364" s="31"/>
      <c r="AL1364" s="31"/>
    </row>
    <row r="1365" spans="1:38" hidden="1" x14ac:dyDescent="0.25">
      <c r="A1365" s="9"/>
      <c r="B1365" s="7"/>
      <c r="C1365" s="7"/>
      <c r="D1365" s="7"/>
      <c r="E1365" s="7"/>
      <c r="F1365" s="7"/>
      <c r="G1365" s="7"/>
      <c r="H1365" s="7"/>
      <c r="I1365" s="7"/>
      <c r="J1365" s="20"/>
      <c r="K1365" s="20"/>
      <c r="L1365" s="20"/>
      <c r="M1365" s="20"/>
      <c r="N1365" s="9"/>
      <c r="P1365" s="7"/>
      <c r="Q1365" s="11"/>
      <c r="R1365" s="8"/>
      <c r="S1365" s="7"/>
      <c r="T1365" s="7"/>
      <c r="U1365" s="7"/>
      <c r="V1365" s="7"/>
      <c r="W1365" s="7"/>
      <c r="X1365" s="8"/>
      <c r="Y1365" s="7"/>
      <c r="Z1365" s="7"/>
      <c r="AA1365" s="11"/>
      <c r="AB1365" s="11"/>
      <c r="AC1365" s="11"/>
      <c r="AD1365" s="11"/>
      <c r="AH1365" s="8"/>
      <c r="AI1365" s="20"/>
      <c r="AJ1365" s="20"/>
      <c r="AK1365" s="31"/>
      <c r="AL1365" s="31"/>
    </row>
    <row r="1366" spans="1:38" hidden="1" x14ac:dyDescent="0.25">
      <c r="A1366" s="9"/>
      <c r="B1366" s="7"/>
      <c r="C1366" s="7"/>
      <c r="D1366" s="7"/>
      <c r="E1366" s="7"/>
      <c r="F1366" s="7"/>
      <c r="G1366" s="7"/>
      <c r="H1366" s="7"/>
      <c r="I1366" s="7"/>
      <c r="J1366" s="20"/>
      <c r="K1366" s="20"/>
      <c r="L1366" s="20"/>
      <c r="M1366" s="20"/>
      <c r="N1366" s="9"/>
      <c r="P1366" s="7"/>
      <c r="Q1366" s="11"/>
      <c r="R1366" s="8"/>
      <c r="S1366" s="7"/>
      <c r="T1366" s="7"/>
      <c r="U1366" s="7"/>
      <c r="V1366" s="7"/>
      <c r="W1366" s="7"/>
      <c r="X1366" s="8"/>
      <c r="Y1366" s="7"/>
      <c r="Z1366" s="7"/>
      <c r="AA1366" s="11"/>
      <c r="AB1366" s="11"/>
      <c r="AC1366" s="11"/>
      <c r="AD1366" s="11"/>
      <c r="AH1366" s="8"/>
      <c r="AI1366" s="20"/>
      <c r="AJ1366" s="20"/>
      <c r="AK1366" s="31"/>
      <c r="AL1366" s="31"/>
    </row>
    <row r="1367" spans="1:38" hidden="1" x14ac:dyDescent="0.25">
      <c r="A1367" s="9"/>
      <c r="B1367" s="7"/>
      <c r="C1367" s="7"/>
      <c r="D1367" s="7"/>
      <c r="E1367" s="7"/>
      <c r="F1367" s="7"/>
      <c r="G1367" s="7"/>
      <c r="H1367" s="7"/>
      <c r="I1367" s="7"/>
      <c r="J1367" s="20"/>
      <c r="K1367" s="20"/>
      <c r="L1367" s="20"/>
      <c r="M1367" s="20"/>
      <c r="N1367" s="9"/>
      <c r="P1367" s="7"/>
      <c r="Q1367" s="11"/>
      <c r="R1367" s="8"/>
      <c r="S1367" s="7"/>
      <c r="T1367" s="7"/>
      <c r="U1367" s="7"/>
      <c r="V1367" s="7"/>
      <c r="W1367" s="7"/>
      <c r="X1367" s="8"/>
      <c r="Y1367" s="7"/>
      <c r="Z1367" s="7"/>
      <c r="AA1367" s="11"/>
      <c r="AB1367" s="11"/>
      <c r="AC1367" s="11"/>
      <c r="AD1367" s="11"/>
      <c r="AH1367" s="8"/>
      <c r="AI1367" s="20"/>
      <c r="AJ1367" s="20"/>
      <c r="AK1367" s="31"/>
      <c r="AL1367" s="31"/>
    </row>
    <row r="1368" spans="1:38" hidden="1" x14ac:dyDescent="0.25">
      <c r="A1368" s="9"/>
      <c r="B1368" s="7"/>
      <c r="C1368" s="7"/>
      <c r="D1368" s="7"/>
      <c r="E1368" s="7"/>
      <c r="F1368" s="7"/>
      <c r="G1368" s="7"/>
      <c r="H1368" s="7"/>
      <c r="I1368" s="7"/>
      <c r="J1368" s="20"/>
      <c r="K1368" s="20"/>
      <c r="L1368" s="20"/>
      <c r="M1368" s="20"/>
      <c r="N1368" s="9"/>
      <c r="P1368" s="7"/>
      <c r="Q1368" s="11"/>
      <c r="R1368" s="8"/>
      <c r="S1368" s="7"/>
      <c r="T1368" s="7"/>
      <c r="U1368" s="7"/>
      <c r="V1368" s="7"/>
      <c r="W1368" s="7"/>
      <c r="X1368" s="8"/>
      <c r="Y1368" s="7"/>
      <c r="Z1368" s="7"/>
      <c r="AA1368" s="11"/>
      <c r="AB1368" s="11"/>
      <c r="AC1368" s="11"/>
      <c r="AD1368" s="11"/>
      <c r="AH1368" s="8"/>
      <c r="AI1368" s="20"/>
      <c r="AJ1368" s="20"/>
      <c r="AK1368" s="31"/>
      <c r="AL1368" s="31"/>
    </row>
    <row r="1369" spans="1:38" hidden="1" x14ac:dyDescent="0.25">
      <c r="A1369" s="9"/>
      <c r="B1369" s="7"/>
      <c r="C1369" s="7"/>
      <c r="D1369" s="7"/>
      <c r="E1369" s="7"/>
      <c r="F1369" s="7"/>
      <c r="G1369" s="7"/>
      <c r="H1369" s="7"/>
      <c r="I1369" s="7"/>
      <c r="J1369" s="20"/>
      <c r="K1369" s="20"/>
      <c r="L1369" s="20"/>
      <c r="M1369" s="20"/>
      <c r="N1369" s="9"/>
      <c r="P1369" s="7"/>
      <c r="Q1369" s="11"/>
      <c r="R1369" s="8"/>
      <c r="S1369" s="7"/>
      <c r="T1369" s="7"/>
      <c r="U1369" s="7"/>
      <c r="V1369" s="7"/>
      <c r="W1369" s="7"/>
      <c r="X1369" s="8"/>
      <c r="Y1369" s="7"/>
      <c r="Z1369" s="7"/>
      <c r="AA1369" s="11"/>
      <c r="AB1369" s="11"/>
      <c r="AC1369" s="11"/>
      <c r="AD1369" s="11"/>
      <c r="AH1369" s="8"/>
      <c r="AI1369" s="20"/>
      <c r="AJ1369" s="20"/>
      <c r="AK1369" s="31"/>
      <c r="AL1369" s="31"/>
    </row>
    <row r="1370" spans="1:38" hidden="1" x14ac:dyDescent="0.25">
      <c r="A1370" s="9"/>
      <c r="B1370" s="7"/>
      <c r="C1370" s="7"/>
      <c r="D1370" s="7"/>
      <c r="E1370" s="7"/>
      <c r="F1370" s="7"/>
      <c r="G1370" s="7"/>
      <c r="H1370" s="7"/>
      <c r="I1370" s="7"/>
      <c r="J1370" s="20"/>
      <c r="K1370" s="20"/>
      <c r="L1370" s="20"/>
      <c r="M1370" s="20"/>
      <c r="N1370" s="9"/>
      <c r="P1370" s="7"/>
      <c r="Q1370" s="11"/>
      <c r="R1370" s="8"/>
      <c r="S1370" s="7"/>
      <c r="T1370" s="7"/>
      <c r="U1370" s="7"/>
      <c r="V1370" s="7"/>
      <c r="W1370" s="7"/>
      <c r="X1370" s="8"/>
      <c r="Y1370" s="7"/>
      <c r="Z1370" s="7"/>
      <c r="AA1370" s="11"/>
      <c r="AB1370" s="11"/>
      <c r="AC1370" s="11"/>
      <c r="AD1370" s="11"/>
      <c r="AH1370" s="8"/>
      <c r="AI1370" s="20"/>
      <c r="AJ1370" s="20"/>
      <c r="AK1370" s="31"/>
      <c r="AL1370" s="31"/>
    </row>
    <row r="1371" spans="1:38" hidden="1" x14ac:dyDescent="0.25">
      <c r="A1371" s="9"/>
      <c r="B1371" s="7"/>
      <c r="C1371" s="7"/>
      <c r="D1371" s="7"/>
      <c r="E1371" s="7"/>
      <c r="F1371" s="7"/>
      <c r="G1371" s="7"/>
      <c r="H1371" s="7"/>
      <c r="I1371" s="7"/>
      <c r="J1371" s="20"/>
      <c r="K1371" s="20"/>
      <c r="L1371" s="20"/>
      <c r="M1371" s="20"/>
      <c r="N1371" s="9"/>
      <c r="P1371" s="7"/>
      <c r="Q1371" s="11"/>
      <c r="R1371" s="8"/>
      <c r="S1371" s="7"/>
      <c r="T1371" s="7"/>
      <c r="U1371" s="7"/>
      <c r="V1371" s="7"/>
      <c r="W1371" s="7"/>
      <c r="X1371" s="8"/>
      <c r="Y1371" s="7"/>
      <c r="Z1371" s="7"/>
      <c r="AA1371" s="11"/>
      <c r="AB1371" s="11"/>
      <c r="AC1371" s="11"/>
      <c r="AD1371" s="11"/>
      <c r="AH1371" s="8"/>
      <c r="AI1371" s="20"/>
      <c r="AJ1371" s="20"/>
      <c r="AK1371" s="31"/>
      <c r="AL1371" s="31"/>
    </row>
    <row r="1372" spans="1:38" hidden="1" x14ac:dyDescent="0.25">
      <c r="A1372" s="9"/>
      <c r="B1372" s="7"/>
      <c r="C1372" s="7"/>
      <c r="D1372" s="7"/>
      <c r="E1372" s="7"/>
      <c r="F1372" s="7"/>
      <c r="G1372" s="7"/>
      <c r="H1372" s="7"/>
      <c r="I1372" s="7"/>
      <c r="J1372" s="20"/>
      <c r="K1372" s="20"/>
      <c r="L1372" s="20"/>
      <c r="M1372" s="20"/>
      <c r="N1372" s="9"/>
      <c r="P1372" s="7"/>
      <c r="Q1372" s="11"/>
      <c r="R1372" s="8"/>
      <c r="S1372" s="7"/>
      <c r="T1372" s="7"/>
      <c r="U1372" s="7"/>
      <c r="V1372" s="7"/>
      <c r="W1372" s="7"/>
      <c r="X1372" s="8"/>
      <c r="Y1372" s="7"/>
      <c r="Z1372" s="7"/>
      <c r="AA1372" s="11"/>
      <c r="AB1372" s="11"/>
      <c r="AC1372" s="11"/>
      <c r="AD1372" s="11"/>
      <c r="AH1372" s="8"/>
      <c r="AI1372" s="20"/>
      <c r="AJ1372" s="20"/>
      <c r="AK1372" s="31"/>
      <c r="AL1372" s="31"/>
    </row>
    <row r="1373" spans="1:38" hidden="1" x14ac:dyDescent="0.25">
      <c r="A1373" s="9"/>
      <c r="B1373" s="7"/>
      <c r="C1373" s="7"/>
      <c r="D1373" s="7"/>
      <c r="E1373" s="7"/>
      <c r="F1373" s="7"/>
      <c r="G1373" s="7"/>
      <c r="H1373" s="7"/>
      <c r="I1373" s="7"/>
      <c r="J1373" s="20"/>
      <c r="K1373" s="20"/>
      <c r="L1373" s="20"/>
      <c r="M1373" s="20"/>
      <c r="N1373" s="9"/>
      <c r="P1373" s="7"/>
      <c r="Q1373" s="11"/>
      <c r="R1373" s="8"/>
      <c r="S1373" s="7"/>
      <c r="T1373" s="7"/>
      <c r="U1373" s="7"/>
      <c r="V1373" s="7"/>
      <c r="W1373" s="7"/>
      <c r="X1373" s="8"/>
      <c r="Y1373" s="7"/>
      <c r="Z1373" s="7"/>
      <c r="AA1373" s="11"/>
      <c r="AB1373" s="11"/>
      <c r="AC1373" s="11"/>
      <c r="AD1373" s="11"/>
      <c r="AH1373" s="8"/>
      <c r="AI1373" s="20"/>
      <c r="AJ1373" s="20"/>
      <c r="AK1373" s="31"/>
      <c r="AL1373" s="31"/>
    </row>
    <row r="1374" spans="1:38" hidden="1" x14ac:dyDescent="0.25">
      <c r="A1374" s="9"/>
      <c r="B1374" s="7"/>
      <c r="C1374" s="7"/>
      <c r="D1374" s="7"/>
      <c r="E1374" s="7"/>
      <c r="F1374" s="7"/>
      <c r="G1374" s="7"/>
      <c r="H1374" s="7"/>
      <c r="I1374" s="7"/>
      <c r="J1374" s="20"/>
      <c r="K1374" s="20"/>
      <c r="L1374" s="20"/>
      <c r="M1374" s="20"/>
      <c r="N1374" s="9"/>
      <c r="P1374" s="7"/>
      <c r="Q1374" s="11"/>
      <c r="R1374" s="8"/>
      <c r="S1374" s="7"/>
      <c r="T1374" s="7"/>
      <c r="U1374" s="7"/>
      <c r="V1374" s="7"/>
      <c r="W1374" s="7"/>
      <c r="X1374" s="8"/>
      <c r="Y1374" s="7"/>
      <c r="Z1374" s="7"/>
      <c r="AA1374" s="11"/>
      <c r="AB1374" s="11"/>
      <c r="AC1374" s="11"/>
      <c r="AD1374" s="11"/>
      <c r="AH1374" s="8"/>
      <c r="AI1374" s="20"/>
      <c r="AJ1374" s="20"/>
      <c r="AK1374" s="31"/>
      <c r="AL1374" s="31"/>
    </row>
    <row r="1375" spans="1:38" hidden="1" x14ac:dyDescent="0.25">
      <c r="A1375" s="9"/>
      <c r="B1375" s="7"/>
      <c r="C1375" s="7"/>
      <c r="D1375" s="7"/>
      <c r="E1375" s="7"/>
      <c r="F1375" s="7"/>
      <c r="G1375" s="7"/>
      <c r="H1375" s="7"/>
      <c r="I1375" s="7"/>
      <c r="J1375" s="20"/>
      <c r="K1375" s="20"/>
      <c r="L1375" s="20"/>
      <c r="M1375" s="20"/>
      <c r="N1375" s="9"/>
      <c r="P1375" s="7"/>
      <c r="Q1375" s="11"/>
      <c r="R1375" s="8"/>
      <c r="S1375" s="7"/>
      <c r="T1375" s="7"/>
      <c r="U1375" s="7"/>
      <c r="V1375" s="7"/>
      <c r="W1375" s="7"/>
      <c r="X1375" s="8"/>
      <c r="Y1375" s="7"/>
      <c r="Z1375" s="7"/>
      <c r="AA1375" s="11"/>
      <c r="AB1375" s="11"/>
      <c r="AC1375" s="11"/>
      <c r="AD1375" s="11"/>
      <c r="AH1375" s="8"/>
      <c r="AI1375" s="20"/>
      <c r="AJ1375" s="20"/>
      <c r="AK1375" s="31"/>
      <c r="AL1375" s="31"/>
    </row>
    <row r="1376" spans="1:38" hidden="1" x14ac:dyDescent="0.25">
      <c r="A1376" s="9"/>
      <c r="B1376" s="7"/>
      <c r="C1376" s="7"/>
      <c r="D1376" s="7"/>
      <c r="E1376" s="7"/>
      <c r="F1376" s="7"/>
      <c r="G1376" s="7"/>
      <c r="H1376" s="7"/>
      <c r="I1376" s="7"/>
      <c r="J1376" s="20"/>
      <c r="K1376" s="20"/>
      <c r="L1376" s="20"/>
      <c r="M1376" s="20"/>
      <c r="N1376" s="9"/>
      <c r="P1376" s="7"/>
      <c r="Q1376" s="11"/>
      <c r="R1376" s="8"/>
      <c r="S1376" s="7"/>
      <c r="T1376" s="7"/>
      <c r="U1376" s="7"/>
      <c r="V1376" s="7"/>
      <c r="W1376" s="7"/>
      <c r="X1376" s="8"/>
      <c r="Y1376" s="7"/>
      <c r="Z1376" s="7"/>
      <c r="AA1376" s="11"/>
      <c r="AB1376" s="11"/>
      <c r="AC1376" s="11"/>
      <c r="AD1376" s="11"/>
      <c r="AH1376" s="8"/>
      <c r="AI1376" s="20"/>
      <c r="AJ1376" s="20"/>
      <c r="AK1376" s="31"/>
      <c r="AL1376" s="31"/>
    </row>
    <row r="1377" spans="1:38" hidden="1" x14ac:dyDescent="0.25">
      <c r="A1377" s="9"/>
      <c r="B1377" s="7"/>
      <c r="C1377" s="7"/>
      <c r="D1377" s="7"/>
      <c r="E1377" s="7"/>
      <c r="F1377" s="7"/>
      <c r="G1377" s="7"/>
      <c r="H1377" s="7"/>
      <c r="I1377" s="7"/>
      <c r="J1377" s="20"/>
      <c r="K1377" s="20"/>
      <c r="L1377" s="20"/>
      <c r="M1377" s="20"/>
      <c r="N1377" s="9"/>
      <c r="P1377" s="7"/>
      <c r="Q1377" s="11"/>
      <c r="R1377" s="8"/>
      <c r="S1377" s="7"/>
      <c r="T1377" s="7"/>
      <c r="U1377" s="7"/>
      <c r="V1377" s="7"/>
      <c r="W1377" s="7"/>
      <c r="X1377" s="8"/>
      <c r="Y1377" s="7"/>
      <c r="Z1377" s="7"/>
      <c r="AA1377" s="11"/>
      <c r="AB1377" s="11"/>
      <c r="AC1377" s="11"/>
      <c r="AD1377" s="11"/>
      <c r="AH1377" s="8"/>
      <c r="AI1377" s="20"/>
      <c r="AJ1377" s="20"/>
      <c r="AK1377" s="31"/>
      <c r="AL1377" s="31"/>
    </row>
    <row r="1378" spans="1:38" hidden="1" x14ac:dyDescent="0.25">
      <c r="A1378" s="9"/>
      <c r="B1378" s="7"/>
      <c r="C1378" s="7"/>
      <c r="D1378" s="7"/>
      <c r="E1378" s="7"/>
      <c r="F1378" s="7"/>
      <c r="G1378" s="7"/>
      <c r="H1378" s="7"/>
      <c r="I1378" s="7"/>
      <c r="J1378" s="20"/>
      <c r="K1378" s="20"/>
      <c r="L1378" s="20"/>
      <c r="M1378" s="20"/>
      <c r="N1378" s="9"/>
      <c r="P1378" s="7"/>
      <c r="Q1378" s="11"/>
      <c r="R1378" s="8"/>
      <c r="S1378" s="7"/>
      <c r="T1378" s="7"/>
      <c r="U1378" s="7"/>
      <c r="V1378" s="7"/>
      <c r="W1378" s="7"/>
      <c r="X1378" s="8"/>
      <c r="Y1378" s="7"/>
      <c r="Z1378" s="7"/>
      <c r="AA1378" s="11"/>
      <c r="AB1378" s="11"/>
      <c r="AC1378" s="11"/>
      <c r="AD1378" s="11"/>
      <c r="AH1378" s="8"/>
      <c r="AI1378" s="20"/>
      <c r="AJ1378" s="20"/>
      <c r="AK1378" s="31"/>
      <c r="AL1378" s="31"/>
    </row>
    <row r="1379" spans="1:38" hidden="1" x14ac:dyDescent="0.25">
      <c r="A1379" s="9"/>
      <c r="B1379" s="7"/>
      <c r="C1379" s="7"/>
      <c r="D1379" s="7"/>
      <c r="E1379" s="7"/>
      <c r="F1379" s="7"/>
      <c r="G1379" s="7"/>
      <c r="H1379" s="7"/>
      <c r="I1379" s="7"/>
      <c r="J1379" s="20"/>
      <c r="K1379" s="20"/>
      <c r="L1379" s="20"/>
      <c r="M1379" s="20"/>
      <c r="N1379" s="9"/>
      <c r="P1379" s="7"/>
      <c r="Q1379" s="11"/>
      <c r="R1379" s="8"/>
      <c r="S1379" s="7"/>
      <c r="T1379" s="7"/>
      <c r="U1379" s="7"/>
      <c r="V1379" s="7"/>
      <c r="W1379" s="7"/>
      <c r="X1379" s="8"/>
      <c r="Y1379" s="7"/>
      <c r="Z1379" s="7"/>
      <c r="AA1379" s="11"/>
      <c r="AB1379" s="11"/>
      <c r="AC1379" s="11"/>
      <c r="AD1379" s="11"/>
      <c r="AH1379" s="8"/>
      <c r="AI1379" s="20"/>
      <c r="AJ1379" s="20"/>
      <c r="AK1379" s="31"/>
      <c r="AL1379" s="31"/>
    </row>
    <row r="1380" spans="1:38" hidden="1" x14ac:dyDescent="0.25">
      <c r="A1380" s="9"/>
      <c r="B1380" s="7"/>
      <c r="C1380" s="7"/>
      <c r="D1380" s="7"/>
      <c r="E1380" s="7"/>
      <c r="F1380" s="7"/>
      <c r="G1380" s="7"/>
      <c r="H1380" s="7"/>
      <c r="I1380" s="7"/>
      <c r="J1380" s="20"/>
      <c r="K1380" s="20"/>
      <c r="L1380" s="20"/>
      <c r="M1380" s="20"/>
      <c r="N1380" s="9"/>
      <c r="P1380" s="7"/>
      <c r="Q1380" s="11"/>
      <c r="R1380" s="8"/>
      <c r="S1380" s="7"/>
      <c r="T1380" s="7"/>
      <c r="U1380" s="7"/>
      <c r="V1380" s="7"/>
      <c r="W1380" s="7"/>
      <c r="X1380" s="8"/>
      <c r="Y1380" s="7"/>
      <c r="Z1380" s="7"/>
      <c r="AA1380" s="11"/>
      <c r="AB1380" s="11"/>
      <c r="AC1380" s="11"/>
      <c r="AD1380" s="11"/>
      <c r="AH1380" s="8"/>
      <c r="AI1380" s="20"/>
      <c r="AJ1380" s="20"/>
      <c r="AK1380" s="31"/>
      <c r="AL1380" s="31"/>
    </row>
    <row r="1381" spans="1:38" hidden="1" x14ac:dyDescent="0.25">
      <c r="A1381" s="9"/>
      <c r="B1381" s="7"/>
      <c r="C1381" s="7"/>
      <c r="D1381" s="7"/>
      <c r="E1381" s="7"/>
      <c r="F1381" s="7"/>
      <c r="G1381" s="7"/>
      <c r="H1381" s="7"/>
      <c r="I1381" s="7"/>
      <c r="J1381" s="20"/>
      <c r="K1381" s="20"/>
      <c r="L1381" s="20"/>
      <c r="M1381" s="20"/>
      <c r="N1381" s="9"/>
      <c r="P1381" s="7"/>
      <c r="Q1381" s="11"/>
      <c r="R1381" s="8"/>
      <c r="S1381" s="7"/>
      <c r="T1381" s="7"/>
      <c r="U1381" s="7"/>
      <c r="V1381" s="7"/>
      <c r="W1381" s="7"/>
      <c r="X1381" s="8"/>
      <c r="Y1381" s="7"/>
      <c r="Z1381" s="7"/>
      <c r="AA1381" s="11"/>
      <c r="AB1381" s="11"/>
      <c r="AC1381" s="11"/>
      <c r="AD1381" s="11"/>
      <c r="AH1381" s="8"/>
      <c r="AI1381" s="20"/>
      <c r="AJ1381" s="20"/>
      <c r="AK1381" s="31"/>
      <c r="AL1381" s="31"/>
    </row>
    <row r="1382" spans="1:38" hidden="1" x14ac:dyDescent="0.25">
      <c r="A1382" s="9"/>
      <c r="B1382" s="7"/>
      <c r="C1382" s="7"/>
      <c r="D1382" s="7"/>
      <c r="E1382" s="7"/>
      <c r="F1382" s="7"/>
      <c r="G1382" s="7"/>
      <c r="H1382" s="7"/>
      <c r="I1382" s="7"/>
      <c r="J1382" s="20"/>
      <c r="K1382" s="20"/>
      <c r="L1382" s="20"/>
      <c r="M1382" s="20"/>
      <c r="N1382" s="9"/>
      <c r="P1382" s="7"/>
      <c r="Q1382" s="11"/>
      <c r="R1382" s="8"/>
      <c r="S1382" s="7"/>
      <c r="T1382" s="7"/>
      <c r="U1382" s="7"/>
      <c r="V1382" s="7"/>
      <c r="W1382" s="7"/>
      <c r="X1382" s="8"/>
      <c r="Y1382" s="7"/>
      <c r="Z1382" s="7"/>
      <c r="AA1382" s="11"/>
      <c r="AB1382" s="11"/>
      <c r="AC1382" s="11"/>
      <c r="AD1382" s="11"/>
      <c r="AH1382" s="8"/>
      <c r="AI1382" s="20"/>
      <c r="AJ1382" s="20"/>
      <c r="AK1382" s="31"/>
      <c r="AL1382" s="31"/>
    </row>
    <row r="1383" spans="1:38" hidden="1" x14ac:dyDescent="0.25">
      <c r="A1383" s="9"/>
      <c r="B1383" s="7"/>
      <c r="C1383" s="7"/>
      <c r="D1383" s="7"/>
      <c r="E1383" s="7"/>
      <c r="F1383" s="7"/>
      <c r="G1383" s="7"/>
      <c r="H1383" s="7"/>
      <c r="I1383" s="7"/>
      <c r="J1383" s="20"/>
      <c r="K1383" s="20"/>
      <c r="L1383" s="20"/>
      <c r="M1383" s="20"/>
      <c r="N1383" s="9"/>
      <c r="P1383" s="7"/>
      <c r="Q1383" s="11"/>
      <c r="R1383" s="8"/>
      <c r="S1383" s="7"/>
      <c r="T1383" s="7"/>
      <c r="U1383" s="7"/>
      <c r="V1383" s="7"/>
      <c r="W1383" s="7"/>
      <c r="X1383" s="8"/>
      <c r="Y1383" s="7"/>
      <c r="Z1383" s="7"/>
      <c r="AA1383" s="11"/>
      <c r="AB1383" s="11"/>
      <c r="AC1383" s="11"/>
      <c r="AD1383" s="11"/>
      <c r="AH1383" s="8"/>
      <c r="AI1383" s="20"/>
      <c r="AJ1383" s="20"/>
      <c r="AK1383" s="31"/>
      <c r="AL1383" s="31"/>
    </row>
    <row r="1384" spans="1:38" hidden="1" x14ac:dyDescent="0.25">
      <c r="A1384" s="9"/>
      <c r="B1384" s="7"/>
      <c r="C1384" s="7"/>
      <c r="D1384" s="7"/>
      <c r="E1384" s="7"/>
      <c r="F1384" s="7"/>
      <c r="G1384" s="7"/>
      <c r="H1384" s="7"/>
      <c r="I1384" s="7"/>
      <c r="J1384" s="20"/>
      <c r="K1384" s="20"/>
      <c r="L1384" s="20"/>
      <c r="M1384" s="20"/>
      <c r="N1384" s="9"/>
      <c r="P1384" s="7"/>
      <c r="Q1384" s="11"/>
      <c r="R1384" s="8"/>
      <c r="S1384" s="7"/>
      <c r="T1384" s="7"/>
      <c r="U1384" s="7"/>
      <c r="V1384" s="7"/>
      <c r="W1384" s="7"/>
      <c r="X1384" s="8"/>
      <c r="Y1384" s="7"/>
      <c r="Z1384" s="7"/>
      <c r="AA1384" s="11"/>
      <c r="AB1384" s="11"/>
      <c r="AC1384" s="11"/>
      <c r="AD1384" s="11"/>
      <c r="AH1384" s="8"/>
      <c r="AI1384" s="20"/>
      <c r="AJ1384" s="20"/>
      <c r="AK1384" s="31"/>
      <c r="AL1384" s="31"/>
    </row>
    <row r="1385" spans="1:38" hidden="1" x14ac:dyDescent="0.25">
      <c r="A1385" s="9"/>
      <c r="B1385" s="7"/>
      <c r="C1385" s="7"/>
      <c r="D1385" s="7"/>
      <c r="E1385" s="7"/>
      <c r="F1385" s="7"/>
      <c r="G1385" s="7"/>
      <c r="H1385" s="7"/>
      <c r="I1385" s="7"/>
      <c r="J1385" s="20"/>
      <c r="K1385" s="20"/>
      <c r="L1385" s="20"/>
      <c r="M1385" s="20"/>
      <c r="N1385" s="9"/>
      <c r="P1385" s="7"/>
      <c r="Q1385" s="11"/>
      <c r="R1385" s="8"/>
      <c r="S1385" s="7"/>
      <c r="T1385" s="7"/>
      <c r="U1385" s="7"/>
      <c r="V1385" s="7"/>
      <c r="W1385" s="7"/>
      <c r="X1385" s="8"/>
      <c r="Y1385" s="7"/>
      <c r="Z1385" s="7"/>
      <c r="AA1385" s="11"/>
      <c r="AB1385" s="11"/>
      <c r="AC1385" s="11"/>
      <c r="AD1385" s="11"/>
      <c r="AH1385" s="8"/>
      <c r="AI1385" s="20"/>
      <c r="AJ1385" s="20"/>
      <c r="AK1385" s="31"/>
      <c r="AL1385" s="31"/>
    </row>
    <row r="1386" spans="1:38" hidden="1" x14ac:dyDescent="0.25">
      <c r="A1386" s="9"/>
      <c r="B1386" s="7"/>
      <c r="C1386" s="7"/>
      <c r="D1386" s="7"/>
      <c r="E1386" s="7"/>
      <c r="F1386" s="7"/>
      <c r="G1386" s="7"/>
      <c r="H1386" s="7"/>
      <c r="I1386" s="7"/>
      <c r="J1386" s="20"/>
      <c r="K1386" s="20"/>
      <c r="L1386" s="20"/>
      <c r="M1386" s="20"/>
      <c r="N1386" s="9"/>
      <c r="P1386" s="7"/>
      <c r="Q1386" s="11"/>
      <c r="R1386" s="8"/>
      <c r="S1386" s="7"/>
      <c r="T1386" s="7"/>
      <c r="U1386" s="7"/>
      <c r="V1386" s="7"/>
      <c r="W1386" s="7"/>
      <c r="X1386" s="8"/>
      <c r="Y1386" s="7"/>
      <c r="Z1386" s="7"/>
      <c r="AA1386" s="11"/>
      <c r="AB1386" s="11"/>
      <c r="AC1386" s="11"/>
      <c r="AD1386" s="11"/>
      <c r="AH1386" s="8"/>
      <c r="AI1386" s="20"/>
      <c r="AJ1386" s="20"/>
      <c r="AK1386" s="31"/>
      <c r="AL1386" s="31"/>
    </row>
    <row r="1387" spans="1:38" hidden="1" x14ac:dyDescent="0.25">
      <c r="A1387" s="9"/>
      <c r="B1387" s="7"/>
      <c r="C1387" s="7"/>
      <c r="D1387" s="7"/>
      <c r="E1387" s="7"/>
      <c r="F1387" s="7"/>
      <c r="G1387" s="7"/>
      <c r="H1387" s="7"/>
      <c r="I1387" s="7"/>
      <c r="J1387" s="20"/>
      <c r="K1387" s="20"/>
      <c r="L1387" s="20"/>
      <c r="M1387" s="20"/>
      <c r="N1387" s="9"/>
      <c r="P1387" s="7"/>
      <c r="Q1387" s="11"/>
      <c r="R1387" s="8"/>
      <c r="S1387" s="7"/>
      <c r="T1387" s="7"/>
      <c r="U1387" s="7"/>
      <c r="V1387" s="7"/>
      <c r="W1387" s="7"/>
      <c r="X1387" s="8"/>
      <c r="Y1387" s="7"/>
      <c r="Z1387" s="7"/>
      <c r="AA1387" s="11"/>
      <c r="AB1387" s="11"/>
      <c r="AC1387" s="11"/>
      <c r="AD1387" s="11"/>
      <c r="AH1387" s="8"/>
      <c r="AI1387" s="20"/>
      <c r="AJ1387" s="20"/>
      <c r="AK1387" s="31"/>
      <c r="AL1387" s="31"/>
    </row>
    <row r="1388" spans="1:38" hidden="1" x14ac:dyDescent="0.25">
      <c r="A1388" s="9"/>
      <c r="B1388" s="7"/>
      <c r="C1388" s="7"/>
      <c r="D1388" s="7"/>
      <c r="E1388" s="7"/>
      <c r="F1388" s="7"/>
      <c r="G1388" s="7"/>
      <c r="H1388" s="7"/>
      <c r="I1388" s="7"/>
      <c r="J1388" s="20"/>
      <c r="K1388" s="20"/>
      <c r="L1388" s="20"/>
      <c r="M1388" s="20"/>
      <c r="N1388" s="9"/>
      <c r="P1388" s="7"/>
      <c r="Q1388" s="11"/>
      <c r="R1388" s="8"/>
      <c r="S1388" s="7"/>
      <c r="T1388" s="7"/>
      <c r="U1388" s="7"/>
      <c r="V1388" s="7"/>
      <c r="W1388" s="7"/>
      <c r="X1388" s="8"/>
      <c r="Y1388" s="7"/>
      <c r="Z1388" s="7"/>
      <c r="AA1388" s="11"/>
      <c r="AB1388" s="11"/>
      <c r="AC1388" s="11"/>
      <c r="AD1388" s="11"/>
      <c r="AH1388" s="8"/>
      <c r="AI1388" s="20"/>
      <c r="AJ1388" s="20"/>
      <c r="AK1388" s="31"/>
      <c r="AL1388" s="31"/>
    </row>
    <row r="1389" spans="1:38" hidden="1" x14ac:dyDescent="0.25">
      <c r="A1389" s="9"/>
      <c r="B1389" s="7"/>
      <c r="C1389" s="7"/>
      <c r="D1389" s="7"/>
      <c r="E1389" s="7"/>
      <c r="F1389" s="7"/>
      <c r="G1389" s="7"/>
      <c r="H1389" s="7"/>
      <c r="I1389" s="7"/>
      <c r="J1389" s="20"/>
      <c r="K1389" s="20"/>
      <c r="L1389" s="20"/>
      <c r="M1389" s="20"/>
      <c r="N1389" s="9"/>
      <c r="P1389" s="7"/>
      <c r="Q1389" s="11"/>
      <c r="R1389" s="8"/>
      <c r="S1389" s="7"/>
      <c r="T1389" s="7"/>
      <c r="U1389" s="7"/>
      <c r="V1389" s="7"/>
      <c r="W1389" s="7"/>
      <c r="X1389" s="8"/>
      <c r="Y1389" s="7"/>
      <c r="Z1389" s="7"/>
      <c r="AA1389" s="11"/>
      <c r="AB1389" s="11"/>
      <c r="AC1389" s="11"/>
      <c r="AD1389" s="11"/>
      <c r="AH1389" s="8"/>
      <c r="AI1389" s="20"/>
      <c r="AJ1389" s="20"/>
      <c r="AK1389" s="31"/>
      <c r="AL1389" s="31"/>
    </row>
    <row r="1390" spans="1:38" hidden="1" x14ac:dyDescent="0.25">
      <c r="A1390" s="9"/>
      <c r="B1390" s="7"/>
      <c r="C1390" s="7"/>
      <c r="D1390" s="7"/>
      <c r="E1390" s="7"/>
      <c r="F1390" s="7"/>
      <c r="G1390" s="7"/>
      <c r="H1390" s="7"/>
      <c r="I1390" s="7"/>
      <c r="J1390" s="20"/>
      <c r="K1390" s="20"/>
      <c r="L1390" s="20"/>
      <c r="M1390" s="20"/>
      <c r="N1390" s="9"/>
      <c r="P1390" s="7"/>
      <c r="Q1390" s="11"/>
      <c r="R1390" s="8"/>
      <c r="S1390" s="7"/>
      <c r="T1390" s="7"/>
      <c r="U1390" s="7"/>
      <c r="V1390" s="7"/>
      <c r="W1390" s="7"/>
      <c r="X1390" s="8"/>
      <c r="Y1390" s="7"/>
      <c r="Z1390" s="7"/>
      <c r="AA1390" s="11"/>
      <c r="AB1390" s="11"/>
      <c r="AC1390" s="11"/>
      <c r="AD1390" s="11"/>
      <c r="AH1390" s="8"/>
      <c r="AI1390" s="20"/>
      <c r="AJ1390" s="20"/>
      <c r="AK1390" s="31"/>
      <c r="AL1390" s="31"/>
    </row>
    <row r="1391" spans="1:38" hidden="1" x14ac:dyDescent="0.25">
      <c r="A1391" s="9"/>
      <c r="B1391" s="7"/>
      <c r="C1391" s="7"/>
      <c r="D1391" s="7"/>
      <c r="E1391" s="7"/>
      <c r="F1391" s="7"/>
      <c r="G1391" s="7"/>
      <c r="H1391" s="7"/>
      <c r="I1391" s="7"/>
      <c r="J1391" s="20"/>
      <c r="K1391" s="20"/>
      <c r="L1391" s="20"/>
      <c r="M1391" s="20"/>
      <c r="N1391" s="9"/>
      <c r="P1391" s="7"/>
      <c r="Q1391" s="11"/>
      <c r="R1391" s="8"/>
      <c r="S1391" s="7"/>
      <c r="T1391" s="7"/>
      <c r="U1391" s="7"/>
      <c r="V1391" s="7"/>
      <c r="W1391" s="7"/>
      <c r="X1391" s="8"/>
      <c r="Y1391" s="7"/>
      <c r="Z1391" s="7"/>
      <c r="AA1391" s="11"/>
      <c r="AB1391" s="11"/>
      <c r="AC1391" s="11"/>
      <c r="AD1391" s="11"/>
      <c r="AH1391" s="8"/>
      <c r="AI1391" s="20"/>
      <c r="AJ1391" s="20"/>
      <c r="AK1391" s="31"/>
      <c r="AL1391" s="31"/>
    </row>
    <row r="1392" spans="1:38" hidden="1" x14ac:dyDescent="0.25">
      <c r="A1392" s="9"/>
      <c r="B1392" s="7"/>
      <c r="C1392" s="7"/>
      <c r="D1392" s="7"/>
      <c r="E1392" s="7"/>
      <c r="F1392" s="7"/>
      <c r="G1392" s="7"/>
      <c r="H1392" s="7"/>
      <c r="I1392" s="7"/>
      <c r="J1392" s="20"/>
      <c r="K1392" s="20"/>
      <c r="L1392" s="20"/>
      <c r="M1392" s="20"/>
      <c r="N1392" s="9"/>
      <c r="P1392" s="7"/>
      <c r="Q1392" s="11"/>
      <c r="R1392" s="8"/>
      <c r="S1392" s="7"/>
      <c r="T1392" s="7"/>
      <c r="U1392" s="7"/>
      <c r="V1392" s="7"/>
      <c r="W1392" s="7"/>
      <c r="X1392" s="8"/>
      <c r="Y1392" s="7"/>
      <c r="Z1392" s="7"/>
      <c r="AA1392" s="11"/>
      <c r="AB1392" s="11"/>
      <c r="AC1392" s="11"/>
      <c r="AD1392" s="11"/>
      <c r="AH1392" s="8"/>
      <c r="AI1392" s="20"/>
      <c r="AJ1392" s="20"/>
      <c r="AK1392" s="31"/>
      <c r="AL1392" s="31"/>
    </row>
    <row r="1393" spans="1:38" hidden="1" x14ac:dyDescent="0.25">
      <c r="A1393" s="9"/>
      <c r="B1393" s="7"/>
      <c r="C1393" s="7"/>
      <c r="D1393" s="7"/>
      <c r="E1393" s="7"/>
      <c r="F1393" s="7"/>
      <c r="G1393" s="7"/>
      <c r="H1393" s="7"/>
      <c r="I1393" s="7"/>
      <c r="J1393" s="20"/>
      <c r="K1393" s="20"/>
      <c r="L1393" s="20"/>
      <c r="M1393" s="20"/>
      <c r="N1393" s="9"/>
      <c r="P1393" s="7"/>
      <c r="Q1393" s="11"/>
      <c r="R1393" s="8"/>
      <c r="S1393" s="7"/>
      <c r="T1393" s="7"/>
      <c r="U1393" s="7"/>
      <c r="V1393" s="7"/>
      <c r="W1393" s="7"/>
      <c r="X1393" s="8"/>
      <c r="Y1393" s="7"/>
      <c r="Z1393" s="7"/>
      <c r="AA1393" s="11"/>
      <c r="AB1393" s="11"/>
      <c r="AC1393" s="11"/>
      <c r="AD1393" s="11"/>
      <c r="AH1393" s="8"/>
      <c r="AI1393" s="20"/>
      <c r="AJ1393" s="20"/>
      <c r="AK1393" s="31"/>
      <c r="AL1393" s="31"/>
    </row>
    <row r="1394" spans="1:38" hidden="1" x14ac:dyDescent="0.25">
      <c r="A1394" s="9"/>
      <c r="B1394" s="7"/>
      <c r="C1394" s="7"/>
      <c r="D1394" s="7"/>
      <c r="E1394" s="7"/>
      <c r="F1394" s="7"/>
      <c r="G1394" s="7"/>
      <c r="H1394" s="7"/>
      <c r="I1394" s="7"/>
      <c r="J1394" s="20"/>
      <c r="K1394" s="20"/>
      <c r="L1394" s="20"/>
      <c r="M1394" s="20"/>
      <c r="N1394" s="9"/>
      <c r="P1394" s="7"/>
      <c r="Q1394" s="11"/>
      <c r="R1394" s="8"/>
      <c r="S1394" s="7"/>
      <c r="T1394" s="7"/>
      <c r="U1394" s="7"/>
      <c r="V1394" s="7"/>
      <c r="W1394" s="7"/>
      <c r="X1394" s="8"/>
      <c r="Y1394" s="7"/>
      <c r="Z1394" s="7"/>
      <c r="AA1394" s="11"/>
      <c r="AB1394" s="11"/>
      <c r="AC1394" s="11"/>
      <c r="AD1394" s="11"/>
      <c r="AH1394" s="8"/>
      <c r="AI1394" s="20"/>
      <c r="AJ1394" s="20"/>
      <c r="AK1394" s="31"/>
      <c r="AL1394" s="31"/>
    </row>
    <row r="1395" spans="1:38" hidden="1" x14ac:dyDescent="0.25">
      <c r="A1395" s="9"/>
      <c r="B1395" s="7"/>
      <c r="C1395" s="7"/>
      <c r="D1395" s="7"/>
      <c r="E1395" s="7"/>
      <c r="F1395" s="7"/>
      <c r="G1395" s="7"/>
      <c r="H1395" s="7"/>
      <c r="I1395" s="7"/>
      <c r="J1395" s="20"/>
      <c r="K1395" s="20"/>
      <c r="L1395" s="20"/>
      <c r="M1395" s="20"/>
      <c r="N1395" s="9"/>
      <c r="P1395" s="7"/>
      <c r="Q1395" s="11"/>
      <c r="R1395" s="8"/>
      <c r="S1395" s="7"/>
      <c r="T1395" s="7"/>
      <c r="U1395" s="7"/>
      <c r="V1395" s="7"/>
      <c r="W1395" s="7"/>
      <c r="X1395" s="8"/>
      <c r="Y1395" s="7"/>
      <c r="Z1395" s="7"/>
      <c r="AA1395" s="11"/>
      <c r="AB1395" s="11"/>
      <c r="AC1395" s="11"/>
      <c r="AD1395" s="11"/>
      <c r="AH1395" s="8"/>
      <c r="AI1395" s="20"/>
      <c r="AJ1395" s="20"/>
      <c r="AK1395" s="31"/>
      <c r="AL1395" s="31"/>
    </row>
    <row r="1396" spans="1:38" hidden="1" x14ac:dyDescent="0.25">
      <c r="A1396" s="9"/>
      <c r="B1396" s="7"/>
      <c r="C1396" s="7"/>
      <c r="D1396" s="7"/>
      <c r="E1396" s="7"/>
      <c r="F1396" s="7"/>
      <c r="G1396" s="7"/>
      <c r="H1396" s="7"/>
      <c r="I1396" s="7"/>
      <c r="J1396" s="20"/>
      <c r="K1396" s="20"/>
      <c r="L1396" s="20"/>
      <c r="M1396" s="20"/>
      <c r="N1396" s="9"/>
      <c r="P1396" s="7"/>
      <c r="Q1396" s="11"/>
      <c r="R1396" s="8"/>
      <c r="S1396" s="7"/>
      <c r="T1396" s="7"/>
      <c r="U1396" s="7"/>
      <c r="V1396" s="7"/>
      <c r="W1396" s="7"/>
      <c r="X1396" s="8"/>
      <c r="Y1396" s="7"/>
      <c r="Z1396" s="7"/>
      <c r="AA1396" s="11"/>
      <c r="AB1396" s="11"/>
      <c r="AC1396" s="11"/>
      <c r="AD1396" s="11"/>
      <c r="AH1396" s="8"/>
      <c r="AI1396" s="20"/>
      <c r="AJ1396" s="20"/>
      <c r="AK1396" s="31"/>
      <c r="AL1396" s="31"/>
    </row>
    <row r="1397" spans="1:38" hidden="1" x14ac:dyDescent="0.25">
      <c r="A1397" s="9"/>
      <c r="B1397" s="7"/>
      <c r="C1397" s="7"/>
      <c r="D1397" s="7"/>
      <c r="E1397" s="7"/>
      <c r="F1397" s="7"/>
      <c r="G1397" s="7"/>
      <c r="H1397" s="7"/>
      <c r="I1397" s="7"/>
      <c r="J1397" s="20"/>
      <c r="K1397" s="20"/>
      <c r="L1397" s="20"/>
      <c r="M1397" s="20"/>
      <c r="N1397" s="9"/>
      <c r="P1397" s="7"/>
      <c r="Q1397" s="11"/>
      <c r="R1397" s="8"/>
      <c r="S1397" s="7"/>
      <c r="T1397" s="7"/>
      <c r="U1397" s="7"/>
      <c r="V1397" s="7"/>
      <c r="W1397" s="7"/>
      <c r="X1397" s="8"/>
      <c r="Y1397" s="7"/>
      <c r="Z1397" s="7"/>
      <c r="AA1397" s="11"/>
      <c r="AB1397" s="11"/>
      <c r="AC1397" s="11"/>
      <c r="AD1397" s="11"/>
      <c r="AH1397" s="8"/>
      <c r="AI1397" s="20"/>
      <c r="AJ1397" s="20"/>
      <c r="AK1397" s="31"/>
      <c r="AL1397" s="31"/>
    </row>
    <row r="1398" spans="1:38" hidden="1" x14ac:dyDescent="0.25">
      <c r="A1398" s="9"/>
      <c r="B1398" s="7"/>
      <c r="C1398" s="7"/>
      <c r="D1398" s="7"/>
      <c r="E1398" s="7"/>
      <c r="F1398" s="7"/>
      <c r="G1398" s="7"/>
      <c r="H1398" s="7"/>
      <c r="I1398" s="7"/>
      <c r="J1398" s="20"/>
      <c r="K1398" s="20"/>
      <c r="L1398" s="20"/>
      <c r="M1398" s="20"/>
      <c r="N1398" s="9"/>
      <c r="P1398" s="7"/>
      <c r="Q1398" s="11"/>
      <c r="R1398" s="8"/>
      <c r="S1398" s="7"/>
      <c r="T1398" s="7"/>
      <c r="U1398" s="7"/>
      <c r="V1398" s="7"/>
      <c r="W1398" s="7"/>
      <c r="X1398" s="8"/>
      <c r="Y1398" s="7"/>
      <c r="Z1398" s="7"/>
      <c r="AA1398" s="11"/>
      <c r="AB1398" s="11"/>
      <c r="AC1398" s="11"/>
      <c r="AD1398" s="11"/>
      <c r="AH1398" s="8"/>
      <c r="AI1398" s="20"/>
      <c r="AJ1398" s="20"/>
      <c r="AK1398" s="31"/>
      <c r="AL1398" s="31"/>
    </row>
    <row r="1399" spans="1:38" hidden="1" x14ac:dyDescent="0.25">
      <c r="A1399" s="9"/>
      <c r="B1399" s="7"/>
      <c r="C1399" s="7"/>
      <c r="D1399" s="7"/>
      <c r="E1399" s="7"/>
      <c r="F1399" s="7"/>
      <c r="G1399" s="7"/>
      <c r="H1399" s="7"/>
      <c r="I1399" s="7"/>
      <c r="J1399" s="20"/>
      <c r="K1399" s="20"/>
      <c r="L1399" s="20"/>
      <c r="M1399" s="20"/>
      <c r="N1399" s="9"/>
      <c r="P1399" s="7"/>
      <c r="Q1399" s="11"/>
      <c r="R1399" s="8"/>
      <c r="S1399" s="7"/>
      <c r="T1399" s="7"/>
      <c r="U1399" s="7"/>
      <c r="V1399" s="7"/>
      <c r="W1399" s="7"/>
      <c r="X1399" s="8"/>
      <c r="Y1399" s="7"/>
      <c r="Z1399" s="7"/>
      <c r="AA1399" s="11"/>
      <c r="AB1399" s="11"/>
      <c r="AC1399" s="11"/>
      <c r="AD1399" s="11"/>
      <c r="AH1399" s="8"/>
      <c r="AI1399" s="20"/>
      <c r="AJ1399" s="20"/>
      <c r="AK1399" s="31"/>
      <c r="AL1399" s="31"/>
    </row>
    <row r="1400" spans="1:38" hidden="1" x14ac:dyDescent="0.25">
      <c r="A1400" s="9"/>
      <c r="B1400" s="7"/>
      <c r="C1400" s="7"/>
      <c r="D1400" s="7"/>
      <c r="E1400" s="7"/>
      <c r="F1400" s="7"/>
      <c r="G1400" s="7"/>
      <c r="H1400" s="7"/>
      <c r="I1400" s="7"/>
      <c r="J1400" s="20"/>
      <c r="K1400" s="20"/>
      <c r="L1400" s="20"/>
      <c r="M1400" s="20"/>
      <c r="N1400" s="9"/>
      <c r="P1400" s="7"/>
      <c r="Q1400" s="11"/>
      <c r="R1400" s="8"/>
      <c r="S1400" s="7"/>
      <c r="T1400" s="7"/>
      <c r="U1400" s="7"/>
      <c r="V1400" s="7"/>
      <c r="W1400" s="7"/>
      <c r="X1400" s="8"/>
      <c r="Y1400" s="7"/>
      <c r="Z1400" s="7"/>
      <c r="AA1400" s="11"/>
      <c r="AB1400" s="11"/>
      <c r="AC1400" s="11"/>
      <c r="AD1400" s="11"/>
      <c r="AH1400" s="8"/>
      <c r="AI1400" s="20"/>
      <c r="AJ1400" s="20"/>
      <c r="AK1400" s="31"/>
      <c r="AL1400" s="31"/>
    </row>
    <row r="1401" spans="1:38" hidden="1" x14ac:dyDescent="0.25">
      <c r="A1401" s="9"/>
      <c r="B1401" s="7"/>
      <c r="C1401" s="7"/>
      <c r="D1401" s="7"/>
      <c r="E1401" s="7"/>
      <c r="F1401" s="7"/>
      <c r="G1401" s="7"/>
      <c r="H1401" s="7"/>
      <c r="I1401" s="7"/>
      <c r="J1401" s="20"/>
      <c r="K1401" s="20"/>
      <c r="L1401" s="20"/>
      <c r="M1401" s="20"/>
      <c r="N1401" s="9"/>
      <c r="P1401" s="7"/>
      <c r="Q1401" s="11"/>
      <c r="R1401" s="8"/>
      <c r="S1401" s="7"/>
      <c r="T1401" s="7"/>
      <c r="U1401" s="7"/>
      <c r="V1401" s="7"/>
      <c r="W1401" s="7"/>
      <c r="X1401" s="8"/>
      <c r="Y1401" s="7"/>
      <c r="Z1401" s="7"/>
      <c r="AA1401" s="11"/>
      <c r="AB1401" s="11"/>
      <c r="AC1401" s="11"/>
      <c r="AD1401" s="11"/>
      <c r="AH1401" s="8"/>
      <c r="AI1401" s="20"/>
      <c r="AJ1401" s="20"/>
      <c r="AK1401" s="31"/>
      <c r="AL1401" s="31"/>
    </row>
    <row r="1402" spans="1:38" hidden="1" x14ac:dyDescent="0.25">
      <c r="A1402" s="9"/>
      <c r="B1402" s="7"/>
      <c r="C1402" s="7"/>
      <c r="D1402" s="7"/>
      <c r="E1402" s="7"/>
      <c r="F1402" s="7"/>
      <c r="G1402" s="7"/>
      <c r="H1402" s="7"/>
      <c r="I1402" s="7"/>
      <c r="J1402" s="20"/>
      <c r="K1402" s="20"/>
      <c r="L1402" s="20"/>
      <c r="M1402" s="20"/>
      <c r="N1402" s="9"/>
      <c r="P1402" s="7"/>
      <c r="Q1402" s="11"/>
      <c r="R1402" s="8"/>
      <c r="S1402" s="7"/>
      <c r="T1402" s="7"/>
      <c r="U1402" s="7"/>
      <c r="V1402" s="7"/>
      <c r="W1402" s="7"/>
      <c r="X1402" s="8"/>
      <c r="Y1402" s="7"/>
      <c r="Z1402" s="7"/>
      <c r="AA1402" s="11"/>
      <c r="AB1402" s="11"/>
      <c r="AC1402" s="11"/>
      <c r="AD1402" s="11"/>
      <c r="AH1402" s="8"/>
      <c r="AI1402" s="20"/>
      <c r="AJ1402" s="20"/>
      <c r="AK1402" s="31"/>
      <c r="AL1402" s="31"/>
    </row>
    <row r="1403" spans="1:38" hidden="1" x14ac:dyDescent="0.25">
      <c r="A1403" s="9"/>
      <c r="B1403" s="7"/>
      <c r="C1403" s="7"/>
      <c r="D1403" s="7"/>
      <c r="E1403" s="7"/>
      <c r="F1403" s="7"/>
      <c r="G1403" s="7"/>
      <c r="H1403" s="7"/>
      <c r="I1403" s="7"/>
      <c r="J1403" s="20"/>
      <c r="K1403" s="20"/>
      <c r="L1403" s="20"/>
      <c r="M1403" s="20"/>
      <c r="N1403" s="9"/>
      <c r="P1403" s="7"/>
      <c r="Q1403" s="11"/>
      <c r="R1403" s="8"/>
      <c r="S1403" s="7"/>
      <c r="T1403" s="7"/>
      <c r="U1403" s="7"/>
      <c r="V1403" s="7"/>
      <c r="W1403" s="7"/>
      <c r="X1403" s="8"/>
      <c r="Y1403" s="7"/>
      <c r="Z1403" s="7"/>
      <c r="AA1403" s="11"/>
      <c r="AB1403" s="11"/>
      <c r="AC1403" s="11"/>
      <c r="AD1403" s="11"/>
      <c r="AH1403" s="8"/>
      <c r="AI1403" s="20"/>
      <c r="AJ1403" s="20"/>
      <c r="AK1403" s="31"/>
      <c r="AL1403" s="31"/>
    </row>
    <row r="1404" spans="1:38" hidden="1" x14ac:dyDescent="0.25">
      <c r="A1404" s="9"/>
      <c r="B1404" s="7"/>
      <c r="C1404" s="7"/>
      <c r="D1404" s="7"/>
      <c r="E1404" s="7"/>
      <c r="F1404" s="7"/>
      <c r="G1404" s="7"/>
      <c r="H1404" s="7"/>
      <c r="I1404" s="7"/>
      <c r="J1404" s="20"/>
      <c r="K1404" s="20"/>
      <c r="L1404" s="20"/>
      <c r="M1404" s="20"/>
      <c r="N1404" s="9"/>
      <c r="P1404" s="7"/>
      <c r="Q1404" s="11"/>
      <c r="R1404" s="8"/>
      <c r="S1404" s="7"/>
      <c r="T1404" s="7"/>
      <c r="U1404" s="7"/>
      <c r="V1404" s="7"/>
      <c r="W1404" s="7"/>
      <c r="X1404" s="8"/>
      <c r="Y1404" s="7"/>
      <c r="Z1404" s="7"/>
      <c r="AA1404" s="11"/>
      <c r="AB1404" s="11"/>
      <c r="AC1404" s="11"/>
      <c r="AD1404" s="11"/>
      <c r="AH1404" s="8"/>
      <c r="AI1404" s="20"/>
      <c r="AJ1404" s="20"/>
      <c r="AK1404" s="31"/>
      <c r="AL1404" s="31"/>
    </row>
    <row r="1405" spans="1:38" hidden="1" x14ac:dyDescent="0.25">
      <c r="A1405" s="9"/>
      <c r="B1405" s="7"/>
      <c r="C1405" s="7"/>
      <c r="D1405" s="7"/>
      <c r="E1405" s="7"/>
      <c r="F1405" s="7"/>
      <c r="G1405" s="7"/>
      <c r="H1405" s="7"/>
      <c r="I1405" s="7"/>
      <c r="J1405" s="20"/>
      <c r="K1405" s="20"/>
      <c r="L1405" s="20"/>
      <c r="M1405" s="20"/>
      <c r="N1405" s="9"/>
      <c r="P1405" s="7"/>
      <c r="Q1405" s="11"/>
      <c r="R1405" s="8"/>
      <c r="S1405" s="7"/>
      <c r="T1405" s="7"/>
      <c r="U1405" s="7"/>
      <c r="V1405" s="7"/>
      <c r="W1405" s="7"/>
      <c r="X1405" s="8"/>
      <c r="Y1405" s="7"/>
      <c r="Z1405" s="7"/>
      <c r="AA1405" s="11"/>
      <c r="AB1405" s="11"/>
      <c r="AC1405" s="11"/>
      <c r="AD1405" s="11"/>
      <c r="AH1405" s="8"/>
      <c r="AI1405" s="20"/>
      <c r="AJ1405" s="20"/>
      <c r="AK1405" s="31"/>
      <c r="AL1405" s="31"/>
    </row>
    <row r="1406" spans="1:38" hidden="1" x14ac:dyDescent="0.25">
      <c r="A1406" s="9"/>
      <c r="B1406" s="7"/>
      <c r="C1406" s="7"/>
      <c r="D1406" s="7"/>
      <c r="E1406" s="7"/>
      <c r="F1406" s="7"/>
      <c r="G1406" s="7"/>
      <c r="H1406" s="7"/>
      <c r="I1406" s="7"/>
      <c r="J1406" s="20"/>
      <c r="K1406" s="20"/>
      <c r="L1406" s="20"/>
      <c r="M1406" s="20"/>
      <c r="N1406" s="9"/>
      <c r="P1406" s="7"/>
      <c r="Q1406" s="11"/>
      <c r="R1406" s="8"/>
      <c r="S1406" s="7"/>
      <c r="T1406" s="7"/>
      <c r="U1406" s="7"/>
      <c r="V1406" s="7"/>
      <c r="W1406" s="7"/>
      <c r="X1406" s="8"/>
      <c r="Y1406" s="7"/>
      <c r="Z1406" s="7"/>
      <c r="AA1406" s="11"/>
      <c r="AB1406" s="11"/>
      <c r="AC1406" s="11"/>
      <c r="AD1406" s="11"/>
      <c r="AH1406" s="8"/>
      <c r="AI1406" s="20"/>
      <c r="AJ1406" s="20"/>
      <c r="AK1406" s="31"/>
      <c r="AL1406" s="31"/>
    </row>
    <row r="1407" spans="1:38" hidden="1" x14ac:dyDescent="0.25">
      <c r="A1407" s="9"/>
      <c r="B1407" s="7"/>
      <c r="C1407" s="7"/>
      <c r="D1407" s="7"/>
      <c r="E1407" s="7"/>
      <c r="F1407" s="7"/>
      <c r="G1407" s="7"/>
      <c r="H1407" s="7"/>
      <c r="I1407" s="7"/>
      <c r="J1407" s="20"/>
      <c r="K1407" s="20"/>
      <c r="L1407" s="20"/>
      <c r="M1407" s="20"/>
      <c r="N1407" s="9"/>
      <c r="P1407" s="7"/>
      <c r="Q1407" s="11"/>
      <c r="R1407" s="8"/>
      <c r="S1407" s="7"/>
      <c r="T1407" s="7"/>
      <c r="U1407" s="7"/>
      <c r="V1407" s="7"/>
      <c r="W1407" s="7"/>
      <c r="X1407" s="8"/>
      <c r="Y1407" s="7"/>
      <c r="Z1407" s="7"/>
      <c r="AA1407" s="11"/>
      <c r="AB1407" s="11"/>
      <c r="AC1407" s="11"/>
      <c r="AD1407" s="11"/>
      <c r="AH1407" s="8"/>
      <c r="AI1407" s="20"/>
      <c r="AJ1407" s="20"/>
      <c r="AK1407" s="31"/>
      <c r="AL1407" s="31"/>
    </row>
    <row r="1408" spans="1:38" hidden="1" x14ac:dyDescent="0.25">
      <c r="A1408" s="9"/>
      <c r="B1408" s="7"/>
      <c r="C1408" s="7"/>
      <c r="D1408" s="7"/>
      <c r="E1408" s="7"/>
      <c r="F1408" s="7"/>
      <c r="G1408" s="7"/>
      <c r="H1408" s="7"/>
      <c r="I1408" s="7"/>
      <c r="J1408" s="20"/>
      <c r="K1408" s="20"/>
      <c r="L1408" s="20"/>
      <c r="M1408" s="20"/>
      <c r="N1408" s="9"/>
      <c r="P1408" s="7"/>
      <c r="Q1408" s="11"/>
      <c r="R1408" s="8"/>
      <c r="S1408" s="7"/>
      <c r="T1408" s="7"/>
      <c r="U1408" s="7"/>
      <c r="V1408" s="7"/>
      <c r="W1408" s="7"/>
      <c r="X1408" s="8"/>
      <c r="Y1408" s="7"/>
      <c r="Z1408" s="7"/>
      <c r="AA1408" s="11"/>
      <c r="AB1408" s="11"/>
      <c r="AC1408" s="11"/>
      <c r="AD1408" s="11"/>
      <c r="AH1408" s="8"/>
      <c r="AI1408" s="20"/>
      <c r="AJ1408" s="20"/>
      <c r="AK1408" s="31"/>
      <c r="AL1408" s="31"/>
    </row>
    <row r="1409" spans="1:38" hidden="1" x14ac:dyDescent="0.25">
      <c r="A1409" s="9"/>
      <c r="B1409" s="7"/>
      <c r="C1409" s="7"/>
      <c r="D1409" s="7"/>
      <c r="E1409" s="7"/>
      <c r="F1409" s="7"/>
      <c r="G1409" s="7"/>
      <c r="H1409" s="7"/>
      <c r="I1409" s="7"/>
      <c r="J1409" s="20"/>
      <c r="K1409" s="20"/>
      <c r="L1409" s="20"/>
      <c r="M1409" s="20"/>
      <c r="N1409" s="9"/>
      <c r="P1409" s="7"/>
      <c r="Q1409" s="11"/>
      <c r="R1409" s="8"/>
      <c r="S1409" s="7"/>
      <c r="T1409" s="7"/>
      <c r="U1409" s="7"/>
      <c r="V1409" s="7"/>
      <c r="W1409" s="7"/>
      <c r="X1409" s="8"/>
      <c r="Y1409" s="7"/>
      <c r="Z1409" s="7"/>
      <c r="AA1409" s="11"/>
      <c r="AB1409" s="11"/>
      <c r="AC1409" s="11"/>
      <c r="AD1409" s="11"/>
      <c r="AH1409" s="8"/>
      <c r="AI1409" s="20"/>
      <c r="AJ1409" s="20"/>
      <c r="AK1409" s="31"/>
      <c r="AL1409" s="31"/>
    </row>
    <row r="1410" spans="1:38" hidden="1" x14ac:dyDescent="0.25">
      <c r="A1410" s="9"/>
      <c r="B1410" s="7"/>
      <c r="C1410" s="7"/>
      <c r="D1410" s="7"/>
      <c r="E1410" s="7"/>
      <c r="F1410" s="7"/>
      <c r="G1410" s="7"/>
      <c r="H1410" s="7"/>
      <c r="I1410" s="7"/>
      <c r="J1410" s="20"/>
      <c r="K1410" s="20"/>
      <c r="L1410" s="20"/>
      <c r="M1410" s="20"/>
      <c r="N1410" s="9"/>
      <c r="P1410" s="7"/>
      <c r="Q1410" s="11"/>
      <c r="R1410" s="8"/>
      <c r="S1410" s="7"/>
      <c r="T1410" s="7"/>
      <c r="U1410" s="7"/>
      <c r="V1410" s="7"/>
      <c r="W1410" s="7"/>
      <c r="X1410" s="8"/>
      <c r="Y1410" s="7"/>
      <c r="Z1410" s="7"/>
      <c r="AA1410" s="11"/>
      <c r="AB1410" s="11"/>
      <c r="AC1410" s="11"/>
      <c r="AD1410" s="11"/>
      <c r="AH1410" s="8"/>
      <c r="AI1410" s="20"/>
      <c r="AJ1410" s="20"/>
      <c r="AK1410" s="31"/>
      <c r="AL1410" s="31"/>
    </row>
    <row r="1411" spans="1:38" hidden="1" x14ac:dyDescent="0.25">
      <c r="A1411" s="9"/>
      <c r="B1411" s="7"/>
      <c r="C1411" s="7"/>
      <c r="D1411" s="7"/>
      <c r="E1411" s="7"/>
      <c r="F1411" s="7"/>
      <c r="G1411" s="7"/>
      <c r="H1411" s="7"/>
      <c r="I1411" s="7"/>
      <c r="J1411" s="20"/>
      <c r="K1411" s="20"/>
      <c r="L1411" s="20"/>
      <c r="M1411" s="20"/>
      <c r="N1411" s="9"/>
      <c r="P1411" s="7"/>
      <c r="Q1411" s="11"/>
      <c r="R1411" s="8"/>
      <c r="S1411" s="7"/>
      <c r="T1411" s="7"/>
      <c r="U1411" s="7"/>
      <c r="V1411" s="7"/>
      <c r="W1411" s="7"/>
      <c r="X1411" s="8"/>
      <c r="Y1411" s="7"/>
      <c r="Z1411" s="7"/>
      <c r="AA1411" s="11"/>
      <c r="AB1411" s="11"/>
      <c r="AC1411" s="11"/>
      <c r="AD1411" s="11"/>
      <c r="AH1411" s="8"/>
      <c r="AI1411" s="20"/>
      <c r="AJ1411" s="20"/>
      <c r="AK1411" s="31"/>
      <c r="AL1411" s="31"/>
    </row>
    <row r="1412" spans="1:38" hidden="1" x14ac:dyDescent="0.25">
      <c r="A1412" s="9"/>
      <c r="B1412" s="7"/>
      <c r="C1412" s="7"/>
      <c r="D1412" s="7"/>
      <c r="E1412" s="7"/>
      <c r="F1412" s="7"/>
      <c r="G1412" s="7"/>
      <c r="H1412" s="7"/>
      <c r="I1412" s="7"/>
      <c r="J1412" s="20"/>
      <c r="K1412" s="20"/>
      <c r="L1412" s="20"/>
      <c r="M1412" s="20"/>
      <c r="N1412" s="9"/>
      <c r="P1412" s="7"/>
      <c r="Q1412" s="11"/>
      <c r="R1412" s="8"/>
      <c r="S1412" s="7"/>
      <c r="T1412" s="7"/>
      <c r="U1412" s="7"/>
      <c r="V1412" s="7"/>
      <c r="W1412" s="7"/>
      <c r="X1412" s="8"/>
      <c r="Y1412" s="7"/>
      <c r="Z1412" s="7"/>
      <c r="AA1412" s="11"/>
      <c r="AB1412" s="11"/>
      <c r="AC1412" s="11"/>
      <c r="AD1412" s="11"/>
      <c r="AH1412" s="8"/>
      <c r="AI1412" s="20"/>
      <c r="AJ1412" s="20"/>
      <c r="AK1412" s="31"/>
      <c r="AL1412" s="31"/>
    </row>
    <row r="1413" spans="1:38" hidden="1" x14ac:dyDescent="0.25">
      <c r="A1413" s="9"/>
      <c r="B1413" s="7"/>
      <c r="C1413" s="7"/>
      <c r="D1413" s="7"/>
      <c r="E1413" s="7"/>
      <c r="F1413" s="7"/>
      <c r="G1413" s="7"/>
      <c r="H1413" s="7"/>
      <c r="I1413" s="7"/>
      <c r="J1413" s="20"/>
      <c r="K1413" s="20"/>
      <c r="L1413" s="20"/>
      <c r="M1413" s="20"/>
      <c r="N1413" s="9"/>
      <c r="P1413" s="7"/>
      <c r="Q1413" s="11"/>
      <c r="R1413" s="8"/>
      <c r="S1413" s="7"/>
      <c r="T1413" s="7"/>
      <c r="U1413" s="7"/>
      <c r="V1413" s="7"/>
      <c r="W1413" s="7"/>
      <c r="X1413" s="8"/>
      <c r="Y1413" s="7"/>
      <c r="Z1413" s="7"/>
      <c r="AA1413" s="11"/>
      <c r="AB1413" s="11"/>
      <c r="AC1413" s="11"/>
      <c r="AD1413" s="11"/>
      <c r="AH1413" s="8"/>
      <c r="AI1413" s="20"/>
      <c r="AJ1413" s="20"/>
      <c r="AK1413" s="31"/>
      <c r="AL1413" s="31"/>
    </row>
    <row r="1414" spans="1:38" hidden="1" x14ac:dyDescent="0.25">
      <c r="A1414" s="9"/>
      <c r="B1414" s="7"/>
      <c r="C1414" s="7"/>
      <c r="D1414" s="7"/>
      <c r="E1414" s="7"/>
      <c r="F1414" s="7"/>
      <c r="G1414" s="7"/>
      <c r="H1414" s="7"/>
      <c r="I1414" s="7"/>
      <c r="J1414" s="20"/>
      <c r="K1414" s="20"/>
      <c r="L1414" s="20"/>
      <c r="M1414" s="20"/>
      <c r="N1414" s="9"/>
      <c r="P1414" s="7"/>
      <c r="Q1414" s="11"/>
      <c r="R1414" s="8"/>
      <c r="S1414" s="7"/>
      <c r="T1414" s="7"/>
      <c r="U1414" s="7"/>
      <c r="V1414" s="7"/>
      <c r="W1414" s="7"/>
      <c r="X1414" s="8"/>
      <c r="Y1414" s="7"/>
      <c r="Z1414" s="7"/>
      <c r="AA1414" s="11"/>
      <c r="AB1414" s="11"/>
      <c r="AC1414" s="11"/>
      <c r="AD1414" s="11"/>
      <c r="AH1414" s="8"/>
      <c r="AI1414" s="20"/>
      <c r="AJ1414" s="20"/>
      <c r="AK1414" s="31"/>
      <c r="AL1414" s="31"/>
    </row>
    <row r="1415" spans="1:38" hidden="1" x14ac:dyDescent="0.25">
      <c r="A1415" s="9"/>
      <c r="B1415" s="7"/>
      <c r="C1415" s="7"/>
      <c r="D1415" s="7"/>
      <c r="E1415" s="7"/>
      <c r="F1415" s="7"/>
      <c r="G1415" s="7"/>
      <c r="H1415" s="7"/>
      <c r="I1415" s="7"/>
      <c r="J1415" s="20"/>
      <c r="K1415" s="20"/>
      <c r="L1415" s="20"/>
      <c r="M1415" s="20"/>
      <c r="N1415" s="9"/>
      <c r="P1415" s="7"/>
      <c r="Q1415" s="11"/>
      <c r="R1415" s="8"/>
      <c r="S1415" s="7"/>
      <c r="T1415" s="7"/>
      <c r="U1415" s="7"/>
      <c r="V1415" s="7"/>
      <c r="W1415" s="7"/>
      <c r="X1415" s="8"/>
      <c r="Y1415" s="7"/>
      <c r="Z1415" s="7"/>
      <c r="AA1415" s="11"/>
      <c r="AB1415" s="11"/>
      <c r="AC1415" s="11"/>
      <c r="AD1415" s="11"/>
      <c r="AH1415" s="8"/>
      <c r="AI1415" s="20"/>
      <c r="AJ1415" s="20"/>
      <c r="AK1415" s="31"/>
      <c r="AL1415" s="31"/>
    </row>
    <row r="1416" spans="1:38" hidden="1" x14ac:dyDescent="0.25">
      <c r="A1416" s="9"/>
      <c r="B1416" s="7"/>
      <c r="C1416" s="7"/>
      <c r="D1416" s="7"/>
      <c r="E1416" s="7"/>
      <c r="F1416" s="7"/>
      <c r="G1416" s="7"/>
      <c r="H1416" s="7"/>
      <c r="I1416" s="7"/>
      <c r="J1416" s="20"/>
      <c r="K1416" s="20"/>
      <c r="L1416" s="20"/>
      <c r="M1416" s="20"/>
      <c r="N1416" s="9"/>
      <c r="P1416" s="7"/>
      <c r="Q1416" s="11"/>
      <c r="R1416" s="8"/>
      <c r="S1416" s="7"/>
      <c r="T1416" s="7"/>
      <c r="U1416" s="7"/>
      <c r="V1416" s="7"/>
      <c r="W1416" s="7"/>
      <c r="X1416" s="8"/>
      <c r="Y1416" s="7"/>
      <c r="Z1416" s="7"/>
      <c r="AA1416" s="11"/>
      <c r="AB1416" s="11"/>
      <c r="AC1416" s="11"/>
      <c r="AD1416" s="11"/>
      <c r="AH1416" s="8"/>
      <c r="AI1416" s="20"/>
      <c r="AJ1416" s="20"/>
      <c r="AK1416" s="31"/>
      <c r="AL1416" s="31"/>
    </row>
    <row r="1417" spans="1:38" hidden="1" x14ac:dyDescent="0.25">
      <c r="A1417" s="9"/>
      <c r="B1417" s="7"/>
      <c r="C1417" s="7"/>
      <c r="D1417" s="7"/>
      <c r="E1417" s="7"/>
      <c r="F1417" s="7"/>
      <c r="G1417" s="7"/>
      <c r="H1417" s="7"/>
      <c r="I1417" s="7"/>
      <c r="J1417" s="20"/>
      <c r="K1417" s="20"/>
      <c r="L1417" s="20"/>
      <c r="M1417" s="20"/>
      <c r="N1417" s="9"/>
      <c r="P1417" s="7"/>
      <c r="Q1417" s="11"/>
      <c r="R1417" s="8"/>
      <c r="S1417" s="7"/>
      <c r="T1417" s="7"/>
      <c r="U1417" s="7"/>
      <c r="V1417" s="7"/>
      <c r="W1417" s="7"/>
      <c r="X1417" s="8"/>
      <c r="Y1417" s="7"/>
      <c r="Z1417" s="7"/>
      <c r="AA1417" s="11"/>
      <c r="AB1417" s="11"/>
      <c r="AC1417" s="11"/>
      <c r="AD1417" s="11"/>
      <c r="AH1417" s="8"/>
      <c r="AI1417" s="20"/>
      <c r="AJ1417" s="20"/>
      <c r="AK1417" s="31"/>
      <c r="AL1417" s="31"/>
    </row>
    <row r="1418" spans="1:38" hidden="1" x14ac:dyDescent="0.25">
      <c r="A1418" s="9"/>
      <c r="B1418" s="7"/>
      <c r="C1418" s="7"/>
      <c r="D1418" s="7"/>
      <c r="E1418" s="7"/>
      <c r="F1418" s="7"/>
      <c r="G1418" s="7"/>
      <c r="H1418" s="7"/>
      <c r="I1418" s="7"/>
      <c r="J1418" s="20"/>
      <c r="K1418" s="20"/>
      <c r="L1418" s="20"/>
      <c r="M1418" s="20"/>
      <c r="N1418" s="9"/>
      <c r="P1418" s="7"/>
      <c r="Q1418" s="11"/>
      <c r="R1418" s="8"/>
      <c r="S1418" s="7"/>
      <c r="T1418" s="7"/>
      <c r="U1418" s="7"/>
      <c r="V1418" s="7"/>
      <c r="W1418" s="7"/>
      <c r="X1418" s="8"/>
      <c r="Y1418" s="7"/>
      <c r="Z1418" s="7"/>
      <c r="AA1418" s="11"/>
      <c r="AB1418" s="11"/>
      <c r="AC1418" s="11"/>
      <c r="AD1418" s="11"/>
      <c r="AH1418" s="8"/>
      <c r="AI1418" s="20"/>
      <c r="AJ1418" s="20"/>
      <c r="AK1418" s="31"/>
      <c r="AL1418" s="31"/>
    </row>
    <row r="1419" spans="1:38" hidden="1" x14ac:dyDescent="0.25">
      <c r="A1419" s="9"/>
      <c r="B1419" s="7"/>
      <c r="C1419" s="7"/>
      <c r="D1419" s="7"/>
      <c r="E1419" s="7"/>
      <c r="F1419" s="7"/>
      <c r="G1419" s="7"/>
      <c r="H1419" s="7"/>
      <c r="I1419" s="7"/>
      <c r="J1419" s="20"/>
      <c r="K1419" s="20"/>
      <c r="L1419" s="20"/>
      <c r="M1419" s="20"/>
      <c r="N1419" s="9"/>
      <c r="P1419" s="7"/>
      <c r="Q1419" s="11"/>
      <c r="R1419" s="8"/>
      <c r="S1419" s="7"/>
      <c r="T1419" s="7"/>
      <c r="U1419" s="7"/>
      <c r="V1419" s="7"/>
      <c r="W1419" s="7"/>
      <c r="X1419" s="8"/>
      <c r="Y1419" s="7"/>
      <c r="Z1419" s="7"/>
      <c r="AA1419" s="11"/>
      <c r="AB1419" s="11"/>
      <c r="AC1419" s="11"/>
      <c r="AD1419" s="11"/>
      <c r="AH1419" s="8"/>
      <c r="AI1419" s="20"/>
      <c r="AJ1419" s="20"/>
      <c r="AK1419" s="31"/>
      <c r="AL1419" s="31"/>
    </row>
    <row r="1420" spans="1:38" hidden="1" x14ac:dyDescent="0.25">
      <c r="A1420" s="9"/>
      <c r="B1420" s="7"/>
      <c r="C1420" s="7"/>
      <c r="D1420" s="7"/>
      <c r="E1420" s="7"/>
      <c r="F1420" s="7"/>
      <c r="G1420" s="7"/>
      <c r="H1420" s="7"/>
      <c r="I1420" s="7"/>
      <c r="J1420" s="20"/>
      <c r="K1420" s="20"/>
      <c r="L1420" s="20"/>
      <c r="M1420" s="20"/>
      <c r="N1420" s="9"/>
      <c r="P1420" s="7"/>
      <c r="Q1420" s="11"/>
      <c r="R1420" s="8"/>
      <c r="S1420" s="7"/>
      <c r="T1420" s="7"/>
      <c r="U1420" s="7"/>
      <c r="V1420" s="7"/>
      <c r="W1420" s="7"/>
      <c r="X1420" s="8"/>
      <c r="Y1420" s="7"/>
      <c r="Z1420" s="7"/>
      <c r="AA1420" s="11"/>
      <c r="AB1420" s="11"/>
      <c r="AC1420" s="11"/>
      <c r="AD1420" s="11"/>
      <c r="AH1420" s="8"/>
      <c r="AI1420" s="20"/>
      <c r="AJ1420" s="20"/>
      <c r="AK1420" s="31"/>
      <c r="AL1420" s="31"/>
    </row>
    <row r="1421" spans="1:38" hidden="1" x14ac:dyDescent="0.25">
      <c r="A1421" s="9"/>
      <c r="B1421" s="7"/>
      <c r="C1421" s="7"/>
      <c r="D1421" s="7"/>
      <c r="E1421" s="7"/>
      <c r="F1421" s="7"/>
      <c r="G1421" s="7"/>
      <c r="H1421" s="7"/>
      <c r="I1421" s="7"/>
      <c r="J1421" s="20"/>
      <c r="K1421" s="20"/>
      <c r="L1421" s="20"/>
      <c r="M1421" s="20"/>
      <c r="N1421" s="9"/>
      <c r="P1421" s="7"/>
      <c r="Q1421" s="11"/>
      <c r="R1421" s="8"/>
      <c r="S1421" s="7"/>
      <c r="T1421" s="7"/>
      <c r="U1421" s="7"/>
      <c r="V1421" s="7"/>
      <c r="W1421" s="7"/>
      <c r="X1421" s="8"/>
      <c r="Y1421" s="7"/>
      <c r="Z1421" s="7"/>
      <c r="AA1421" s="11"/>
      <c r="AB1421" s="11"/>
      <c r="AC1421" s="11"/>
      <c r="AD1421" s="11"/>
      <c r="AH1421" s="8"/>
      <c r="AI1421" s="20"/>
      <c r="AJ1421" s="20"/>
      <c r="AK1421" s="31"/>
      <c r="AL1421" s="31"/>
    </row>
    <row r="1422" spans="1:38" hidden="1" x14ac:dyDescent="0.25">
      <c r="A1422" s="9"/>
      <c r="B1422" s="7"/>
      <c r="C1422" s="7"/>
      <c r="D1422" s="7"/>
      <c r="E1422" s="7"/>
      <c r="F1422" s="7"/>
      <c r="G1422" s="7"/>
      <c r="H1422" s="7"/>
      <c r="I1422" s="7"/>
      <c r="J1422" s="20"/>
      <c r="K1422" s="20"/>
      <c r="L1422" s="20"/>
      <c r="M1422" s="20"/>
      <c r="N1422" s="9"/>
      <c r="P1422" s="7"/>
      <c r="Q1422" s="11"/>
      <c r="R1422" s="8"/>
      <c r="S1422" s="7"/>
      <c r="T1422" s="7"/>
      <c r="U1422" s="7"/>
      <c r="V1422" s="7"/>
      <c r="W1422" s="7"/>
      <c r="X1422" s="8"/>
      <c r="Y1422" s="7"/>
      <c r="Z1422" s="7"/>
      <c r="AA1422" s="11"/>
      <c r="AB1422" s="11"/>
      <c r="AC1422" s="11"/>
      <c r="AD1422" s="11"/>
      <c r="AH1422" s="8"/>
      <c r="AI1422" s="20"/>
      <c r="AJ1422" s="20"/>
      <c r="AK1422" s="31"/>
      <c r="AL1422" s="31"/>
    </row>
    <row r="1423" spans="1:38" hidden="1" x14ac:dyDescent="0.25">
      <c r="A1423" s="9"/>
      <c r="B1423" s="7"/>
      <c r="C1423" s="7"/>
      <c r="D1423" s="7"/>
      <c r="E1423" s="7"/>
      <c r="F1423" s="7"/>
      <c r="G1423" s="7"/>
      <c r="H1423" s="7"/>
      <c r="I1423" s="7"/>
      <c r="J1423" s="20"/>
      <c r="K1423" s="20"/>
      <c r="L1423" s="20"/>
      <c r="M1423" s="20"/>
      <c r="N1423" s="9"/>
      <c r="P1423" s="7"/>
      <c r="Q1423" s="11"/>
      <c r="R1423" s="8"/>
      <c r="S1423" s="7"/>
      <c r="T1423" s="7"/>
      <c r="U1423" s="7"/>
      <c r="V1423" s="7"/>
      <c r="W1423" s="7"/>
      <c r="X1423" s="8"/>
      <c r="Y1423" s="7"/>
      <c r="Z1423" s="7"/>
      <c r="AA1423" s="11"/>
      <c r="AB1423" s="11"/>
      <c r="AC1423" s="11"/>
      <c r="AD1423" s="11"/>
      <c r="AH1423" s="8"/>
      <c r="AI1423" s="20"/>
      <c r="AJ1423" s="20"/>
      <c r="AK1423" s="31"/>
      <c r="AL1423" s="31"/>
    </row>
    <row r="1424" spans="1:38" hidden="1" x14ac:dyDescent="0.25">
      <c r="A1424" s="9"/>
      <c r="B1424" s="7"/>
      <c r="C1424" s="7"/>
      <c r="D1424" s="7"/>
      <c r="E1424" s="7"/>
      <c r="F1424" s="7"/>
      <c r="G1424" s="7"/>
      <c r="H1424" s="7"/>
      <c r="I1424" s="7"/>
      <c r="J1424" s="20"/>
      <c r="K1424" s="20"/>
      <c r="L1424" s="20"/>
      <c r="M1424" s="20"/>
      <c r="N1424" s="9"/>
      <c r="P1424" s="7"/>
      <c r="Q1424" s="11"/>
      <c r="R1424" s="8"/>
      <c r="S1424" s="7"/>
      <c r="T1424" s="7"/>
      <c r="U1424" s="7"/>
      <c r="V1424" s="7"/>
      <c r="W1424" s="7"/>
      <c r="X1424" s="8"/>
      <c r="Y1424" s="7"/>
      <c r="Z1424" s="7"/>
      <c r="AA1424" s="11"/>
      <c r="AB1424" s="11"/>
      <c r="AC1424" s="11"/>
      <c r="AD1424" s="11"/>
      <c r="AH1424" s="8"/>
      <c r="AI1424" s="20"/>
      <c r="AJ1424" s="20"/>
      <c r="AK1424" s="31"/>
      <c r="AL1424" s="31"/>
    </row>
    <row r="1425" spans="1:38" hidden="1" x14ac:dyDescent="0.25">
      <c r="A1425" s="9"/>
      <c r="B1425" s="7"/>
      <c r="C1425" s="7"/>
      <c r="D1425" s="7"/>
      <c r="E1425" s="7"/>
      <c r="F1425" s="7"/>
      <c r="G1425" s="7"/>
      <c r="H1425" s="7"/>
      <c r="I1425" s="7"/>
      <c r="J1425" s="20"/>
      <c r="K1425" s="20"/>
      <c r="L1425" s="20"/>
      <c r="M1425" s="20"/>
      <c r="N1425" s="9"/>
      <c r="P1425" s="7"/>
      <c r="Q1425" s="11"/>
      <c r="R1425" s="8"/>
      <c r="S1425" s="7"/>
      <c r="T1425" s="7"/>
      <c r="U1425" s="7"/>
      <c r="V1425" s="7"/>
      <c r="W1425" s="7"/>
      <c r="X1425" s="8"/>
      <c r="Y1425" s="7"/>
      <c r="Z1425" s="7"/>
      <c r="AA1425" s="11"/>
      <c r="AB1425" s="11"/>
      <c r="AC1425" s="11"/>
      <c r="AD1425" s="11"/>
      <c r="AH1425" s="8"/>
      <c r="AI1425" s="20"/>
      <c r="AJ1425" s="20"/>
      <c r="AK1425" s="31"/>
      <c r="AL1425" s="31"/>
    </row>
    <row r="1426" spans="1:38" hidden="1" x14ac:dyDescent="0.25">
      <c r="A1426" s="9"/>
      <c r="B1426" s="7"/>
      <c r="C1426" s="7"/>
      <c r="D1426" s="7"/>
      <c r="E1426" s="7"/>
      <c r="F1426" s="7"/>
      <c r="G1426" s="7"/>
      <c r="H1426" s="7"/>
      <c r="I1426" s="7"/>
      <c r="J1426" s="20"/>
      <c r="K1426" s="20"/>
      <c r="L1426" s="20"/>
      <c r="M1426" s="20"/>
      <c r="N1426" s="9"/>
      <c r="P1426" s="7"/>
      <c r="Q1426" s="11"/>
      <c r="R1426" s="8"/>
      <c r="S1426" s="7"/>
      <c r="T1426" s="7"/>
      <c r="U1426" s="7"/>
      <c r="V1426" s="7"/>
      <c r="W1426" s="7"/>
      <c r="X1426" s="8"/>
      <c r="Y1426" s="7"/>
      <c r="Z1426" s="7"/>
      <c r="AA1426" s="11"/>
      <c r="AB1426" s="11"/>
      <c r="AC1426" s="11"/>
      <c r="AD1426" s="11"/>
      <c r="AH1426" s="8"/>
      <c r="AI1426" s="20"/>
      <c r="AJ1426" s="20"/>
      <c r="AK1426" s="31"/>
      <c r="AL1426" s="31"/>
    </row>
    <row r="1427" spans="1:38" hidden="1" x14ac:dyDescent="0.25">
      <c r="A1427" s="9"/>
      <c r="B1427" s="7"/>
      <c r="C1427" s="7"/>
      <c r="D1427" s="7"/>
      <c r="E1427" s="7"/>
      <c r="F1427" s="7"/>
      <c r="G1427" s="7"/>
      <c r="H1427" s="7"/>
      <c r="I1427" s="7"/>
      <c r="J1427" s="20"/>
      <c r="K1427" s="20"/>
      <c r="L1427" s="20"/>
      <c r="M1427" s="20"/>
      <c r="N1427" s="9"/>
      <c r="P1427" s="7"/>
      <c r="Q1427" s="11"/>
      <c r="R1427" s="8"/>
      <c r="S1427" s="7"/>
      <c r="T1427" s="7"/>
      <c r="U1427" s="7"/>
      <c r="V1427" s="7"/>
      <c r="W1427" s="7"/>
      <c r="X1427" s="8"/>
      <c r="Y1427" s="7"/>
      <c r="Z1427" s="7"/>
      <c r="AA1427" s="11"/>
      <c r="AB1427" s="11"/>
      <c r="AC1427" s="11"/>
      <c r="AD1427" s="11"/>
      <c r="AH1427" s="8"/>
      <c r="AI1427" s="20"/>
      <c r="AJ1427" s="20"/>
      <c r="AK1427" s="31"/>
      <c r="AL1427" s="31"/>
    </row>
    <row r="1428" spans="1:38" hidden="1" x14ac:dyDescent="0.25">
      <c r="A1428" s="9"/>
      <c r="B1428" s="7"/>
      <c r="C1428" s="7"/>
      <c r="D1428" s="7"/>
      <c r="E1428" s="7"/>
      <c r="F1428" s="7"/>
      <c r="G1428" s="7"/>
      <c r="H1428" s="7"/>
      <c r="I1428" s="7"/>
      <c r="J1428" s="20"/>
      <c r="K1428" s="20"/>
      <c r="L1428" s="20"/>
      <c r="M1428" s="20"/>
      <c r="N1428" s="9"/>
      <c r="P1428" s="7"/>
      <c r="Q1428" s="11"/>
      <c r="R1428" s="8"/>
      <c r="S1428" s="7"/>
      <c r="T1428" s="7"/>
      <c r="U1428" s="7"/>
      <c r="V1428" s="7"/>
      <c r="W1428" s="7"/>
      <c r="X1428" s="8"/>
      <c r="Y1428" s="7"/>
      <c r="Z1428" s="7"/>
      <c r="AA1428" s="11"/>
      <c r="AB1428" s="11"/>
      <c r="AC1428" s="11"/>
      <c r="AD1428" s="11"/>
      <c r="AH1428" s="8"/>
      <c r="AI1428" s="20"/>
      <c r="AJ1428" s="20"/>
      <c r="AK1428" s="31"/>
      <c r="AL1428" s="31"/>
    </row>
    <row r="1429" spans="1:38" hidden="1" x14ac:dyDescent="0.25">
      <c r="A1429" s="9"/>
      <c r="B1429" s="7"/>
      <c r="C1429" s="7"/>
      <c r="D1429" s="7"/>
      <c r="E1429" s="7"/>
      <c r="F1429" s="7"/>
      <c r="G1429" s="7"/>
      <c r="H1429" s="7"/>
      <c r="I1429" s="7"/>
      <c r="J1429" s="20"/>
      <c r="K1429" s="20"/>
      <c r="L1429" s="20"/>
      <c r="M1429" s="20"/>
      <c r="N1429" s="9"/>
      <c r="P1429" s="7"/>
      <c r="Q1429" s="11"/>
      <c r="R1429" s="8"/>
      <c r="S1429" s="7"/>
      <c r="T1429" s="7"/>
      <c r="U1429" s="7"/>
      <c r="V1429" s="7"/>
      <c r="W1429" s="7"/>
      <c r="X1429" s="8"/>
      <c r="Y1429" s="7"/>
      <c r="Z1429" s="7"/>
      <c r="AA1429" s="11"/>
      <c r="AB1429" s="11"/>
      <c r="AC1429" s="11"/>
      <c r="AD1429" s="11"/>
      <c r="AH1429" s="8"/>
      <c r="AI1429" s="20"/>
      <c r="AJ1429" s="20"/>
      <c r="AK1429" s="31"/>
      <c r="AL1429" s="31"/>
    </row>
    <row r="1430" spans="1:38" hidden="1" x14ac:dyDescent="0.25">
      <c r="A1430" s="9"/>
      <c r="B1430" s="7"/>
      <c r="C1430" s="7"/>
      <c r="D1430" s="7"/>
      <c r="E1430" s="7"/>
      <c r="F1430" s="7"/>
      <c r="G1430" s="7"/>
      <c r="H1430" s="7"/>
      <c r="I1430" s="7"/>
      <c r="J1430" s="20"/>
      <c r="K1430" s="20"/>
      <c r="L1430" s="20"/>
      <c r="M1430" s="20"/>
      <c r="N1430" s="9"/>
      <c r="P1430" s="7"/>
      <c r="Q1430" s="11"/>
      <c r="R1430" s="8"/>
      <c r="S1430" s="7"/>
      <c r="T1430" s="7"/>
      <c r="U1430" s="7"/>
      <c r="V1430" s="7"/>
      <c r="W1430" s="7"/>
      <c r="X1430" s="8"/>
      <c r="Y1430" s="7"/>
      <c r="Z1430" s="7"/>
      <c r="AA1430" s="11"/>
      <c r="AB1430" s="11"/>
      <c r="AC1430" s="11"/>
      <c r="AD1430" s="11"/>
      <c r="AH1430" s="8"/>
      <c r="AI1430" s="20"/>
      <c r="AJ1430" s="20"/>
      <c r="AK1430" s="31"/>
      <c r="AL1430" s="31"/>
    </row>
    <row r="1431" spans="1:38" hidden="1" x14ac:dyDescent="0.25">
      <c r="A1431" s="9"/>
      <c r="B1431" s="7"/>
      <c r="C1431" s="7"/>
      <c r="D1431" s="7"/>
      <c r="E1431" s="7"/>
      <c r="F1431" s="7"/>
      <c r="G1431" s="7"/>
      <c r="H1431" s="7"/>
      <c r="I1431" s="7"/>
      <c r="J1431" s="20"/>
      <c r="K1431" s="20"/>
      <c r="L1431" s="20"/>
      <c r="M1431" s="20"/>
      <c r="N1431" s="9"/>
      <c r="P1431" s="7"/>
      <c r="Q1431" s="11"/>
      <c r="R1431" s="8"/>
      <c r="S1431" s="7"/>
      <c r="T1431" s="7"/>
      <c r="U1431" s="7"/>
      <c r="V1431" s="7"/>
      <c r="W1431" s="7"/>
      <c r="X1431" s="8"/>
      <c r="Y1431" s="7"/>
      <c r="Z1431" s="7"/>
      <c r="AA1431" s="11"/>
      <c r="AB1431" s="11"/>
      <c r="AC1431" s="11"/>
      <c r="AD1431" s="11"/>
      <c r="AH1431" s="8"/>
      <c r="AI1431" s="20"/>
      <c r="AJ1431" s="20"/>
      <c r="AK1431" s="31"/>
      <c r="AL1431" s="31"/>
    </row>
    <row r="1432" spans="1:38" hidden="1" x14ac:dyDescent="0.25">
      <c r="A1432" s="9"/>
      <c r="B1432" s="7"/>
      <c r="C1432" s="7"/>
      <c r="D1432" s="7"/>
      <c r="E1432" s="7"/>
      <c r="F1432" s="7"/>
      <c r="G1432" s="7"/>
      <c r="H1432" s="7"/>
      <c r="I1432" s="7"/>
      <c r="J1432" s="20"/>
      <c r="K1432" s="20"/>
      <c r="L1432" s="20"/>
      <c r="M1432" s="20"/>
      <c r="N1432" s="9"/>
      <c r="P1432" s="7"/>
      <c r="Q1432" s="11"/>
      <c r="R1432" s="8"/>
      <c r="S1432" s="7"/>
      <c r="T1432" s="7"/>
      <c r="U1432" s="7"/>
      <c r="V1432" s="7"/>
      <c r="W1432" s="7"/>
      <c r="X1432" s="8"/>
      <c r="Y1432" s="7"/>
      <c r="Z1432" s="7"/>
      <c r="AA1432" s="11"/>
      <c r="AB1432" s="11"/>
      <c r="AC1432" s="11"/>
      <c r="AD1432" s="11"/>
      <c r="AH1432" s="8"/>
      <c r="AI1432" s="20"/>
      <c r="AJ1432" s="20"/>
      <c r="AK1432" s="31"/>
      <c r="AL1432" s="31"/>
    </row>
    <row r="1433" spans="1:38" hidden="1" x14ac:dyDescent="0.25">
      <c r="A1433" s="9"/>
      <c r="B1433" s="7"/>
      <c r="C1433" s="7"/>
      <c r="D1433" s="7"/>
      <c r="E1433" s="7"/>
      <c r="F1433" s="7"/>
      <c r="G1433" s="7"/>
      <c r="H1433" s="7"/>
      <c r="I1433" s="7"/>
      <c r="J1433" s="20"/>
      <c r="K1433" s="20"/>
      <c r="L1433" s="20"/>
      <c r="M1433" s="20"/>
      <c r="N1433" s="9"/>
      <c r="P1433" s="7"/>
      <c r="Q1433" s="11"/>
      <c r="R1433" s="8"/>
      <c r="S1433" s="7"/>
      <c r="T1433" s="7"/>
      <c r="U1433" s="7"/>
      <c r="V1433" s="7"/>
      <c r="W1433" s="7"/>
      <c r="X1433" s="8"/>
      <c r="Y1433" s="7"/>
      <c r="Z1433" s="7"/>
      <c r="AA1433" s="11"/>
      <c r="AB1433" s="11"/>
      <c r="AC1433" s="11"/>
      <c r="AD1433" s="11"/>
      <c r="AH1433" s="8"/>
      <c r="AI1433" s="20"/>
      <c r="AJ1433" s="20"/>
      <c r="AK1433" s="31"/>
      <c r="AL1433" s="31"/>
    </row>
    <row r="1434" spans="1:38" hidden="1" x14ac:dyDescent="0.25">
      <c r="A1434" s="9"/>
      <c r="B1434" s="7"/>
      <c r="C1434" s="7"/>
      <c r="D1434" s="7"/>
      <c r="E1434" s="7"/>
      <c r="F1434" s="7"/>
      <c r="G1434" s="7"/>
      <c r="H1434" s="7"/>
      <c r="I1434" s="7"/>
      <c r="J1434" s="20"/>
      <c r="K1434" s="20"/>
      <c r="L1434" s="20"/>
      <c r="M1434" s="20"/>
      <c r="N1434" s="9"/>
      <c r="P1434" s="7"/>
      <c r="Q1434" s="11"/>
      <c r="R1434" s="8"/>
      <c r="S1434" s="7"/>
      <c r="T1434" s="7"/>
      <c r="U1434" s="7"/>
      <c r="V1434" s="7"/>
      <c r="W1434" s="7"/>
      <c r="X1434" s="8"/>
      <c r="Y1434" s="7"/>
      <c r="Z1434" s="7"/>
      <c r="AA1434" s="11"/>
      <c r="AB1434" s="11"/>
      <c r="AC1434" s="11"/>
      <c r="AD1434" s="11"/>
      <c r="AH1434" s="8"/>
      <c r="AI1434" s="20"/>
      <c r="AJ1434" s="20"/>
      <c r="AK1434" s="31"/>
      <c r="AL1434" s="31"/>
    </row>
    <row r="1435" spans="1:38" hidden="1" x14ac:dyDescent="0.25">
      <c r="A1435" s="9"/>
      <c r="B1435" s="7"/>
      <c r="C1435" s="7"/>
      <c r="D1435" s="7"/>
      <c r="E1435" s="7"/>
      <c r="F1435" s="7"/>
      <c r="G1435" s="7"/>
      <c r="H1435" s="7"/>
      <c r="I1435" s="7"/>
      <c r="J1435" s="20"/>
      <c r="K1435" s="20"/>
      <c r="L1435" s="20"/>
      <c r="M1435" s="20"/>
      <c r="N1435" s="9"/>
      <c r="P1435" s="7"/>
      <c r="Q1435" s="11"/>
      <c r="R1435" s="8"/>
      <c r="S1435" s="7"/>
      <c r="T1435" s="7"/>
      <c r="U1435" s="7"/>
      <c r="V1435" s="7"/>
      <c r="W1435" s="7"/>
      <c r="X1435" s="8"/>
      <c r="Y1435" s="7"/>
      <c r="Z1435" s="7"/>
      <c r="AA1435" s="11"/>
      <c r="AB1435" s="11"/>
      <c r="AC1435" s="11"/>
      <c r="AD1435" s="11"/>
      <c r="AH1435" s="8"/>
      <c r="AI1435" s="20"/>
      <c r="AJ1435" s="20"/>
      <c r="AK1435" s="31"/>
      <c r="AL1435" s="31"/>
    </row>
    <row r="1436" spans="1:38" hidden="1" x14ac:dyDescent="0.25">
      <c r="A1436" s="9"/>
      <c r="B1436" s="7"/>
      <c r="C1436" s="7"/>
      <c r="D1436" s="7"/>
      <c r="E1436" s="7"/>
      <c r="F1436" s="7"/>
      <c r="G1436" s="7"/>
      <c r="H1436" s="7"/>
      <c r="I1436" s="7"/>
      <c r="J1436" s="20"/>
      <c r="K1436" s="20"/>
      <c r="L1436" s="20"/>
      <c r="M1436" s="20"/>
      <c r="N1436" s="9"/>
      <c r="P1436" s="7"/>
      <c r="Q1436" s="11"/>
      <c r="R1436" s="8"/>
      <c r="S1436" s="7"/>
      <c r="T1436" s="7"/>
      <c r="U1436" s="7"/>
      <c r="V1436" s="7"/>
      <c r="W1436" s="7"/>
      <c r="X1436" s="8"/>
      <c r="Y1436" s="7"/>
      <c r="Z1436" s="7"/>
      <c r="AA1436" s="11"/>
      <c r="AB1436" s="11"/>
      <c r="AC1436" s="11"/>
      <c r="AD1436" s="11"/>
      <c r="AH1436" s="8"/>
      <c r="AI1436" s="20"/>
      <c r="AJ1436" s="20"/>
      <c r="AK1436" s="31"/>
      <c r="AL1436" s="31"/>
    </row>
    <row r="1437" spans="1:38" hidden="1" x14ac:dyDescent="0.25">
      <c r="A1437" s="9"/>
      <c r="B1437" s="7"/>
      <c r="C1437" s="7"/>
      <c r="D1437" s="7"/>
      <c r="E1437" s="7"/>
      <c r="F1437" s="7"/>
      <c r="G1437" s="7"/>
      <c r="H1437" s="7"/>
      <c r="I1437" s="7"/>
      <c r="J1437" s="20"/>
      <c r="K1437" s="20"/>
      <c r="L1437" s="20"/>
      <c r="M1437" s="20"/>
      <c r="N1437" s="9"/>
      <c r="P1437" s="7"/>
      <c r="Q1437" s="11"/>
      <c r="R1437" s="8"/>
      <c r="S1437" s="7"/>
      <c r="T1437" s="7"/>
      <c r="U1437" s="7"/>
      <c r="V1437" s="7"/>
      <c r="W1437" s="7"/>
      <c r="X1437" s="8"/>
      <c r="Y1437" s="7"/>
      <c r="Z1437" s="7"/>
      <c r="AA1437" s="11"/>
      <c r="AB1437" s="11"/>
      <c r="AC1437" s="11"/>
      <c r="AD1437" s="11"/>
      <c r="AH1437" s="8"/>
      <c r="AI1437" s="20"/>
      <c r="AJ1437" s="20"/>
      <c r="AK1437" s="31"/>
      <c r="AL1437" s="31"/>
    </row>
    <row r="1438" spans="1:38" hidden="1" x14ac:dyDescent="0.25">
      <c r="A1438" s="9"/>
      <c r="B1438" s="7"/>
      <c r="C1438" s="7"/>
      <c r="D1438" s="7"/>
      <c r="E1438" s="7"/>
      <c r="F1438" s="7"/>
      <c r="G1438" s="7"/>
      <c r="H1438" s="7"/>
      <c r="I1438" s="7"/>
      <c r="J1438" s="20"/>
      <c r="K1438" s="20"/>
      <c r="L1438" s="20"/>
      <c r="M1438" s="20"/>
      <c r="N1438" s="9"/>
      <c r="P1438" s="7"/>
      <c r="Q1438" s="11"/>
      <c r="R1438" s="8"/>
      <c r="S1438" s="7"/>
      <c r="T1438" s="7"/>
      <c r="U1438" s="7"/>
      <c r="V1438" s="7"/>
      <c r="W1438" s="7"/>
      <c r="X1438" s="8"/>
      <c r="Y1438" s="7"/>
      <c r="Z1438" s="7"/>
      <c r="AA1438" s="11"/>
      <c r="AB1438" s="11"/>
      <c r="AC1438" s="11"/>
      <c r="AD1438" s="11"/>
      <c r="AH1438" s="8"/>
      <c r="AI1438" s="20"/>
      <c r="AJ1438" s="20"/>
      <c r="AK1438" s="31"/>
      <c r="AL1438" s="31"/>
    </row>
    <row r="1439" spans="1:38" hidden="1" x14ac:dyDescent="0.25">
      <c r="A1439" s="9"/>
      <c r="B1439" s="7"/>
      <c r="C1439" s="7"/>
      <c r="D1439" s="7"/>
      <c r="E1439" s="7"/>
      <c r="F1439" s="7"/>
      <c r="G1439" s="7"/>
      <c r="H1439" s="7"/>
      <c r="I1439" s="7"/>
      <c r="J1439" s="20"/>
      <c r="K1439" s="20"/>
      <c r="L1439" s="20"/>
      <c r="M1439" s="20"/>
      <c r="N1439" s="9"/>
      <c r="P1439" s="7"/>
      <c r="Q1439" s="11"/>
      <c r="R1439" s="8"/>
      <c r="S1439" s="7"/>
      <c r="T1439" s="7"/>
      <c r="U1439" s="7"/>
      <c r="V1439" s="7"/>
      <c r="W1439" s="7"/>
      <c r="X1439" s="8"/>
      <c r="Y1439" s="7"/>
      <c r="Z1439" s="7"/>
      <c r="AA1439" s="11"/>
      <c r="AB1439" s="11"/>
      <c r="AC1439" s="11"/>
      <c r="AD1439" s="11"/>
      <c r="AH1439" s="8"/>
      <c r="AI1439" s="20"/>
      <c r="AJ1439" s="20"/>
      <c r="AK1439" s="31"/>
      <c r="AL1439" s="31"/>
    </row>
    <row r="1440" spans="1:38" hidden="1" x14ac:dyDescent="0.25">
      <c r="A1440" s="9"/>
      <c r="B1440" s="7"/>
      <c r="C1440" s="7"/>
      <c r="D1440" s="7"/>
      <c r="E1440" s="7"/>
      <c r="F1440" s="7"/>
      <c r="G1440" s="7"/>
      <c r="H1440" s="7"/>
      <c r="I1440" s="7"/>
      <c r="J1440" s="20"/>
      <c r="K1440" s="20"/>
      <c r="L1440" s="20"/>
      <c r="M1440" s="20"/>
      <c r="N1440" s="9"/>
      <c r="P1440" s="7"/>
      <c r="Q1440" s="11"/>
      <c r="R1440" s="8"/>
      <c r="S1440" s="7"/>
      <c r="T1440" s="7"/>
      <c r="U1440" s="7"/>
      <c r="V1440" s="7"/>
      <c r="W1440" s="7"/>
      <c r="X1440" s="8"/>
      <c r="Y1440" s="7"/>
      <c r="Z1440" s="7"/>
      <c r="AA1440" s="11"/>
      <c r="AB1440" s="11"/>
      <c r="AC1440" s="11"/>
      <c r="AD1440" s="11"/>
      <c r="AH1440" s="8"/>
      <c r="AI1440" s="20"/>
      <c r="AJ1440" s="20"/>
      <c r="AK1440" s="31"/>
      <c r="AL1440" s="31"/>
    </row>
    <row r="1441" spans="1:38" hidden="1" x14ac:dyDescent="0.25">
      <c r="A1441" s="9"/>
      <c r="B1441" s="7"/>
      <c r="C1441" s="7"/>
      <c r="D1441" s="7"/>
      <c r="E1441" s="7"/>
      <c r="F1441" s="7"/>
      <c r="G1441" s="7"/>
      <c r="H1441" s="7"/>
      <c r="I1441" s="7"/>
      <c r="J1441" s="20"/>
      <c r="K1441" s="20"/>
      <c r="L1441" s="20"/>
      <c r="M1441" s="20"/>
      <c r="N1441" s="9"/>
      <c r="P1441" s="7"/>
      <c r="Q1441" s="11"/>
      <c r="R1441" s="8"/>
      <c r="S1441" s="7"/>
      <c r="T1441" s="7"/>
      <c r="U1441" s="7"/>
      <c r="V1441" s="7"/>
      <c r="W1441" s="7"/>
      <c r="X1441" s="8"/>
      <c r="Y1441" s="7"/>
      <c r="Z1441" s="7"/>
      <c r="AA1441" s="11"/>
      <c r="AB1441" s="11"/>
      <c r="AC1441" s="11"/>
      <c r="AD1441" s="11"/>
      <c r="AH1441" s="8"/>
      <c r="AI1441" s="20"/>
      <c r="AJ1441" s="20"/>
      <c r="AK1441" s="31"/>
      <c r="AL1441" s="31"/>
    </row>
    <row r="1442" spans="1:38" hidden="1" x14ac:dyDescent="0.25">
      <c r="A1442" s="9"/>
      <c r="B1442" s="7"/>
      <c r="C1442" s="7"/>
      <c r="D1442" s="7"/>
      <c r="E1442" s="7"/>
      <c r="F1442" s="7"/>
      <c r="G1442" s="7"/>
      <c r="H1442" s="7"/>
      <c r="I1442" s="7"/>
      <c r="J1442" s="20"/>
      <c r="K1442" s="20"/>
      <c r="L1442" s="20"/>
      <c r="M1442" s="20"/>
      <c r="N1442" s="9"/>
      <c r="P1442" s="7"/>
      <c r="Q1442" s="11"/>
      <c r="R1442" s="8"/>
      <c r="S1442" s="7"/>
      <c r="T1442" s="7"/>
      <c r="U1442" s="7"/>
      <c r="V1442" s="7"/>
      <c r="W1442" s="7"/>
      <c r="X1442" s="8"/>
      <c r="Y1442" s="7"/>
      <c r="Z1442" s="7"/>
      <c r="AA1442" s="11"/>
      <c r="AB1442" s="11"/>
      <c r="AC1442" s="11"/>
      <c r="AD1442" s="11"/>
      <c r="AH1442" s="8"/>
      <c r="AI1442" s="20"/>
      <c r="AJ1442" s="20"/>
      <c r="AK1442" s="31"/>
      <c r="AL1442" s="31"/>
    </row>
    <row r="1443" spans="1:38" hidden="1" x14ac:dyDescent="0.25">
      <c r="A1443" s="9"/>
      <c r="B1443" s="7"/>
      <c r="C1443" s="7"/>
      <c r="D1443" s="7"/>
      <c r="E1443" s="7"/>
      <c r="F1443" s="7"/>
      <c r="G1443" s="7"/>
      <c r="H1443" s="7"/>
      <c r="I1443" s="7"/>
      <c r="J1443" s="20"/>
      <c r="K1443" s="20"/>
      <c r="L1443" s="20"/>
      <c r="M1443" s="20"/>
      <c r="N1443" s="9"/>
      <c r="P1443" s="7"/>
      <c r="Q1443" s="11"/>
      <c r="R1443" s="8"/>
      <c r="S1443" s="7"/>
      <c r="T1443" s="7"/>
      <c r="U1443" s="7"/>
      <c r="V1443" s="7"/>
      <c r="W1443" s="7"/>
      <c r="X1443" s="8"/>
      <c r="Y1443" s="7"/>
      <c r="Z1443" s="7"/>
      <c r="AA1443" s="11"/>
      <c r="AB1443" s="11"/>
      <c r="AC1443" s="11"/>
      <c r="AD1443" s="11"/>
      <c r="AH1443" s="8"/>
      <c r="AI1443" s="20"/>
      <c r="AJ1443" s="20"/>
      <c r="AK1443" s="31"/>
      <c r="AL1443" s="31"/>
    </row>
    <row r="1444" spans="1:38" hidden="1" x14ac:dyDescent="0.25">
      <c r="A1444" s="9"/>
      <c r="B1444" s="7"/>
      <c r="C1444" s="7"/>
      <c r="D1444" s="7"/>
      <c r="E1444" s="7"/>
      <c r="F1444" s="7"/>
      <c r="G1444" s="7"/>
      <c r="H1444" s="7"/>
      <c r="I1444" s="7"/>
      <c r="J1444" s="20"/>
      <c r="K1444" s="20"/>
      <c r="L1444" s="20"/>
      <c r="M1444" s="20"/>
      <c r="N1444" s="9"/>
      <c r="P1444" s="7"/>
      <c r="Q1444" s="11"/>
      <c r="R1444" s="8"/>
      <c r="S1444" s="7"/>
      <c r="T1444" s="7"/>
      <c r="U1444" s="7"/>
      <c r="V1444" s="7"/>
      <c r="W1444" s="7"/>
      <c r="X1444" s="8"/>
      <c r="Y1444" s="7"/>
      <c r="Z1444" s="7"/>
      <c r="AA1444" s="11"/>
      <c r="AB1444" s="11"/>
      <c r="AC1444" s="11"/>
      <c r="AD1444" s="11"/>
      <c r="AH1444" s="8"/>
      <c r="AI1444" s="20"/>
      <c r="AJ1444" s="20"/>
      <c r="AK1444" s="31"/>
      <c r="AL1444" s="31"/>
    </row>
    <row r="1445" spans="1:38" hidden="1" x14ac:dyDescent="0.25">
      <c r="A1445" s="9"/>
      <c r="B1445" s="7"/>
      <c r="C1445" s="7"/>
      <c r="D1445" s="7"/>
      <c r="E1445" s="7"/>
      <c r="F1445" s="7"/>
      <c r="G1445" s="7"/>
      <c r="H1445" s="7"/>
      <c r="I1445" s="7"/>
      <c r="J1445" s="20"/>
      <c r="K1445" s="20"/>
      <c r="L1445" s="20"/>
      <c r="M1445" s="20"/>
      <c r="N1445" s="9"/>
      <c r="P1445" s="7"/>
      <c r="Q1445" s="11"/>
      <c r="R1445" s="8"/>
      <c r="S1445" s="7"/>
      <c r="T1445" s="7"/>
      <c r="U1445" s="7"/>
      <c r="V1445" s="7"/>
      <c r="W1445" s="7"/>
      <c r="X1445" s="8"/>
      <c r="Y1445" s="7"/>
      <c r="Z1445" s="7"/>
      <c r="AA1445" s="11"/>
      <c r="AB1445" s="11"/>
      <c r="AC1445" s="11"/>
      <c r="AD1445" s="11"/>
      <c r="AH1445" s="8"/>
      <c r="AI1445" s="20"/>
      <c r="AJ1445" s="20"/>
      <c r="AK1445" s="31"/>
      <c r="AL1445" s="31"/>
    </row>
    <row r="1446" spans="1:38" hidden="1" x14ac:dyDescent="0.25">
      <c r="A1446" s="9"/>
      <c r="B1446" s="7"/>
      <c r="C1446" s="7"/>
      <c r="D1446" s="7"/>
      <c r="E1446" s="7"/>
      <c r="F1446" s="7"/>
      <c r="G1446" s="7"/>
      <c r="H1446" s="7"/>
      <c r="I1446" s="7"/>
      <c r="J1446" s="20"/>
      <c r="K1446" s="20"/>
      <c r="L1446" s="20"/>
      <c r="M1446" s="20"/>
      <c r="N1446" s="9"/>
      <c r="P1446" s="7"/>
      <c r="Q1446" s="11"/>
      <c r="R1446" s="8"/>
      <c r="S1446" s="7"/>
      <c r="T1446" s="7"/>
      <c r="U1446" s="7"/>
      <c r="V1446" s="7"/>
      <c r="W1446" s="7"/>
      <c r="X1446" s="8"/>
      <c r="Y1446" s="7"/>
      <c r="Z1446" s="7"/>
      <c r="AA1446" s="11"/>
      <c r="AB1446" s="11"/>
      <c r="AC1446" s="11"/>
      <c r="AD1446" s="11"/>
      <c r="AH1446" s="8"/>
      <c r="AI1446" s="20"/>
      <c r="AJ1446" s="20"/>
      <c r="AK1446" s="31"/>
      <c r="AL1446" s="31"/>
    </row>
    <row r="1447" spans="1:38" hidden="1" x14ac:dyDescent="0.25">
      <c r="A1447" s="9"/>
      <c r="B1447" s="7"/>
      <c r="C1447" s="7"/>
      <c r="D1447" s="7"/>
      <c r="E1447" s="7"/>
      <c r="F1447" s="7"/>
      <c r="G1447" s="7"/>
      <c r="H1447" s="7"/>
      <c r="I1447" s="7"/>
      <c r="J1447" s="20"/>
      <c r="K1447" s="20"/>
      <c r="L1447" s="20"/>
      <c r="M1447" s="20"/>
      <c r="N1447" s="9"/>
      <c r="P1447" s="7"/>
      <c r="Q1447" s="11"/>
      <c r="R1447" s="8"/>
      <c r="S1447" s="7"/>
      <c r="T1447" s="7"/>
      <c r="U1447" s="7"/>
      <c r="V1447" s="7"/>
      <c r="W1447" s="7"/>
      <c r="X1447" s="8"/>
      <c r="Y1447" s="7"/>
      <c r="Z1447" s="7"/>
      <c r="AA1447" s="11"/>
      <c r="AB1447" s="11"/>
      <c r="AC1447" s="11"/>
      <c r="AD1447" s="11"/>
      <c r="AH1447" s="8"/>
      <c r="AI1447" s="20"/>
      <c r="AJ1447" s="20"/>
      <c r="AK1447" s="31"/>
      <c r="AL1447" s="31"/>
    </row>
    <row r="1448" spans="1:38" hidden="1" x14ac:dyDescent="0.25">
      <c r="A1448" s="9"/>
      <c r="B1448" s="7"/>
      <c r="C1448" s="7"/>
      <c r="D1448" s="7"/>
      <c r="E1448" s="7"/>
      <c r="F1448" s="7"/>
      <c r="G1448" s="7"/>
      <c r="H1448" s="7"/>
      <c r="I1448" s="7"/>
      <c r="J1448" s="20"/>
      <c r="K1448" s="20"/>
      <c r="L1448" s="20"/>
      <c r="M1448" s="20"/>
      <c r="N1448" s="9"/>
      <c r="P1448" s="7"/>
      <c r="Q1448" s="11"/>
      <c r="R1448" s="8"/>
      <c r="S1448" s="7"/>
      <c r="T1448" s="7"/>
      <c r="U1448" s="7"/>
      <c r="V1448" s="7"/>
      <c r="W1448" s="7"/>
      <c r="X1448" s="8"/>
      <c r="Y1448" s="7"/>
      <c r="Z1448" s="7"/>
      <c r="AA1448" s="11"/>
      <c r="AB1448" s="11"/>
      <c r="AC1448" s="11"/>
      <c r="AD1448" s="11"/>
      <c r="AH1448" s="8"/>
      <c r="AI1448" s="20"/>
      <c r="AJ1448" s="20"/>
      <c r="AK1448" s="31"/>
      <c r="AL1448" s="31"/>
    </row>
    <row r="1449" spans="1:38" hidden="1" x14ac:dyDescent="0.25">
      <c r="A1449" s="9"/>
      <c r="B1449" s="7"/>
      <c r="C1449" s="7"/>
      <c r="D1449" s="7"/>
      <c r="E1449" s="7"/>
      <c r="F1449" s="7"/>
      <c r="G1449" s="7"/>
      <c r="H1449" s="7"/>
      <c r="I1449" s="7"/>
      <c r="J1449" s="20"/>
      <c r="K1449" s="20"/>
      <c r="L1449" s="20"/>
      <c r="M1449" s="20"/>
      <c r="N1449" s="9"/>
      <c r="P1449" s="7"/>
      <c r="Q1449" s="11"/>
      <c r="R1449" s="8"/>
      <c r="S1449" s="7"/>
      <c r="T1449" s="7"/>
      <c r="U1449" s="7"/>
      <c r="V1449" s="7"/>
      <c r="W1449" s="7"/>
      <c r="X1449" s="8"/>
      <c r="Y1449" s="7"/>
      <c r="Z1449" s="7"/>
      <c r="AA1449" s="11"/>
      <c r="AB1449" s="11"/>
      <c r="AC1449" s="11"/>
      <c r="AD1449" s="11"/>
      <c r="AH1449" s="8"/>
      <c r="AI1449" s="20"/>
      <c r="AJ1449" s="20"/>
      <c r="AK1449" s="31"/>
      <c r="AL1449" s="31"/>
    </row>
    <row r="1450" spans="1:38" hidden="1" x14ac:dyDescent="0.25">
      <c r="A1450" s="9"/>
      <c r="B1450" s="7"/>
      <c r="C1450" s="7"/>
      <c r="D1450" s="7"/>
      <c r="E1450" s="7"/>
      <c r="F1450" s="7"/>
      <c r="G1450" s="7"/>
      <c r="H1450" s="7"/>
      <c r="I1450" s="7"/>
      <c r="J1450" s="20"/>
      <c r="K1450" s="20"/>
      <c r="L1450" s="20"/>
      <c r="M1450" s="20"/>
      <c r="N1450" s="9"/>
      <c r="P1450" s="7"/>
      <c r="Q1450" s="11"/>
      <c r="R1450" s="8"/>
      <c r="S1450" s="7"/>
      <c r="T1450" s="7"/>
      <c r="U1450" s="7"/>
      <c r="V1450" s="7"/>
      <c r="W1450" s="7"/>
      <c r="X1450" s="8"/>
      <c r="Y1450" s="7"/>
      <c r="Z1450" s="7"/>
      <c r="AA1450" s="11"/>
      <c r="AB1450" s="11"/>
      <c r="AC1450" s="11"/>
      <c r="AD1450" s="11"/>
      <c r="AH1450" s="8"/>
      <c r="AI1450" s="20"/>
      <c r="AJ1450" s="20"/>
      <c r="AK1450" s="31"/>
      <c r="AL1450" s="31"/>
    </row>
    <row r="1451" spans="1:38" hidden="1" x14ac:dyDescent="0.25">
      <c r="A1451" s="9"/>
      <c r="B1451" s="7"/>
      <c r="C1451" s="7"/>
      <c r="D1451" s="7"/>
      <c r="E1451" s="7"/>
      <c r="F1451" s="7"/>
      <c r="G1451" s="7"/>
      <c r="H1451" s="7"/>
      <c r="I1451" s="7"/>
      <c r="J1451" s="20"/>
      <c r="K1451" s="20"/>
      <c r="L1451" s="20"/>
      <c r="M1451" s="20"/>
      <c r="N1451" s="9"/>
      <c r="P1451" s="7"/>
      <c r="Q1451" s="11"/>
      <c r="R1451" s="8"/>
      <c r="S1451" s="7"/>
      <c r="T1451" s="7"/>
      <c r="U1451" s="7"/>
      <c r="V1451" s="7"/>
      <c r="W1451" s="7"/>
      <c r="X1451" s="8"/>
      <c r="Y1451" s="7"/>
      <c r="Z1451" s="7"/>
      <c r="AA1451" s="11"/>
      <c r="AB1451" s="11"/>
      <c r="AC1451" s="11"/>
      <c r="AD1451" s="11"/>
      <c r="AH1451" s="8"/>
      <c r="AI1451" s="20"/>
      <c r="AJ1451" s="20"/>
      <c r="AK1451" s="31"/>
      <c r="AL1451" s="31"/>
    </row>
    <row r="1452" spans="1:38" hidden="1" x14ac:dyDescent="0.25">
      <c r="A1452" s="9"/>
      <c r="B1452" s="7"/>
      <c r="C1452" s="7"/>
      <c r="D1452" s="7"/>
      <c r="E1452" s="7"/>
      <c r="F1452" s="7"/>
      <c r="G1452" s="7"/>
      <c r="H1452" s="7"/>
      <c r="I1452" s="7"/>
      <c r="J1452" s="20"/>
      <c r="K1452" s="20"/>
      <c r="L1452" s="20"/>
      <c r="M1452" s="20"/>
      <c r="N1452" s="9"/>
      <c r="P1452" s="7"/>
      <c r="Q1452" s="11"/>
      <c r="R1452" s="8"/>
      <c r="S1452" s="7"/>
      <c r="T1452" s="7"/>
      <c r="U1452" s="7"/>
      <c r="V1452" s="7"/>
      <c r="W1452" s="7"/>
      <c r="X1452" s="8"/>
      <c r="Y1452" s="7"/>
      <c r="Z1452" s="7"/>
      <c r="AA1452" s="11"/>
      <c r="AB1452" s="11"/>
      <c r="AC1452" s="11"/>
      <c r="AD1452" s="11"/>
      <c r="AH1452" s="8"/>
      <c r="AI1452" s="20"/>
      <c r="AJ1452" s="20"/>
      <c r="AK1452" s="31"/>
      <c r="AL1452" s="31"/>
    </row>
    <row r="1453" spans="1:38" hidden="1" x14ac:dyDescent="0.25">
      <c r="A1453" s="9"/>
      <c r="B1453" s="7"/>
      <c r="C1453" s="7"/>
      <c r="D1453" s="7"/>
      <c r="E1453" s="7"/>
      <c r="F1453" s="7"/>
      <c r="G1453" s="7"/>
      <c r="H1453" s="7"/>
      <c r="I1453" s="7"/>
      <c r="J1453" s="20"/>
      <c r="K1453" s="20"/>
      <c r="L1453" s="20"/>
      <c r="M1453" s="20"/>
      <c r="N1453" s="9"/>
      <c r="P1453" s="7"/>
      <c r="Q1453" s="11"/>
      <c r="R1453" s="8"/>
      <c r="S1453" s="7"/>
      <c r="T1453" s="7"/>
      <c r="U1453" s="7"/>
      <c r="V1453" s="7"/>
      <c r="W1453" s="7"/>
      <c r="X1453" s="8"/>
      <c r="Y1453" s="7"/>
      <c r="Z1453" s="7"/>
      <c r="AA1453" s="11"/>
      <c r="AB1453" s="11"/>
      <c r="AC1453" s="11"/>
      <c r="AD1453" s="11"/>
      <c r="AH1453" s="8"/>
      <c r="AI1453" s="20"/>
      <c r="AJ1453" s="20"/>
      <c r="AK1453" s="31"/>
      <c r="AL1453" s="31"/>
    </row>
    <row r="1454" spans="1:38" hidden="1" x14ac:dyDescent="0.25">
      <c r="A1454" s="9"/>
      <c r="B1454" s="7"/>
      <c r="C1454" s="7"/>
      <c r="D1454" s="7"/>
      <c r="E1454" s="7"/>
      <c r="F1454" s="7"/>
      <c r="G1454" s="7"/>
      <c r="H1454" s="7"/>
      <c r="I1454" s="7"/>
      <c r="J1454" s="20"/>
      <c r="K1454" s="20"/>
      <c r="L1454" s="20"/>
      <c r="M1454" s="20"/>
      <c r="N1454" s="9"/>
      <c r="P1454" s="7"/>
      <c r="Q1454" s="11"/>
      <c r="R1454" s="8"/>
      <c r="S1454" s="7"/>
      <c r="T1454" s="7"/>
      <c r="U1454" s="7"/>
      <c r="V1454" s="7"/>
      <c r="W1454" s="7"/>
      <c r="X1454" s="8"/>
      <c r="Y1454" s="7"/>
      <c r="Z1454" s="7"/>
      <c r="AA1454" s="11"/>
      <c r="AB1454" s="11"/>
      <c r="AC1454" s="11"/>
      <c r="AD1454" s="11"/>
      <c r="AH1454" s="8"/>
      <c r="AI1454" s="20"/>
      <c r="AJ1454" s="20"/>
      <c r="AK1454" s="31"/>
      <c r="AL1454" s="31"/>
    </row>
    <row r="1455" spans="1:38" hidden="1" x14ac:dyDescent="0.25">
      <c r="A1455" s="9"/>
      <c r="B1455" s="7"/>
      <c r="C1455" s="7"/>
      <c r="D1455" s="7"/>
      <c r="E1455" s="7"/>
      <c r="F1455" s="7"/>
      <c r="G1455" s="7"/>
      <c r="H1455" s="7"/>
      <c r="I1455" s="7"/>
      <c r="J1455" s="20"/>
      <c r="K1455" s="20"/>
      <c r="L1455" s="20"/>
      <c r="M1455" s="20"/>
      <c r="N1455" s="9"/>
      <c r="P1455" s="7"/>
      <c r="Q1455" s="11"/>
      <c r="R1455" s="8"/>
      <c r="S1455" s="7"/>
      <c r="T1455" s="7"/>
      <c r="U1455" s="7"/>
      <c r="V1455" s="7"/>
      <c r="W1455" s="7"/>
      <c r="X1455" s="8"/>
      <c r="Y1455" s="7"/>
      <c r="Z1455" s="7"/>
      <c r="AA1455" s="11"/>
      <c r="AB1455" s="11"/>
      <c r="AC1455" s="11"/>
      <c r="AD1455" s="11"/>
      <c r="AH1455" s="8"/>
      <c r="AI1455" s="20"/>
      <c r="AJ1455" s="20"/>
      <c r="AK1455" s="31"/>
      <c r="AL1455" s="31"/>
    </row>
    <row r="1456" spans="1:38" hidden="1" x14ac:dyDescent="0.25">
      <c r="A1456" s="9"/>
      <c r="B1456" s="7"/>
      <c r="C1456" s="7"/>
      <c r="D1456" s="7"/>
      <c r="E1456" s="7"/>
      <c r="F1456" s="7"/>
      <c r="G1456" s="7"/>
      <c r="H1456" s="7"/>
      <c r="I1456" s="7"/>
      <c r="J1456" s="20"/>
      <c r="K1456" s="20"/>
      <c r="L1456" s="20"/>
      <c r="M1456" s="20"/>
      <c r="N1456" s="9"/>
      <c r="P1456" s="7"/>
      <c r="Q1456" s="11"/>
      <c r="R1456" s="8"/>
      <c r="S1456" s="7"/>
      <c r="T1456" s="7"/>
      <c r="U1456" s="7"/>
      <c r="V1456" s="7"/>
      <c r="W1456" s="7"/>
      <c r="X1456" s="8"/>
      <c r="Y1456" s="7"/>
      <c r="Z1456" s="7"/>
      <c r="AA1456" s="11"/>
      <c r="AB1456" s="11"/>
      <c r="AC1456" s="11"/>
      <c r="AD1456" s="11"/>
      <c r="AH1456" s="8"/>
      <c r="AI1456" s="20"/>
      <c r="AJ1456" s="20"/>
      <c r="AK1456" s="31"/>
      <c r="AL1456" s="31"/>
    </row>
    <row r="1457" spans="1:38" hidden="1" x14ac:dyDescent="0.25">
      <c r="A1457" s="9"/>
      <c r="B1457" s="7"/>
      <c r="C1457" s="7"/>
      <c r="D1457" s="7"/>
      <c r="E1457" s="7"/>
      <c r="F1457" s="7"/>
      <c r="G1457" s="7"/>
      <c r="H1457" s="7"/>
      <c r="I1457" s="7"/>
      <c r="J1457" s="20"/>
      <c r="K1457" s="20"/>
      <c r="L1457" s="20"/>
      <c r="M1457" s="20"/>
      <c r="N1457" s="9"/>
      <c r="P1457" s="7"/>
      <c r="Q1457" s="11"/>
      <c r="R1457" s="8"/>
      <c r="S1457" s="7"/>
      <c r="T1457" s="7"/>
      <c r="U1457" s="7"/>
      <c r="V1457" s="7"/>
      <c r="W1457" s="7"/>
      <c r="X1457" s="8"/>
      <c r="Y1457" s="7"/>
      <c r="Z1457" s="7"/>
      <c r="AA1457" s="11"/>
      <c r="AB1457" s="11"/>
      <c r="AC1457" s="11"/>
      <c r="AD1457" s="11"/>
      <c r="AH1457" s="8"/>
      <c r="AI1457" s="20"/>
      <c r="AJ1457" s="20"/>
      <c r="AK1457" s="31"/>
      <c r="AL1457" s="31"/>
    </row>
    <row r="1458" spans="1:38" hidden="1" x14ac:dyDescent="0.25">
      <c r="A1458" s="9"/>
      <c r="B1458" s="7"/>
      <c r="C1458" s="7"/>
      <c r="D1458" s="7"/>
      <c r="E1458" s="7"/>
      <c r="F1458" s="7"/>
      <c r="G1458" s="7"/>
      <c r="H1458" s="7"/>
      <c r="I1458" s="7"/>
      <c r="J1458" s="20"/>
      <c r="K1458" s="20"/>
      <c r="L1458" s="20"/>
      <c r="M1458" s="20"/>
      <c r="N1458" s="9"/>
      <c r="P1458" s="7"/>
      <c r="Q1458" s="11"/>
      <c r="R1458" s="8"/>
      <c r="S1458" s="7"/>
      <c r="T1458" s="7"/>
      <c r="U1458" s="7"/>
      <c r="V1458" s="7"/>
      <c r="W1458" s="7"/>
      <c r="X1458" s="8"/>
      <c r="Y1458" s="7"/>
      <c r="Z1458" s="7"/>
      <c r="AA1458" s="11"/>
      <c r="AB1458" s="11"/>
      <c r="AC1458" s="11"/>
      <c r="AD1458" s="11"/>
      <c r="AH1458" s="8"/>
      <c r="AI1458" s="20"/>
      <c r="AJ1458" s="20"/>
      <c r="AK1458" s="31"/>
      <c r="AL1458" s="31"/>
    </row>
    <row r="1459" spans="1:38" hidden="1" x14ac:dyDescent="0.25">
      <c r="A1459" s="9"/>
      <c r="B1459" s="7"/>
      <c r="C1459" s="7"/>
      <c r="D1459" s="7"/>
      <c r="E1459" s="7"/>
      <c r="F1459" s="7"/>
      <c r="G1459" s="7"/>
      <c r="H1459" s="7"/>
      <c r="I1459" s="7"/>
      <c r="J1459" s="20"/>
      <c r="K1459" s="20"/>
      <c r="L1459" s="20"/>
      <c r="M1459" s="20"/>
      <c r="N1459" s="9"/>
      <c r="P1459" s="7"/>
      <c r="Q1459" s="11"/>
      <c r="R1459" s="8"/>
      <c r="S1459" s="7"/>
      <c r="T1459" s="7"/>
      <c r="U1459" s="7"/>
      <c r="V1459" s="7"/>
      <c r="W1459" s="7"/>
      <c r="X1459" s="8"/>
      <c r="Y1459" s="7"/>
      <c r="Z1459" s="7"/>
      <c r="AA1459" s="11"/>
      <c r="AB1459" s="11"/>
      <c r="AC1459" s="11"/>
      <c r="AD1459" s="11"/>
      <c r="AH1459" s="8"/>
      <c r="AI1459" s="20"/>
      <c r="AJ1459" s="20"/>
      <c r="AK1459" s="31"/>
      <c r="AL1459" s="31"/>
    </row>
    <row r="1460" spans="1:38" hidden="1" x14ac:dyDescent="0.25">
      <c r="A1460" s="9"/>
      <c r="B1460" s="7"/>
      <c r="C1460" s="7"/>
      <c r="D1460" s="7"/>
      <c r="E1460" s="7"/>
      <c r="F1460" s="7"/>
      <c r="G1460" s="7"/>
      <c r="H1460" s="7"/>
      <c r="I1460" s="7"/>
      <c r="J1460" s="20"/>
      <c r="K1460" s="20"/>
      <c r="L1460" s="20"/>
      <c r="M1460" s="20"/>
      <c r="N1460" s="9"/>
      <c r="P1460" s="7"/>
      <c r="Q1460" s="11"/>
      <c r="R1460" s="8"/>
      <c r="S1460" s="7"/>
      <c r="T1460" s="7"/>
      <c r="U1460" s="7"/>
      <c r="V1460" s="7"/>
      <c r="W1460" s="7"/>
      <c r="X1460" s="8"/>
      <c r="Y1460" s="7"/>
      <c r="Z1460" s="7"/>
      <c r="AA1460" s="11"/>
      <c r="AB1460" s="11"/>
      <c r="AC1460" s="11"/>
      <c r="AD1460" s="11"/>
      <c r="AH1460" s="8"/>
      <c r="AI1460" s="20"/>
      <c r="AJ1460" s="20"/>
      <c r="AK1460" s="31"/>
      <c r="AL1460" s="31"/>
    </row>
    <row r="1461" spans="1:38" hidden="1" x14ac:dyDescent="0.25">
      <c r="A1461" s="9"/>
      <c r="B1461" s="7"/>
      <c r="C1461" s="7"/>
      <c r="D1461" s="7"/>
      <c r="E1461" s="7"/>
      <c r="F1461" s="7"/>
      <c r="G1461" s="7"/>
      <c r="H1461" s="7"/>
      <c r="I1461" s="7"/>
      <c r="J1461" s="20"/>
      <c r="K1461" s="20"/>
      <c r="L1461" s="20"/>
      <c r="M1461" s="20"/>
      <c r="N1461" s="9"/>
      <c r="P1461" s="7"/>
      <c r="Q1461" s="11"/>
      <c r="R1461" s="8"/>
      <c r="S1461" s="7"/>
      <c r="T1461" s="7"/>
      <c r="U1461" s="7"/>
      <c r="V1461" s="7"/>
      <c r="W1461" s="7"/>
      <c r="X1461" s="8"/>
      <c r="Y1461" s="7"/>
      <c r="Z1461" s="7"/>
      <c r="AA1461" s="11"/>
      <c r="AB1461" s="11"/>
      <c r="AC1461" s="11"/>
      <c r="AD1461" s="11"/>
      <c r="AH1461" s="8"/>
      <c r="AI1461" s="20"/>
      <c r="AJ1461" s="20"/>
      <c r="AK1461" s="31"/>
      <c r="AL1461" s="31"/>
    </row>
    <row r="1462" spans="1:38" hidden="1" x14ac:dyDescent="0.25">
      <c r="A1462" s="9"/>
      <c r="B1462" s="7"/>
      <c r="C1462" s="7"/>
      <c r="D1462" s="7"/>
      <c r="E1462" s="7"/>
      <c r="F1462" s="7"/>
      <c r="G1462" s="7"/>
      <c r="H1462" s="7"/>
      <c r="I1462" s="7"/>
      <c r="J1462" s="20"/>
      <c r="K1462" s="20"/>
      <c r="L1462" s="20"/>
      <c r="M1462" s="20"/>
      <c r="N1462" s="9"/>
      <c r="P1462" s="7"/>
      <c r="Q1462" s="11"/>
      <c r="R1462" s="8"/>
      <c r="S1462" s="7"/>
      <c r="T1462" s="7"/>
      <c r="U1462" s="7"/>
      <c r="V1462" s="7"/>
      <c r="W1462" s="7"/>
      <c r="X1462" s="8"/>
      <c r="Y1462" s="7"/>
      <c r="Z1462" s="7"/>
      <c r="AA1462" s="11"/>
      <c r="AB1462" s="11"/>
      <c r="AC1462" s="11"/>
      <c r="AD1462" s="11"/>
      <c r="AH1462" s="8"/>
      <c r="AI1462" s="20"/>
      <c r="AJ1462" s="20"/>
      <c r="AK1462" s="31"/>
      <c r="AL1462" s="31"/>
    </row>
    <row r="1463" spans="1:38" hidden="1" x14ac:dyDescent="0.25">
      <c r="A1463" s="9"/>
      <c r="B1463" s="7"/>
      <c r="C1463" s="7"/>
      <c r="D1463" s="7"/>
      <c r="E1463" s="7"/>
      <c r="F1463" s="7"/>
      <c r="G1463" s="7"/>
      <c r="H1463" s="7"/>
      <c r="I1463" s="7"/>
      <c r="J1463" s="20"/>
      <c r="K1463" s="20"/>
      <c r="L1463" s="20"/>
      <c r="M1463" s="20"/>
      <c r="N1463" s="9"/>
      <c r="P1463" s="7"/>
      <c r="Q1463" s="11"/>
      <c r="R1463" s="8"/>
      <c r="S1463" s="7"/>
      <c r="T1463" s="7"/>
      <c r="U1463" s="7"/>
      <c r="V1463" s="7"/>
      <c r="W1463" s="7"/>
      <c r="X1463" s="8"/>
      <c r="Y1463" s="7"/>
      <c r="Z1463" s="7"/>
      <c r="AA1463" s="11"/>
      <c r="AB1463" s="11"/>
      <c r="AC1463" s="11"/>
      <c r="AD1463" s="11"/>
      <c r="AH1463" s="8"/>
      <c r="AI1463" s="20"/>
      <c r="AJ1463" s="20"/>
      <c r="AK1463" s="31"/>
      <c r="AL1463" s="31"/>
    </row>
    <row r="1464" spans="1:38" hidden="1" x14ac:dyDescent="0.25">
      <c r="A1464" s="9"/>
      <c r="B1464" s="7"/>
      <c r="C1464" s="7"/>
      <c r="D1464" s="7"/>
      <c r="E1464" s="7"/>
      <c r="F1464" s="7"/>
      <c r="G1464" s="7"/>
      <c r="H1464" s="7"/>
      <c r="I1464" s="7"/>
      <c r="J1464" s="20"/>
      <c r="K1464" s="20"/>
      <c r="L1464" s="20"/>
      <c r="M1464" s="20"/>
      <c r="N1464" s="9"/>
      <c r="P1464" s="7"/>
      <c r="Q1464" s="11"/>
      <c r="R1464" s="8"/>
      <c r="S1464" s="7"/>
      <c r="T1464" s="7"/>
      <c r="U1464" s="7"/>
      <c r="V1464" s="7"/>
      <c r="W1464" s="7"/>
      <c r="X1464" s="8"/>
      <c r="Y1464" s="7"/>
      <c r="Z1464" s="7"/>
      <c r="AA1464" s="11"/>
      <c r="AB1464" s="11"/>
      <c r="AC1464" s="11"/>
      <c r="AD1464" s="11"/>
      <c r="AH1464" s="8"/>
      <c r="AI1464" s="20"/>
      <c r="AJ1464" s="20"/>
      <c r="AK1464" s="31"/>
      <c r="AL1464" s="31"/>
    </row>
    <row r="1465" spans="1:38" hidden="1" x14ac:dyDescent="0.25">
      <c r="A1465" s="9"/>
      <c r="B1465" s="7"/>
      <c r="C1465" s="7"/>
      <c r="D1465" s="7"/>
      <c r="E1465" s="7"/>
      <c r="F1465" s="7"/>
      <c r="G1465" s="7"/>
      <c r="H1465" s="7"/>
      <c r="I1465" s="7"/>
      <c r="J1465" s="20"/>
      <c r="K1465" s="20"/>
      <c r="L1465" s="20"/>
      <c r="M1465" s="20"/>
      <c r="N1465" s="9"/>
      <c r="P1465" s="7"/>
      <c r="Q1465" s="11"/>
      <c r="R1465" s="8"/>
      <c r="S1465" s="7"/>
      <c r="T1465" s="7"/>
      <c r="U1465" s="7"/>
      <c r="V1465" s="7"/>
      <c r="W1465" s="7"/>
      <c r="X1465" s="8"/>
      <c r="Y1465" s="7"/>
      <c r="Z1465" s="7"/>
      <c r="AA1465" s="11"/>
      <c r="AB1465" s="11"/>
      <c r="AC1465" s="11"/>
      <c r="AD1465" s="11"/>
      <c r="AH1465" s="8"/>
      <c r="AI1465" s="20"/>
      <c r="AJ1465" s="20"/>
      <c r="AK1465" s="31"/>
      <c r="AL1465" s="31"/>
    </row>
    <row r="1466" spans="1:38" hidden="1" x14ac:dyDescent="0.25">
      <c r="A1466" s="9"/>
      <c r="B1466" s="7"/>
      <c r="C1466" s="7"/>
      <c r="D1466" s="7"/>
      <c r="E1466" s="7"/>
      <c r="F1466" s="7"/>
      <c r="G1466" s="7"/>
      <c r="H1466" s="7"/>
      <c r="I1466" s="7"/>
      <c r="J1466" s="20"/>
      <c r="K1466" s="20"/>
      <c r="L1466" s="20"/>
      <c r="M1466" s="20"/>
      <c r="N1466" s="9"/>
      <c r="P1466" s="7"/>
      <c r="Q1466" s="11"/>
      <c r="R1466" s="8"/>
      <c r="S1466" s="7"/>
      <c r="T1466" s="7"/>
      <c r="U1466" s="7"/>
      <c r="V1466" s="7"/>
      <c r="W1466" s="7"/>
      <c r="X1466" s="8"/>
      <c r="Y1466" s="7"/>
      <c r="Z1466" s="7"/>
      <c r="AA1466" s="11"/>
      <c r="AB1466" s="11"/>
      <c r="AC1466" s="11"/>
      <c r="AD1466" s="11"/>
      <c r="AH1466" s="8"/>
      <c r="AI1466" s="20"/>
      <c r="AJ1466" s="20"/>
      <c r="AK1466" s="31"/>
      <c r="AL1466" s="31"/>
    </row>
    <row r="1467" spans="1:38" hidden="1" x14ac:dyDescent="0.25">
      <c r="A1467" s="9"/>
      <c r="B1467" s="7"/>
      <c r="C1467" s="7"/>
      <c r="D1467" s="7"/>
      <c r="E1467" s="7"/>
      <c r="F1467" s="7"/>
      <c r="G1467" s="7"/>
      <c r="H1467" s="7"/>
      <c r="I1467" s="7"/>
      <c r="J1467" s="20"/>
      <c r="K1467" s="20"/>
      <c r="L1467" s="20"/>
      <c r="M1467" s="20"/>
      <c r="N1467" s="9"/>
      <c r="P1467" s="7"/>
      <c r="Q1467" s="11"/>
      <c r="R1467" s="8"/>
      <c r="S1467" s="7"/>
      <c r="T1467" s="7"/>
      <c r="U1467" s="7"/>
      <c r="V1467" s="7"/>
      <c r="W1467" s="7"/>
      <c r="X1467" s="8"/>
      <c r="Y1467" s="7"/>
      <c r="Z1467" s="7"/>
      <c r="AA1467" s="11"/>
      <c r="AB1467" s="11"/>
      <c r="AC1467" s="11"/>
      <c r="AD1467" s="11"/>
      <c r="AH1467" s="8"/>
      <c r="AI1467" s="20"/>
      <c r="AJ1467" s="20"/>
      <c r="AK1467" s="31"/>
      <c r="AL1467" s="31"/>
    </row>
    <row r="1468" spans="1:38" hidden="1" x14ac:dyDescent="0.25">
      <c r="A1468" s="9"/>
      <c r="B1468" s="7"/>
      <c r="C1468" s="7"/>
      <c r="D1468" s="7"/>
      <c r="E1468" s="7"/>
      <c r="F1468" s="7"/>
      <c r="G1468" s="7"/>
      <c r="H1468" s="7"/>
      <c r="I1468" s="7"/>
      <c r="J1468" s="20"/>
      <c r="K1468" s="20"/>
      <c r="L1468" s="20"/>
      <c r="M1468" s="20"/>
      <c r="N1468" s="9"/>
      <c r="P1468" s="7"/>
      <c r="Q1468" s="11"/>
      <c r="R1468" s="8"/>
      <c r="S1468" s="7"/>
      <c r="T1468" s="7"/>
      <c r="U1468" s="7"/>
      <c r="V1468" s="7"/>
      <c r="W1468" s="7"/>
      <c r="X1468" s="8"/>
      <c r="Y1468" s="7"/>
      <c r="Z1468" s="7"/>
      <c r="AA1468" s="11"/>
      <c r="AB1468" s="11"/>
      <c r="AC1468" s="11"/>
      <c r="AD1468" s="11"/>
      <c r="AH1468" s="8"/>
      <c r="AI1468" s="20"/>
      <c r="AJ1468" s="20"/>
      <c r="AK1468" s="31"/>
      <c r="AL1468" s="31"/>
    </row>
    <row r="1469" spans="1:38" hidden="1" x14ac:dyDescent="0.25">
      <c r="A1469" s="9"/>
      <c r="B1469" s="7"/>
      <c r="C1469" s="7"/>
      <c r="D1469" s="7"/>
      <c r="E1469" s="7"/>
      <c r="F1469" s="7"/>
      <c r="G1469" s="7"/>
      <c r="H1469" s="7"/>
      <c r="I1469" s="7"/>
      <c r="J1469" s="20"/>
      <c r="K1469" s="20"/>
      <c r="L1469" s="20"/>
      <c r="M1469" s="20"/>
      <c r="N1469" s="9"/>
      <c r="P1469" s="7"/>
      <c r="Q1469" s="11"/>
      <c r="R1469" s="8"/>
      <c r="S1469" s="7"/>
      <c r="T1469" s="7"/>
      <c r="U1469" s="7"/>
      <c r="V1469" s="7"/>
      <c r="W1469" s="7"/>
      <c r="X1469" s="8"/>
      <c r="Y1469" s="7"/>
      <c r="Z1469" s="7"/>
      <c r="AA1469" s="11"/>
      <c r="AB1469" s="11"/>
      <c r="AC1469" s="11"/>
      <c r="AD1469" s="11"/>
      <c r="AH1469" s="8"/>
      <c r="AI1469" s="20"/>
      <c r="AJ1469" s="20"/>
      <c r="AK1469" s="31"/>
      <c r="AL1469" s="31"/>
    </row>
    <row r="1470" spans="1:38" hidden="1" x14ac:dyDescent="0.25">
      <c r="A1470" s="9"/>
      <c r="B1470" s="7"/>
      <c r="C1470" s="7"/>
      <c r="D1470" s="7"/>
      <c r="E1470" s="7"/>
      <c r="F1470" s="7"/>
      <c r="G1470" s="7"/>
      <c r="H1470" s="7"/>
      <c r="I1470" s="7"/>
      <c r="J1470" s="20"/>
      <c r="K1470" s="20"/>
      <c r="L1470" s="20"/>
      <c r="M1470" s="20"/>
      <c r="N1470" s="9"/>
      <c r="P1470" s="7"/>
      <c r="Q1470" s="11"/>
      <c r="R1470" s="8"/>
      <c r="S1470" s="7"/>
      <c r="T1470" s="7"/>
      <c r="U1470" s="7"/>
      <c r="V1470" s="7"/>
      <c r="W1470" s="7"/>
      <c r="X1470" s="8"/>
      <c r="Y1470" s="7"/>
      <c r="Z1470" s="7"/>
      <c r="AA1470" s="11"/>
      <c r="AB1470" s="11"/>
      <c r="AC1470" s="11"/>
      <c r="AD1470" s="11"/>
      <c r="AH1470" s="8"/>
      <c r="AI1470" s="20"/>
      <c r="AJ1470" s="20"/>
      <c r="AK1470" s="31"/>
      <c r="AL1470" s="31"/>
    </row>
    <row r="1471" spans="1:38" hidden="1" x14ac:dyDescent="0.25">
      <c r="A1471" s="9"/>
      <c r="B1471" s="7"/>
      <c r="C1471" s="7"/>
      <c r="D1471" s="7"/>
      <c r="E1471" s="7"/>
      <c r="F1471" s="7"/>
      <c r="G1471" s="7"/>
      <c r="H1471" s="7"/>
      <c r="I1471" s="7"/>
      <c r="J1471" s="20"/>
      <c r="K1471" s="20"/>
      <c r="L1471" s="20"/>
      <c r="M1471" s="20"/>
      <c r="N1471" s="9"/>
      <c r="P1471" s="7"/>
      <c r="Q1471" s="11"/>
      <c r="R1471" s="8"/>
      <c r="S1471" s="7"/>
      <c r="T1471" s="7"/>
      <c r="U1471" s="7"/>
      <c r="V1471" s="7"/>
      <c r="W1471" s="7"/>
      <c r="X1471" s="8"/>
      <c r="Y1471" s="7"/>
      <c r="Z1471" s="7"/>
      <c r="AA1471" s="11"/>
      <c r="AB1471" s="11"/>
      <c r="AC1471" s="11"/>
      <c r="AD1471" s="11"/>
      <c r="AH1471" s="8"/>
      <c r="AI1471" s="20"/>
      <c r="AJ1471" s="20"/>
      <c r="AK1471" s="31"/>
      <c r="AL1471" s="31"/>
    </row>
    <row r="1472" spans="1:38" hidden="1" x14ac:dyDescent="0.25">
      <c r="A1472" s="9"/>
      <c r="B1472" s="7"/>
      <c r="C1472" s="7"/>
      <c r="D1472" s="7"/>
      <c r="E1472" s="7"/>
      <c r="F1472" s="7"/>
      <c r="G1472" s="7"/>
      <c r="H1472" s="7"/>
      <c r="I1472" s="7"/>
      <c r="J1472" s="20"/>
      <c r="K1472" s="20"/>
      <c r="L1472" s="20"/>
      <c r="M1472" s="20"/>
      <c r="N1472" s="9"/>
      <c r="P1472" s="7"/>
      <c r="Q1472" s="11"/>
      <c r="R1472" s="8"/>
      <c r="S1472" s="7"/>
      <c r="T1472" s="7"/>
      <c r="U1472" s="7"/>
      <c r="V1472" s="7"/>
      <c r="W1472" s="7"/>
      <c r="X1472" s="8"/>
      <c r="Y1472" s="7"/>
      <c r="Z1472" s="7"/>
      <c r="AA1472" s="11"/>
      <c r="AB1472" s="11"/>
      <c r="AC1472" s="11"/>
      <c r="AD1472" s="11"/>
      <c r="AH1472" s="8"/>
      <c r="AI1472" s="20"/>
      <c r="AJ1472" s="20"/>
      <c r="AK1472" s="31"/>
      <c r="AL1472" s="31"/>
    </row>
    <row r="1473" spans="1:38" hidden="1" x14ac:dyDescent="0.25">
      <c r="A1473" s="9"/>
      <c r="B1473" s="7"/>
      <c r="C1473" s="7"/>
      <c r="D1473" s="7"/>
      <c r="E1473" s="7"/>
      <c r="F1473" s="7"/>
      <c r="G1473" s="7"/>
      <c r="H1473" s="7"/>
      <c r="I1473" s="7"/>
      <c r="J1473" s="20"/>
      <c r="K1473" s="20"/>
      <c r="L1473" s="20"/>
      <c r="M1473" s="20"/>
      <c r="N1473" s="9"/>
      <c r="P1473" s="7"/>
      <c r="Q1473" s="11"/>
      <c r="R1473" s="8"/>
      <c r="S1473" s="7"/>
      <c r="T1473" s="7"/>
      <c r="U1473" s="7"/>
      <c r="V1473" s="7"/>
      <c r="W1473" s="7"/>
      <c r="X1473" s="8"/>
      <c r="Y1473" s="7"/>
      <c r="Z1473" s="7"/>
      <c r="AA1473" s="11"/>
      <c r="AB1473" s="11"/>
      <c r="AC1473" s="11"/>
      <c r="AD1473" s="11"/>
      <c r="AH1473" s="8"/>
      <c r="AI1473" s="20"/>
      <c r="AJ1473" s="20"/>
      <c r="AK1473" s="31"/>
      <c r="AL1473" s="31"/>
    </row>
    <row r="1474" spans="1:38" hidden="1" x14ac:dyDescent="0.25">
      <c r="A1474" s="9"/>
      <c r="B1474" s="7"/>
      <c r="C1474" s="7"/>
      <c r="D1474" s="7"/>
      <c r="E1474" s="7"/>
      <c r="F1474" s="7"/>
      <c r="G1474" s="7"/>
      <c r="H1474" s="7"/>
      <c r="I1474" s="7"/>
      <c r="J1474" s="20"/>
      <c r="K1474" s="20"/>
      <c r="L1474" s="20"/>
      <c r="M1474" s="20"/>
      <c r="N1474" s="9"/>
      <c r="P1474" s="7"/>
      <c r="Q1474" s="11"/>
      <c r="R1474" s="8"/>
      <c r="S1474" s="7"/>
      <c r="T1474" s="7"/>
      <c r="U1474" s="7"/>
      <c r="V1474" s="7"/>
      <c r="W1474" s="7"/>
      <c r="X1474" s="8"/>
      <c r="Y1474" s="7"/>
      <c r="Z1474" s="7"/>
      <c r="AA1474" s="11"/>
      <c r="AB1474" s="11"/>
      <c r="AC1474" s="11"/>
      <c r="AD1474" s="11"/>
      <c r="AH1474" s="8"/>
      <c r="AI1474" s="20"/>
      <c r="AJ1474" s="20"/>
      <c r="AK1474" s="31"/>
      <c r="AL1474" s="31"/>
    </row>
    <row r="1475" spans="1:38" hidden="1" x14ac:dyDescent="0.25">
      <c r="A1475" s="9"/>
      <c r="B1475" s="7"/>
      <c r="C1475" s="7"/>
      <c r="D1475" s="7"/>
      <c r="E1475" s="7"/>
      <c r="F1475" s="7"/>
      <c r="G1475" s="7"/>
      <c r="H1475" s="7"/>
      <c r="I1475" s="7"/>
      <c r="J1475" s="20"/>
      <c r="K1475" s="20"/>
      <c r="L1475" s="20"/>
      <c r="M1475" s="20"/>
      <c r="N1475" s="9"/>
      <c r="P1475" s="7"/>
      <c r="Q1475" s="11"/>
      <c r="R1475" s="8"/>
      <c r="S1475" s="7"/>
      <c r="T1475" s="7"/>
      <c r="U1475" s="7"/>
      <c r="V1475" s="7"/>
      <c r="W1475" s="7"/>
      <c r="X1475" s="8"/>
      <c r="Y1475" s="7"/>
      <c r="Z1475" s="7"/>
      <c r="AA1475" s="11"/>
      <c r="AB1475" s="11"/>
      <c r="AC1475" s="11"/>
      <c r="AD1475" s="11"/>
      <c r="AH1475" s="8"/>
      <c r="AI1475" s="20"/>
      <c r="AJ1475" s="20"/>
      <c r="AK1475" s="31"/>
      <c r="AL1475" s="31"/>
    </row>
    <row r="1476" spans="1:38" hidden="1" x14ac:dyDescent="0.25">
      <c r="A1476" s="9"/>
      <c r="B1476" s="7"/>
      <c r="C1476" s="7"/>
      <c r="D1476" s="7"/>
      <c r="E1476" s="7"/>
      <c r="F1476" s="7"/>
      <c r="G1476" s="7"/>
      <c r="H1476" s="7"/>
      <c r="I1476" s="7"/>
      <c r="J1476" s="20"/>
      <c r="K1476" s="20"/>
      <c r="L1476" s="20"/>
      <c r="M1476" s="20"/>
      <c r="N1476" s="9"/>
      <c r="P1476" s="7"/>
      <c r="Q1476" s="11"/>
      <c r="R1476" s="8"/>
      <c r="S1476" s="7"/>
      <c r="T1476" s="7"/>
      <c r="U1476" s="7"/>
      <c r="V1476" s="7"/>
      <c r="W1476" s="7"/>
      <c r="X1476" s="8"/>
      <c r="Y1476" s="7"/>
      <c r="Z1476" s="7"/>
      <c r="AA1476" s="11"/>
      <c r="AB1476" s="11"/>
      <c r="AC1476" s="11"/>
      <c r="AD1476" s="11"/>
      <c r="AH1476" s="8"/>
      <c r="AI1476" s="20"/>
      <c r="AJ1476" s="20"/>
      <c r="AK1476" s="31"/>
      <c r="AL1476" s="31"/>
    </row>
    <row r="1477" spans="1:38" hidden="1" x14ac:dyDescent="0.25">
      <c r="A1477" s="9"/>
      <c r="B1477" s="7"/>
      <c r="C1477" s="7"/>
      <c r="D1477" s="7"/>
      <c r="E1477" s="7"/>
      <c r="F1477" s="7"/>
      <c r="G1477" s="7"/>
      <c r="H1477" s="7"/>
      <c r="I1477" s="7"/>
      <c r="J1477" s="20"/>
      <c r="K1477" s="20"/>
      <c r="L1477" s="20"/>
      <c r="M1477" s="20"/>
      <c r="N1477" s="9"/>
      <c r="P1477" s="7"/>
      <c r="Q1477" s="11"/>
      <c r="R1477" s="8"/>
      <c r="S1477" s="7"/>
      <c r="T1477" s="7"/>
      <c r="U1477" s="7"/>
      <c r="V1477" s="7"/>
      <c r="W1477" s="7"/>
      <c r="X1477" s="8"/>
      <c r="Y1477" s="7"/>
      <c r="Z1477" s="7"/>
      <c r="AA1477" s="11"/>
      <c r="AB1477" s="11"/>
      <c r="AC1477" s="11"/>
      <c r="AD1477" s="11"/>
      <c r="AH1477" s="8"/>
      <c r="AI1477" s="20"/>
      <c r="AJ1477" s="20"/>
      <c r="AK1477" s="31"/>
      <c r="AL1477" s="31"/>
    </row>
    <row r="1478" spans="1:38" hidden="1" x14ac:dyDescent="0.25">
      <c r="A1478" s="9"/>
      <c r="B1478" s="7"/>
      <c r="C1478" s="7"/>
      <c r="D1478" s="7"/>
      <c r="E1478" s="7"/>
      <c r="F1478" s="7"/>
      <c r="G1478" s="7"/>
      <c r="H1478" s="7"/>
      <c r="I1478" s="7"/>
      <c r="J1478" s="20"/>
      <c r="K1478" s="20"/>
      <c r="L1478" s="20"/>
      <c r="M1478" s="20"/>
      <c r="N1478" s="9"/>
      <c r="P1478" s="7"/>
      <c r="Q1478" s="11"/>
      <c r="R1478" s="8"/>
      <c r="S1478" s="7"/>
      <c r="T1478" s="7"/>
      <c r="U1478" s="7"/>
      <c r="V1478" s="7"/>
      <c r="W1478" s="7"/>
      <c r="X1478" s="8"/>
      <c r="Y1478" s="7"/>
      <c r="Z1478" s="7"/>
      <c r="AA1478" s="11"/>
      <c r="AB1478" s="11"/>
      <c r="AC1478" s="11"/>
      <c r="AD1478" s="11"/>
      <c r="AH1478" s="8"/>
      <c r="AI1478" s="20"/>
      <c r="AJ1478" s="20"/>
      <c r="AK1478" s="31"/>
      <c r="AL1478" s="31"/>
    </row>
    <row r="1479" spans="1:38" hidden="1" x14ac:dyDescent="0.25">
      <c r="A1479" s="9"/>
      <c r="B1479" s="7"/>
      <c r="C1479" s="7"/>
      <c r="D1479" s="7"/>
      <c r="E1479" s="7"/>
      <c r="F1479" s="7"/>
      <c r="G1479" s="7"/>
      <c r="H1479" s="7"/>
      <c r="I1479" s="7"/>
      <c r="J1479" s="20"/>
      <c r="K1479" s="20"/>
      <c r="L1479" s="20"/>
      <c r="M1479" s="20"/>
      <c r="N1479" s="9"/>
      <c r="P1479" s="7"/>
      <c r="Q1479" s="11"/>
      <c r="R1479" s="8"/>
      <c r="S1479" s="7"/>
      <c r="T1479" s="7"/>
      <c r="U1479" s="7"/>
      <c r="V1479" s="7"/>
      <c r="W1479" s="7"/>
      <c r="X1479" s="8"/>
      <c r="Y1479" s="7"/>
      <c r="Z1479" s="7"/>
      <c r="AA1479" s="11"/>
      <c r="AB1479" s="11"/>
      <c r="AC1479" s="11"/>
      <c r="AD1479" s="11"/>
      <c r="AH1479" s="8"/>
      <c r="AI1479" s="20"/>
      <c r="AJ1479" s="20"/>
      <c r="AK1479" s="31"/>
      <c r="AL1479" s="31"/>
    </row>
    <row r="1480" spans="1:38" hidden="1" x14ac:dyDescent="0.25">
      <c r="A1480" s="9"/>
      <c r="B1480" s="7"/>
      <c r="C1480" s="7"/>
      <c r="D1480" s="7"/>
      <c r="E1480" s="7"/>
      <c r="F1480" s="7"/>
      <c r="G1480" s="7"/>
      <c r="H1480" s="7"/>
      <c r="I1480" s="7"/>
      <c r="J1480" s="20"/>
      <c r="K1480" s="20"/>
      <c r="L1480" s="20"/>
      <c r="M1480" s="20"/>
      <c r="N1480" s="9"/>
      <c r="P1480" s="7"/>
      <c r="Q1480" s="11"/>
      <c r="R1480" s="8"/>
      <c r="S1480" s="7"/>
      <c r="T1480" s="7"/>
      <c r="U1480" s="7"/>
      <c r="V1480" s="7"/>
      <c r="W1480" s="7"/>
      <c r="X1480" s="8"/>
      <c r="Y1480" s="7"/>
      <c r="Z1480" s="7"/>
      <c r="AA1480" s="11"/>
      <c r="AB1480" s="11"/>
      <c r="AC1480" s="11"/>
      <c r="AD1480" s="11"/>
      <c r="AH1480" s="8"/>
      <c r="AI1480" s="20"/>
      <c r="AJ1480" s="20"/>
      <c r="AK1480" s="31"/>
      <c r="AL1480" s="31"/>
    </row>
    <row r="1481" spans="1:38" hidden="1" x14ac:dyDescent="0.25">
      <c r="A1481" s="9"/>
      <c r="B1481" s="7"/>
      <c r="C1481" s="7"/>
      <c r="D1481" s="7"/>
      <c r="E1481" s="7"/>
      <c r="F1481" s="7"/>
      <c r="G1481" s="7"/>
      <c r="H1481" s="7"/>
      <c r="I1481" s="7"/>
      <c r="J1481" s="20"/>
      <c r="K1481" s="20"/>
      <c r="L1481" s="20"/>
      <c r="M1481" s="20"/>
      <c r="N1481" s="9"/>
      <c r="P1481" s="7"/>
      <c r="Q1481" s="11"/>
      <c r="R1481" s="8"/>
      <c r="S1481" s="7"/>
      <c r="T1481" s="7"/>
      <c r="U1481" s="7"/>
      <c r="V1481" s="7"/>
      <c r="W1481" s="7"/>
      <c r="X1481" s="8"/>
      <c r="Y1481" s="7"/>
      <c r="Z1481" s="7"/>
      <c r="AA1481" s="11"/>
      <c r="AB1481" s="11"/>
      <c r="AC1481" s="11"/>
      <c r="AD1481" s="11"/>
      <c r="AH1481" s="8"/>
      <c r="AI1481" s="20"/>
      <c r="AJ1481" s="20"/>
      <c r="AK1481" s="31"/>
      <c r="AL1481" s="31"/>
    </row>
    <row r="1482" spans="1:38" hidden="1" x14ac:dyDescent="0.25">
      <c r="A1482" s="9"/>
      <c r="B1482" s="7"/>
      <c r="C1482" s="7"/>
      <c r="D1482" s="7"/>
      <c r="E1482" s="7"/>
      <c r="F1482" s="7"/>
      <c r="G1482" s="7"/>
      <c r="H1482" s="7"/>
      <c r="I1482" s="7"/>
      <c r="J1482" s="20"/>
      <c r="K1482" s="20"/>
      <c r="L1482" s="20"/>
      <c r="M1482" s="20"/>
      <c r="N1482" s="9"/>
      <c r="P1482" s="7"/>
      <c r="Q1482" s="11"/>
      <c r="R1482" s="8"/>
      <c r="S1482" s="7"/>
      <c r="T1482" s="7"/>
      <c r="U1482" s="7"/>
      <c r="V1482" s="7"/>
      <c r="W1482" s="7"/>
      <c r="X1482" s="8"/>
      <c r="Y1482" s="7"/>
      <c r="Z1482" s="7"/>
      <c r="AA1482" s="11"/>
      <c r="AB1482" s="11"/>
      <c r="AC1482" s="11"/>
      <c r="AD1482" s="11"/>
      <c r="AH1482" s="8"/>
      <c r="AI1482" s="20"/>
      <c r="AJ1482" s="20"/>
      <c r="AK1482" s="31"/>
      <c r="AL1482" s="31"/>
    </row>
    <row r="1483" spans="1:38" hidden="1" x14ac:dyDescent="0.25">
      <c r="A1483" s="9"/>
      <c r="B1483" s="7"/>
      <c r="C1483" s="7"/>
      <c r="D1483" s="7"/>
      <c r="E1483" s="7"/>
      <c r="F1483" s="7"/>
      <c r="G1483" s="7"/>
      <c r="H1483" s="7"/>
      <c r="I1483" s="7"/>
      <c r="J1483" s="20"/>
      <c r="K1483" s="20"/>
      <c r="L1483" s="20"/>
      <c r="M1483" s="20"/>
      <c r="N1483" s="9"/>
      <c r="P1483" s="7"/>
      <c r="Q1483" s="11"/>
      <c r="R1483" s="8"/>
      <c r="S1483" s="7"/>
      <c r="T1483" s="7"/>
      <c r="U1483" s="7"/>
      <c r="V1483" s="7"/>
      <c r="W1483" s="7"/>
      <c r="X1483" s="8"/>
      <c r="Y1483" s="7"/>
      <c r="Z1483" s="7"/>
      <c r="AA1483" s="11"/>
      <c r="AB1483" s="11"/>
      <c r="AC1483" s="11"/>
      <c r="AD1483" s="11"/>
      <c r="AH1483" s="8"/>
      <c r="AI1483" s="20"/>
      <c r="AJ1483" s="20"/>
      <c r="AK1483" s="31"/>
      <c r="AL1483" s="31"/>
    </row>
    <row r="1484" spans="1:38" hidden="1" x14ac:dyDescent="0.25">
      <c r="A1484" s="9"/>
      <c r="B1484" s="7"/>
      <c r="C1484" s="7"/>
      <c r="D1484" s="7"/>
      <c r="E1484" s="7"/>
      <c r="F1484" s="7"/>
      <c r="G1484" s="7"/>
      <c r="H1484" s="7"/>
      <c r="I1484" s="7"/>
      <c r="J1484" s="20"/>
      <c r="K1484" s="20"/>
      <c r="L1484" s="20"/>
      <c r="M1484" s="20"/>
      <c r="N1484" s="9"/>
      <c r="P1484" s="7"/>
      <c r="Q1484" s="11"/>
      <c r="R1484" s="8"/>
      <c r="S1484" s="7"/>
      <c r="T1484" s="7"/>
      <c r="U1484" s="7"/>
      <c r="V1484" s="7"/>
      <c r="W1484" s="7"/>
      <c r="X1484" s="8"/>
      <c r="Y1484" s="7"/>
      <c r="Z1484" s="7"/>
      <c r="AA1484" s="11"/>
      <c r="AB1484" s="11"/>
      <c r="AC1484" s="11"/>
      <c r="AD1484" s="11"/>
      <c r="AH1484" s="8"/>
      <c r="AI1484" s="20"/>
      <c r="AJ1484" s="20"/>
      <c r="AK1484" s="31"/>
      <c r="AL1484" s="31"/>
    </row>
    <row r="1485" spans="1:38" hidden="1" x14ac:dyDescent="0.25">
      <c r="A1485" s="9"/>
      <c r="B1485" s="7"/>
      <c r="C1485" s="7"/>
      <c r="D1485" s="7"/>
      <c r="E1485" s="7"/>
      <c r="F1485" s="7"/>
      <c r="G1485" s="7"/>
      <c r="H1485" s="7"/>
      <c r="I1485" s="7"/>
      <c r="J1485" s="20"/>
      <c r="K1485" s="20"/>
      <c r="L1485" s="20"/>
      <c r="M1485" s="20"/>
      <c r="N1485" s="9"/>
      <c r="P1485" s="7"/>
      <c r="Q1485" s="11"/>
      <c r="R1485" s="8"/>
      <c r="S1485" s="7"/>
      <c r="T1485" s="7"/>
      <c r="U1485" s="7"/>
      <c r="V1485" s="7"/>
      <c r="W1485" s="7"/>
      <c r="X1485" s="8"/>
      <c r="Y1485" s="7"/>
      <c r="Z1485" s="7"/>
      <c r="AA1485" s="11"/>
      <c r="AB1485" s="11"/>
      <c r="AC1485" s="11"/>
      <c r="AD1485" s="11"/>
      <c r="AH1485" s="8"/>
      <c r="AI1485" s="20"/>
      <c r="AJ1485" s="20"/>
      <c r="AK1485" s="31"/>
      <c r="AL1485" s="31"/>
    </row>
    <row r="1486" spans="1:38" hidden="1" x14ac:dyDescent="0.25">
      <c r="A1486" s="9"/>
      <c r="B1486" s="7"/>
      <c r="C1486" s="7"/>
      <c r="D1486" s="7"/>
      <c r="E1486" s="7"/>
      <c r="F1486" s="7"/>
      <c r="G1486" s="7"/>
      <c r="H1486" s="7"/>
      <c r="I1486" s="7"/>
      <c r="J1486" s="20"/>
      <c r="K1486" s="20"/>
      <c r="L1486" s="20"/>
      <c r="M1486" s="20"/>
      <c r="N1486" s="9"/>
      <c r="P1486" s="7"/>
      <c r="Q1486" s="11"/>
      <c r="R1486" s="8"/>
      <c r="S1486" s="7"/>
      <c r="T1486" s="7"/>
      <c r="U1486" s="7"/>
      <c r="V1486" s="7"/>
      <c r="W1486" s="7"/>
      <c r="X1486" s="8"/>
      <c r="Y1486" s="7"/>
      <c r="Z1486" s="7"/>
      <c r="AA1486" s="11"/>
      <c r="AB1486" s="11"/>
      <c r="AC1486" s="11"/>
      <c r="AD1486" s="11"/>
      <c r="AH1486" s="8"/>
      <c r="AI1486" s="20"/>
      <c r="AJ1486" s="20"/>
      <c r="AK1486" s="31"/>
      <c r="AL1486" s="31"/>
    </row>
    <row r="1487" spans="1:38" hidden="1" x14ac:dyDescent="0.25">
      <c r="A1487" s="9"/>
      <c r="B1487" s="7"/>
      <c r="C1487" s="7"/>
      <c r="D1487" s="7"/>
      <c r="E1487" s="7"/>
      <c r="F1487" s="7"/>
      <c r="G1487" s="7"/>
      <c r="H1487" s="7"/>
      <c r="I1487" s="7"/>
      <c r="J1487" s="20"/>
      <c r="K1487" s="20"/>
      <c r="L1487" s="20"/>
      <c r="M1487" s="20"/>
      <c r="N1487" s="9"/>
      <c r="P1487" s="7"/>
      <c r="Q1487" s="11"/>
      <c r="R1487" s="8"/>
      <c r="S1487" s="7"/>
      <c r="T1487" s="7"/>
      <c r="U1487" s="7"/>
      <c r="V1487" s="7"/>
      <c r="W1487" s="7"/>
      <c r="X1487" s="8"/>
      <c r="Y1487" s="7"/>
      <c r="Z1487" s="7"/>
      <c r="AA1487" s="11"/>
      <c r="AB1487" s="11"/>
      <c r="AC1487" s="11"/>
      <c r="AD1487" s="11"/>
      <c r="AH1487" s="8"/>
      <c r="AI1487" s="20"/>
      <c r="AJ1487" s="20"/>
      <c r="AK1487" s="31"/>
      <c r="AL1487" s="31"/>
    </row>
    <row r="1488" spans="1:38" hidden="1" x14ac:dyDescent="0.25">
      <c r="A1488" s="9"/>
      <c r="B1488" s="7"/>
      <c r="C1488" s="7"/>
      <c r="D1488" s="7"/>
      <c r="E1488" s="7"/>
      <c r="F1488" s="7"/>
      <c r="G1488" s="7"/>
      <c r="H1488" s="7"/>
      <c r="I1488" s="7"/>
      <c r="J1488" s="20"/>
      <c r="K1488" s="20"/>
      <c r="L1488" s="20"/>
      <c r="M1488" s="20"/>
      <c r="N1488" s="9"/>
      <c r="P1488" s="7"/>
      <c r="Q1488" s="11"/>
      <c r="R1488" s="8"/>
      <c r="S1488" s="7"/>
      <c r="T1488" s="7"/>
      <c r="U1488" s="7"/>
      <c r="V1488" s="7"/>
      <c r="W1488" s="7"/>
      <c r="X1488" s="8"/>
      <c r="Y1488" s="7"/>
      <c r="Z1488" s="7"/>
      <c r="AA1488" s="11"/>
      <c r="AB1488" s="11"/>
      <c r="AC1488" s="11"/>
      <c r="AD1488" s="11"/>
      <c r="AH1488" s="8"/>
      <c r="AI1488" s="20"/>
      <c r="AJ1488" s="20"/>
      <c r="AK1488" s="31"/>
      <c r="AL1488" s="31"/>
    </row>
    <row r="1489" spans="1:38" hidden="1" x14ac:dyDescent="0.25">
      <c r="A1489" s="9"/>
      <c r="B1489" s="7"/>
      <c r="C1489" s="7"/>
      <c r="D1489" s="7"/>
      <c r="E1489" s="7"/>
      <c r="F1489" s="7"/>
      <c r="G1489" s="7"/>
      <c r="H1489" s="7"/>
      <c r="I1489" s="7"/>
      <c r="J1489" s="20"/>
      <c r="K1489" s="20"/>
      <c r="L1489" s="20"/>
      <c r="M1489" s="20"/>
      <c r="N1489" s="9"/>
      <c r="P1489" s="7"/>
      <c r="Q1489" s="11"/>
      <c r="R1489" s="8"/>
      <c r="S1489" s="7"/>
      <c r="T1489" s="7"/>
      <c r="U1489" s="7"/>
      <c r="V1489" s="7"/>
      <c r="W1489" s="7"/>
      <c r="X1489" s="8"/>
      <c r="Y1489" s="7"/>
      <c r="Z1489" s="7"/>
      <c r="AA1489" s="11"/>
      <c r="AB1489" s="11"/>
      <c r="AC1489" s="11"/>
      <c r="AD1489" s="11"/>
      <c r="AH1489" s="8"/>
      <c r="AI1489" s="20"/>
      <c r="AJ1489" s="20"/>
      <c r="AK1489" s="31"/>
      <c r="AL1489" s="31"/>
    </row>
    <row r="1490" spans="1:38" hidden="1" x14ac:dyDescent="0.25">
      <c r="A1490" s="9"/>
      <c r="B1490" s="7"/>
      <c r="C1490" s="7"/>
      <c r="D1490" s="7"/>
      <c r="E1490" s="7"/>
      <c r="F1490" s="7"/>
      <c r="G1490" s="7"/>
      <c r="H1490" s="7"/>
      <c r="I1490" s="7"/>
      <c r="J1490" s="20"/>
      <c r="K1490" s="20"/>
      <c r="L1490" s="20"/>
      <c r="M1490" s="20"/>
      <c r="N1490" s="9"/>
      <c r="P1490" s="7"/>
      <c r="Q1490" s="11"/>
      <c r="R1490" s="8"/>
      <c r="S1490" s="7"/>
      <c r="T1490" s="7"/>
      <c r="U1490" s="7"/>
      <c r="V1490" s="7"/>
      <c r="W1490" s="7"/>
      <c r="X1490" s="8"/>
      <c r="Y1490" s="7"/>
      <c r="Z1490" s="7"/>
      <c r="AA1490" s="11"/>
      <c r="AB1490" s="11"/>
      <c r="AC1490" s="11"/>
      <c r="AD1490" s="11"/>
      <c r="AH1490" s="8"/>
      <c r="AI1490" s="20"/>
      <c r="AJ1490" s="20"/>
      <c r="AK1490" s="31"/>
      <c r="AL1490" s="31"/>
    </row>
    <row r="1491" spans="1:38" hidden="1" x14ac:dyDescent="0.25">
      <c r="A1491" s="9"/>
      <c r="B1491" s="7"/>
      <c r="C1491" s="7"/>
      <c r="D1491" s="7"/>
      <c r="E1491" s="7"/>
      <c r="F1491" s="7"/>
      <c r="G1491" s="7"/>
      <c r="H1491" s="7"/>
      <c r="I1491" s="7"/>
      <c r="J1491" s="20"/>
      <c r="K1491" s="20"/>
      <c r="L1491" s="20"/>
      <c r="M1491" s="20"/>
      <c r="N1491" s="9"/>
      <c r="P1491" s="7"/>
      <c r="Q1491" s="11"/>
      <c r="R1491" s="8"/>
      <c r="S1491" s="7"/>
      <c r="T1491" s="7"/>
      <c r="U1491" s="7"/>
      <c r="V1491" s="7"/>
      <c r="W1491" s="7"/>
      <c r="X1491" s="8"/>
      <c r="Y1491" s="7"/>
      <c r="Z1491" s="7"/>
      <c r="AA1491" s="11"/>
      <c r="AB1491" s="11"/>
      <c r="AC1491" s="11"/>
      <c r="AD1491" s="11"/>
      <c r="AH1491" s="8"/>
      <c r="AI1491" s="20"/>
      <c r="AJ1491" s="20"/>
      <c r="AK1491" s="31"/>
      <c r="AL1491" s="31"/>
    </row>
    <row r="1492" spans="1:38" hidden="1" x14ac:dyDescent="0.25">
      <c r="A1492" s="9"/>
      <c r="B1492" s="7"/>
      <c r="C1492" s="7"/>
      <c r="D1492" s="7"/>
      <c r="E1492" s="7"/>
      <c r="F1492" s="7"/>
      <c r="G1492" s="7"/>
      <c r="H1492" s="7"/>
      <c r="I1492" s="7"/>
      <c r="J1492" s="20"/>
      <c r="K1492" s="20"/>
      <c r="L1492" s="20"/>
      <c r="M1492" s="20"/>
      <c r="N1492" s="9"/>
      <c r="P1492" s="7"/>
      <c r="Q1492" s="11"/>
      <c r="R1492" s="8"/>
      <c r="S1492" s="7"/>
      <c r="T1492" s="7"/>
      <c r="U1492" s="7"/>
      <c r="V1492" s="7"/>
      <c r="W1492" s="7"/>
      <c r="X1492" s="8"/>
      <c r="Y1492" s="7"/>
      <c r="Z1492" s="7"/>
      <c r="AA1492" s="11"/>
      <c r="AB1492" s="11"/>
      <c r="AC1492" s="11"/>
      <c r="AD1492" s="11"/>
      <c r="AH1492" s="8"/>
      <c r="AI1492" s="20"/>
      <c r="AJ1492" s="20"/>
      <c r="AK1492" s="31"/>
      <c r="AL1492" s="31"/>
    </row>
    <row r="1493" spans="1:38" hidden="1" x14ac:dyDescent="0.25">
      <c r="A1493" s="9"/>
      <c r="B1493" s="7"/>
      <c r="C1493" s="7"/>
      <c r="D1493" s="7"/>
      <c r="E1493" s="7"/>
      <c r="F1493" s="7"/>
      <c r="G1493" s="7"/>
      <c r="H1493" s="7"/>
      <c r="I1493" s="7"/>
      <c r="J1493" s="20"/>
      <c r="K1493" s="20"/>
      <c r="L1493" s="20"/>
      <c r="M1493" s="20"/>
      <c r="N1493" s="9"/>
      <c r="P1493" s="7"/>
      <c r="Q1493" s="11"/>
      <c r="R1493" s="8"/>
      <c r="S1493" s="7"/>
      <c r="T1493" s="7"/>
      <c r="U1493" s="7"/>
      <c r="V1493" s="7"/>
      <c r="W1493" s="7"/>
      <c r="X1493" s="8"/>
      <c r="Y1493" s="7"/>
      <c r="Z1493" s="7"/>
      <c r="AA1493" s="11"/>
      <c r="AB1493" s="11"/>
      <c r="AC1493" s="11"/>
      <c r="AD1493" s="11"/>
      <c r="AH1493" s="8"/>
      <c r="AI1493" s="20"/>
      <c r="AJ1493" s="20"/>
      <c r="AK1493" s="31"/>
      <c r="AL1493" s="31"/>
    </row>
    <row r="1494" spans="1:38" hidden="1" x14ac:dyDescent="0.25">
      <c r="A1494" s="9"/>
      <c r="B1494" s="7"/>
      <c r="C1494" s="7"/>
      <c r="D1494" s="7"/>
      <c r="E1494" s="7"/>
      <c r="F1494" s="7"/>
      <c r="G1494" s="7"/>
      <c r="H1494" s="7"/>
      <c r="I1494" s="7"/>
      <c r="J1494" s="20"/>
      <c r="K1494" s="20"/>
      <c r="L1494" s="20"/>
      <c r="M1494" s="20"/>
      <c r="N1494" s="9"/>
      <c r="P1494" s="7"/>
      <c r="Q1494" s="11"/>
      <c r="R1494" s="8"/>
      <c r="S1494" s="7"/>
      <c r="T1494" s="7"/>
      <c r="U1494" s="7"/>
      <c r="V1494" s="7"/>
      <c r="W1494" s="7"/>
      <c r="X1494" s="8"/>
      <c r="Y1494" s="7"/>
      <c r="Z1494" s="7"/>
      <c r="AA1494" s="11"/>
      <c r="AB1494" s="11"/>
      <c r="AC1494" s="11"/>
      <c r="AD1494" s="11"/>
      <c r="AH1494" s="8"/>
      <c r="AI1494" s="20"/>
      <c r="AJ1494" s="20"/>
      <c r="AK1494" s="31"/>
      <c r="AL1494" s="31"/>
    </row>
    <row r="1495" spans="1:38" hidden="1" x14ac:dyDescent="0.25">
      <c r="A1495" s="9"/>
      <c r="B1495" s="7"/>
      <c r="C1495" s="7"/>
      <c r="D1495" s="7"/>
      <c r="E1495" s="7"/>
      <c r="F1495" s="7"/>
      <c r="G1495" s="7"/>
      <c r="H1495" s="7"/>
      <c r="I1495" s="7"/>
      <c r="J1495" s="20"/>
      <c r="K1495" s="20"/>
      <c r="L1495" s="20"/>
      <c r="M1495" s="20"/>
      <c r="N1495" s="9"/>
      <c r="P1495" s="7"/>
      <c r="Q1495" s="11"/>
      <c r="R1495" s="8"/>
      <c r="S1495" s="7"/>
      <c r="T1495" s="7"/>
      <c r="U1495" s="7"/>
      <c r="V1495" s="7"/>
      <c r="W1495" s="7"/>
      <c r="X1495" s="8"/>
      <c r="Y1495" s="7"/>
      <c r="Z1495" s="7"/>
      <c r="AA1495" s="11"/>
      <c r="AB1495" s="11"/>
      <c r="AC1495" s="11"/>
      <c r="AD1495" s="11"/>
      <c r="AH1495" s="8"/>
      <c r="AI1495" s="20"/>
      <c r="AJ1495" s="20"/>
      <c r="AK1495" s="31"/>
      <c r="AL1495" s="31"/>
    </row>
    <row r="1496" spans="1:38" hidden="1" x14ac:dyDescent="0.25">
      <c r="A1496" s="9"/>
      <c r="B1496" s="7"/>
      <c r="C1496" s="7"/>
      <c r="D1496" s="7"/>
      <c r="E1496" s="7"/>
      <c r="F1496" s="7"/>
      <c r="G1496" s="7"/>
      <c r="H1496" s="7"/>
      <c r="I1496" s="7"/>
      <c r="J1496" s="20"/>
      <c r="K1496" s="20"/>
      <c r="L1496" s="20"/>
      <c r="M1496" s="20"/>
      <c r="N1496" s="9"/>
      <c r="P1496" s="7"/>
      <c r="Q1496" s="11"/>
      <c r="R1496" s="8"/>
      <c r="S1496" s="7"/>
      <c r="T1496" s="7"/>
      <c r="U1496" s="7"/>
      <c r="V1496" s="7"/>
      <c r="W1496" s="7"/>
      <c r="X1496" s="8"/>
      <c r="Y1496" s="7"/>
      <c r="Z1496" s="7"/>
      <c r="AA1496" s="11"/>
      <c r="AB1496" s="11"/>
      <c r="AC1496" s="11"/>
      <c r="AD1496" s="11"/>
      <c r="AH1496" s="8"/>
      <c r="AI1496" s="20"/>
      <c r="AJ1496" s="20"/>
      <c r="AK1496" s="31"/>
      <c r="AL1496" s="31"/>
    </row>
    <row r="1497" spans="1:38" hidden="1" x14ac:dyDescent="0.25">
      <c r="A1497" s="9"/>
      <c r="B1497" s="7"/>
      <c r="C1497" s="7"/>
      <c r="D1497" s="7"/>
      <c r="E1497" s="7"/>
      <c r="F1497" s="7"/>
      <c r="G1497" s="7"/>
      <c r="H1497" s="7"/>
      <c r="I1497" s="7"/>
      <c r="J1497" s="20"/>
      <c r="K1497" s="20"/>
      <c r="L1497" s="20"/>
      <c r="M1497" s="20"/>
      <c r="N1497" s="9"/>
      <c r="P1497" s="7"/>
      <c r="Q1497" s="11"/>
      <c r="R1497" s="8"/>
      <c r="S1497" s="7"/>
      <c r="T1497" s="7"/>
      <c r="U1497" s="7"/>
      <c r="V1497" s="7"/>
      <c r="W1497" s="7"/>
      <c r="X1497" s="8"/>
      <c r="Y1497" s="7"/>
      <c r="Z1497" s="7"/>
      <c r="AA1497" s="11"/>
      <c r="AB1497" s="11"/>
      <c r="AC1497" s="11"/>
      <c r="AD1497" s="11"/>
      <c r="AH1497" s="8"/>
      <c r="AI1497" s="20"/>
      <c r="AJ1497" s="20"/>
      <c r="AK1497" s="31"/>
      <c r="AL1497" s="31"/>
    </row>
    <row r="1498" spans="1:38" hidden="1" x14ac:dyDescent="0.25">
      <c r="A1498" s="9"/>
      <c r="B1498" s="7"/>
      <c r="C1498" s="7"/>
      <c r="D1498" s="7"/>
      <c r="E1498" s="7"/>
      <c r="F1498" s="7"/>
      <c r="G1498" s="7"/>
      <c r="H1498" s="7"/>
      <c r="I1498" s="7"/>
      <c r="J1498" s="20"/>
      <c r="K1498" s="20"/>
      <c r="L1498" s="20"/>
      <c r="M1498" s="20"/>
      <c r="N1498" s="9"/>
      <c r="P1498" s="7"/>
      <c r="Q1498" s="11"/>
      <c r="R1498" s="8"/>
      <c r="S1498" s="7"/>
      <c r="T1498" s="7"/>
      <c r="U1498" s="7"/>
      <c r="V1498" s="7"/>
      <c r="W1498" s="7"/>
      <c r="X1498" s="8"/>
      <c r="Y1498" s="7"/>
      <c r="Z1498" s="7"/>
      <c r="AA1498" s="11"/>
      <c r="AB1498" s="11"/>
      <c r="AC1498" s="11"/>
      <c r="AD1498" s="11"/>
      <c r="AH1498" s="8"/>
      <c r="AI1498" s="20"/>
      <c r="AJ1498" s="20"/>
      <c r="AK1498" s="31"/>
      <c r="AL1498" s="31"/>
    </row>
    <row r="1499" spans="1:38" hidden="1" x14ac:dyDescent="0.25">
      <c r="A1499" s="9"/>
      <c r="B1499" s="7"/>
      <c r="C1499" s="7"/>
      <c r="D1499" s="7"/>
      <c r="E1499" s="7"/>
      <c r="F1499" s="7"/>
      <c r="G1499" s="7"/>
      <c r="H1499" s="7"/>
      <c r="I1499" s="7"/>
      <c r="J1499" s="20"/>
      <c r="K1499" s="20"/>
      <c r="L1499" s="20"/>
      <c r="M1499" s="20"/>
      <c r="N1499" s="9"/>
      <c r="P1499" s="7"/>
      <c r="Q1499" s="11"/>
      <c r="R1499" s="8"/>
      <c r="S1499" s="7"/>
      <c r="T1499" s="7"/>
      <c r="U1499" s="7"/>
      <c r="V1499" s="7"/>
      <c r="W1499" s="7"/>
      <c r="X1499" s="8"/>
      <c r="Y1499" s="7"/>
      <c r="Z1499" s="7"/>
      <c r="AA1499" s="11"/>
      <c r="AB1499" s="11"/>
      <c r="AC1499" s="11"/>
      <c r="AD1499" s="11"/>
      <c r="AH1499" s="8"/>
      <c r="AI1499" s="20"/>
      <c r="AJ1499" s="20"/>
      <c r="AK1499" s="31"/>
      <c r="AL1499" s="31"/>
    </row>
    <row r="1500" spans="1:38" hidden="1" x14ac:dyDescent="0.25">
      <c r="A1500" s="9"/>
      <c r="B1500" s="7"/>
      <c r="C1500" s="7"/>
      <c r="D1500" s="7"/>
      <c r="E1500" s="7"/>
      <c r="F1500" s="7"/>
      <c r="G1500" s="7"/>
      <c r="H1500" s="7"/>
      <c r="I1500" s="7"/>
      <c r="J1500" s="20"/>
      <c r="K1500" s="20"/>
      <c r="L1500" s="20"/>
      <c r="M1500" s="20"/>
      <c r="N1500" s="9"/>
      <c r="P1500" s="7"/>
      <c r="Q1500" s="11"/>
      <c r="R1500" s="8"/>
      <c r="S1500" s="7"/>
      <c r="T1500" s="7"/>
      <c r="U1500" s="7"/>
      <c r="V1500" s="7"/>
      <c r="W1500" s="7"/>
      <c r="X1500" s="8"/>
      <c r="Y1500" s="7"/>
      <c r="Z1500" s="7"/>
      <c r="AA1500" s="11"/>
      <c r="AB1500" s="11"/>
      <c r="AC1500" s="11"/>
      <c r="AD1500" s="11"/>
      <c r="AH1500" s="8"/>
      <c r="AI1500" s="20"/>
      <c r="AJ1500" s="20"/>
      <c r="AK1500" s="31"/>
      <c r="AL1500" s="31"/>
    </row>
    <row r="1501" spans="1:38" hidden="1" x14ac:dyDescent="0.25">
      <c r="A1501" s="9"/>
      <c r="B1501" s="7"/>
      <c r="C1501" s="7"/>
      <c r="D1501" s="7"/>
      <c r="E1501" s="7"/>
      <c r="F1501" s="7"/>
      <c r="G1501" s="7"/>
      <c r="H1501" s="7"/>
      <c r="I1501" s="7"/>
      <c r="J1501" s="20"/>
      <c r="K1501" s="20"/>
      <c r="L1501" s="20"/>
      <c r="M1501" s="20"/>
      <c r="N1501" s="9"/>
      <c r="P1501" s="7"/>
      <c r="Q1501" s="11"/>
      <c r="R1501" s="8"/>
      <c r="S1501" s="7"/>
      <c r="T1501" s="7"/>
      <c r="U1501" s="7"/>
      <c r="V1501" s="7"/>
      <c r="W1501" s="7"/>
      <c r="X1501" s="8"/>
      <c r="Y1501" s="7"/>
      <c r="Z1501" s="7"/>
      <c r="AA1501" s="11"/>
      <c r="AB1501" s="11"/>
      <c r="AC1501" s="11"/>
      <c r="AD1501" s="11"/>
      <c r="AH1501" s="8"/>
      <c r="AI1501" s="20"/>
      <c r="AJ1501" s="20"/>
      <c r="AK1501" s="31"/>
      <c r="AL1501" s="31"/>
    </row>
    <row r="1502" spans="1:38" hidden="1" x14ac:dyDescent="0.25">
      <c r="A1502" s="9"/>
      <c r="B1502" s="7"/>
      <c r="C1502" s="7"/>
      <c r="D1502" s="7"/>
      <c r="E1502" s="7"/>
      <c r="F1502" s="7"/>
      <c r="G1502" s="7"/>
      <c r="H1502" s="7"/>
      <c r="I1502" s="7"/>
      <c r="J1502" s="20"/>
      <c r="K1502" s="20"/>
      <c r="L1502" s="20"/>
      <c r="M1502" s="20"/>
      <c r="N1502" s="9"/>
      <c r="P1502" s="7"/>
      <c r="Q1502" s="11"/>
      <c r="R1502" s="8"/>
      <c r="S1502" s="7"/>
      <c r="T1502" s="7"/>
      <c r="U1502" s="7"/>
      <c r="V1502" s="7"/>
      <c r="W1502" s="7"/>
      <c r="X1502" s="8"/>
      <c r="Y1502" s="7"/>
      <c r="Z1502" s="7"/>
      <c r="AA1502" s="11"/>
      <c r="AB1502" s="11"/>
      <c r="AC1502" s="11"/>
      <c r="AD1502" s="11"/>
      <c r="AH1502" s="8"/>
      <c r="AI1502" s="20"/>
      <c r="AJ1502" s="20"/>
      <c r="AK1502" s="31"/>
      <c r="AL1502" s="31"/>
    </row>
    <row r="1503" spans="1:38" hidden="1" x14ac:dyDescent="0.25">
      <c r="A1503" s="9"/>
      <c r="B1503" s="7"/>
      <c r="C1503" s="7"/>
      <c r="D1503" s="7"/>
      <c r="E1503" s="7"/>
      <c r="F1503" s="7"/>
      <c r="G1503" s="7"/>
      <c r="H1503" s="7"/>
      <c r="I1503" s="7"/>
      <c r="J1503" s="20"/>
      <c r="K1503" s="20"/>
      <c r="L1503" s="20"/>
      <c r="M1503" s="20"/>
      <c r="N1503" s="9"/>
      <c r="P1503" s="7"/>
      <c r="Q1503" s="11"/>
      <c r="R1503" s="8"/>
      <c r="S1503" s="7"/>
      <c r="T1503" s="7"/>
      <c r="U1503" s="7"/>
      <c r="V1503" s="7"/>
      <c r="W1503" s="7"/>
      <c r="X1503" s="8"/>
      <c r="Y1503" s="7"/>
      <c r="Z1503" s="7"/>
      <c r="AA1503" s="11"/>
      <c r="AB1503" s="11"/>
      <c r="AC1503" s="11"/>
      <c r="AD1503" s="11"/>
      <c r="AH1503" s="8"/>
      <c r="AI1503" s="20"/>
      <c r="AJ1503" s="20"/>
      <c r="AK1503" s="31"/>
      <c r="AL1503" s="31"/>
    </row>
    <row r="1504" spans="1:38" hidden="1" x14ac:dyDescent="0.25">
      <c r="A1504" s="9"/>
      <c r="B1504" s="7"/>
      <c r="C1504" s="7"/>
      <c r="D1504" s="7"/>
      <c r="E1504" s="7"/>
      <c r="F1504" s="7"/>
      <c r="G1504" s="7"/>
      <c r="H1504" s="7"/>
      <c r="I1504" s="7"/>
      <c r="J1504" s="20"/>
      <c r="K1504" s="20"/>
      <c r="L1504" s="20"/>
      <c r="M1504" s="20"/>
      <c r="N1504" s="9"/>
      <c r="P1504" s="7"/>
      <c r="Q1504" s="11"/>
      <c r="R1504" s="8"/>
      <c r="S1504" s="7"/>
      <c r="T1504" s="7"/>
      <c r="U1504" s="7"/>
      <c r="V1504" s="7"/>
      <c r="W1504" s="7"/>
      <c r="X1504" s="8"/>
      <c r="Y1504" s="7"/>
      <c r="Z1504" s="7"/>
      <c r="AA1504" s="11"/>
      <c r="AB1504" s="11"/>
      <c r="AC1504" s="11"/>
      <c r="AD1504" s="11"/>
      <c r="AH1504" s="8"/>
      <c r="AI1504" s="20"/>
      <c r="AJ1504" s="20"/>
      <c r="AK1504" s="31"/>
      <c r="AL1504" s="31"/>
    </row>
    <row r="1505" spans="1:38" hidden="1" x14ac:dyDescent="0.25">
      <c r="A1505" s="9"/>
      <c r="B1505" s="7"/>
      <c r="C1505" s="7"/>
      <c r="D1505" s="7"/>
      <c r="E1505" s="7"/>
      <c r="F1505" s="7"/>
      <c r="G1505" s="7"/>
      <c r="H1505" s="7"/>
      <c r="I1505" s="7"/>
      <c r="J1505" s="20"/>
      <c r="K1505" s="20"/>
      <c r="L1505" s="20"/>
      <c r="M1505" s="20"/>
      <c r="N1505" s="9"/>
      <c r="P1505" s="7"/>
      <c r="Q1505" s="11"/>
      <c r="R1505" s="8"/>
      <c r="S1505" s="7"/>
      <c r="T1505" s="7"/>
      <c r="U1505" s="7"/>
      <c r="V1505" s="7"/>
      <c r="W1505" s="7"/>
      <c r="X1505" s="8"/>
      <c r="Y1505" s="7"/>
      <c r="Z1505" s="7"/>
      <c r="AA1505" s="11"/>
      <c r="AB1505" s="11"/>
      <c r="AC1505" s="11"/>
      <c r="AD1505" s="11"/>
      <c r="AH1505" s="8"/>
      <c r="AI1505" s="20"/>
      <c r="AJ1505" s="20"/>
      <c r="AK1505" s="31"/>
      <c r="AL1505" s="31"/>
    </row>
    <row r="1506" spans="1:38" hidden="1" x14ac:dyDescent="0.25">
      <c r="A1506" s="9"/>
      <c r="B1506" s="7"/>
      <c r="C1506" s="7"/>
      <c r="D1506" s="7"/>
      <c r="E1506" s="7"/>
      <c r="F1506" s="7"/>
      <c r="G1506" s="7"/>
      <c r="H1506" s="7"/>
      <c r="I1506" s="7"/>
      <c r="J1506" s="20"/>
      <c r="K1506" s="20"/>
      <c r="L1506" s="20"/>
      <c r="M1506" s="20"/>
      <c r="N1506" s="9"/>
      <c r="P1506" s="7"/>
      <c r="Q1506" s="11"/>
      <c r="R1506" s="8"/>
      <c r="S1506" s="7"/>
      <c r="T1506" s="7"/>
      <c r="U1506" s="7"/>
      <c r="V1506" s="7"/>
      <c r="W1506" s="7"/>
      <c r="X1506" s="8"/>
      <c r="Y1506" s="7"/>
      <c r="Z1506" s="7"/>
      <c r="AA1506" s="11"/>
      <c r="AB1506" s="11"/>
      <c r="AC1506" s="11"/>
      <c r="AD1506" s="11"/>
      <c r="AH1506" s="8"/>
      <c r="AI1506" s="20"/>
      <c r="AJ1506" s="20"/>
      <c r="AK1506" s="31"/>
      <c r="AL1506" s="31"/>
    </row>
    <row r="1507" spans="1:38" hidden="1" x14ac:dyDescent="0.25">
      <c r="A1507" s="9"/>
      <c r="B1507" s="7"/>
      <c r="C1507" s="7"/>
      <c r="D1507" s="7"/>
      <c r="E1507" s="7"/>
      <c r="F1507" s="7"/>
      <c r="G1507" s="7"/>
      <c r="H1507" s="7"/>
      <c r="I1507" s="7"/>
      <c r="J1507" s="20"/>
      <c r="K1507" s="20"/>
      <c r="L1507" s="20"/>
      <c r="M1507" s="20"/>
      <c r="N1507" s="9"/>
      <c r="P1507" s="7"/>
      <c r="Q1507" s="11"/>
      <c r="R1507" s="8"/>
      <c r="S1507" s="7"/>
      <c r="T1507" s="7"/>
      <c r="U1507" s="7"/>
      <c r="V1507" s="7"/>
      <c r="W1507" s="7"/>
      <c r="X1507" s="8"/>
      <c r="Y1507" s="7"/>
      <c r="Z1507" s="7"/>
      <c r="AA1507" s="11"/>
      <c r="AB1507" s="11"/>
      <c r="AC1507" s="11"/>
      <c r="AD1507" s="11"/>
      <c r="AH1507" s="8"/>
      <c r="AI1507" s="20"/>
      <c r="AJ1507" s="20"/>
      <c r="AK1507" s="31"/>
      <c r="AL1507" s="31"/>
    </row>
    <row r="1508" spans="1:38" hidden="1" x14ac:dyDescent="0.25">
      <c r="A1508" s="9"/>
      <c r="B1508" s="7"/>
      <c r="C1508" s="7"/>
      <c r="D1508" s="7"/>
      <c r="E1508" s="7"/>
      <c r="F1508" s="7"/>
      <c r="G1508" s="7"/>
      <c r="H1508" s="7"/>
      <c r="I1508" s="7"/>
      <c r="J1508" s="20"/>
      <c r="K1508" s="20"/>
      <c r="L1508" s="20"/>
      <c r="M1508" s="20"/>
      <c r="N1508" s="9"/>
      <c r="P1508" s="7"/>
      <c r="Q1508" s="11"/>
      <c r="R1508" s="8"/>
      <c r="S1508" s="7"/>
      <c r="T1508" s="7"/>
      <c r="U1508" s="7"/>
      <c r="V1508" s="7"/>
      <c r="W1508" s="7"/>
      <c r="X1508" s="8"/>
      <c r="Y1508" s="7"/>
      <c r="Z1508" s="7"/>
      <c r="AA1508" s="11"/>
      <c r="AB1508" s="11"/>
      <c r="AC1508" s="11"/>
      <c r="AD1508" s="11"/>
      <c r="AH1508" s="8"/>
      <c r="AI1508" s="20"/>
      <c r="AJ1508" s="20"/>
      <c r="AK1508" s="31"/>
      <c r="AL1508" s="31"/>
    </row>
    <row r="1509" spans="1:38" hidden="1" x14ac:dyDescent="0.25">
      <c r="A1509" s="9"/>
      <c r="B1509" s="7"/>
      <c r="C1509" s="7"/>
      <c r="D1509" s="7"/>
      <c r="E1509" s="7"/>
      <c r="F1509" s="7"/>
      <c r="G1509" s="7"/>
      <c r="H1509" s="7"/>
      <c r="I1509" s="7"/>
      <c r="J1509" s="20"/>
      <c r="K1509" s="20"/>
      <c r="L1509" s="20"/>
      <c r="M1509" s="20"/>
      <c r="N1509" s="9"/>
      <c r="P1509" s="7"/>
      <c r="Q1509" s="11"/>
      <c r="R1509" s="8"/>
      <c r="S1509" s="7"/>
      <c r="T1509" s="7"/>
      <c r="U1509" s="7"/>
      <c r="V1509" s="7"/>
      <c r="W1509" s="7"/>
      <c r="X1509" s="8"/>
      <c r="Y1509" s="7"/>
      <c r="Z1509" s="7"/>
      <c r="AA1509" s="11"/>
      <c r="AB1509" s="11"/>
      <c r="AC1509" s="11"/>
      <c r="AD1509" s="11"/>
      <c r="AH1509" s="8"/>
      <c r="AI1509" s="20"/>
      <c r="AJ1509" s="20"/>
      <c r="AK1509" s="31"/>
      <c r="AL1509" s="31"/>
    </row>
    <row r="1510" spans="1:38" hidden="1" x14ac:dyDescent="0.25">
      <c r="A1510" s="9"/>
      <c r="B1510" s="7"/>
      <c r="C1510" s="7"/>
      <c r="D1510" s="7"/>
      <c r="E1510" s="7"/>
      <c r="F1510" s="7"/>
      <c r="G1510" s="7"/>
      <c r="H1510" s="7"/>
      <c r="I1510" s="7"/>
      <c r="J1510" s="20"/>
      <c r="K1510" s="20"/>
      <c r="L1510" s="20"/>
      <c r="M1510" s="20"/>
      <c r="N1510" s="9"/>
      <c r="P1510" s="7"/>
      <c r="Q1510" s="11"/>
      <c r="R1510" s="8"/>
      <c r="S1510" s="7"/>
      <c r="T1510" s="7"/>
      <c r="U1510" s="7"/>
      <c r="V1510" s="7"/>
      <c r="W1510" s="7"/>
      <c r="X1510" s="8"/>
      <c r="Y1510" s="7"/>
      <c r="Z1510" s="7"/>
      <c r="AA1510" s="11"/>
      <c r="AB1510" s="11"/>
      <c r="AC1510" s="11"/>
      <c r="AD1510" s="11"/>
      <c r="AH1510" s="8"/>
      <c r="AI1510" s="20"/>
      <c r="AJ1510" s="20"/>
      <c r="AK1510" s="31"/>
      <c r="AL1510" s="31"/>
    </row>
    <row r="1511" spans="1:38" hidden="1" x14ac:dyDescent="0.25">
      <c r="A1511" s="9"/>
      <c r="B1511" s="7"/>
      <c r="C1511" s="7"/>
      <c r="D1511" s="7"/>
      <c r="E1511" s="7"/>
      <c r="F1511" s="7"/>
      <c r="G1511" s="7"/>
      <c r="H1511" s="7"/>
      <c r="I1511" s="7"/>
      <c r="J1511" s="20"/>
      <c r="K1511" s="20"/>
      <c r="L1511" s="20"/>
      <c r="M1511" s="20"/>
      <c r="N1511" s="9"/>
      <c r="P1511" s="7"/>
      <c r="Q1511" s="11"/>
      <c r="R1511" s="8"/>
      <c r="S1511" s="7"/>
      <c r="T1511" s="7"/>
      <c r="U1511" s="7"/>
      <c r="V1511" s="7"/>
      <c r="W1511" s="7"/>
      <c r="X1511" s="8"/>
      <c r="Y1511" s="7"/>
      <c r="Z1511" s="7"/>
      <c r="AA1511" s="11"/>
      <c r="AB1511" s="11"/>
      <c r="AC1511" s="11"/>
      <c r="AD1511" s="11"/>
      <c r="AH1511" s="8"/>
      <c r="AI1511" s="20"/>
      <c r="AJ1511" s="20"/>
      <c r="AK1511" s="31"/>
      <c r="AL1511" s="31"/>
    </row>
    <row r="1512" spans="1:38" hidden="1" x14ac:dyDescent="0.25">
      <c r="A1512" s="9"/>
      <c r="B1512" s="7"/>
      <c r="C1512" s="7"/>
      <c r="D1512" s="7"/>
      <c r="E1512" s="7"/>
      <c r="F1512" s="7"/>
      <c r="G1512" s="7"/>
      <c r="H1512" s="7"/>
      <c r="I1512" s="7"/>
      <c r="J1512" s="20"/>
      <c r="K1512" s="20"/>
      <c r="L1512" s="20"/>
      <c r="M1512" s="20"/>
      <c r="N1512" s="9"/>
      <c r="P1512" s="7"/>
      <c r="Q1512" s="11"/>
      <c r="R1512" s="8"/>
      <c r="S1512" s="7"/>
      <c r="T1512" s="7"/>
      <c r="U1512" s="7"/>
      <c r="V1512" s="7"/>
      <c r="W1512" s="7"/>
      <c r="X1512" s="8"/>
      <c r="Y1512" s="7"/>
      <c r="Z1512" s="7"/>
      <c r="AA1512" s="11"/>
      <c r="AB1512" s="11"/>
      <c r="AC1512" s="11"/>
      <c r="AD1512" s="11"/>
      <c r="AH1512" s="8"/>
      <c r="AI1512" s="20"/>
      <c r="AJ1512" s="20"/>
      <c r="AK1512" s="31"/>
      <c r="AL1512" s="31"/>
    </row>
    <row r="1513" spans="1:38" hidden="1" x14ac:dyDescent="0.25">
      <c r="A1513" s="9"/>
      <c r="B1513" s="7"/>
      <c r="C1513" s="7"/>
      <c r="D1513" s="7"/>
      <c r="E1513" s="7"/>
      <c r="F1513" s="7"/>
      <c r="G1513" s="7"/>
      <c r="H1513" s="7"/>
      <c r="I1513" s="7"/>
      <c r="J1513" s="20"/>
      <c r="K1513" s="20"/>
      <c r="L1513" s="20"/>
      <c r="M1513" s="20"/>
      <c r="N1513" s="9"/>
      <c r="P1513" s="7"/>
      <c r="Q1513" s="11"/>
      <c r="R1513" s="8"/>
      <c r="S1513" s="7"/>
      <c r="T1513" s="7"/>
      <c r="U1513" s="7"/>
      <c r="V1513" s="7"/>
      <c r="W1513" s="7"/>
      <c r="X1513" s="8"/>
      <c r="Y1513" s="7"/>
      <c r="Z1513" s="7"/>
      <c r="AA1513" s="11"/>
      <c r="AB1513" s="11"/>
      <c r="AC1513" s="11"/>
      <c r="AD1513" s="11"/>
      <c r="AH1513" s="8"/>
      <c r="AI1513" s="20"/>
      <c r="AJ1513" s="20"/>
      <c r="AK1513" s="31"/>
      <c r="AL1513" s="31"/>
    </row>
    <row r="1514" spans="1:38" hidden="1" x14ac:dyDescent="0.25">
      <c r="A1514" s="9"/>
      <c r="B1514" s="7"/>
      <c r="C1514" s="7"/>
      <c r="D1514" s="7"/>
      <c r="E1514" s="7"/>
      <c r="F1514" s="7"/>
      <c r="G1514" s="7"/>
      <c r="H1514" s="7"/>
      <c r="I1514" s="7"/>
      <c r="J1514" s="20"/>
      <c r="K1514" s="20"/>
      <c r="L1514" s="20"/>
      <c r="M1514" s="20"/>
      <c r="N1514" s="9"/>
      <c r="P1514" s="7"/>
      <c r="Q1514" s="11"/>
      <c r="R1514" s="8"/>
      <c r="S1514" s="7"/>
      <c r="T1514" s="7"/>
      <c r="U1514" s="7"/>
      <c r="V1514" s="7"/>
      <c r="W1514" s="7"/>
      <c r="X1514" s="8"/>
      <c r="Y1514" s="7"/>
      <c r="Z1514" s="7"/>
      <c r="AA1514" s="11"/>
      <c r="AB1514" s="11"/>
      <c r="AC1514" s="11"/>
      <c r="AD1514" s="11"/>
      <c r="AH1514" s="8"/>
      <c r="AI1514" s="20"/>
      <c r="AJ1514" s="20"/>
      <c r="AK1514" s="31"/>
      <c r="AL1514" s="31"/>
    </row>
    <row r="1515" spans="1:38" hidden="1" x14ac:dyDescent="0.25">
      <c r="A1515" s="9"/>
      <c r="B1515" s="7"/>
      <c r="C1515" s="7"/>
      <c r="D1515" s="7"/>
      <c r="E1515" s="7"/>
      <c r="F1515" s="7"/>
      <c r="G1515" s="7"/>
      <c r="H1515" s="7"/>
      <c r="I1515" s="7"/>
      <c r="J1515" s="20"/>
      <c r="K1515" s="20"/>
      <c r="L1515" s="20"/>
      <c r="M1515" s="20"/>
      <c r="N1515" s="9"/>
      <c r="P1515" s="7"/>
      <c r="Q1515" s="11"/>
      <c r="R1515" s="8"/>
      <c r="S1515" s="7"/>
      <c r="T1515" s="7"/>
      <c r="U1515" s="7"/>
      <c r="V1515" s="7"/>
      <c r="W1515" s="7"/>
      <c r="X1515" s="8"/>
      <c r="Y1515" s="7"/>
      <c r="Z1515" s="7"/>
      <c r="AA1515" s="11"/>
      <c r="AB1515" s="11"/>
      <c r="AC1515" s="11"/>
      <c r="AD1515" s="11"/>
      <c r="AH1515" s="8"/>
      <c r="AI1515" s="20"/>
      <c r="AJ1515" s="20"/>
      <c r="AK1515" s="31"/>
      <c r="AL1515" s="31"/>
    </row>
    <row r="1516" spans="1:38" hidden="1" x14ac:dyDescent="0.25">
      <c r="A1516" s="9"/>
      <c r="B1516" s="7"/>
      <c r="C1516" s="7"/>
      <c r="D1516" s="7"/>
      <c r="E1516" s="7"/>
      <c r="F1516" s="7"/>
      <c r="G1516" s="7"/>
      <c r="H1516" s="7"/>
      <c r="I1516" s="7"/>
      <c r="J1516" s="20"/>
      <c r="K1516" s="20"/>
      <c r="L1516" s="20"/>
      <c r="M1516" s="20"/>
      <c r="N1516" s="9"/>
      <c r="P1516" s="7"/>
      <c r="Q1516" s="11"/>
      <c r="R1516" s="8"/>
      <c r="S1516" s="7"/>
      <c r="T1516" s="7"/>
      <c r="U1516" s="7"/>
      <c r="V1516" s="7"/>
      <c r="W1516" s="7"/>
      <c r="X1516" s="8"/>
      <c r="Y1516" s="7"/>
      <c r="Z1516" s="7"/>
      <c r="AA1516" s="11"/>
      <c r="AB1516" s="11"/>
      <c r="AC1516" s="11"/>
      <c r="AD1516" s="11"/>
      <c r="AH1516" s="8"/>
      <c r="AI1516" s="20"/>
      <c r="AJ1516" s="20"/>
      <c r="AK1516" s="31"/>
      <c r="AL1516" s="31"/>
    </row>
    <row r="1517" spans="1:38" hidden="1" x14ac:dyDescent="0.25">
      <c r="A1517" s="9"/>
      <c r="B1517" s="7"/>
      <c r="C1517" s="7"/>
      <c r="D1517" s="7"/>
      <c r="E1517" s="7"/>
      <c r="F1517" s="7"/>
      <c r="G1517" s="7"/>
      <c r="H1517" s="7"/>
      <c r="I1517" s="7"/>
      <c r="J1517" s="20"/>
      <c r="K1517" s="20"/>
      <c r="L1517" s="20"/>
      <c r="M1517" s="20"/>
      <c r="N1517" s="9"/>
      <c r="P1517" s="7"/>
      <c r="Q1517" s="11"/>
      <c r="R1517" s="8"/>
      <c r="S1517" s="7"/>
      <c r="T1517" s="7"/>
      <c r="U1517" s="7"/>
      <c r="V1517" s="7"/>
      <c r="W1517" s="7"/>
      <c r="X1517" s="8"/>
      <c r="Y1517" s="7"/>
      <c r="Z1517" s="7"/>
      <c r="AA1517" s="11"/>
      <c r="AB1517" s="11"/>
      <c r="AC1517" s="11"/>
      <c r="AD1517" s="11"/>
      <c r="AH1517" s="8"/>
      <c r="AI1517" s="20"/>
      <c r="AJ1517" s="20"/>
      <c r="AK1517" s="31"/>
      <c r="AL1517" s="31"/>
    </row>
    <row r="1518" spans="1:38" hidden="1" x14ac:dyDescent="0.25">
      <c r="A1518" s="9"/>
      <c r="B1518" s="7"/>
      <c r="C1518" s="7"/>
      <c r="D1518" s="7"/>
      <c r="E1518" s="7"/>
      <c r="F1518" s="7"/>
      <c r="G1518" s="7"/>
      <c r="H1518" s="7"/>
      <c r="I1518" s="7"/>
      <c r="J1518" s="20"/>
      <c r="K1518" s="20"/>
      <c r="L1518" s="20"/>
      <c r="M1518" s="20"/>
      <c r="N1518" s="9"/>
      <c r="P1518" s="7"/>
      <c r="Q1518" s="11"/>
      <c r="R1518" s="8"/>
      <c r="S1518" s="7"/>
      <c r="T1518" s="7"/>
      <c r="U1518" s="7"/>
      <c r="V1518" s="7"/>
      <c r="W1518" s="7"/>
      <c r="X1518" s="8"/>
      <c r="Y1518" s="7"/>
      <c r="Z1518" s="7"/>
      <c r="AA1518" s="11"/>
      <c r="AB1518" s="11"/>
      <c r="AC1518" s="11"/>
      <c r="AD1518" s="11"/>
      <c r="AH1518" s="8"/>
      <c r="AI1518" s="20"/>
      <c r="AJ1518" s="20"/>
      <c r="AK1518" s="31"/>
      <c r="AL1518" s="31"/>
    </row>
    <row r="1519" spans="1:38" hidden="1" x14ac:dyDescent="0.25">
      <c r="A1519" s="9"/>
      <c r="B1519" s="7"/>
      <c r="C1519" s="7"/>
      <c r="D1519" s="7"/>
      <c r="E1519" s="7"/>
      <c r="F1519" s="7"/>
      <c r="G1519" s="7"/>
      <c r="H1519" s="7"/>
      <c r="I1519" s="7"/>
      <c r="J1519" s="20"/>
      <c r="K1519" s="20"/>
      <c r="L1519" s="20"/>
      <c r="M1519" s="20"/>
      <c r="N1519" s="9"/>
      <c r="P1519" s="7"/>
      <c r="Q1519" s="11"/>
      <c r="R1519" s="8"/>
      <c r="S1519" s="7"/>
      <c r="T1519" s="7"/>
      <c r="U1519" s="7"/>
      <c r="V1519" s="7"/>
      <c r="W1519" s="7"/>
      <c r="X1519" s="8"/>
      <c r="Y1519" s="7"/>
      <c r="Z1519" s="7"/>
      <c r="AA1519" s="11"/>
      <c r="AB1519" s="11"/>
      <c r="AC1519" s="11"/>
      <c r="AD1519" s="11"/>
      <c r="AH1519" s="8"/>
      <c r="AI1519" s="20"/>
      <c r="AJ1519" s="20"/>
      <c r="AK1519" s="31"/>
      <c r="AL1519" s="31"/>
    </row>
    <row r="1520" spans="1:38" hidden="1" x14ac:dyDescent="0.25">
      <c r="A1520" s="9"/>
      <c r="B1520" s="7"/>
      <c r="C1520" s="7"/>
      <c r="D1520" s="7"/>
      <c r="E1520" s="7"/>
      <c r="F1520" s="7"/>
      <c r="G1520" s="7"/>
      <c r="H1520" s="7"/>
      <c r="I1520" s="7"/>
      <c r="J1520" s="20"/>
      <c r="K1520" s="20"/>
      <c r="L1520" s="20"/>
      <c r="M1520" s="20"/>
      <c r="N1520" s="9"/>
      <c r="P1520" s="7"/>
      <c r="Q1520" s="11"/>
      <c r="R1520" s="8"/>
      <c r="S1520" s="7"/>
      <c r="T1520" s="7"/>
      <c r="U1520" s="7"/>
      <c r="V1520" s="7"/>
      <c r="W1520" s="7"/>
      <c r="X1520" s="8"/>
      <c r="Y1520" s="7"/>
      <c r="Z1520" s="7"/>
      <c r="AA1520" s="11"/>
      <c r="AB1520" s="11"/>
      <c r="AC1520" s="11"/>
      <c r="AD1520" s="11"/>
      <c r="AH1520" s="8"/>
      <c r="AI1520" s="20"/>
      <c r="AJ1520" s="20"/>
      <c r="AK1520" s="31"/>
      <c r="AL1520" s="31"/>
    </row>
    <row r="1521" spans="1:38" hidden="1" x14ac:dyDescent="0.25">
      <c r="A1521" s="9"/>
      <c r="B1521" s="7"/>
      <c r="C1521" s="7"/>
      <c r="D1521" s="7"/>
      <c r="E1521" s="7"/>
      <c r="F1521" s="7"/>
      <c r="G1521" s="7"/>
      <c r="H1521" s="7"/>
      <c r="I1521" s="7"/>
      <c r="J1521" s="20"/>
      <c r="K1521" s="20"/>
      <c r="L1521" s="20"/>
      <c r="M1521" s="20"/>
      <c r="N1521" s="9"/>
      <c r="P1521" s="7"/>
      <c r="Q1521" s="11"/>
      <c r="R1521" s="8"/>
      <c r="S1521" s="7"/>
      <c r="T1521" s="7"/>
      <c r="U1521" s="7"/>
      <c r="V1521" s="7"/>
      <c r="W1521" s="7"/>
      <c r="X1521" s="8"/>
      <c r="Y1521" s="7"/>
      <c r="Z1521" s="7"/>
      <c r="AA1521" s="11"/>
      <c r="AB1521" s="11"/>
      <c r="AC1521" s="11"/>
      <c r="AD1521" s="11"/>
      <c r="AH1521" s="8"/>
      <c r="AI1521" s="20"/>
      <c r="AJ1521" s="20"/>
      <c r="AK1521" s="31"/>
      <c r="AL1521" s="31"/>
    </row>
    <row r="1522" spans="1:38" hidden="1" x14ac:dyDescent="0.25">
      <c r="A1522" s="9"/>
      <c r="B1522" s="7"/>
      <c r="C1522" s="7"/>
      <c r="D1522" s="7"/>
      <c r="E1522" s="7"/>
      <c r="F1522" s="7"/>
      <c r="G1522" s="7"/>
      <c r="H1522" s="7"/>
      <c r="I1522" s="7"/>
      <c r="J1522" s="20"/>
      <c r="K1522" s="20"/>
      <c r="L1522" s="20"/>
      <c r="M1522" s="20"/>
      <c r="N1522" s="9"/>
      <c r="P1522" s="7"/>
      <c r="Q1522" s="11"/>
      <c r="R1522" s="8"/>
      <c r="S1522" s="7"/>
      <c r="T1522" s="7"/>
      <c r="U1522" s="7"/>
      <c r="V1522" s="7"/>
      <c r="W1522" s="7"/>
      <c r="X1522" s="8"/>
      <c r="Y1522" s="7"/>
      <c r="Z1522" s="7"/>
      <c r="AA1522" s="11"/>
      <c r="AB1522" s="11"/>
      <c r="AC1522" s="11"/>
      <c r="AD1522" s="11"/>
      <c r="AH1522" s="8"/>
      <c r="AI1522" s="20"/>
      <c r="AJ1522" s="20"/>
      <c r="AK1522" s="31"/>
      <c r="AL1522" s="31"/>
    </row>
    <row r="1523" spans="1:38" hidden="1" x14ac:dyDescent="0.25">
      <c r="A1523" s="9"/>
      <c r="B1523" s="7"/>
      <c r="C1523" s="7"/>
      <c r="D1523" s="7"/>
      <c r="E1523" s="7"/>
      <c r="F1523" s="7"/>
      <c r="G1523" s="7"/>
      <c r="H1523" s="7"/>
      <c r="I1523" s="7"/>
      <c r="J1523" s="20"/>
      <c r="K1523" s="20"/>
      <c r="L1523" s="20"/>
      <c r="M1523" s="20"/>
      <c r="N1523" s="9"/>
      <c r="P1523" s="7"/>
      <c r="Q1523" s="11"/>
      <c r="R1523" s="8"/>
      <c r="S1523" s="7"/>
      <c r="T1523" s="7"/>
      <c r="U1523" s="7"/>
      <c r="V1523" s="7"/>
      <c r="W1523" s="7"/>
      <c r="X1523" s="8"/>
      <c r="Y1523" s="7"/>
      <c r="Z1523" s="7"/>
      <c r="AA1523" s="11"/>
      <c r="AB1523" s="11"/>
      <c r="AC1523" s="11"/>
      <c r="AD1523" s="11"/>
      <c r="AH1523" s="8"/>
      <c r="AI1523" s="20"/>
      <c r="AJ1523" s="20"/>
      <c r="AK1523" s="31"/>
      <c r="AL1523" s="31"/>
    </row>
    <row r="1524" spans="1:38" hidden="1" x14ac:dyDescent="0.25">
      <c r="A1524" s="9"/>
      <c r="B1524" s="7"/>
      <c r="C1524" s="7"/>
      <c r="D1524" s="7"/>
      <c r="E1524" s="7"/>
      <c r="F1524" s="7"/>
      <c r="G1524" s="7"/>
      <c r="H1524" s="7"/>
      <c r="I1524" s="7"/>
      <c r="J1524" s="20"/>
      <c r="K1524" s="20"/>
      <c r="L1524" s="20"/>
      <c r="M1524" s="20"/>
      <c r="N1524" s="9"/>
      <c r="P1524" s="7"/>
      <c r="Q1524" s="11"/>
      <c r="R1524" s="8"/>
      <c r="S1524" s="7"/>
      <c r="T1524" s="7"/>
      <c r="U1524" s="7"/>
      <c r="V1524" s="7"/>
      <c r="W1524" s="7"/>
      <c r="X1524" s="8"/>
      <c r="Y1524" s="7"/>
      <c r="Z1524" s="7"/>
      <c r="AA1524" s="11"/>
      <c r="AB1524" s="11"/>
      <c r="AC1524" s="11"/>
      <c r="AD1524" s="11"/>
      <c r="AH1524" s="8"/>
      <c r="AI1524" s="20"/>
      <c r="AJ1524" s="20"/>
      <c r="AK1524" s="31"/>
      <c r="AL1524" s="31"/>
    </row>
    <row r="1525" spans="1:38" hidden="1" x14ac:dyDescent="0.25">
      <c r="A1525" s="9"/>
      <c r="B1525" s="7"/>
      <c r="C1525" s="7"/>
      <c r="D1525" s="7"/>
      <c r="E1525" s="7"/>
      <c r="F1525" s="7"/>
      <c r="G1525" s="7"/>
      <c r="H1525" s="7"/>
      <c r="I1525" s="7"/>
      <c r="J1525" s="20"/>
      <c r="K1525" s="20"/>
      <c r="L1525" s="20"/>
      <c r="M1525" s="20"/>
      <c r="N1525" s="9"/>
      <c r="P1525" s="7"/>
      <c r="Q1525" s="11"/>
      <c r="R1525" s="8"/>
      <c r="S1525" s="7"/>
      <c r="T1525" s="7"/>
      <c r="U1525" s="7"/>
      <c r="V1525" s="7"/>
      <c r="W1525" s="7"/>
      <c r="X1525" s="8"/>
      <c r="Y1525" s="7"/>
      <c r="Z1525" s="7"/>
      <c r="AA1525" s="11"/>
      <c r="AB1525" s="11"/>
      <c r="AC1525" s="11"/>
      <c r="AD1525" s="11"/>
      <c r="AH1525" s="8"/>
      <c r="AI1525" s="20"/>
      <c r="AJ1525" s="20"/>
      <c r="AK1525" s="31"/>
      <c r="AL1525" s="31"/>
    </row>
    <row r="1526" spans="1:38" hidden="1" x14ac:dyDescent="0.25">
      <c r="A1526" s="9"/>
      <c r="B1526" s="7"/>
      <c r="C1526" s="7"/>
      <c r="D1526" s="7"/>
      <c r="E1526" s="7"/>
      <c r="F1526" s="7"/>
      <c r="G1526" s="7"/>
      <c r="H1526" s="7"/>
      <c r="I1526" s="7"/>
      <c r="J1526" s="20"/>
      <c r="K1526" s="20"/>
      <c r="L1526" s="20"/>
      <c r="M1526" s="20"/>
      <c r="N1526" s="9"/>
      <c r="P1526" s="7"/>
      <c r="Q1526" s="11"/>
      <c r="R1526" s="8"/>
      <c r="S1526" s="7"/>
      <c r="T1526" s="7"/>
      <c r="U1526" s="7"/>
      <c r="V1526" s="7"/>
      <c r="W1526" s="7"/>
      <c r="X1526" s="8"/>
      <c r="Y1526" s="7"/>
      <c r="Z1526" s="7"/>
      <c r="AA1526" s="11"/>
      <c r="AB1526" s="11"/>
      <c r="AC1526" s="11"/>
      <c r="AD1526" s="11"/>
      <c r="AH1526" s="8"/>
      <c r="AI1526" s="20"/>
      <c r="AJ1526" s="20"/>
      <c r="AK1526" s="31"/>
      <c r="AL1526" s="31"/>
    </row>
    <row r="1527" spans="1:38" hidden="1" x14ac:dyDescent="0.25">
      <c r="A1527" s="9"/>
      <c r="B1527" s="7"/>
      <c r="C1527" s="7"/>
      <c r="D1527" s="7"/>
      <c r="E1527" s="7"/>
      <c r="F1527" s="7"/>
      <c r="G1527" s="7"/>
      <c r="H1527" s="7"/>
      <c r="I1527" s="7"/>
      <c r="J1527" s="20"/>
      <c r="K1527" s="20"/>
      <c r="L1527" s="20"/>
      <c r="M1527" s="20"/>
      <c r="N1527" s="9"/>
      <c r="P1527" s="7"/>
      <c r="Q1527" s="11"/>
      <c r="R1527" s="8"/>
      <c r="S1527" s="7"/>
      <c r="T1527" s="7"/>
      <c r="U1527" s="7"/>
      <c r="V1527" s="7"/>
      <c r="W1527" s="7"/>
      <c r="X1527" s="8"/>
      <c r="Y1527" s="7"/>
      <c r="Z1527" s="7"/>
      <c r="AA1527" s="11"/>
      <c r="AB1527" s="11"/>
      <c r="AC1527" s="11"/>
      <c r="AD1527" s="11"/>
      <c r="AH1527" s="8"/>
      <c r="AI1527" s="20"/>
      <c r="AJ1527" s="20"/>
      <c r="AK1527" s="31"/>
      <c r="AL1527" s="31"/>
    </row>
    <row r="1528" spans="1:38" hidden="1" x14ac:dyDescent="0.25">
      <c r="A1528" s="9"/>
      <c r="B1528" s="7"/>
      <c r="C1528" s="7"/>
      <c r="D1528" s="7"/>
      <c r="E1528" s="7"/>
      <c r="F1528" s="7"/>
      <c r="G1528" s="7"/>
      <c r="H1528" s="7"/>
      <c r="I1528" s="7"/>
      <c r="J1528" s="20"/>
      <c r="K1528" s="20"/>
      <c r="L1528" s="20"/>
      <c r="M1528" s="20"/>
      <c r="N1528" s="9"/>
      <c r="P1528" s="7"/>
      <c r="Q1528" s="11"/>
      <c r="R1528" s="8"/>
      <c r="S1528" s="7"/>
      <c r="T1528" s="7"/>
      <c r="U1528" s="7"/>
      <c r="V1528" s="7"/>
      <c r="W1528" s="7"/>
      <c r="X1528" s="8"/>
      <c r="Y1528" s="7"/>
      <c r="Z1528" s="7"/>
      <c r="AA1528" s="11"/>
      <c r="AB1528" s="11"/>
      <c r="AC1528" s="11"/>
      <c r="AD1528" s="11"/>
      <c r="AH1528" s="8"/>
      <c r="AI1528" s="20"/>
      <c r="AJ1528" s="20"/>
      <c r="AK1528" s="31"/>
      <c r="AL1528" s="31"/>
    </row>
    <row r="1529" spans="1:38" hidden="1" x14ac:dyDescent="0.25">
      <c r="A1529" s="9"/>
      <c r="B1529" s="7"/>
      <c r="C1529" s="7"/>
      <c r="D1529" s="7"/>
      <c r="E1529" s="7"/>
      <c r="F1529" s="7"/>
      <c r="G1529" s="7"/>
      <c r="H1529" s="7"/>
      <c r="I1529" s="7"/>
      <c r="J1529" s="20"/>
      <c r="K1529" s="20"/>
      <c r="L1529" s="20"/>
      <c r="M1529" s="20"/>
      <c r="N1529" s="9"/>
      <c r="P1529" s="7"/>
      <c r="Q1529" s="11"/>
      <c r="R1529" s="8"/>
      <c r="S1529" s="7"/>
      <c r="T1529" s="7"/>
      <c r="U1529" s="7"/>
      <c r="V1529" s="7"/>
      <c r="W1529" s="7"/>
      <c r="X1529" s="8"/>
      <c r="Y1529" s="7"/>
      <c r="Z1529" s="7"/>
      <c r="AA1529" s="11"/>
      <c r="AB1529" s="11"/>
      <c r="AC1529" s="11"/>
      <c r="AD1529" s="11"/>
      <c r="AH1529" s="8"/>
      <c r="AI1529" s="20"/>
      <c r="AJ1529" s="20"/>
      <c r="AK1529" s="31"/>
      <c r="AL1529" s="31"/>
    </row>
    <row r="1530" spans="1:38" hidden="1" x14ac:dyDescent="0.25">
      <c r="A1530" s="9"/>
      <c r="B1530" s="7"/>
      <c r="C1530" s="7"/>
      <c r="D1530" s="7"/>
      <c r="E1530" s="7"/>
      <c r="F1530" s="7"/>
      <c r="G1530" s="7"/>
      <c r="H1530" s="7"/>
      <c r="I1530" s="7"/>
      <c r="J1530" s="20"/>
      <c r="K1530" s="20"/>
      <c r="L1530" s="20"/>
      <c r="M1530" s="20"/>
      <c r="N1530" s="9"/>
      <c r="P1530" s="7"/>
      <c r="Q1530" s="11"/>
      <c r="R1530" s="8"/>
      <c r="S1530" s="7"/>
      <c r="T1530" s="7"/>
      <c r="U1530" s="7"/>
      <c r="V1530" s="7"/>
      <c r="W1530" s="7"/>
      <c r="X1530" s="8"/>
      <c r="Y1530" s="7"/>
      <c r="Z1530" s="7"/>
      <c r="AA1530" s="11"/>
      <c r="AB1530" s="11"/>
      <c r="AC1530" s="11"/>
      <c r="AD1530" s="11"/>
      <c r="AH1530" s="8"/>
      <c r="AI1530" s="20"/>
      <c r="AJ1530" s="20"/>
      <c r="AK1530" s="31"/>
      <c r="AL1530" s="31"/>
    </row>
    <row r="1531" spans="1:38" hidden="1" x14ac:dyDescent="0.25">
      <c r="A1531" s="9"/>
      <c r="B1531" s="7"/>
      <c r="C1531" s="7"/>
      <c r="D1531" s="7"/>
      <c r="E1531" s="7"/>
      <c r="F1531" s="7"/>
      <c r="G1531" s="7"/>
      <c r="H1531" s="7"/>
      <c r="I1531" s="7"/>
      <c r="J1531" s="20"/>
      <c r="K1531" s="20"/>
      <c r="L1531" s="20"/>
      <c r="M1531" s="20"/>
      <c r="N1531" s="9"/>
      <c r="P1531" s="7"/>
      <c r="Q1531" s="11"/>
      <c r="R1531" s="8"/>
      <c r="S1531" s="7"/>
      <c r="T1531" s="7"/>
      <c r="U1531" s="7"/>
      <c r="V1531" s="7"/>
      <c r="W1531" s="7"/>
      <c r="X1531" s="8"/>
      <c r="Y1531" s="7"/>
      <c r="Z1531" s="7"/>
      <c r="AA1531" s="11"/>
      <c r="AB1531" s="11"/>
      <c r="AC1531" s="11"/>
      <c r="AD1531" s="11"/>
      <c r="AH1531" s="8"/>
      <c r="AI1531" s="20"/>
      <c r="AJ1531" s="20"/>
      <c r="AK1531" s="31"/>
      <c r="AL1531" s="31"/>
    </row>
    <row r="1532" spans="1:38" hidden="1" x14ac:dyDescent="0.25">
      <c r="A1532" s="9"/>
      <c r="B1532" s="7"/>
      <c r="C1532" s="7"/>
      <c r="D1532" s="7"/>
      <c r="E1532" s="7"/>
      <c r="F1532" s="7"/>
      <c r="G1532" s="7"/>
      <c r="H1532" s="7"/>
      <c r="I1532" s="7"/>
      <c r="J1532" s="20"/>
      <c r="K1532" s="20"/>
      <c r="L1532" s="20"/>
      <c r="M1532" s="20"/>
      <c r="N1532" s="9"/>
      <c r="P1532" s="7"/>
      <c r="Q1532" s="11"/>
      <c r="R1532" s="8"/>
      <c r="S1532" s="7"/>
      <c r="T1532" s="7"/>
      <c r="U1532" s="7"/>
      <c r="V1532" s="7"/>
      <c r="W1532" s="7"/>
      <c r="X1532" s="8"/>
      <c r="Y1532" s="7"/>
      <c r="Z1532" s="7"/>
      <c r="AA1532" s="11"/>
      <c r="AB1532" s="11"/>
      <c r="AC1532" s="11"/>
      <c r="AD1532" s="11"/>
      <c r="AH1532" s="8"/>
      <c r="AI1532" s="20"/>
      <c r="AJ1532" s="20"/>
      <c r="AK1532" s="31"/>
      <c r="AL1532" s="31"/>
    </row>
    <row r="1533" spans="1:38" hidden="1" x14ac:dyDescent="0.25">
      <c r="A1533" s="9"/>
      <c r="B1533" s="7"/>
      <c r="C1533" s="7"/>
      <c r="D1533" s="7"/>
      <c r="E1533" s="7"/>
      <c r="F1533" s="7"/>
      <c r="G1533" s="7"/>
      <c r="H1533" s="7"/>
      <c r="I1533" s="7"/>
      <c r="J1533" s="20"/>
      <c r="K1533" s="20"/>
      <c r="L1533" s="20"/>
      <c r="M1533" s="20"/>
      <c r="N1533" s="9"/>
      <c r="P1533" s="7"/>
      <c r="Q1533" s="11"/>
      <c r="R1533" s="8"/>
      <c r="S1533" s="7"/>
      <c r="T1533" s="7"/>
      <c r="U1533" s="7"/>
      <c r="V1533" s="7"/>
      <c r="W1533" s="7"/>
      <c r="X1533" s="8"/>
      <c r="Y1533" s="7"/>
      <c r="Z1533" s="7"/>
      <c r="AA1533" s="11"/>
      <c r="AB1533" s="11"/>
      <c r="AC1533" s="11"/>
      <c r="AD1533" s="11"/>
      <c r="AH1533" s="8"/>
      <c r="AI1533" s="20"/>
      <c r="AJ1533" s="20"/>
      <c r="AK1533" s="31"/>
      <c r="AL1533" s="31"/>
    </row>
    <row r="1534" spans="1:38" hidden="1" x14ac:dyDescent="0.25">
      <c r="A1534" s="9"/>
      <c r="B1534" s="7"/>
      <c r="C1534" s="7"/>
      <c r="D1534" s="7"/>
      <c r="E1534" s="7"/>
      <c r="F1534" s="7"/>
      <c r="G1534" s="7"/>
      <c r="H1534" s="7"/>
      <c r="I1534" s="7"/>
      <c r="J1534" s="20"/>
      <c r="K1534" s="20"/>
      <c r="L1534" s="20"/>
      <c r="M1534" s="20"/>
      <c r="N1534" s="9"/>
      <c r="P1534" s="7"/>
      <c r="Q1534" s="11"/>
      <c r="R1534" s="8"/>
      <c r="S1534" s="7"/>
      <c r="T1534" s="7"/>
      <c r="U1534" s="7"/>
      <c r="V1534" s="7"/>
      <c r="W1534" s="7"/>
      <c r="X1534" s="8"/>
      <c r="Y1534" s="7"/>
      <c r="Z1534" s="7"/>
      <c r="AA1534" s="11"/>
      <c r="AB1534" s="11"/>
      <c r="AC1534" s="11"/>
      <c r="AD1534" s="11"/>
      <c r="AH1534" s="8"/>
      <c r="AI1534" s="20"/>
      <c r="AJ1534" s="20"/>
      <c r="AK1534" s="31"/>
      <c r="AL1534" s="31"/>
    </row>
    <row r="1535" spans="1:38" hidden="1" x14ac:dyDescent="0.25">
      <c r="A1535" s="9"/>
      <c r="B1535" s="7"/>
      <c r="C1535" s="7"/>
      <c r="D1535" s="7"/>
      <c r="E1535" s="7"/>
      <c r="F1535" s="7"/>
      <c r="G1535" s="7"/>
      <c r="H1535" s="7"/>
      <c r="I1535" s="7"/>
      <c r="J1535" s="20"/>
      <c r="K1535" s="20"/>
      <c r="L1535" s="20"/>
      <c r="M1535" s="20"/>
      <c r="N1535" s="9"/>
      <c r="P1535" s="7"/>
      <c r="Q1535" s="11"/>
      <c r="R1535" s="8"/>
      <c r="S1535" s="7"/>
      <c r="T1535" s="7"/>
      <c r="U1535" s="7"/>
      <c r="V1535" s="7"/>
      <c r="W1535" s="7"/>
      <c r="X1535" s="8"/>
      <c r="Y1535" s="7"/>
      <c r="Z1535" s="7"/>
      <c r="AA1535" s="11"/>
      <c r="AB1535" s="11"/>
      <c r="AC1535" s="11"/>
      <c r="AD1535" s="11"/>
      <c r="AH1535" s="8"/>
      <c r="AI1535" s="20"/>
      <c r="AJ1535" s="20"/>
      <c r="AK1535" s="31"/>
      <c r="AL1535" s="31"/>
    </row>
    <row r="1536" spans="1:38" hidden="1" x14ac:dyDescent="0.25">
      <c r="A1536" s="9"/>
      <c r="B1536" s="7"/>
      <c r="C1536" s="7"/>
      <c r="D1536" s="7"/>
      <c r="E1536" s="7"/>
      <c r="F1536" s="7"/>
      <c r="G1536" s="7"/>
      <c r="H1536" s="7"/>
      <c r="I1536" s="7"/>
      <c r="J1536" s="20"/>
      <c r="K1536" s="20"/>
      <c r="L1536" s="20"/>
      <c r="M1536" s="20"/>
      <c r="N1536" s="9"/>
      <c r="P1536" s="7"/>
      <c r="Q1536" s="11"/>
      <c r="R1536" s="8"/>
      <c r="S1536" s="7"/>
      <c r="T1536" s="7"/>
      <c r="U1536" s="7"/>
      <c r="V1536" s="7"/>
      <c r="W1536" s="7"/>
      <c r="X1536" s="8"/>
      <c r="Y1536" s="7"/>
      <c r="Z1536" s="7"/>
      <c r="AA1536" s="11"/>
      <c r="AB1536" s="11"/>
      <c r="AC1536" s="11"/>
      <c r="AD1536" s="11"/>
      <c r="AH1536" s="8"/>
      <c r="AI1536" s="20"/>
      <c r="AJ1536" s="20"/>
      <c r="AK1536" s="31"/>
      <c r="AL1536" s="31"/>
    </row>
    <row r="1537" spans="1:38" hidden="1" x14ac:dyDescent="0.25">
      <c r="A1537" s="9"/>
      <c r="B1537" s="7"/>
      <c r="C1537" s="7"/>
      <c r="D1537" s="7"/>
      <c r="E1537" s="7"/>
      <c r="F1537" s="7"/>
      <c r="G1537" s="7"/>
      <c r="H1537" s="7"/>
      <c r="I1537" s="7"/>
      <c r="J1537" s="20"/>
      <c r="K1537" s="20"/>
      <c r="L1537" s="20"/>
      <c r="M1537" s="20"/>
      <c r="N1537" s="9"/>
      <c r="P1537" s="7"/>
      <c r="Q1537" s="11"/>
      <c r="R1537" s="8"/>
      <c r="S1537" s="7"/>
      <c r="T1537" s="7"/>
      <c r="U1537" s="7"/>
      <c r="V1537" s="7"/>
      <c r="W1537" s="7"/>
      <c r="X1537" s="8"/>
      <c r="Y1537" s="7"/>
      <c r="Z1537" s="7"/>
      <c r="AA1537" s="11"/>
      <c r="AB1537" s="11"/>
      <c r="AC1537" s="11"/>
      <c r="AD1537" s="11"/>
      <c r="AH1537" s="8"/>
      <c r="AI1537" s="20"/>
      <c r="AJ1537" s="20"/>
      <c r="AK1537" s="31"/>
      <c r="AL1537" s="31"/>
    </row>
    <row r="1538" spans="1:38" hidden="1" x14ac:dyDescent="0.25">
      <c r="A1538" s="9"/>
      <c r="B1538" s="7"/>
      <c r="C1538" s="7"/>
      <c r="D1538" s="7"/>
      <c r="E1538" s="7"/>
      <c r="F1538" s="7"/>
      <c r="G1538" s="7"/>
      <c r="H1538" s="7"/>
      <c r="I1538" s="7"/>
      <c r="J1538" s="20"/>
      <c r="K1538" s="20"/>
      <c r="L1538" s="20"/>
      <c r="M1538" s="20"/>
      <c r="N1538" s="9"/>
      <c r="P1538" s="7"/>
      <c r="Q1538" s="11"/>
      <c r="R1538" s="8"/>
      <c r="S1538" s="7"/>
      <c r="T1538" s="7"/>
      <c r="U1538" s="7"/>
      <c r="V1538" s="7"/>
      <c r="W1538" s="7"/>
      <c r="X1538" s="8"/>
      <c r="Y1538" s="7"/>
      <c r="Z1538" s="7"/>
      <c r="AA1538" s="11"/>
      <c r="AB1538" s="11"/>
      <c r="AC1538" s="11"/>
      <c r="AD1538" s="11"/>
      <c r="AH1538" s="8"/>
      <c r="AI1538" s="20"/>
      <c r="AJ1538" s="20"/>
      <c r="AK1538" s="31"/>
      <c r="AL1538" s="31"/>
    </row>
    <row r="1539" spans="1:38" hidden="1" x14ac:dyDescent="0.25">
      <c r="A1539" s="9"/>
      <c r="B1539" s="7"/>
      <c r="C1539" s="7"/>
      <c r="D1539" s="7"/>
      <c r="E1539" s="7"/>
      <c r="F1539" s="7"/>
      <c r="G1539" s="7"/>
      <c r="H1539" s="7"/>
      <c r="I1539" s="7"/>
      <c r="J1539" s="20"/>
      <c r="K1539" s="20"/>
      <c r="L1539" s="20"/>
      <c r="M1539" s="20"/>
      <c r="N1539" s="9"/>
      <c r="P1539" s="7"/>
      <c r="Q1539" s="11"/>
      <c r="R1539" s="8"/>
      <c r="S1539" s="7"/>
      <c r="T1539" s="7"/>
      <c r="U1539" s="7"/>
      <c r="V1539" s="7"/>
      <c r="W1539" s="7"/>
      <c r="X1539" s="8"/>
      <c r="Y1539" s="7"/>
      <c r="Z1539" s="7"/>
      <c r="AA1539" s="11"/>
      <c r="AB1539" s="11"/>
      <c r="AC1539" s="11"/>
      <c r="AD1539" s="11"/>
      <c r="AH1539" s="8"/>
      <c r="AI1539" s="20"/>
      <c r="AJ1539" s="20"/>
      <c r="AK1539" s="31"/>
      <c r="AL1539" s="31"/>
    </row>
    <row r="1540" spans="1:38" hidden="1" x14ac:dyDescent="0.25">
      <c r="A1540" s="9"/>
      <c r="B1540" s="7"/>
      <c r="C1540" s="7"/>
      <c r="D1540" s="7"/>
      <c r="E1540" s="7"/>
      <c r="F1540" s="7"/>
      <c r="G1540" s="7"/>
      <c r="H1540" s="7"/>
      <c r="I1540" s="7"/>
      <c r="J1540" s="20"/>
      <c r="K1540" s="20"/>
      <c r="L1540" s="20"/>
      <c r="M1540" s="20"/>
      <c r="N1540" s="9"/>
      <c r="P1540" s="7"/>
      <c r="Q1540" s="11"/>
      <c r="R1540" s="8"/>
      <c r="S1540" s="7"/>
      <c r="T1540" s="7"/>
      <c r="U1540" s="7"/>
      <c r="V1540" s="7"/>
      <c r="W1540" s="7"/>
      <c r="X1540" s="8"/>
      <c r="Y1540" s="7"/>
      <c r="Z1540" s="7"/>
      <c r="AA1540" s="11"/>
      <c r="AB1540" s="11"/>
      <c r="AC1540" s="11"/>
      <c r="AD1540" s="11"/>
      <c r="AH1540" s="8"/>
      <c r="AI1540" s="20"/>
      <c r="AJ1540" s="20"/>
      <c r="AK1540" s="31"/>
      <c r="AL1540" s="31"/>
    </row>
    <row r="1541" spans="1:38" hidden="1" x14ac:dyDescent="0.25">
      <c r="A1541" s="9"/>
      <c r="B1541" s="7"/>
      <c r="C1541" s="7"/>
      <c r="D1541" s="7"/>
      <c r="E1541" s="7"/>
      <c r="F1541" s="7"/>
      <c r="G1541" s="7"/>
      <c r="H1541" s="7"/>
      <c r="I1541" s="7"/>
      <c r="J1541" s="20"/>
      <c r="K1541" s="20"/>
      <c r="L1541" s="20"/>
      <c r="M1541" s="20"/>
      <c r="N1541" s="9"/>
      <c r="P1541" s="7"/>
      <c r="Q1541" s="11"/>
      <c r="R1541" s="8"/>
      <c r="S1541" s="7"/>
      <c r="T1541" s="7"/>
      <c r="U1541" s="7"/>
      <c r="V1541" s="7"/>
      <c r="W1541" s="7"/>
      <c r="X1541" s="8"/>
      <c r="Y1541" s="7"/>
      <c r="Z1541" s="7"/>
      <c r="AA1541" s="11"/>
      <c r="AB1541" s="11"/>
      <c r="AC1541" s="11"/>
      <c r="AD1541" s="11"/>
      <c r="AH1541" s="8"/>
      <c r="AI1541" s="20"/>
      <c r="AJ1541" s="20"/>
      <c r="AK1541" s="31"/>
      <c r="AL1541" s="31"/>
    </row>
    <row r="1542" spans="1:38" hidden="1" x14ac:dyDescent="0.25">
      <c r="A1542" s="9"/>
      <c r="B1542" s="7"/>
      <c r="C1542" s="7"/>
      <c r="D1542" s="7"/>
      <c r="E1542" s="7"/>
      <c r="F1542" s="7"/>
      <c r="G1542" s="7"/>
      <c r="H1542" s="7"/>
      <c r="I1542" s="7"/>
      <c r="J1542" s="20"/>
      <c r="K1542" s="20"/>
      <c r="L1542" s="20"/>
      <c r="M1542" s="20"/>
      <c r="N1542" s="9"/>
      <c r="P1542" s="7"/>
      <c r="Q1542" s="11"/>
      <c r="R1542" s="8"/>
      <c r="S1542" s="7"/>
      <c r="T1542" s="7"/>
      <c r="U1542" s="7"/>
      <c r="V1542" s="7"/>
      <c r="W1542" s="7"/>
      <c r="X1542" s="8"/>
      <c r="Y1542" s="7"/>
      <c r="Z1542" s="7"/>
      <c r="AA1542" s="11"/>
      <c r="AB1542" s="11"/>
      <c r="AC1542" s="11"/>
      <c r="AD1542" s="11"/>
      <c r="AH1542" s="8"/>
      <c r="AI1542" s="20"/>
      <c r="AJ1542" s="20"/>
      <c r="AK1542" s="31"/>
      <c r="AL1542" s="31"/>
    </row>
    <row r="1543" spans="1:38" hidden="1" x14ac:dyDescent="0.25">
      <c r="A1543" s="9"/>
      <c r="B1543" s="7"/>
      <c r="C1543" s="7"/>
      <c r="D1543" s="7"/>
      <c r="E1543" s="7"/>
      <c r="F1543" s="7"/>
      <c r="G1543" s="7"/>
      <c r="H1543" s="7"/>
      <c r="I1543" s="7"/>
      <c r="J1543" s="20"/>
      <c r="K1543" s="20"/>
      <c r="L1543" s="20"/>
      <c r="M1543" s="20"/>
      <c r="N1543" s="9"/>
      <c r="P1543" s="7"/>
      <c r="Q1543" s="11"/>
      <c r="R1543" s="8"/>
      <c r="S1543" s="7"/>
      <c r="T1543" s="7"/>
      <c r="U1543" s="7"/>
      <c r="V1543" s="7"/>
      <c r="W1543" s="7"/>
      <c r="X1543" s="8"/>
      <c r="Y1543" s="7"/>
      <c r="Z1543" s="7"/>
      <c r="AA1543" s="11"/>
      <c r="AB1543" s="11"/>
      <c r="AC1543" s="11"/>
      <c r="AD1543" s="11"/>
      <c r="AH1543" s="8"/>
      <c r="AI1543" s="20"/>
      <c r="AJ1543" s="20"/>
      <c r="AK1543" s="31"/>
      <c r="AL1543" s="31"/>
    </row>
    <row r="1544" spans="1:38" hidden="1" x14ac:dyDescent="0.25">
      <c r="A1544" s="9"/>
      <c r="B1544" s="7"/>
      <c r="C1544" s="7"/>
      <c r="D1544" s="7"/>
      <c r="E1544" s="7"/>
      <c r="F1544" s="7"/>
      <c r="G1544" s="7"/>
      <c r="H1544" s="7"/>
      <c r="I1544" s="7"/>
      <c r="J1544" s="20"/>
      <c r="K1544" s="20"/>
      <c r="L1544" s="20"/>
      <c r="M1544" s="20"/>
      <c r="N1544" s="9"/>
      <c r="P1544" s="7"/>
      <c r="Q1544" s="11"/>
      <c r="R1544" s="8"/>
      <c r="S1544" s="7"/>
      <c r="T1544" s="7"/>
      <c r="U1544" s="7"/>
      <c r="V1544" s="7"/>
      <c r="W1544" s="7"/>
      <c r="X1544" s="8"/>
      <c r="Y1544" s="7"/>
      <c r="Z1544" s="7"/>
      <c r="AA1544" s="11"/>
      <c r="AB1544" s="11"/>
      <c r="AC1544" s="11"/>
      <c r="AD1544" s="11"/>
      <c r="AH1544" s="8"/>
      <c r="AI1544" s="20"/>
      <c r="AJ1544" s="20"/>
      <c r="AK1544" s="31"/>
      <c r="AL1544" s="31"/>
    </row>
    <row r="1545" spans="1:38" hidden="1" x14ac:dyDescent="0.25">
      <c r="A1545" s="9"/>
      <c r="B1545" s="7"/>
      <c r="C1545" s="7"/>
      <c r="D1545" s="7"/>
      <c r="E1545" s="7"/>
      <c r="F1545" s="7"/>
      <c r="G1545" s="7"/>
      <c r="H1545" s="7"/>
      <c r="I1545" s="7"/>
      <c r="J1545" s="20"/>
      <c r="K1545" s="20"/>
      <c r="L1545" s="20"/>
      <c r="M1545" s="20"/>
      <c r="N1545" s="9"/>
      <c r="P1545" s="7"/>
      <c r="Q1545" s="11"/>
      <c r="R1545" s="8"/>
      <c r="S1545" s="7"/>
      <c r="T1545" s="7"/>
      <c r="U1545" s="7"/>
      <c r="V1545" s="7"/>
      <c r="W1545" s="7"/>
      <c r="X1545" s="8"/>
      <c r="Y1545" s="7"/>
      <c r="Z1545" s="7"/>
      <c r="AA1545" s="11"/>
      <c r="AB1545" s="11"/>
      <c r="AC1545" s="11"/>
      <c r="AD1545" s="11"/>
      <c r="AH1545" s="8"/>
      <c r="AI1545" s="20"/>
      <c r="AJ1545" s="20"/>
      <c r="AK1545" s="31"/>
      <c r="AL1545" s="31"/>
    </row>
    <row r="1546" spans="1:38" hidden="1" x14ac:dyDescent="0.25">
      <c r="A1546" s="9"/>
      <c r="B1546" s="7"/>
      <c r="C1546" s="7"/>
      <c r="D1546" s="7"/>
      <c r="E1546" s="7"/>
      <c r="F1546" s="7"/>
      <c r="G1546" s="7"/>
      <c r="H1546" s="7"/>
      <c r="I1546" s="7"/>
      <c r="J1546" s="20"/>
      <c r="K1546" s="20"/>
      <c r="L1546" s="20"/>
      <c r="M1546" s="20"/>
      <c r="N1546" s="9"/>
      <c r="P1546" s="7"/>
      <c r="Q1546" s="11"/>
      <c r="R1546" s="8"/>
      <c r="S1546" s="7"/>
      <c r="T1546" s="7"/>
      <c r="U1546" s="7"/>
      <c r="V1546" s="7"/>
      <c r="W1546" s="7"/>
      <c r="X1546" s="8"/>
      <c r="Y1546" s="7"/>
      <c r="Z1546" s="7"/>
      <c r="AA1546" s="11"/>
      <c r="AB1546" s="11"/>
      <c r="AC1546" s="11"/>
      <c r="AD1546" s="11"/>
      <c r="AH1546" s="8"/>
      <c r="AI1546" s="20"/>
      <c r="AJ1546" s="20"/>
      <c r="AK1546" s="31"/>
      <c r="AL1546" s="31"/>
    </row>
    <row r="1547" spans="1:38" hidden="1" x14ac:dyDescent="0.25">
      <c r="A1547" s="9"/>
      <c r="B1547" s="7"/>
      <c r="C1547" s="7"/>
      <c r="D1547" s="7"/>
      <c r="E1547" s="7"/>
      <c r="F1547" s="7"/>
      <c r="G1547" s="7"/>
      <c r="H1547" s="7"/>
      <c r="I1547" s="7"/>
      <c r="J1547" s="20"/>
      <c r="K1547" s="20"/>
      <c r="L1547" s="20"/>
      <c r="M1547" s="20"/>
      <c r="N1547" s="9"/>
      <c r="P1547" s="7"/>
      <c r="Q1547" s="11"/>
      <c r="R1547" s="8"/>
      <c r="S1547" s="7"/>
      <c r="T1547" s="7"/>
      <c r="U1547" s="7"/>
      <c r="V1547" s="7"/>
      <c r="W1547" s="7"/>
      <c r="X1547" s="8"/>
      <c r="Y1547" s="7"/>
      <c r="Z1547" s="7"/>
      <c r="AA1547" s="11"/>
      <c r="AB1547" s="11"/>
      <c r="AC1547" s="11"/>
      <c r="AD1547" s="11"/>
      <c r="AH1547" s="8"/>
      <c r="AI1547" s="20"/>
      <c r="AJ1547" s="20"/>
      <c r="AK1547" s="31"/>
      <c r="AL1547" s="31"/>
    </row>
    <row r="1548" spans="1:38" hidden="1" x14ac:dyDescent="0.25">
      <c r="A1548" s="9"/>
      <c r="B1548" s="7"/>
      <c r="C1548" s="7"/>
      <c r="D1548" s="7"/>
      <c r="E1548" s="7"/>
      <c r="F1548" s="7"/>
      <c r="G1548" s="7"/>
      <c r="H1548" s="7"/>
      <c r="I1548" s="7"/>
      <c r="J1548" s="20"/>
      <c r="K1548" s="20"/>
      <c r="L1548" s="20"/>
      <c r="M1548" s="20"/>
      <c r="N1548" s="9"/>
      <c r="P1548" s="7"/>
      <c r="Q1548" s="11"/>
      <c r="R1548" s="8"/>
      <c r="S1548" s="7"/>
      <c r="T1548" s="7"/>
      <c r="U1548" s="7"/>
      <c r="V1548" s="7"/>
      <c r="W1548" s="7"/>
      <c r="X1548" s="8"/>
      <c r="Y1548" s="7"/>
      <c r="Z1548" s="7"/>
      <c r="AA1548" s="11"/>
      <c r="AB1548" s="11"/>
      <c r="AC1548" s="11"/>
      <c r="AD1548" s="11"/>
      <c r="AH1548" s="8"/>
      <c r="AI1548" s="20"/>
      <c r="AJ1548" s="20"/>
      <c r="AK1548" s="31"/>
      <c r="AL1548" s="31"/>
    </row>
    <row r="1549" spans="1:38" hidden="1" x14ac:dyDescent="0.25">
      <c r="A1549" s="9"/>
      <c r="B1549" s="7"/>
      <c r="C1549" s="7"/>
      <c r="D1549" s="7"/>
      <c r="E1549" s="7"/>
      <c r="F1549" s="7"/>
      <c r="G1549" s="7"/>
      <c r="H1549" s="7"/>
      <c r="I1549" s="7"/>
      <c r="J1549" s="20"/>
      <c r="K1549" s="20"/>
      <c r="L1549" s="20"/>
      <c r="M1549" s="20"/>
      <c r="N1549" s="9"/>
      <c r="P1549" s="7"/>
      <c r="Q1549" s="11"/>
      <c r="R1549" s="8"/>
      <c r="S1549" s="7"/>
      <c r="T1549" s="7"/>
      <c r="U1549" s="7"/>
      <c r="V1549" s="7"/>
      <c r="W1549" s="7"/>
      <c r="X1549" s="8"/>
      <c r="Y1549" s="7"/>
      <c r="Z1549" s="7"/>
      <c r="AA1549" s="11"/>
      <c r="AB1549" s="11"/>
      <c r="AC1549" s="11"/>
      <c r="AD1549" s="11"/>
      <c r="AH1549" s="8"/>
      <c r="AI1549" s="20"/>
      <c r="AJ1549" s="20"/>
      <c r="AK1549" s="31"/>
      <c r="AL1549" s="31"/>
    </row>
    <row r="1550" spans="1:38" hidden="1" x14ac:dyDescent="0.25">
      <c r="A1550" s="9"/>
      <c r="B1550" s="7"/>
      <c r="C1550" s="7"/>
      <c r="D1550" s="7"/>
      <c r="E1550" s="7"/>
      <c r="F1550" s="7"/>
      <c r="G1550" s="7"/>
      <c r="H1550" s="7"/>
      <c r="I1550" s="7"/>
      <c r="J1550" s="20"/>
      <c r="K1550" s="20"/>
      <c r="L1550" s="20"/>
      <c r="M1550" s="20"/>
      <c r="N1550" s="9"/>
      <c r="P1550" s="7"/>
      <c r="Q1550" s="11"/>
      <c r="R1550" s="8"/>
      <c r="S1550" s="7"/>
      <c r="T1550" s="7"/>
      <c r="U1550" s="7"/>
      <c r="V1550" s="7"/>
      <c r="W1550" s="7"/>
      <c r="X1550" s="8"/>
      <c r="Y1550" s="7"/>
      <c r="Z1550" s="7"/>
      <c r="AA1550" s="11"/>
      <c r="AB1550" s="11"/>
      <c r="AC1550" s="11"/>
      <c r="AD1550" s="11"/>
      <c r="AH1550" s="8"/>
      <c r="AI1550" s="20"/>
      <c r="AJ1550" s="20"/>
      <c r="AK1550" s="31"/>
      <c r="AL1550" s="31"/>
    </row>
    <row r="1551" spans="1:38" hidden="1" x14ac:dyDescent="0.25">
      <c r="A1551" s="9"/>
      <c r="B1551" s="7"/>
      <c r="C1551" s="7"/>
      <c r="D1551" s="7"/>
      <c r="E1551" s="7"/>
      <c r="F1551" s="7"/>
      <c r="G1551" s="7"/>
      <c r="H1551" s="7"/>
      <c r="I1551" s="7"/>
      <c r="J1551" s="20"/>
      <c r="K1551" s="20"/>
      <c r="L1551" s="20"/>
      <c r="M1551" s="20"/>
      <c r="N1551" s="9"/>
      <c r="P1551" s="7"/>
      <c r="Q1551" s="11"/>
      <c r="R1551" s="8"/>
      <c r="S1551" s="7"/>
      <c r="T1551" s="7"/>
      <c r="U1551" s="7"/>
      <c r="V1551" s="7"/>
      <c r="W1551" s="7"/>
      <c r="X1551" s="8"/>
      <c r="Y1551" s="7"/>
      <c r="Z1551" s="7"/>
      <c r="AA1551" s="11"/>
      <c r="AB1551" s="11"/>
      <c r="AC1551" s="11"/>
      <c r="AD1551" s="11"/>
      <c r="AH1551" s="8"/>
      <c r="AI1551" s="20"/>
      <c r="AJ1551" s="20"/>
      <c r="AK1551" s="31"/>
      <c r="AL1551" s="31"/>
    </row>
    <row r="1552" spans="1:38" hidden="1" x14ac:dyDescent="0.25">
      <c r="A1552" s="9"/>
      <c r="B1552" s="7"/>
      <c r="C1552" s="7"/>
      <c r="D1552" s="7"/>
      <c r="E1552" s="7"/>
      <c r="F1552" s="7"/>
      <c r="G1552" s="7"/>
      <c r="H1552" s="7"/>
      <c r="I1552" s="7"/>
      <c r="J1552" s="20"/>
      <c r="K1552" s="20"/>
      <c r="L1552" s="20"/>
      <c r="M1552" s="20"/>
      <c r="N1552" s="9"/>
      <c r="P1552" s="7"/>
      <c r="Q1552" s="11"/>
      <c r="R1552" s="8"/>
      <c r="S1552" s="7"/>
      <c r="T1552" s="7"/>
      <c r="U1552" s="7"/>
      <c r="V1552" s="7"/>
      <c r="W1552" s="7"/>
      <c r="X1552" s="8"/>
      <c r="Y1552" s="7"/>
      <c r="Z1552" s="7"/>
      <c r="AA1552" s="11"/>
      <c r="AB1552" s="11"/>
      <c r="AC1552" s="11"/>
      <c r="AD1552" s="11"/>
      <c r="AH1552" s="8"/>
      <c r="AI1552" s="20"/>
      <c r="AJ1552" s="20"/>
      <c r="AK1552" s="31"/>
      <c r="AL1552" s="31"/>
    </row>
    <row r="1553" spans="1:38" hidden="1" x14ac:dyDescent="0.25">
      <c r="A1553" s="9"/>
      <c r="B1553" s="7"/>
      <c r="C1553" s="7"/>
      <c r="D1553" s="7"/>
      <c r="E1553" s="7"/>
      <c r="F1553" s="7"/>
      <c r="G1553" s="7"/>
      <c r="H1553" s="7"/>
      <c r="I1553" s="7"/>
      <c r="J1553" s="20"/>
      <c r="K1553" s="20"/>
      <c r="L1553" s="20"/>
      <c r="M1553" s="20"/>
      <c r="N1553" s="9"/>
      <c r="P1553" s="7"/>
      <c r="Q1553" s="11"/>
      <c r="R1553" s="8"/>
      <c r="S1553" s="7"/>
      <c r="T1553" s="7"/>
      <c r="U1553" s="7"/>
      <c r="V1553" s="7"/>
      <c r="W1553" s="7"/>
      <c r="X1553" s="8"/>
      <c r="Y1553" s="7"/>
      <c r="Z1553" s="7"/>
      <c r="AA1553" s="11"/>
      <c r="AB1553" s="11"/>
      <c r="AC1553" s="11"/>
      <c r="AD1553" s="11"/>
      <c r="AH1553" s="8"/>
      <c r="AI1553" s="20"/>
      <c r="AJ1553" s="20"/>
      <c r="AK1553" s="31"/>
      <c r="AL1553" s="31"/>
    </row>
    <row r="1554" spans="1:38" hidden="1" x14ac:dyDescent="0.25">
      <c r="A1554" s="9"/>
      <c r="B1554" s="7"/>
      <c r="C1554" s="7"/>
      <c r="D1554" s="7"/>
      <c r="E1554" s="7"/>
      <c r="F1554" s="7"/>
      <c r="G1554" s="7"/>
      <c r="H1554" s="7"/>
      <c r="I1554" s="7"/>
      <c r="J1554" s="20"/>
      <c r="K1554" s="20"/>
      <c r="L1554" s="20"/>
      <c r="M1554" s="20"/>
      <c r="N1554" s="9"/>
      <c r="P1554" s="7"/>
      <c r="Q1554" s="11"/>
      <c r="R1554" s="8"/>
      <c r="S1554" s="7"/>
      <c r="T1554" s="7"/>
      <c r="U1554" s="7"/>
      <c r="V1554" s="7"/>
      <c r="W1554" s="7"/>
      <c r="X1554" s="8"/>
      <c r="Y1554" s="7"/>
      <c r="Z1554" s="7"/>
      <c r="AA1554" s="11"/>
      <c r="AB1554" s="11"/>
      <c r="AC1554" s="11"/>
      <c r="AD1554" s="11"/>
      <c r="AH1554" s="8"/>
      <c r="AI1554" s="20"/>
      <c r="AJ1554" s="20"/>
      <c r="AK1554" s="31"/>
      <c r="AL1554" s="31"/>
    </row>
    <row r="1555" spans="1:38" hidden="1" x14ac:dyDescent="0.25">
      <c r="A1555" s="9"/>
      <c r="B1555" s="7"/>
      <c r="C1555" s="7"/>
      <c r="D1555" s="7"/>
      <c r="E1555" s="7"/>
      <c r="F1555" s="7"/>
      <c r="G1555" s="7"/>
      <c r="H1555" s="7"/>
      <c r="I1555" s="7"/>
      <c r="J1555" s="20"/>
      <c r="K1555" s="20"/>
      <c r="L1555" s="20"/>
      <c r="M1555" s="20"/>
      <c r="N1555" s="9"/>
      <c r="P1555" s="7"/>
      <c r="Q1555" s="11"/>
      <c r="R1555" s="8"/>
      <c r="S1555" s="7"/>
      <c r="T1555" s="7"/>
      <c r="U1555" s="7"/>
      <c r="V1555" s="7"/>
      <c r="W1555" s="7"/>
      <c r="X1555" s="8"/>
      <c r="Y1555" s="7"/>
      <c r="Z1555" s="7"/>
      <c r="AA1555" s="11"/>
      <c r="AB1555" s="11"/>
      <c r="AC1555" s="11"/>
      <c r="AD1555" s="11"/>
      <c r="AH1555" s="8"/>
      <c r="AI1555" s="20"/>
      <c r="AJ1555" s="20"/>
      <c r="AK1555" s="31"/>
      <c r="AL1555" s="31"/>
    </row>
    <row r="1556" spans="1:38" hidden="1" x14ac:dyDescent="0.25">
      <c r="A1556" s="9"/>
      <c r="B1556" s="7"/>
      <c r="C1556" s="7"/>
      <c r="D1556" s="7"/>
      <c r="E1556" s="7"/>
      <c r="F1556" s="7"/>
      <c r="G1556" s="7"/>
      <c r="H1556" s="7"/>
      <c r="I1556" s="7"/>
      <c r="J1556" s="20"/>
      <c r="K1556" s="20"/>
      <c r="L1556" s="20"/>
      <c r="M1556" s="20"/>
      <c r="N1556" s="9"/>
      <c r="P1556" s="7"/>
      <c r="Q1556" s="11"/>
      <c r="R1556" s="8"/>
      <c r="S1556" s="7"/>
      <c r="T1556" s="7"/>
      <c r="U1556" s="7"/>
      <c r="V1556" s="7"/>
      <c r="W1556" s="7"/>
      <c r="X1556" s="8"/>
      <c r="Y1556" s="7"/>
      <c r="Z1556" s="7"/>
      <c r="AA1556" s="11"/>
      <c r="AB1556" s="11"/>
      <c r="AC1556" s="11"/>
      <c r="AD1556" s="11"/>
      <c r="AH1556" s="8"/>
      <c r="AI1556" s="20"/>
      <c r="AJ1556" s="20"/>
      <c r="AK1556" s="31"/>
      <c r="AL1556" s="31"/>
    </row>
    <row r="1557" spans="1:38" hidden="1" x14ac:dyDescent="0.25">
      <c r="A1557" s="9"/>
      <c r="B1557" s="7"/>
      <c r="C1557" s="7"/>
      <c r="D1557" s="7"/>
      <c r="E1557" s="7"/>
      <c r="F1557" s="7"/>
      <c r="G1557" s="7"/>
      <c r="H1557" s="7"/>
      <c r="I1557" s="7"/>
      <c r="J1557" s="20"/>
      <c r="K1557" s="20"/>
      <c r="L1557" s="20"/>
      <c r="M1557" s="20"/>
      <c r="N1557" s="9"/>
      <c r="P1557" s="7"/>
      <c r="Q1557" s="11"/>
      <c r="R1557" s="8"/>
      <c r="S1557" s="7"/>
      <c r="T1557" s="7"/>
      <c r="U1557" s="7"/>
      <c r="V1557" s="7"/>
      <c r="W1557" s="7"/>
      <c r="X1557" s="8"/>
      <c r="Y1557" s="7"/>
      <c r="Z1557" s="7"/>
      <c r="AA1557" s="11"/>
      <c r="AB1557" s="11"/>
      <c r="AC1557" s="11"/>
      <c r="AD1557" s="11"/>
      <c r="AH1557" s="8"/>
      <c r="AI1557" s="20"/>
      <c r="AJ1557" s="20"/>
      <c r="AK1557" s="31"/>
      <c r="AL1557" s="31"/>
    </row>
    <row r="1558" spans="1:38" hidden="1" x14ac:dyDescent="0.25">
      <c r="A1558" s="9"/>
      <c r="B1558" s="7"/>
      <c r="C1558" s="7"/>
      <c r="D1558" s="7"/>
      <c r="E1558" s="7"/>
      <c r="F1558" s="7"/>
      <c r="G1558" s="7"/>
      <c r="H1558" s="7"/>
      <c r="I1558" s="7"/>
      <c r="J1558" s="20"/>
      <c r="K1558" s="20"/>
      <c r="L1558" s="20"/>
      <c r="M1558" s="20"/>
      <c r="N1558" s="9"/>
      <c r="P1558" s="7"/>
      <c r="Q1558" s="11"/>
      <c r="R1558" s="8"/>
      <c r="S1558" s="7"/>
      <c r="T1558" s="7"/>
      <c r="U1558" s="7"/>
      <c r="V1558" s="7"/>
      <c r="W1558" s="7"/>
      <c r="X1558" s="8"/>
      <c r="Y1558" s="7"/>
      <c r="Z1558" s="7"/>
      <c r="AA1558" s="11"/>
      <c r="AB1558" s="11"/>
      <c r="AC1558" s="11"/>
      <c r="AD1558" s="11"/>
      <c r="AH1558" s="8"/>
      <c r="AI1558" s="20"/>
      <c r="AJ1558" s="20"/>
      <c r="AK1558" s="31"/>
      <c r="AL1558" s="31"/>
    </row>
    <row r="1559" spans="1:38" hidden="1" x14ac:dyDescent="0.25">
      <c r="A1559" s="9"/>
      <c r="B1559" s="7"/>
      <c r="C1559" s="7"/>
      <c r="D1559" s="7"/>
      <c r="E1559" s="7"/>
      <c r="F1559" s="7"/>
      <c r="G1559" s="7"/>
      <c r="H1559" s="7"/>
      <c r="I1559" s="7"/>
      <c r="J1559" s="20"/>
      <c r="K1559" s="20"/>
      <c r="L1559" s="20"/>
      <c r="M1559" s="20"/>
      <c r="N1559" s="9"/>
      <c r="P1559" s="7"/>
      <c r="Q1559" s="11"/>
      <c r="R1559" s="8"/>
      <c r="S1559" s="7"/>
      <c r="T1559" s="7"/>
      <c r="U1559" s="7"/>
      <c r="V1559" s="7"/>
      <c r="W1559" s="7"/>
      <c r="X1559" s="8"/>
      <c r="Y1559" s="7"/>
      <c r="Z1559" s="7"/>
      <c r="AA1559" s="11"/>
      <c r="AB1559" s="11"/>
      <c r="AC1559" s="11"/>
      <c r="AD1559" s="11"/>
      <c r="AH1559" s="8"/>
      <c r="AI1559" s="20"/>
      <c r="AJ1559" s="20"/>
      <c r="AK1559" s="31"/>
      <c r="AL1559" s="31"/>
    </row>
    <row r="1560" spans="1:38" hidden="1" x14ac:dyDescent="0.25">
      <c r="A1560" s="9"/>
      <c r="B1560" s="7"/>
      <c r="C1560" s="7"/>
      <c r="D1560" s="7"/>
      <c r="E1560" s="7"/>
      <c r="F1560" s="7"/>
      <c r="G1560" s="7"/>
      <c r="H1560" s="7"/>
      <c r="I1560" s="7"/>
      <c r="J1560" s="20"/>
      <c r="K1560" s="20"/>
      <c r="L1560" s="20"/>
      <c r="M1560" s="20"/>
      <c r="N1560" s="9"/>
      <c r="P1560" s="7"/>
      <c r="Q1560" s="11"/>
      <c r="R1560" s="8"/>
      <c r="S1560" s="7"/>
      <c r="T1560" s="7"/>
      <c r="U1560" s="7"/>
      <c r="V1560" s="7"/>
      <c r="W1560" s="7"/>
      <c r="X1560" s="8"/>
      <c r="Y1560" s="7"/>
      <c r="Z1560" s="7"/>
      <c r="AA1560" s="11"/>
      <c r="AB1560" s="11"/>
      <c r="AC1560" s="11"/>
      <c r="AD1560" s="11"/>
      <c r="AH1560" s="8"/>
      <c r="AI1560" s="20"/>
      <c r="AJ1560" s="20"/>
      <c r="AK1560" s="31"/>
      <c r="AL1560" s="31"/>
    </row>
    <row r="1561" spans="1:38" hidden="1" x14ac:dyDescent="0.25">
      <c r="A1561" s="9"/>
      <c r="B1561" s="7"/>
      <c r="C1561" s="7"/>
      <c r="D1561" s="7"/>
      <c r="E1561" s="7"/>
      <c r="F1561" s="7"/>
      <c r="G1561" s="7"/>
      <c r="H1561" s="7"/>
      <c r="I1561" s="7"/>
      <c r="J1561" s="20"/>
      <c r="K1561" s="20"/>
      <c r="L1561" s="20"/>
      <c r="M1561" s="20"/>
      <c r="N1561" s="9"/>
      <c r="P1561" s="7"/>
      <c r="Q1561" s="11"/>
      <c r="R1561" s="8"/>
      <c r="S1561" s="7"/>
      <c r="T1561" s="7"/>
      <c r="U1561" s="7"/>
      <c r="V1561" s="7"/>
      <c r="W1561" s="7"/>
      <c r="X1561" s="8"/>
      <c r="Y1561" s="7"/>
      <c r="Z1561" s="7"/>
      <c r="AA1561" s="11"/>
      <c r="AB1561" s="11"/>
      <c r="AC1561" s="11"/>
      <c r="AD1561" s="11"/>
      <c r="AH1561" s="8"/>
      <c r="AI1561" s="20"/>
      <c r="AJ1561" s="20"/>
      <c r="AK1561" s="31"/>
      <c r="AL1561" s="31"/>
    </row>
    <row r="1562" spans="1:38" hidden="1" x14ac:dyDescent="0.25">
      <c r="A1562" s="9"/>
      <c r="B1562" s="7"/>
      <c r="C1562" s="7"/>
      <c r="D1562" s="7"/>
      <c r="E1562" s="7"/>
      <c r="F1562" s="7"/>
      <c r="G1562" s="7"/>
      <c r="H1562" s="7"/>
      <c r="I1562" s="7"/>
      <c r="J1562" s="20"/>
      <c r="K1562" s="20"/>
      <c r="L1562" s="20"/>
      <c r="M1562" s="20"/>
      <c r="N1562" s="9"/>
      <c r="P1562" s="7"/>
      <c r="Q1562" s="11"/>
      <c r="R1562" s="8"/>
      <c r="S1562" s="7"/>
      <c r="T1562" s="7"/>
      <c r="U1562" s="7"/>
      <c r="V1562" s="7"/>
      <c r="W1562" s="7"/>
      <c r="X1562" s="8"/>
      <c r="Y1562" s="7"/>
      <c r="Z1562" s="7"/>
      <c r="AA1562" s="11"/>
      <c r="AB1562" s="11"/>
      <c r="AC1562" s="11"/>
      <c r="AD1562" s="11"/>
      <c r="AH1562" s="8"/>
      <c r="AI1562" s="20"/>
      <c r="AJ1562" s="20"/>
      <c r="AK1562" s="31"/>
      <c r="AL1562" s="31"/>
    </row>
    <row r="1563" spans="1:38" hidden="1" x14ac:dyDescent="0.25">
      <c r="A1563" s="9"/>
      <c r="B1563" s="7"/>
      <c r="C1563" s="7"/>
      <c r="D1563" s="7"/>
      <c r="E1563" s="7"/>
      <c r="F1563" s="7"/>
      <c r="G1563" s="7"/>
      <c r="H1563" s="7"/>
      <c r="I1563" s="7"/>
      <c r="J1563" s="20"/>
      <c r="K1563" s="20"/>
      <c r="L1563" s="20"/>
      <c r="M1563" s="20"/>
      <c r="N1563" s="9"/>
      <c r="P1563" s="7"/>
      <c r="Q1563" s="11"/>
      <c r="R1563" s="8"/>
      <c r="S1563" s="7"/>
      <c r="T1563" s="7"/>
      <c r="U1563" s="7"/>
      <c r="V1563" s="7"/>
      <c r="W1563" s="7"/>
      <c r="X1563" s="8"/>
      <c r="Y1563" s="7"/>
      <c r="Z1563" s="7"/>
      <c r="AA1563" s="11"/>
      <c r="AB1563" s="11"/>
      <c r="AC1563" s="11"/>
      <c r="AD1563" s="11"/>
      <c r="AH1563" s="8"/>
      <c r="AI1563" s="20"/>
      <c r="AJ1563" s="20"/>
      <c r="AK1563" s="31"/>
      <c r="AL1563" s="31"/>
    </row>
    <row r="1564" spans="1:38" hidden="1" x14ac:dyDescent="0.25">
      <c r="A1564" s="9"/>
      <c r="B1564" s="7"/>
      <c r="C1564" s="7"/>
      <c r="D1564" s="7"/>
      <c r="E1564" s="7"/>
      <c r="F1564" s="7"/>
      <c r="G1564" s="7"/>
      <c r="H1564" s="7"/>
      <c r="I1564" s="7"/>
      <c r="J1564" s="20"/>
      <c r="K1564" s="20"/>
      <c r="L1564" s="20"/>
      <c r="M1564" s="20"/>
      <c r="N1564" s="9"/>
      <c r="P1564" s="7"/>
      <c r="Q1564" s="11"/>
      <c r="R1564" s="8"/>
      <c r="S1564" s="7"/>
      <c r="T1564" s="7"/>
      <c r="U1564" s="7"/>
      <c r="V1564" s="7"/>
      <c r="W1564" s="7"/>
      <c r="X1564" s="8"/>
      <c r="Y1564" s="7"/>
      <c r="Z1564" s="7"/>
      <c r="AA1564" s="11"/>
      <c r="AB1564" s="11"/>
      <c r="AC1564" s="11"/>
      <c r="AD1564" s="11"/>
      <c r="AH1564" s="8"/>
      <c r="AI1564" s="20"/>
      <c r="AJ1564" s="20"/>
      <c r="AK1564" s="31"/>
      <c r="AL1564" s="31"/>
    </row>
    <row r="1565" spans="1:38" hidden="1" x14ac:dyDescent="0.25">
      <c r="A1565" s="9"/>
      <c r="B1565" s="7"/>
      <c r="C1565" s="7"/>
      <c r="D1565" s="7"/>
      <c r="E1565" s="7"/>
      <c r="F1565" s="7"/>
      <c r="G1565" s="7"/>
      <c r="H1565" s="7"/>
      <c r="I1565" s="7"/>
      <c r="J1565" s="20"/>
      <c r="K1565" s="20"/>
      <c r="L1565" s="20"/>
      <c r="M1565" s="20"/>
      <c r="N1565" s="9"/>
      <c r="P1565" s="7"/>
      <c r="Q1565" s="11"/>
      <c r="R1565" s="8"/>
      <c r="S1565" s="7"/>
      <c r="T1565" s="7"/>
      <c r="U1565" s="7"/>
      <c r="V1565" s="7"/>
      <c r="W1565" s="7"/>
      <c r="X1565" s="8"/>
      <c r="Y1565" s="7"/>
      <c r="Z1565" s="7"/>
      <c r="AA1565" s="11"/>
      <c r="AB1565" s="11"/>
      <c r="AC1565" s="11"/>
      <c r="AD1565" s="11"/>
      <c r="AH1565" s="8"/>
      <c r="AI1565" s="20"/>
      <c r="AJ1565" s="20"/>
      <c r="AK1565" s="31"/>
      <c r="AL1565" s="31"/>
    </row>
    <row r="1566" spans="1:38" hidden="1" x14ac:dyDescent="0.25">
      <c r="A1566" s="9"/>
      <c r="B1566" s="7"/>
      <c r="C1566" s="7"/>
      <c r="D1566" s="7"/>
      <c r="E1566" s="7"/>
      <c r="F1566" s="7"/>
      <c r="G1566" s="7"/>
      <c r="H1566" s="7"/>
      <c r="I1566" s="7"/>
      <c r="J1566" s="20"/>
      <c r="K1566" s="20"/>
      <c r="L1566" s="20"/>
      <c r="M1566" s="20"/>
      <c r="N1566" s="9"/>
      <c r="P1566" s="7"/>
      <c r="Q1566" s="11"/>
      <c r="R1566" s="8"/>
      <c r="S1566" s="7"/>
      <c r="T1566" s="7"/>
      <c r="U1566" s="7"/>
      <c r="V1566" s="7"/>
      <c r="W1566" s="7"/>
      <c r="X1566" s="8"/>
      <c r="Y1566" s="7"/>
      <c r="Z1566" s="7"/>
      <c r="AA1566" s="11"/>
      <c r="AB1566" s="11"/>
      <c r="AC1566" s="11"/>
      <c r="AD1566" s="11"/>
      <c r="AH1566" s="8"/>
      <c r="AI1566" s="20"/>
      <c r="AJ1566" s="20"/>
      <c r="AK1566" s="31"/>
      <c r="AL1566" s="31"/>
    </row>
    <row r="1567" spans="1:38" hidden="1" x14ac:dyDescent="0.25">
      <c r="A1567" s="9"/>
      <c r="B1567" s="7"/>
      <c r="C1567" s="7"/>
      <c r="D1567" s="7"/>
      <c r="E1567" s="7"/>
      <c r="F1567" s="7"/>
      <c r="G1567" s="7"/>
      <c r="H1567" s="7"/>
      <c r="I1567" s="7"/>
      <c r="J1567" s="20"/>
      <c r="K1567" s="20"/>
      <c r="L1567" s="20"/>
      <c r="M1567" s="20"/>
      <c r="N1567" s="9"/>
      <c r="P1567" s="7"/>
      <c r="Q1567" s="11"/>
      <c r="R1567" s="8"/>
      <c r="S1567" s="7"/>
      <c r="T1567" s="7"/>
      <c r="U1567" s="7"/>
      <c r="V1567" s="7"/>
      <c r="W1567" s="7"/>
      <c r="X1567" s="8"/>
      <c r="Y1567" s="7"/>
      <c r="Z1567" s="7"/>
      <c r="AA1567" s="11"/>
      <c r="AB1567" s="11"/>
      <c r="AC1567" s="11"/>
      <c r="AD1567" s="11"/>
      <c r="AH1567" s="8"/>
      <c r="AI1567" s="20"/>
      <c r="AJ1567" s="20"/>
      <c r="AK1567" s="31"/>
      <c r="AL1567" s="31"/>
    </row>
    <row r="1568" spans="1:38" hidden="1" x14ac:dyDescent="0.25">
      <c r="A1568" s="9"/>
      <c r="B1568" s="7"/>
      <c r="C1568" s="7"/>
      <c r="D1568" s="7"/>
      <c r="E1568" s="7"/>
      <c r="F1568" s="7"/>
      <c r="G1568" s="7"/>
      <c r="H1568" s="7"/>
      <c r="I1568" s="7"/>
      <c r="J1568" s="20"/>
      <c r="K1568" s="20"/>
      <c r="L1568" s="20"/>
      <c r="M1568" s="20"/>
      <c r="N1568" s="9"/>
      <c r="P1568" s="7"/>
      <c r="Q1568" s="11"/>
      <c r="R1568" s="8"/>
      <c r="S1568" s="7"/>
      <c r="T1568" s="7"/>
      <c r="U1568" s="7"/>
      <c r="V1568" s="7"/>
      <c r="W1568" s="7"/>
      <c r="X1568" s="8"/>
      <c r="Y1568" s="7"/>
      <c r="Z1568" s="7"/>
      <c r="AA1568" s="11"/>
      <c r="AB1568" s="11"/>
      <c r="AC1568" s="11"/>
      <c r="AD1568" s="11"/>
      <c r="AH1568" s="8"/>
      <c r="AI1568" s="20"/>
      <c r="AJ1568" s="20"/>
      <c r="AK1568" s="31"/>
      <c r="AL1568" s="31"/>
    </row>
    <row r="1569" spans="1:38" hidden="1" x14ac:dyDescent="0.25">
      <c r="A1569" s="9"/>
      <c r="B1569" s="7"/>
      <c r="C1569" s="7"/>
      <c r="D1569" s="7"/>
      <c r="E1569" s="7"/>
      <c r="F1569" s="7"/>
      <c r="G1569" s="7"/>
      <c r="H1569" s="7"/>
      <c r="I1569" s="7"/>
      <c r="J1569" s="20"/>
      <c r="K1569" s="20"/>
      <c r="L1569" s="20"/>
      <c r="M1569" s="20"/>
      <c r="N1569" s="9"/>
      <c r="P1569" s="7"/>
      <c r="Q1569" s="11"/>
      <c r="R1569" s="8"/>
      <c r="S1569" s="7"/>
      <c r="T1569" s="7"/>
      <c r="U1569" s="7"/>
      <c r="V1569" s="7"/>
      <c r="W1569" s="7"/>
      <c r="X1569" s="8"/>
      <c r="Y1569" s="7"/>
      <c r="Z1569" s="7"/>
      <c r="AA1569" s="11"/>
      <c r="AB1569" s="11"/>
      <c r="AC1569" s="11"/>
      <c r="AD1569" s="11"/>
      <c r="AH1569" s="8"/>
      <c r="AI1569" s="20"/>
      <c r="AJ1569" s="20"/>
      <c r="AK1569" s="31"/>
      <c r="AL1569" s="31"/>
    </row>
    <row r="1570" spans="1:38" hidden="1" x14ac:dyDescent="0.25">
      <c r="A1570" s="9"/>
      <c r="B1570" s="7"/>
      <c r="C1570" s="7"/>
      <c r="D1570" s="7"/>
      <c r="E1570" s="7"/>
      <c r="F1570" s="7"/>
      <c r="G1570" s="7"/>
      <c r="H1570" s="7"/>
      <c r="I1570" s="7"/>
      <c r="J1570" s="20"/>
      <c r="K1570" s="20"/>
      <c r="L1570" s="20"/>
      <c r="M1570" s="20"/>
      <c r="N1570" s="9"/>
      <c r="P1570" s="7"/>
      <c r="Q1570" s="11"/>
      <c r="R1570" s="8"/>
      <c r="S1570" s="7"/>
      <c r="T1570" s="7"/>
      <c r="U1570" s="7"/>
      <c r="V1570" s="7"/>
      <c r="W1570" s="7"/>
      <c r="X1570" s="8"/>
      <c r="Y1570" s="7"/>
      <c r="Z1570" s="7"/>
      <c r="AA1570" s="11"/>
      <c r="AB1570" s="11"/>
      <c r="AC1570" s="11"/>
      <c r="AD1570" s="11"/>
      <c r="AH1570" s="8"/>
      <c r="AI1570" s="20"/>
      <c r="AJ1570" s="20"/>
      <c r="AK1570" s="31"/>
      <c r="AL1570" s="31"/>
    </row>
    <row r="1571" spans="1:38" hidden="1" x14ac:dyDescent="0.25">
      <c r="A1571" s="9"/>
      <c r="B1571" s="7"/>
      <c r="C1571" s="7"/>
      <c r="D1571" s="7"/>
      <c r="E1571" s="7"/>
      <c r="F1571" s="7"/>
      <c r="G1571" s="7"/>
      <c r="H1571" s="7"/>
      <c r="I1571" s="7"/>
      <c r="J1571" s="20"/>
      <c r="K1571" s="20"/>
      <c r="L1571" s="20"/>
      <c r="M1571" s="20"/>
      <c r="N1571" s="9"/>
      <c r="P1571" s="7"/>
      <c r="Q1571" s="11"/>
      <c r="R1571" s="8"/>
      <c r="S1571" s="7"/>
      <c r="T1571" s="7"/>
      <c r="U1571" s="7"/>
      <c r="V1571" s="7"/>
      <c r="W1571" s="7"/>
      <c r="X1571" s="8"/>
      <c r="Y1571" s="7"/>
      <c r="Z1571" s="7"/>
      <c r="AA1571" s="11"/>
      <c r="AB1571" s="11"/>
      <c r="AC1571" s="11"/>
      <c r="AD1571" s="11"/>
      <c r="AH1571" s="8"/>
      <c r="AI1571" s="20"/>
      <c r="AJ1571" s="20"/>
      <c r="AK1571" s="31"/>
      <c r="AL1571" s="31"/>
    </row>
    <row r="1572" spans="1:38" hidden="1" x14ac:dyDescent="0.25">
      <c r="A1572" s="9"/>
      <c r="B1572" s="7"/>
      <c r="C1572" s="7"/>
      <c r="D1572" s="7"/>
      <c r="E1572" s="7"/>
      <c r="F1572" s="7"/>
      <c r="G1572" s="7"/>
      <c r="H1572" s="7"/>
      <c r="I1572" s="7"/>
      <c r="J1572" s="20"/>
      <c r="K1572" s="20"/>
      <c r="L1572" s="20"/>
      <c r="M1572" s="20"/>
      <c r="N1572" s="9"/>
      <c r="P1572" s="7"/>
      <c r="Q1572" s="11"/>
      <c r="R1572" s="8"/>
      <c r="S1572" s="7"/>
      <c r="T1572" s="7"/>
      <c r="U1572" s="7"/>
      <c r="V1572" s="7"/>
      <c r="W1572" s="7"/>
      <c r="X1572" s="8"/>
      <c r="Y1572" s="7"/>
      <c r="Z1572" s="7"/>
      <c r="AA1572" s="11"/>
      <c r="AB1572" s="11"/>
      <c r="AC1572" s="11"/>
      <c r="AD1572" s="11"/>
      <c r="AH1572" s="8"/>
      <c r="AI1572" s="20"/>
      <c r="AJ1572" s="20"/>
      <c r="AK1572" s="31"/>
      <c r="AL1572" s="31"/>
    </row>
    <row r="1573" spans="1:38" hidden="1" x14ac:dyDescent="0.25">
      <c r="A1573" s="9"/>
      <c r="B1573" s="7"/>
      <c r="C1573" s="7"/>
      <c r="D1573" s="7"/>
      <c r="E1573" s="7"/>
      <c r="F1573" s="7"/>
      <c r="G1573" s="7"/>
      <c r="H1573" s="7"/>
      <c r="I1573" s="7"/>
      <c r="J1573" s="20"/>
      <c r="K1573" s="20"/>
      <c r="L1573" s="20"/>
      <c r="M1573" s="20"/>
      <c r="N1573" s="9"/>
      <c r="P1573" s="7"/>
      <c r="Q1573" s="11"/>
      <c r="R1573" s="8"/>
      <c r="S1573" s="7"/>
      <c r="T1573" s="7"/>
      <c r="U1573" s="7"/>
      <c r="V1573" s="7"/>
      <c r="W1573" s="7"/>
      <c r="X1573" s="8"/>
      <c r="Y1573" s="7"/>
      <c r="Z1573" s="7"/>
      <c r="AA1573" s="11"/>
      <c r="AB1573" s="11"/>
      <c r="AC1573" s="11"/>
      <c r="AD1573" s="11"/>
      <c r="AH1573" s="8"/>
      <c r="AI1573" s="20"/>
      <c r="AJ1573" s="20"/>
      <c r="AK1573" s="31"/>
      <c r="AL1573" s="31"/>
    </row>
    <row r="1574" spans="1:38" hidden="1" x14ac:dyDescent="0.25">
      <c r="A1574" s="9"/>
      <c r="B1574" s="7"/>
      <c r="C1574" s="7"/>
      <c r="D1574" s="7"/>
      <c r="E1574" s="7"/>
      <c r="F1574" s="7"/>
      <c r="G1574" s="7"/>
      <c r="H1574" s="7"/>
      <c r="I1574" s="7"/>
      <c r="J1574" s="20"/>
      <c r="K1574" s="20"/>
      <c r="L1574" s="20"/>
      <c r="M1574" s="20"/>
      <c r="N1574" s="9"/>
      <c r="P1574" s="7"/>
      <c r="Q1574" s="11"/>
      <c r="R1574" s="8"/>
      <c r="S1574" s="7"/>
      <c r="T1574" s="7"/>
      <c r="U1574" s="7"/>
      <c r="V1574" s="7"/>
      <c r="W1574" s="7"/>
      <c r="X1574" s="8"/>
      <c r="Y1574" s="7"/>
      <c r="Z1574" s="7"/>
      <c r="AA1574" s="11"/>
      <c r="AB1574" s="11"/>
      <c r="AC1574" s="11"/>
      <c r="AD1574" s="11"/>
      <c r="AH1574" s="8"/>
      <c r="AI1574" s="20"/>
      <c r="AJ1574" s="20"/>
      <c r="AK1574" s="31"/>
      <c r="AL1574" s="31"/>
    </row>
    <row r="1575" spans="1:38" hidden="1" x14ac:dyDescent="0.25">
      <c r="A1575" s="9"/>
      <c r="B1575" s="7"/>
      <c r="C1575" s="7"/>
      <c r="D1575" s="7"/>
      <c r="E1575" s="7"/>
      <c r="F1575" s="7"/>
      <c r="G1575" s="7"/>
      <c r="H1575" s="7"/>
      <c r="I1575" s="7"/>
      <c r="J1575" s="20"/>
      <c r="K1575" s="20"/>
      <c r="L1575" s="20"/>
      <c r="M1575" s="20"/>
      <c r="N1575" s="9"/>
      <c r="P1575" s="7"/>
      <c r="Q1575" s="11"/>
      <c r="R1575" s="8"/>
      <c r="S1575" s="7"/>
      <c r="T1575" s="7"/>
      <c r="U1575" s="7"/>
      <c r="V1575" s="7"/>
      <c r="W1575" s="7"/>
      <c r="X1575" s="8"/>
      <c r="Y1575" s="7"/>
      <c r="Z1575" s="7"/>
      <c r="AA1575" s="11"/>
      <c r="AB1575" s="11"/>
      <c r="AC1575" s="11"/>
      <c r="AD1575" s="11"/>
      <c r="AH1575" s="8"/>
      <c r="AI1575" s="20"/>
      <c r="AJ1575" s="20"/>
      <c r="AK1575" s="31"/>
      <c r="AL1575" s="31"/>
    </row>
    <row r="1576" spans="1:38" hidden="1" x14ac:dyDescent="0.25">
      <c r="A1576" s="9"/>
      <c r="B1576" s="7"/>
      <c r="C1576" s="7"/>
      <c r="D1576" s="7"/>
      <c r="E1576" s="7"/>
      <c r="F1576" s="7"/>
      <c r="G1576" s="7"/>
      <c r="H1576" s="7"/>
      <c r="I1576" s="7"/>
      <c r="J1576" s="20"/>
      <c r="K1576" s="20"/>
      <c r="L1576" s="20"/>
      <c r="M1576" s="20"/>
      <c r="N1576" s="9"/>
      <c r="P1576" s="7"/>
      <c r="Q1576" s="11"/>
      <c r="R1576" s="8"/>
      <c r="S1576" s="7"/>
      <c r="T1576" s="7"/>
      <c r="U1576" s="7"/>
      <c r="V1576" s="7"/>
      <c r="W1576" s="7"/>
      <c r="X1576" s="8"/>
      <c r="Y1576" s="7"/>
      <c r="Z1576" s="7"/>
      <c r="AA1576" s="11"/>
      <c r="AB1576" s="11"/>
      <c r="AC1576" s="11"/>
      <c r="AD1576" s="11"/>
      <c r="AH1576" s="8"/>
      <c r="AI1576" s="20"/>
      <c r="AJ1576" s="20"/>
      <c r="AK1576" s="31"/>
      <c r="AL1576" s="31"/>
    </row>
    <row r="1577" spans="1:38" hidden="1" x14ac:dyDescent="0.25">
      <c r="A1577" s="9"/>
      <c r="B1577" s="7"/>
      <c r="C1577" s="7"/>
      <c r="D1577" s="7"/>
      <c r="E1577" s="7"/>
      <c r="F1577" s="7"/>
      <c r="G1577" s="7"/>
      <c r="H1577" s="7"/>
      <c r="I1577" s="7"/>
      <c r="J1577" s="20"/>
      <c r="K1577" s="20"/>
      <c r="L1577" s="20"/>
      <c r="M1577" s="20"/>
      <c r="N1577" s="9"/>
      <c r="P1577" s="7"/>
      <c r="Q1577" s="11"/>
      <c r="R1577" s="8"/>
      <c r="S1577" s="7"/>
      <c r="T1577" s="7"/>
      <c r="U1577" s="7"/>
      <c r="V1577" s="7"/>
      <c r="W1577" s="7"/>
      <c r="X1577" s="8"/>
      <c r="Y1577" s="7"/>
      <c r="Z1577" s="7"/>
      <c r="AA1577" s="11"/>
      <c r="AB1577" s="11"/>
      <c r="AC1577" s="11"/>
      <c r="AD1577" s="11"/>
      <c r="AH1577" s="8"/>
      <c r="AI1577" s="20"/>
      <c r="AJ1577" s="20"/>
      <c r="AK1577" s="31"/>
      <c r="AL1577" s="31"/>
    </row>
    <row r="1578" spans="1:38" hidden="1" x14ac:dyDescent="0.25">
      <c r="A1578" s="9"/>
      <c r="B1578" s="7"/>
      <c r="C1578" s="7"/>
      <c r="D1578" s="7"/>
      <c r="E1578" s="7"/>
      <c r="F1578" s="7"/>
      <c r="G1578" s="7"/>
      <c r="H1578" s="7"/>
      <c r="I1578" s="7"/>
      <c r="J1578" s="20"/>
      <c r="K1578" s="20"/>
      <c r="L1578" s="20"/>
      <c r="M1578" s="20"/>
      <c r="N1578" s="9"/>
      <c r="P1578" s="7"/>
      <c r="Q1578" s="11"/>
      <c r="R1578" s="8"/>
      <c r="S1578" s="7"/>
      <c r="T1578" s="7"/>
      <c r="U1578" s="7"/>
      <c r="V1578" s="7"/>
      <c r="W1578" s="7"/>
      <c r="X1578" s="8"/>
      <c r="Y1578" s="7"/>
      <c r="Z1578" s="7"/>
      <c r="AA1578" s="11"/>
      <c r="AB1578" s="11"/>
      <c r="AC1578" s="11"/>
      <c r="AD1578" s="11"/>
      <c r="AH1578" s="8"/>
      <c r="AI1578" s="20"/>
      <c r="AJ1578" s="20"/>
      <c r="AK1578" s="31"/>
      <c r="AL1578" s="31"/>
    </row>
    <row r="1579" spans="1:38" hidden="1" x14ac:dyDescent="0.25">
      <c r="A1579" s="9"/>
      <c r="B1579" s="7"/>
      <c r="C1579" s="7"/>
      <c r="D1579" s="7"/>
      <c r="E1579" s="7"/>
      <c r="F1579" s="7"/>
      <c r="G1579" s="7"/>
      <c r="H1579" s="7"/>
      <c r="I1579" s="7"/>
      <c r="J1579" s="20"/>
      <c r="K1579" s="20"/>
      <c r="L1579" s="20"/>
      <c r="M1579" s="20"/>
      <c r="N1579" s="9"/>
      <c r="P1579" s="7"/>
      <c r="Q1579" s="11"/>
      <c r="R1579" s="8"/>
      <c r="S1579" s="7"/>
      <c r="T1579" s="7"/>
      <c r="U1579" s="7"/>
      <c r="V1579" s="7"/>
      <c r="W1579" s="7"/>
      <c r="X1579" s="8"/>
      <c r="Y1579" s="7"/>
      <c r="Z1579" s="7"/>
      <c r="AA1579" s="11"/>
      <c r="AB1579" s="11"/>
      <c r="AC1579" s="11"/>
      <c r="AD1579" s="11"/>
      <c r="AH1579" s="8"/>
      <c r="AI1579" s="20"/>
      <c r="AJ1579" s="20"/>
      <c r="AK1579" s="31"/>
      <c r="AL1579" s="31"/>
    </row>
    <row r="1580" spans="1:38" hidden="1" x14ac:dyDescent="0.25">
      <c r="A1580" s="9"/>
      <c r="B1580" s="7"/>
      <c r="C1580" s="7"/>
      <c r="D1580" s="7"/>
      <c r="E1580" s="7"/>
      <c r="F1580" s="7"/>
      <c r="G1580" s="7"/>
      <c r="H1580" s="7"/>
      <c r="I1580" s="7"/>
      <c r="J1580" s="20"/>
      <c r="K1580" s="20"/>
      <c r="L1580" s="20"/>
      <c r="M1580" s="20"/>
      <c r="N1580" s="9"/>
      <c r="P1580" s="7"/>
      <c r="Q1580" s="11"/>
      <c r="R1580" s="8"/>
      <c r="S1580" s="7"/>
      <c r="T1580" s="7"/>
      <c r="U1580" s="7"/>
      <c r="V1580" s="7"/>
      <c r="W1580" s="7"/>
      <c r="X1580" s="8"/>
      <c r="Y1580" s="7"/>
      <c r="Z1580" s="7"/>
      <c r="AA1580" s="11"/>
      <c r="AB1580" s="11"/>
      <c r="AC1580" s="11"/>
      <c r="AD1580" s="11"/>
      <c r="AH1580" s="8"/>
      <c r="AI1580" s="20"/>
      <c r="AJ1580" s="20"/>
      <c r="AK1580" s="31"/>
      <c r="AL1580" s="31"/>
    </row>
    <row r="1581" spans="1:38" hidden="1" x14ac:dyDescent="0.25">
      <c r="A1581" s="9"/>
      <c r="B1581" s="7"/>
      <c r="C1581" s="7"/>
      <c r="D1581" s="7"/>
      <c r="E1581" s="7"/>
      <c r="F1581" s="7"/>
      <c r="G1581" s="7"/>
      <c r="H1581" s="7"/>
      <c r="I1581" s="7"/>
      <c r="J1581" s="20"/>
      <c r="K1581" s="20"/>
      <c r="L1581" s="20"/>
      <c r="M1581" s="20"/>
      <c r="N1581" s="9"/>
      <c r="P1581" s="7"/>
      <c r="Q1581" s="11"/>
      <c r="R1581" s="8"/>
      <c r="S1581" s="7"/>
      <c r="T1581" s="7"/>
      <c r="U1581" s="7"/>
      <c r="V1581" s="7"/>
      <c r="W1581" s="7"/>
      <c r="X1581" s="8"/>
      <c r="Y1581" s="7"/>
      <c r="Z1581" s="7"/>
      <c r="AA1581" s="11"/>
      <c r="AB1581" s="11"/>
      <c r="AC1581" s="11"/>
      <c r="AD1581" s="11"/>
      <c r="AH1581" s="8"/>
      <c r="AI1581" s="20"/>
      <c r="AJ1581" s="20"/>
      <c r="AK1581" s="31"/>
      <c r="AL1581" s="31"/>
    </row>
    <row r="1582" spans="1:38" hidden="1" x14ac:dyDescent="0.25">
      <c r="A1582" s="9"/>
      <c r="B1582" s="7"/>
      <c r="C1582" s="7"/>
      <c r="D1582" s="7"/>
      <c r="E1582" s="7"/>
      <c r="F1582" s="7"/>
      <c r="G1582" s="7"/>
      <c r="H1582" s="7"/>
      <c r="I1582" s="7"/>
      <c r="J1582" s="20"/>
      <c r="K1582" s="20"/>
      <c r="L1582" s="20"/>
      <c r="M1582" s="20"/>
      <c r="N1582" s="9"/>
      <c r="P1582" s="7"/>
      <c r="Q1582" s="11"/>
      <c r="R1582" s="8"/>
      <c r="S1582" s="7"/>
      <c r="T1582" s="7"/>
      <c r="U1582" s="7"/>
      <c r="V1582" s="7"/>
      <c r="W1582" s="7"/>
      <c r="X1582" s="8"/>
      <c r="Y1582" s="7"/>
      <c r="Z1582" s="7"/>
      <c r="AA1582" s="11"/>
      <c r="AB1582" s="11"/>
      <c r="AC1582" s="11"/>
      <c r="AD1582" s="11"/>
      <c r="AH1582" s="8"/>
      <c r="AI1582" s="20"/>
      <c r="AJ1582" s="20"/>
      <c r="AK1582" s="31"/>
      <c r="AL1582" s="31"/>
    </row>
    <row r="1583" spans="1:38" hidden="1" x14ac:dyDescent="0.25">
      <c r="A1583" s="9"/>
      <c r="B1583" s="7"/>
      <c r="C1583" s="7"/>
      <c r="D1583" s="7"/>
      <c r="E1583" s="7"/>
      <c r="F1583" s="7"/>
      <c r="G1583" s="7"/>
      <c r="H1583" s="7"/>
      <c r="I1583" s="7"/>
      <c r="J1583" s="20"/>
      <c r="K1583" s="20"/>
      <c r="L1583" s="20"/>
      <c r="M1583" s="20"/>
      <c r="N1583" s="9"/>
      <c r="P1583" s="7"/>
      <c r="Q1583" s="11"/>
      <c r="R1583" s="8"/>
      <c r="S1583" s="7"/>
      <c r="T1583" s="7"/>
      <c r="U1583" s="7"/>
      <c r="V1583" s="7"/>
      <c r="W1583" s="7"/>
      <c r="X1583" s="8"/>
      <c r="Y1583" s="7"/>
      <c r="Z1583" s="7"/>
      <c r="AA1583" s="11"/>
      <c r="AB1583" s="11"/>
      <c r="AC1583" s="11"/>
      <c r="AD1583" s="11"/>
      <c r="AH1583" s="8"/>
      <c r="AI1583" s="20"/>
      <c r="AJ1583" s="20"/>
      <c r="AK1583" s="31"/>
      <c r="AL1583" s="31"/>
    </row>
    <row r="1584" spans="1:38" hidden="1" x14ac:dyDescent="0.25">
      <c r="A1584" s="9"/>
      <c r="B1584" s="7"/>
      <c r="C1584" s="7"/>
      <c r="D1584" s="7"/>
      <c r="E1584" s="7"/>
      <c r="F1584" s="7"/>
      <c r="G1584" s="7"/>
      <c r="H1584" s="7"/>
      <c r="I1584" s="7"/>
      <c r="J1584" s="20"/>
      <c r="K1584" s="20"/>
      <c r="L1584" s="20"/>
      <c r="M1584" s="20"/>
      <c r="N1584" s="9"/>
      <c r="P1584" s="7"/>
      <c r="Q1584" s="11"/>
      <c r="R1584" s="8"/>
      <c r="S1584" s="7"/>
      <c r="T1584" s="7"/>
      <c r="U1584" s="7"/>
      <c r="V1584" s="7"/>
      <c r="W1584" s="7"/>
      <c r="X1584" s="8"/>
      <c r="Y1584" s="7"/>
      <c r="Z1584" s="7"/>
      <c r="AA1584" s="11"/>
      <c r="AB1584" s="11"/>
      <c r="AC1584" s="11"/>
      <c r="AD1584" s="11"/>
      <c r="AH1584" s="8"/>
      <c r="AI1584" s="20"/>
      <c r="AJ1584" s="20"/>
      <c r="AK1584" s="31"/>
      <c r="AL1584" s="31"/>
    </row>
    <row r="1585" spans="1:38" hidden="1" x14ac:dyDescent="0.25">
      <c r="A1585" s="9"/>
      <c r="B1585" s="7"/>
      <c r="C1585" s="7"/>
      <c r="D1585" s="7"/>
      <c r="E1585" s="7"/>
      <c r="F1585" s="7"/>
      <c r="G1585" s="7"/>
      <c r="H1585" s="7"/>
      <c r="I1585" s="7"/>
      <c r="J1585" s="20"/>
      <c r="K1585" s="20"/>
      <c r="L1585" s="20"/>
      <c r="M1585" s="20"/>
      <c r="N1585" s="9"/>
      <c r="P1585" s="7"/>
      <c r="Q1585" s="11"/>
      <c r="R1585" s="8"/>
      <c r="S1585" s="7"/>
      <c r="T1585" s="7"/>
      <c r="U1585" s="7"/>
      <c r="V1585" s="7"/>
      <c r="W1585" s="7"/>
      <c r="X1585" s="8"/>
      <c r="Y1585" s="7"/>
      <c r="Z1585" s="7"/>
      <c r="AA1585" s="11"/>
      <c r="AB1585" s="11"/>
      <c r="AC1585" s="11"/>
      <c r="AD1585" s="11"/>
      <c r="AH1585" s="8"/>
      <c r="AI1585" s="20"/>
      <c r="AJ1585" s="20"/>
      <c r="AK1585" s="31"/>
      <c r="AL1585" s="31"/>
    </row>
    <row r="1586" spans="1:38" hidden="1" x14ac:dyDescent="0.25">
      <c r="A1586" s="9"/>
      <c r="B1586" s="7"/>
      <c r="C1586" s="7"/>
      <c r="D1586" s="7"/>
      <c r="E1586" s="7"/>
      <c r="F1586" s="7"/>
      <c r="G1586" s="7"/>
      <c r="H1586" s="7"/>
      <c r="I1586" s="7"/>
      <c r="J1586" s="20"/>
      <c r="K1586" s="20"/>
      <c r="L1586" s="20"/>
      <c r="M1586" s="20"/>
      <c r="N1586" s="9"/>
      <c r="P1586" s="7"/>
      <c r="Q1586" s="11"/>
      <c r="R1586" s="8"/>
      <c r="S1586" s="7"/>
      <c r="T1586" s="7"/>
      <c r="U1586" s="7"/>
      <c r="V1586" s="7"/>
      <c r="W1586" s="7"/>
      <c r="X1586" s="8"/>
      <c r="Y1586" s="7"/>
      <c r="Z1586" s="7"/>
      <c r="AA1586" s="11"/>
      <c r="AB1586" s="11"/>
      <c r="AC1586" s="11"/>
      <c r="AD1586" s="11"/>
      <c r="AH1586" s="8"/>
      <c r="AI1586" s="20"/>
      <c r="AJ1586" s="20"/>
      <c r="AK1586" s="31"/>
      <c r="AL1586" s="31"/>
    </row>
    <row r="1587" spans="1:38" hidden="1" x14ac:dyDescent="0.25">
      <c r="A1587" s="9"/>
      <c r="B1587" s="7"/>
      <c r="C1587" s="7"/>
      <c r="D1587" s="7"/>
      <c r="E1587" s="7"/>
      <c r="F1587" s="7"/>
      <c r="G1587" s="7"/>
      <c r="H1587" s="7"/>
      <c r="I1587" s="7"/>
      <c r="J1587" s="20"/>
      <c r="K1587" s="20"/>
      <c r="L1587" s="20"/>
      <c r="M1587" s="20"/>
      <c r="N1587" s="9"/>
      <c r="P1587" s="7"/>
      <c r="Q1587" s="11"/>
      <c r="R1587" s="8"/>
      <c r="S1587" s="7"/>
      <c r="T1587" s="7"/>
      <c r="U1587" s="7"/>
      <c r="V1587" s="7"/>
      <c r="W1587" s="7"/>
      <c r="X1587" s="8"/>
      <c r="Y1587" s="7"/>
      <c r="Z1587" s="7"/>
      <c r="AA1587" s="11"/>
      <c r="AB1587" s="11"/>
      <c r="AC1587" s="11"/>
      <c r="AD1587" s="11"/>
      <c r="AH1587" s="8"/>
      <c r="AI1587" s="20"/>
      <c r="AJ1587" s="20"/>
      <c r="AK1587" s="31"/>
      <c r="AL1587" s="31"/>
    </row>
    <row r="1588" spans="1:38" hidden="1" x14ac:dyDescent="0.25">
      <c r="A1588" s="9"/>
      <c r="B1588" s="7"/>
      <c r="C1588" s="7"/>
      <c r="D1588" s="7"/>
      <c r="E1588" s="7"/>
      <c r="F1588" s="7"/>
      <c r="G1588" s="7"/>
      <c r="H1588" s="7"/>
      <c r="I1588" s="7"/>
      <c r="J1588" s="20"/>
      <c r="K1588" s="20"/>
      <c r="L1588" s="20"/>
      <c r="M1588" s="20"/>
      <c r="N1588" s="9"/>
      <c r="P1588" s="7"/>
      <c r="Q1588" s="11"/>
      <c r="R1588" s="8"/>
      <c r="S1588" s="7"/>
      <c r="T1588" s="7"/>
      <c r="U1588" s="7"/>
      <c r="V1588" s="7"/>
      <c r="W1588" s="7"/>
      <c r="X1588" s="8"/>
      <c r="Y1588" s="7"/>
      <c r="Z1588" s="7"/>
      <c r="AA1588" s="11"/>
      <c r="AB1588" s="11"/>
      <c r="AC1588" s="11"/>
      <c r="AD1588" s="11"/>
      <c r="AH1588" s="8"/>
      <c r="AI1588" s="20"/>
      <c r="AJ1588" s="20"/>
      <c r="AK1588" s="31"/>
      <c r="AL1588" s="31"/>
    </row>
    <row r="1589" spans="1:38" hidden="1" x14ac:dyDescent="0.25">
      <c r="A1589" s="9"/>
      <c r="B1589" s="7"/>
      <c r="C1589" s="7"/>
      <c r="D1589" s="7"/>
      <c r="E1589" s="7"/>
      <c r="F1589" s="7"/>
      <c r="G1589" s="7"/>
      <c r="H1589" s="7"/>
      <c r="I1589" s="7"/>
      <c r="J1589" s="20"/>
      <c r="K1589" s="20"/>
      <c r="L1589" s="20"/>
      <c r="M1589" s="20"/>
      <c r="N1589" s="9"/>
      <c r="P1589" s="7"/>
      <c r="Q1589" s="11"/>
      <c r="R1589" s="8"/>
      <c r="S1589" s="7"/>
      <c r="T1589" s="7"/>
      <c r="U1589" s="7"/>
      <c r="V1589" s="7"/>
      <c r="W1589" s="7"/>
      <c r="X1589" s="8"/>
      <c r="Y1589" s="7"/>
      <c r="Z1589" s="7"/>
      <c r="AA1589" s="11"/>
      <c r="AB1589" s="11"/>
      <c r="AC1589" s="11"/>
      <c r="AD1589" s="11"/>
      <c r="AH1589" s="8"/>
      <c r="AI1589" s="20"/>
      <c r="AJ1589" s="20"/>
      <c r="AK1589" s="31"/>
      <c r="AL1589" s="31"/>
    </row>
    <row r="1590" spans="1:38" hidden="1" x14ac:dyDescent="0.25">
      <c r="A1590" s="9"/>
      <c r="B1590" s="7"/>
      <c r="C1590" s="7"/>
      <c r="D1590" s="7"/>
      <c r="E1590" s="7"/>
      <c r="F1590" s="7"/>
      <c r="G1590" s="7"/>
      <c r="H1590" s="7"/>
      <c r="I1590" s="7"/>
      <c r="J1590" s="20"/>
      <c r="K1590" s="20"/>
      <c r="L1590" s="20"/>
      <c r="M1590" s="20"/>
      <c r="N1590" s="9"/>
      <c r="P1590" s="7"/>
      <c r="Q1590" s="11"/>
      <c r="R1590" s="8"/>
      <c r="S1590" s="7"/>
      <c r="T1590" s="7"/>
      <c r="U1590" s="7"/>
      <c r="V1590" s="7"/>
      <c r="W1590" s="7"/>
      <c r="X1590" s="8"/>
      <c r="Y1590" s="7"/>
      <c r="Z1590" s="7"/>
      <c r="AA1590" s="11"/>
      <c r="AB1590" s="11"/>
      <c r="AC1590" s="11"/>
      <c r="AD1590" s="11"/>
      <c r="AH1590" s="8"/>
      <c r="AI1590" s="20"/>
      <c r="AJ1590" s="20"/>
      <c r="AK1590" s="31"/>
      <c r="AL1590" s="31"/>
    </row>
    <row r="1591" spans="1:38" hidden="1" x14ac:dyDescent="0.25">
      <c r="A1591" s="9"/>
      <c r="B1591" s="7"/>
      <c r="C1591" s="7"/>
      <c r="D1591" s="7"/>
      <c r="E1591" s="7"/>
      <c r="F1591" s="7"/>
      <c r="G1591" s="7"/>
      <c r="H1591" s="7"/>
      <c r="I1591" s="7"/>
      <c r="J1591" s="20"/>
      <c r="K1591" s="20"/>
      <c r="L1591" s="20"/>
      <c r="M1591" s="20"/>
      <c r="N1591" s="9"/>
      <c r="P1591" s="7"/>
      <c r="Q1591" s="11"/>
      <c r="R1591" s="8"/>
      <c r="S1591" s="7"/>
      <c r="T1591" s="7"/>
      <c r="U1591" s="7"/>
      <c r="V1591" s="7"/>
      <c r="W1591" s="7"/>
      <c r="X1591" s="8"/>
      <c r="Y1591" s="7"/>
      <c r="Z1591" s="7"/>
      <c r="AA1591" s="11"/>
      <c r="AB1591" s="11"/>
      <c r="AC1591" s="11"/>
      <c r="AD1591" s="11"/>
      <c r="AH1591" s="8"/>
      <c r="AI1591" s="20"/>
      <c r="AJ1591" s="20"/>
      <c r="AK1591" s="31"/>
      <c r="AL1591" s="31"/>
    </row>
    <row r="1592" spans="1:38" hidden="1" x14ac:dyDescent="0.25">
      <c r="A1592" s="9"/>
      <c r="B1592" s="7"/>
      <c r="C1592" s="7"/>
      <c r="D1592" s="7"/>
      <c r="E1592" s="7"/>
      <c r="F1592" s="7"/>
      <c r="G1592" s="7"/>
      <c r="H1592" s="7"/>
      <c r="I1592" s="7"/>
      <c r="J1592" s="20"/>
      <c r="K1592" s="20"/>
      <c r="L1592" s="20"/>
      <c r="M1592" s="20"/>
      <c r="N1592" s="9"/>
      <c r="P1592" s="7"/>
      <c r="Q1592" s="11"/>
      <c r="R1592" s="8"/>
      <c r="S1592" s="7"/>
      <c r="T1592" s="7"/>
      <c r="U1592" s="7"/>
      <c r="V1592" s="7"/>
      <c r="W1592" s="7"/>
      <c r="X1592" s="8"/>
      <c r="Y1592" s="7"/>
      <c r="Z1592" s="7"/>
      <c r="AA1592" s="11"/>
      <c r="AB1592" s="11"/>
      <c r="AC1592" s="11"/>
      <c r="AD1592" s="11"/>
      <c r="AH1592" s="8"/>
      <c r="AI1592" s="20"/>
      <c r="AJ1592" s="20"/>
      <c r="AK1592" s="31"/>
      <c r="AL1592" s="31"/>
    </row>
    <row r="1593" spans="1:38" hidden="1" x14ac:dyDescent="0.25">
      <c r="A1593" s="9"/>
      <c r="B1593" s="7"/>
      <c r="C1593" s="7"/>
      <c r="D1593" s="7"/>
      <c r="E1593" s="7"/>
      <c r="F1593" s="7"/>
      <c r="G1593" s="7"/>
      <c r="H1593" s="7"/>
      <c r="I1593" s="7"/>
      <c r="J1593" s="20"/>
      <c r="K1593" s="20"/>
      <c r="L1593" s="20"/>
      <c r="M1593" s="20"/>
      <c r="N1593" s="9"/>
      <c r="P1593" s="7"/>
      <c r="Q1593" s="11"/>
      <c r="R1593" s="8"/>
      <c r="S1593" s="7"/>
      <c r="T1593" s="7"/>
      <c r="U1593" s="7"/>
      <c r="V1593" s="7"/>
      <c r="W1593" s="7"/>
      <c r="X1593" s="8"/>
      <c r="Y1593" s="7"/>
      <c r="Z1593" s="7"/>
      <c r="AA1593" s="11"/>
      <c r="AB1593" s="11"/>
      <c r="AC1593" s="11"/>
      <c r="AD1593" s="11"/>
      <c r="AH1593" s="8"/>
      <c r="AI1593" s="20"/>
      <c r="AJ1593" s="20"/>
      <c r="AK1593" s="31"/>
      <c r="AL1593" s="31"/>
    </row>
    <row r="1594" spans="1:38" hidden="1" x14ac:dyDescent="0.25">
      <c r="A1594" s="9"/>
      <c r="B1594" s="7"/>
      <c r="C1594" s="7"/>
      <c r="D1594" s="7"/>
      <c r="E1594" s="7"/>
      <c r="F1594" s="7"/>
      <c r="G1594" s="7"/>
      <c r="H1594" s="7"/>
      <c r="I1594" s="7"/>
      <c r="J1594" s="20"/>
      <c r="K1594" s="20"/>
      <c r="L1594" s="20"/>
      <c r="M1594" s="20"/>
      <c r="N1594" s="9"/>
      <c r="P1594" s="7"/>
      <c r="Q1594" s="11"/>
      <c r="R1594" s="8"/>
      <c r="S1594" s="7"/>
      <c r="T1594" s="7"/>
      <c r="U1594" s="7"/>
      <c r="V1594" s="7"/>
      <c r="W1594" s="7"/>
      <c r="X1594" s="8"/>
      <c r="Y1594" s="7"/>
      <c r="Z1594" s="7"/>
      <c r="AA1594" s="11"/>
      <c r="AB1594" s="11"/>
      <c r="AC1594" s="11"/>
      <c r="AD1594" s="11"/>
      <c r="AH1594" s="8"/>
      <c r="AI1594" s="20"/>
      <c r="AJ1594" s="20"/>
      <c r="AK1594" s="31"/>
      <c r="AL1594" s="31"/>
    </row>
    <row r="1595" spans="1:38" hidden="1" x14ac:dyDescent="0.25">
      <c r="A1595" s="9"/>
      <c r="B1595" s="7"/>
      <c r="C1595" s="7"/>
      <c r="D1595" s="7"/>
      <c r="E1595" s="7"/>
      <c r="F1595" s="7"/>
      <c r="G1595" s="7"/>
      <c r="H1595" s="7"/>
      <c r="I1595" s="7"/>
      <c r="J1595" s="20"/>
      <c r="K1595" s="20"/>
      <c r="L1595" s="20"/>
      <c r="M1595" s="20"/>
      <c r="N1595" s="9"/>
      <c r="P1595" s="7"/>
      <c r="Q1595" s="11"/>
      <c r="R1595" s="8"/>
      <c r="S1595" s="7"/>
      <c r="T1595" s="7"/>
      <c r="U1595" s="7"/>
      <c r="V1595" s="7"/>
      <c r="W1595" s="7"/>
      <c r="X1595" s="8"/>
      <c r="Y1595" s="7"/>
      <c r="Z1595" s="7"/>
      <c r="AA1595" s="11"/>
      <c r="AB1595" s="11"/>
      <c r="AC1595" s="11"/>
      <c r="AD1595" s="11"/>
      <c r="AH1595" s="8"/>
      <c r="AI1595" s="20"/>
      <c r="AJ1595" s="20"/>
      <c r="AK1595" s="31"/>
      <c r="AL1595" s="31"/>
    </row>
    <row r="1596" spans="1:38" hidden="1" x14ac:dyDescent="0.25">
      <c r="A1596" s="9"/>
      <c r="B1596" s="7"/>
      <c r="C1596" s="7"/>
      <c r="D1596" s="7"/>
      <c r="E1596" s="7"/>
      <c r="F1596" s="7"/>
      <c r="G1596" s="7"/>
      <c r="H1596" s="7"/>
      <c r="I1596" s="7"/>
      <c r="J1596" s="20"/>
      <c r="K1596" s="20"/>
      <c r="L1596" s="20"/>
      <c r="M1596" s="20"/>
      <c r="N1596" s="9"/>
      <c r="P1596" s="7"/>
      <c r="Q1596" s="11"/>
      <c r="R1596" s="8"/>
      <c r="S1596" s="7"/>
      <c r="T1596" s="7"/>
      <c r="U1596" s="7"/>
      <c r="V1596" s="7"/>
      <c r="W1596" s="7"/>
      <c r="X1596" s="8"/>
      <c r="Y1596" s="7"/>
      <c r="Z1596" s="7"/>
      <c r="AA1596" s="11"/>
      <c r="AB1596" s="11"/>
      <c r="AC1596" s="11"/>
      <c r="AD1596" s="11"/>
      <c r="AH1596" s="8"/>
      <c r="AI1596" s="20"/>
      <c r="AJ1596" s="20"/>
      <c r="AK1596" s="31"/>
      <c r="AL1596" s="31"/>
    </row>
    <row r="1597" spans="1:38" hidden="1" x14ac:dyDescent="0.25">
      <c r="A1597" s="9"/>
      <c r="B1597" s="7"/>
      <c r="C1597" s="7"/>
      <c r="D1597" s="7"/>
      <c r="E1597" s="7"/>
      <c r="F1597" s="7"/>
      <c r="G1597" s="7"/>
      <c r="H1597" s="7"/>
      <c r="I1597" s="7"/>
      <c r="J1597" s="20"/>
      <c r="K1597" s="20"/>
      <c r="L1597" s="20"/>
      <c r="M1597" s="20"/>
      <c r="N1597" s="9"/>
      <c r="P1597" s="7"/>
      <c r="Q1597" s="11"/>
      <c r="R1597" s="8"/>
      <c r="S1597" s="7"/>
      <c r="T1597" s="7"/>
      <c r="U1597" s="7"/>
      <c r="V1597" s="7"/>
      <c r="W1597" s="7"/>
      <c r="X1597" s="8"/>
      <c r="Y1597" s="7"/>
      <c r="Z1597" s="7"/>
      <c r="AA1597" s="11"/>
      <c r="AB1597" s="11"/>
      <c r="AC1597" s="11"/>
      <c r="AD1597" s="11"/>
      <c r="AH1597" s="8"/>
      <c r="AI1597" s="20"/>
      <c r="AJ1597" s="20"/>
      <c r="AK1597" s="31"/>
      <c r="AL1597" s="31"/>
    </row>
    <row r="1598" spans="1:38" hidden="1" x14ac:dyDescent="0.25">
      <c r="A1598" s="9"/>
      <c r="B1598" s="7"/>
      <c r="C1598" s="7"/>
      <c r="D1598" s="7"/>
      <c r="E1598" s="7"/>
      <c r="F1598" s="7"/>
      <c r="G1598" s="7"/>
      <c r="H1598" s="7"/>
      <c r="I1598" s="7"/>
      <c r="J1598" s="20"/>
      <c r="K1598" s="20"/>
      <c r="L1598" s="20"/>
      <c r="M1598" s="20"/>
      <c r="N1598" s="9"/>
      <c r="P1598" s="7"/>
      <c r="Q1598" s="11"/>
      <c r="R1598" s="8"/>
      <c r="S1598" s="7"/>
      <c r="T1598" s="7"/>
      <c r="U1598" s="7"/>
      <c r="V1598" s="7"/>
      <c r="W1598" s="7"/>
      <c r="X1598" s="8"/>
      <c r="Y1598" s="7"/>
      <c r="Z1598" s="7"/>
      <c r="AA1598" s="11"/>
      <c r="AB1598" s="11"/>
      <c r="AC1598" s="11"/>
      <c r="AD1598" s="11"/>
      <c r="AH1598" s="8"/>
      <c r="AI1598" s="20"/>
      <c r="AJ1598" s="20"/>
      <c r="AK1598" s="31"/>
      <c r="AL1598" s="31"/>
    </row>
    <row r="1599" spans="1:38" hidden="1" x14ac:dyDescent="0.25">
      <c r="A1599" s="9"/>
      <c r="B1599" s="7"/>
      <c r="C1599" s="7"/>
      <c r="D1599" s="7"/>
      <c r="E1599" s="7"/>
      <c r="F1599" s="7"/>
      <c r="G1599" s="7"/>
      <c r="H1599" s="7"/>
      <c r="I1599" s="7"/>
      <c r="J1599" s="20"/>
      <c r="K1599" s="20"/>
      <c r="L1599" s="20"/>
      <c r="M1599" s="20"/>
      <c r="N1599" s="9"/>
      <c r="P1599" s="7"/>
      <c r="Q1599" s="11"/>
      <c r="R1599" s="8"/>
      <c r="S1599" s="7"/>
      <c r="T1599" s="7"/>
      <c r="U1599" s="7"/>
      <c r="V1599" s="7"/>
      <c r="W1599" s="7"/>
      <c r="X1599" s="8"/>
      <c r="Y1599" s="7"/>
      <c r="Z1599" s="7"/>
      <c r="AA1599" s="11"/>
      <c r="AB1599" s="11"/>
      <c r="AC1599" s="11"/>
      <c r="AD1599" s="11"/>
      <c r="AH1599" s="8"/>
      <c r="AI1599" s="20"/>
      <c r="AJ1599" s="20"/>
      <c r="AK1599" s="31"/>
      <c r="AL1599" s="31"/>
    </row>
    <row r="1600" spans="1:38" hidden="1" x14ac:dyDescent="0.25">
      <c r="A1600" s="9"/>
      <c r="B1600" s="7"/>
      <c r="C1600" s="7"/>
      <c r="D1600" s="7"/>
      <c r="E1600" s="7"/>
      <c r="F1600" s="7"/>
      <c r="G1600" s="7"/>
      <c r="H1600" s="7"/>
      <c r="I1600" s="7"/>
      <c r="J1600" s="20"/>
      <c r="K1600" s="20"/>
      <c r="L1600" s="20"/>
      <c r="M1600" s="20"/>
      <c r="N1600" s="9"/>
      <c r="P1600" s="7"/>
      <c r="Q1600" s="11"/>
      <c r="R1600" s="8"/>
      <c r="S1600" s="7"/>
      <c r="T1600" s="7"/>
      <c r="U1600" s="7"/>
      <c r="V1600" s="7"/>
      <c r="W1600" s="7"/>
      <c r="X1600" s="8"/>
      <c r="Y1600" s="7"/>
      <c r="Z1600" s="7"/>
      <c r="AA1600" s="11"/>
      <c r="AB1600" s="11"/>
      <c r="AC1600" s="11"/>
      <c r="AD1600" s="11"/>
      <c r="AH1600" s="8"/>
      <c r="AI1600" s="20"/>
      <c r="AJ1600" s="20"/>
      <c r="AK1600" s="31"/>
      <c r="AL1600" s="31"/>
    </row>
    <row r="1601" spans="1:38" hidden="1" x14ac:dyDescent="0.25">
      <c r="A1601" s="9"/>
      <c r="B1601" s="7"/>
      <c r="C1601" s="7"/>
      <c r="D1601" s="7"/>
      <c r="E1601" s="7"/>
      <c r="F1601" s="7"/>
      <c r="G1601" s="7"/>
      <c r="H1601" s="7"/>
      <c r="I1601" s="7"/>
      <c r="J1601" s="20"/>
      <c r="K1601" s="20"/>
      <c r="L1601" s="20"/>
      <c r="M1601" s="20"/>
      <c r="N1601" s="9"/>
      <c r="P1601" s="7"/>
      <c r="Q1601" s="11"/>
      <c r="R1601" s="8"/>
      <c r="S1601" s="7"/>
      <c r="T1601" s="7"/>
      <c r="U1601" s="7"/>
      <c r="V1601" s="7"/>
      <c r="W1601" s="7"/>
      <c r="X1601" s="8"/>
      <c r="Y1601" s="7"/>
      <c r="Z1601" s="7"/>
      <c r="AA1601" s="11"/>
      <c r="AB1601" s="11"/>
      <c r="AC1601" s="11"/>
      <c r="AD1601" s="11"/>
      <c r="AH1601" s="8"/>
      <c r="AI1601" s="20"/>
      <c r="AJ1601" s="20"/>
      <c r="AK1601" s="31"/>
      <c r="AL1601" s="31"/>
    </row>
    <row r="1602" spans="1:38" hidden="1" x14ac:dyDescent="0.25">
      <c r="A1602" s="9"/>
      <c r="B1602" s="7"/>
      <c r="C1602" s="7"/>
      <c r="D1602" s="7"/>
      <c r="E1602" s="7"/>
      <c r="F1602" s="7"/>
      <c r="G1602" s="7"/>
      <c r="H1602" s="7"/>
      <c r="I1602" s="7"/>
      <c r="J1602" s="20"/>
      <c r="K1602" s="20"/>
      <c r="L1602" s="20"/>
      <c r="M1602" s="20"/>
      <c r="N1602" s="9"/>
      <c r="P1602" s="7"/>
      <c r="Q1602" s="11"/>
      <c r="R1602" s="8"/>
      <c r="S1602" s="7"/>
      <c r="T1602" s="7"/>
      <c r="U1602" s="7"/>
      <c r="V1602" s="7"/>
      <c r="W1602" s="7"/>
      <c r="X1602" s="8"/>
      <c r="Y1602" s="7"/>
      <c r="Z1602" s="7"/>
      <c r="AA1602" s="11"/>
      <c r="AB1602" s="11"/>
      <c r="AC1602" s="11"/>
      <c r="AD1602" s="11"/>
      <c r="AH1602" s="8"/>
      <c r="AI1602" s="20"/>
      <c r="AJ1602" s="20"/>
      <c r="AK1602" s="31"/>
      <c r="AL1602" s="31"/>
    </row>
    <row r="1603" spans="1:38" hidden="1" x14ac:dyDescent="0.25">
      <c r="A1603" s="9"/>
      <c r="B1603" s="7"/>
      <c r="C1603" s="7"/>
      <c r="D1603" s="7"/>
      <c r="E1603" s="7"/>
      <c r="F1603" s="7"/>
      <c r="G1603" s="7"/>
      <c r="H1603" s="7"/>
      <c r="I1603" s="7"/>
      <c r="J1603" s="20"/>
      <c r="K1603" s="20"/>
      <c r="L1603" s="20"/>
      <c r="M1603" s="20"/>
      <c r="N1603" s="9"/>
      <c r="P1603" s="7"/>
      <c r="Q1603" s="11"/>
      <c r="R1603" s="8"/>
      <c r="S1603" s="7"/>
      <c r="T1603" s="7"/>
      <c r="U1603" s="7"/>
      <c r="V1603" s="7"/>
      <c r="W1603" s="7"/>
      <c r="X1603" s="8"/>
      <c r="Y1603" s="7"/>
      <c r="Z1603" s="7"/>
      <c r="AA1603" s="11"/>
      <c r="AB1603" s="11"/>
      <c r="AC1603" s="11"/>
      <c r="AD1603" s="11"/>
      <c r="AH1603" s="8"/>
      <c r="AI1603" s="20"/>
      <c r="AJ1603" s="20"/>
      <c r="AK1603" s="31"/>
      <c r="AL1603" s="31"/>
    </row>
    <row r="1604" spans="1:38" hidden="1" x14ac:dyDescent="0.25">
      <c r="A1604" s="9"/>
      <c r="B1604" s="7"/>
      <c r="C1604" s="7"/>
      <c r="D1604" s="7"/>
      <c r="E1604" s="7"/>
      <c r="F1604" s="7"/>
      <c r="G1604" s="7"/>
      <c r="H1604" s="7"/>
      <c r="I1604" s="7"/>
      <c r="J1604" s="20"/>
      <c r="K1604" s="20"/>
      <c r="L1604" s="20"/>
      <c r="M1604" s="20"/>
      <c r="N1604" s="9"/>
      <c r="P1604" s="7"/>
      <c r="Q1604" s="11"/>
      <c r="R1604" s="8"/>
      <c r="S1604" s="7"/>
      <c r="T1604" s="7"/>
      <c r="U1604" s="7"/>
      <c r="V1604" s="7"/>
      <c r="W1604" s="7"/>
      <c r="X1604" s="8"/>
      <c r="Y1604" s="7"/>
      <c r="Z1604" s="7"/>
      <c r="AA1604" s="11"/>
      <c r="AB1604" s="11"/>
      <c r="AC1604" s="11"/>
      <c r="AD1604" s="11"/>
      <c r="AH1604" s="8"/>
      <c r="AI1604" s="20"/>
      <c r="AJ1604" s="20"/>
      <c r="AK1604" s="31"/>
      <c r="AL1604" s="31"/>
    </row>
    <row r="1605" spans="1:38" hidden="1" x14ac:dyDescent="0.25">
      <c r="A1605" s="9"/>
      <c r="B1605" s="7"/>
      <c r="C1605" s="7"/>
      <c r="D1605" s="7"/>
      <c r="E1605" s="7"/>
      <c r="F1605" s="7"/>
      <c r="G1605" s="7"/>
      <c r="H1605" s="7"/>
      <c r="I1605" s="7"/>
      <c r="J1605" s="20"/>
      <c r="K1605" s="20"/>
      <c r="L1605" s="20"/>
      <c r="M1605" s="20"/>
      <c r="N1605" s="9"/>
      <c r="P1605" s="7"/>
      <c r="Q1605" s="11"/>
      <c r="R1605" s="8"/>
      <c r="S1605" s="7"/>
      <c r="T1605" s="7"/>
      <c r="U1605" s="7"/>
      <c r="V1605" s="7"/>
      <c r="W1605" s="7"/>
      <c r="X1605" s="8"/>
      <c r="Y1605" s="7"/>
      <c r="Z1605" s="7"/>
      <c r="AA1605" s="11"/>
      <c r="AB1605" s="11"/>
      <c r="AC1605" s="11"/>
      <c r="AD1605" s="11"/>
      <c r="AH1605" s="8"/>
      <c r="AI1605" s="20"/>
      <c r="AJ1605" s="20"/>
      <c r="AK1605" s="31"/>
      <c r="AL1605" s="31"/>
    </row>
    <row r="1606" spans="1:38" hidden="1" x14ac:dyDescent="0.25">
      <c r="A1606" s="9"/>
      <c r="B1606" s="7"/>
      <c r="C1606" s="7"/>
      <c r="D1606" s="7"/>
      <c r="E1606" s="7"/>
      <c r="F1606" s="7"/>
      <c r="G1606" s="7"/>
      <c r="H1606" s="7"/>
      <c r="I1606" s="7"/>
      <c r="J1606" s="20"/>
      <c r="K1606" s="20"/>
      <c r="L1606" s="20"/>
      <c r="M1606" s="20"/>
      <c r="N1606" s="9"/>
      <c r="P1606" s="7"/>
      <c r="Q1606" s="11"/>
      <c r="R1606" s="8"/>
      <c r="S1606" s="7"/>
      <c r="T1606" s="7"/>
      <c r="U1606" s="7"/>
      <c r="V1606" s="7"/>
      <c r="W1606" s="7"/>
      <c r="X1606" s="8"/>
      <c r="Y1606" s="7"/>
      <c r="Z1606" s="7"/>
      <c r="AA1606" s="11"/>
      <c r="AB1606" s="11"/>
      <c r="AC1606" s="11"/>
      <c r="AD1606" s="11"/>
      <c r="AH1606" s="8"/>
      <c r="AI1606" s="20"/>
      <c r="AJ1606" s="20"/>
      <c r="AK1606" s="31"/>
      <c r="AL1606" s="31"/>
    </row>
    <row r="1607" spans="1:38" hidden="1" x14ac:dyDescent="0.25">
      <c r="A1607" s="9"/>
      <c r="B1607" s="7"/>
      <c r="C1607" s="7"/>
      <c r="D1607" s="7"/>
      <c r="E1607" s="7"/>
      <c r="F1607" s="7"/>
      <c r="G1607" s="7"/>
      <c r="H1607" s="7"/>
      <c r="I1607" s="7"/>
      <c r="J1607" s="20"/>
      <c r="K1607" s="20"/>
      <c r="L1607" s="20"/>
      <c r="M1607" s="20"/>
      <c r="N1607" s="9"/>
      <c r="P1607" s="7"/>
      <c r="Q1607" s="11"/>
      <c r="R1607" s="8"/>
      <c r="S1607" s="7"/>
      <c r="T1607" s="7"/>
      <c r="U1607" s="7"/>
      <c r="V1607" s="7"/>
      <c r="W1607" s="7"/>
      <c r="X1607" s="8"/>
      <c r="Y1607" s="7"/>
      <c r="Z1607" s="7"/>
      <c r="AA1607" s="11"/>
      <c r="AB1607" s="11"/>
      <c r="AC1607" s="11"/>
      <c r="AD1607" s="11"/>
      <c r="AH1607" s="8"/>
      <c r="AI1607" s="20"/>
      <c r="AJ1607" s="20"/>
      <c r="AK1607" s="31"/>
      <c r="AL1607" s="31"/>
    </row>
    <row r="1608" spans="1:38" hidden="1" x14ac:dyDescent="0.25">
      <c r="A1608" s="9"/>
      <c r="B1608" s="7"/>
      <c r="C1608" s="7"/>
      <c r="D1608" s="7"/>
      <c r="E1608" s="7"/>
      <c r="F1608" s="7"/>
      <c r="G1608" s="7"/>
      <c r="H1608" s="7"/>
      <c r="I1608" s="7"/>
      <c r="J1608" s="20"/>
      <c r="K1608" s="20"/>
      <c r="L1608" s="20"/>
      <c r="M1608" s="20"/>
      <c r="N1608" s="9"/>
      <c r="P1608" s="7"/>
      <c r="Q1608" s="11"/>
      <c r="R1608" s="8"/>
      <c r="S1608" s="7"/>
      <c r="T1608" s="7"/>
      <c r="U1608" s="7"/>
      <c r="V1608" s="7"/>
      <c r="W1608" s="7"/>
      <c r="X1608" s="8"/>
      <c r="Y1608" s="7"/>
      <c r="Z1608" s="7"/>
      <c r="AA1608" s="11"/>
      <c r="AB1608" s="11"/>
      <c r="AC1608" s="11"/>
      <c r="AD1608" s="11"/>
      <c r="AH1608" s="8"/>
      <c r="AI1608" s="20"/>
      <c r="AJ1608" s="20"/>
      <c r="AK1608" s="31"/>
      <c r="AL1608" s="31"/>
    </row>
    <row r="1609" spans="1:38" hidden="1" x14ac:dyDescent="0.25">
      <c r="A1609" s="9"/>
      <c r="B1609" s="7"/>
      <c r="C1609" s="7"/>
      <c r="D1609" s="7"/>
      <c r="E1609" s="7"/>
      <c r="F1609" s="7"/>
      <c r="G1609" s="7"/>
      <c r="H1609" s="7"/>
      <c r="I1609" s="7"/>
      <c r="J1609" s="20"/>
      <c r="K1609" s="20"/>
      <c r="L1609" s="20"/>
      <c r="M1609" s="20"/>
      <c r="N1609" s="9"/>
      <c r="P1609" s="7"/>
      <c r="Q1609" s="11"/>
      <c r="R1609" s="8"/>
      <c r="S1609" s="7"/>
      <c r="T1609" s="7"/>
      <c r="U1609" s="7"/>
      <c r="V1609" s="7"/>
      <c r="W1609" s="7"/>
      <c r="X1609" s="8"/>
      <c r="Y1609" s="7"/>
      <c r="Z1609" s="7"/>
      <c r="AA1609" s="11"/>
      <c r="AB1609" s="11"/>
      <c r="AC1609" s="11"/>
      <c r="AD1609" s="11"/>
      <c r="AH1609" s="8"/>
      <c r="AI1609" s="20"/>
      <c r="AJ1609" s="20"/>
      <c r="AK1609" s="31"/>
      <c r="AL1609" s="31"/>
    </row>
    <row r="1610" spans="1:38" hidden="1" x14ac:dyDescent="0.25">
      <c r="A1610" s="9"/>
      <c r="B1610" s="7"/>
      <c r="C1610" s="7"/>
      <c r="D1610" s="7"/>
      <c r="E1610" s="7"/>
      <c r="F1610" s="7"/>
      <c r="G1610" s="7"/>
      <c r="H1610" s="7"/>
      <c r="I1610" s="7"/>
      <c r="J1610" s="20"/>
      <c r="K1610" s="20"/>
      <c r="L1610" s="20"/>
      <c r="M1610" s="20"/>
      <c r="N1610" s="9"/>
      <c r="P1610" s="7"/>
      <c r="Q1610" s="11"/>
      <c r="R1610" s="8"/>
      <c r="S1610" s="7"/>
      <c r="T1610" s="7"/>
      <c r="U1610" s="7"/>
      <c r="V1610" s="7"/>
      <c r="W1610" s="7"/>
      <c r="X1610" s="8"/>
      <c r="Y1610" s="7"/>
      <c r="Z1610" s="7"/>
      <c r="AA1610" s="11"/>
      <c r="AB1610" s="11"/>
      <c r="AC1610" s="11"/>
      <c r="AD1610" s="11"/>
      <c r="AH1610" s="8"/>
      <c r="AI1610" s="20"/>
      <c r="AJ1610" s="20"/>
      <c r="AK1610" s="31"/>
      <c r="AL1610" s="31"/>
    </row>
    <row r="1611" spans="1:38" hidden="1" x14ac:dyDescent="0.25">
      <c r="A1611" s="9"/>
      <c r="B1611" s="7"/>
      <c r="C1611" s="7"/>
      <c r="D1611" s="7"/>
      <c r="E1611" s="7"/>
      <c r="F1611" s="7"/>
      <c r="G1611" s="7"/>
      <c r="H1611" s="7"/>
      <c r="I1611" s="7"/>
      <c r="J1611" s="20"/>
      <c r="K1611" s="20"/>
      <c r="L1611" s="20"/>
      <c r="M1611" s="20"/>
      <c r="N1611" s="9"/>
      <c r="P1611" s="7"/>
      <c r="Q1611" s="11"/>
      <c r="R1611" s="8"/>
      <c r="S1611" s="7"/>
      <c r="T1611" s="7"/>
      <c r="U1611" s="7"/>
      <c r="V1611" s="7"/>
      <c r="W1611" s="7"/>
      <c r="X1611" s="8"/>
      <c r="Y1611" s="7"/>
      <c r="Z1611" s="7"/>
      <c r="AA1611" s="11"/>
      <c r="AB1611" s="11"/>
      <c r="AC1611" s="11"/>
      <c r="AD1611" s="11"/>
      <c r="AH1611" s="8"/>
      <c r="AI1611" s="20"/>
      <c r="AJ1611" s="20"/>
      <c r="AK1611" s="31"/>
      <c r="AL1611" s="31"/>
    </row>
    <row r="1612" spans="1:38" hidden="1" x14ac:dyDescent="0.25">
      <c r="A1612" s="9"/>
      <c r="B1612" s="7"/>
      <c r="C1612" s="7"/>
      <c r="D1612" s="7"/>
      <c r="E1612" s="7"/>
      <c r="F1612" s="7"/>
      <c r="G1612" s="7"/>
      <c r="H1612" s="7"/>
      <c r="I1612" s="7"/>
      <c r="J1612" s="20"/>
      <c r="K1612" s="20"/>
      <c r="L1612" s="20"/>
      <c r="M1612" s="20"/>
      <c r="N1612" s="9"/>
      <c r="P1612" s="7"/>
      <c r="Q1612" s="11"/>
      <c r="R1612" s="8"/>
      <c r="S1612" s="7"/>
      <c r="T1612" s="7"/>
      <c r="U1612" s="7"/>
      <c r="V1612" s="7"/>
      <c r="W1612" s="7"/>
      <c r="X1612" s="8"/>
      <c r="Y1612" s="7"/>
      <c r="Z1612" s="7"/>
      <c r="AA1612" s="11"/>
      <c r="AB1612" s="11"/>
      <c r="AC1612" s="11"/>
      <c r="AD1612" s="11"/>
      <c r="AH1612" s="8"/>
      <c r="AI1612" s="20"/>
      <c r="AJ1612" s="20"/>
      <c r="AK1612" s="31"/>
      <c r="AL1612" s="31"/>
    </row>
    <row r="1613" spans="1:38" hidden="1" x14ac:dyDescent="0.25">
      <c r="A1613" s="9"/>
      <c r="B1613" s="7"/>
      <c r="C1613" s="7"/>
      <c r="D1613" s="7"/>
      <c r="E1613" s="7"/>
      <c r="F1613" s="7"/>
      <c r="G1613" s="7"/>
      <c r="H1613" s="7"/>
      <c r="I1613" s="7"/>
      <c r="J1613" s="20"/>
      <c r="K1613" s="20"/>
      <c r="L1613" s="20"/>
      <c r="M1613" s="20"/>
      <c r="N1613" s="9"/>
      <c r="P1613" s="7"/>
      <c r="Q1613" s="11"/>
      <c r="R1613" s="8"/>
      <c r="S1613" s="7"/>
      <c r="T1613" s="7"/>
      <c r="U1613" s="7"/>
      <c r="V1613" s="7"/>
      <c r="W1613" s="7"/>
      <c r="X1613" s="8"/>
      <c r="Y1613" s="7"/>
      <c r="Z1613" s="7"/>
      <c r="AA1613" s="11"/>
      <c r="AB1613" s="11"/>
      <c r="AC1613" s="11"/>
      <c r="AD1613" s="11"/>
      <c r="AH1613" s="8"/>
      <c r="AI1613" s="20"/>
      <c r="AJ1613" s="20"/>
      <c r="AK1613" s="31"/>
      <c r="AL1613" s="31"/>
    </row>
    <row r="1614" spans="1:38" hidden="1" x14ac:dyDescent="0.25">
      <c r="A1614" s="9"/>
      <c r="B1614" s="7"/>
      <c r="C1614" s="7"/>
      <c r="D1614" s="7"/>
      <c r="E1614" s="7"/>
      <c r="F1614" s="7"/>
      <c r="G1614" s="7"/>
      <c r="H1614" s="7"/>
      <c r="I1614" s="7"/>
      <c r="J1614" s="20"/>
      <c r="K1614" s="20"/>
      <c r="L1614" s="20"/>
      <c r="M1614" s="20"/>
      <c r="N1614" s="9"/>
      <c r="P1614" s="7"/>
      <c r="Q1614" s="11"/>
      <c r="R1614" s="8"/>
      <c r="S1614" s="7"/>
      <c r="T1614" s="7"/>
      <c r="U1614" s="7"/>
      <c r="V1614" s="7"/>
      <c r="W1614" s="7"/>
      <c r="X1614" s="8"/>
      <c r="Y1614" s="7"/>
      <c r="Z1614" s="7"/>
      <c r="AA1614" s="11"/>
      <c r="AB1614" s="11"/>
      <c r="AC1614" s="11"/>
      <c r="AD1614" s="11"/>
      <c r="AH1614" s="8"/>
      <c r="AI1614" s="20"/>
      <c r="AJ1614" s="20"/>
      <c r="AK1614" s="31"/>
      <c r="AL1614" s="31"/>
    </row>
    <row r="1615" spans="1:38" hidden="1" x14ac:dyDescent="0.25">
      <c r="A1615" s="9"/>
      <c r="B1615" s="7"/>
      <c r="C1615" s="7"/>
      <c r="D1615" s="7"/>
      <c r="E1615" s="7"/>
      <c r="F1615" s="7"/>
      <c r="G1615" s="7"/>
      <c r="H1615" s="7"/>
      <c r="I1615" s="7"/>
      <c r="J1615" s="20"/>
      <c r="K1615" s="20"/>
      <c r="L1615" s="20"/>
      <c r="M1615" s="20"/>
      <c r="N1615" s="9"/>
      <c r="P1615" s="20"/>
      <c r="Q1615" s="11"/>
      <c r="R1615" s="13"/>
      <c r="S1615" s="20"/>
      <c r="T1615" s="7"/>
      <c r="U1615" s="7"/>
      <c r="V1615" s="7"/>
      <c r="W1615" s="7"/>
      <c r="X1615" s="8"/>
      <c r="Y1615" s="7"/>
      <c r="Z1615" s="7"/>
      <c r="AA1615" s="11"/>
      <c r="AB1615" s="11"/>
      <c r="AC1615" s="11"/>
      <c r="AD1615" s="11"/>
      <c r="AH1615" s="8"/>
      <c r="AI1615" s="20"/>
      <c r="AJ1615" s="20"/>
      <c r="AK1615" s="31"/>
      <c r="AL1615" s="31"/>
    </row>
    <row r="1616" spans="1:38" hidden="1" x14ac:dyDescent="0.25">
      <c r="A1616" s="9"/>
      <c r="B1616" s="7"/>
      <c r="C1616" s="7"/>
      <c r="D1616" s="7"/>
      <c r="E1616" s="7"/>
      <c r="F1616" s="7"/>
      <c r="G1616" s="7"/>
      <c r="H1616" s="7"/>
      <c r="I1616" s="7"/>
      <c r="J1616" s="20"/>
      <c r="K1616" s="20"/>
      <c r="L1616" s="20"/>
      <c r="M1616" s="20"/>
      <c r="N1616" s="9"/>
      <c r="P1616" s="20"/>
      <c r="Q1616" s="11"/>
      <c r="R1616" s="13"/>
      <c r="S1616" s="20"/>
      <c r="T1616" s="7"/>
      <c r="U1616" s="7"/>
      <c r="V1616" s="7"/>
      <c r="W1616" s="7"/>
      <c r="X1616" s="8"/>
      <c r="Y1616" s="7"/>
      <c r="Z1616" s="7"/>
      <c r="AA1616" s="11"/>
      <c r="AB1616" s="11"/>
      <c r="AC1616" s="11"/>
      <c r="AD1616" s="11"/>
      <c r="AH1616" s="8"/>
      <c r="AI1616" s="20"/>
      <c r="AJ1616" s="20"/>
      <c r="AK1616" s="31"/>
      <c r="AL1616" s="31"/>
    </row>
    <row r="1617" spans="1:38" hidden="1" x14ac:dyDescent="0.25">
      <c r="A1617" s="9"/>
      <c r="B1617" s="7"/>
      <c r="C1617" s="7"/>
      <c r="D1617" s="7"/>
      <c r="E1617" s="7"/>
      <c r="F1617" s="7"/>
      <c r="G1617" s="7"/>
      <c r="H1617" s="7"/>
      <c r="I1617" s="7"/>
      <c r="J1617" s="20" t="e">
        <f>VLOOKUP(V1617,Table_to_BRG!A:D,3,FALSE)</f>
        <v>#N/A</v>
      </c>
      <c r="K1617" s="20" t="e">
        <f>VLOOKUP(V1617,Table_to_BRG!A:D,2,FALSE)</f>
        <v>#N/A</v>
      </c>
      <c r="L1617" s="20"/>
      <c r="M1617" s="20"/>
      <c r="N1617" s="9"/>
      <c r="P1617" s="20"/>
      <c r="Q1617" s="11"/>
      <c r="R1617" s="13"/>
      <c r="S1617" s="20"/>
      <c r="T1617" s="7"/>
      <c r="U1617" s="7"/>
      <c r="V1617" s="7"/>
      <c r="W1617" s="7"/>
      <c r="X1617" s="8"/>
      <c r="Y1617" s="7"/>
      <c r="Z1617" s="7"/>
      <c r="AA1617" s="11"/>
      <c r="AB1617" s="11"/>
      <c r="AC1617" s="11"/>
      <c r="AD1617" s="11"/>
      <c r="AH1617" s="8"/>
      <c r="AI1617" s="20"/>
      <c r="AJ1617" s="20"/>
      <c r="AK1617" s="31"/>
      <c r="AL1617" s="31"/>
    </row>
    <row r="1618" spans="1:38" hidden="1" x14ac:dyDescent="0.25">
      <c r="A1618" s="9"/>
      <c r="B1618" s="7"/>
      <c r="C1618" s="7"/>
      <c r="D1618" s="7"/>
      <c r="E1618" s="7"/>
      <c r="F1618" s="7"/>
      <c r="G1618" s="7"/>
      <c r="H1618" s="7"/>
      <c r="I1618" s="7"/>
      <c r="J1618" s="20" t="e">
        <f>VLOOKUP(V1618,Table_to_BRG!A:D,3,FALSE)</f>
        <v>#N/A</v>
      </c>
      <c r="K1618" s="20" t="e">
        <f>VLOOKUP(V1618,Table_to_BRG!A:D,2,FALSE)</f>
        <v>#N/A</v>
      </c>
      <c r="L1618" s="20"/>
      <c r="M1618" s="20"/>
      <c r="N1618" s="9"/>
      <c r="P1618" s="20"/>
      <c r="Q1618" s="11"/>
      <c r="R1618" s="13"/>
      <c r="S1618" s="20"/>
      <c r="T1618" s="7"/>
      <c r="U1618" s="7"/>
      <c r="V1618" s="7"/>
      <c r="W1618" s="7"/>
      <c r="X1618" s="8"/>
      <c r="Y1618" s="7"/>
      <c r="Z1618" s="7"/>
      <c r="AA1618" s="11"/>
      <c r="AB1618" s="11"/>
      <c r="AC1618" s="11"/>
      <c r="AD1618" s="11"/>
      <c r="AH1618" s="8"/>
      <c r="AI1618" s="20"/>
      <c r="AJ1618" s="20"/>
      <c r="AK1618" s="31"/>
      <c r="AL1618" s="31"/>
    </row>
    <row r="1619" spans="1:38" hidden="1" x14ac:dyDescent="0.25">
      <c r="A1619" s="9"/>
      <c r="B1619" s="7"/>
      <c r="C1619" s="7"/>
      <c r="D1619" s="7"/>
      <c r="E1619" s="7"/>
      <c r="F1619" s="7"/>
      <c r="G1619" s="7"/>
      <c r="H1619" s="7"/>
      <c r="I1619" s="7"/>
      <c r="J1619" s="20" t="e">
        <f>VLOOKUP(V1619,Table_to_BRG!A:D,3,FALSE)</f>
        <v>#N/A</v>
      </c>
      <c r="K1619" s="20" t="e">
        <f>VLOOKUP(V1619,Table_to_BRG!A:D,2,FALSE)</f>
        <v>#N/A</v>
      </c>
      <c r="L1619" s="20"/>
      <c r="M1619" s="20"/>
      <c r="N1619" s="9"/>
      <c r="P1619" s="20"/>
      <c r="Q1619" s="11"/>
      <c r="R1619" s="13"/>
      <c r="S1619" s="20"/>
      <c r="T1619" s="7"/>
      <c r="U1619" s="7"/>
      <c r="V1619" s="7"/>
      <c r="W1619" s="7"/>
      <c r="X1619" s="8"/>
      <c r="Y1619" s="7"/>
      <c r="Z1619" s="7"/>
      <c r="AA1619" s="11"/>
      <c r="AB1619" s="11"/>
      <c r="AC1619" s="11"/>
      <c r="AD1619" s="11"/>
      <c r="AH1619" s="8"/>
      <c r="AI1619" s="20"/>
      <c r="AJ1619" s="20"/>
      <c r="AK1619" s="31"/>
      <c r="AL1619" s="31"/>
    </row>
    <row r="1620" spans="1:38" hidden="1" x14ac:dyDescent="0.25">
      <c r="A1620" s="9"/>
      <c r="B1620" s="7"/>
      <c r="C1620" s="7"/>
      <c r="D1620" s="7"/>
      <c r="E1620" s="7"/>
      <c r="F1620" s="7"/>
      <c r="G1620" s="7"/>
      <c r="H1620" s="7"/>
      <c r="I1620" s="7"/>
      <c r="J1620" s="20" t="e">
        <f>VLOOKUP(V1620,Table_to_BRG!A:D,3,FALSE)</f>
        <v>#N/A</v>
      </c>
      <c r="K1620" s="20" t="e">
        <f>VLOOKUP(V1620,Table_to_BRG!A:D,2,FALSE)</f>
        <v>#N/A</v>
      </c>
      <c r="L1620" s="20"/>
      <c r="M1620" s="20"/>
      <c r="N1620" s="9"/>
      <c r="P1620" s="20"/>
      <c r="Q1620" s="11"/>
      <c r="R1620" s="13"/>
      <c r="S1620" s="20"/>
      <c r="T1620" s="7"/>
      <c r="U1620" s="7"/>
      <c r="V1620" s="7"/>
      <c r="W1620" s="7"/>
      <c r="X1620" s="8"/>
      <c r="Y1620" s="7"/>
      <c r="Z1620" s="7"/>
      <c r="AA1620" s="11"/>
      <c r="AB1620" s="11"/>
      <c r="AC1620" s="11"/>
      <c r="AD1620" s="11"/>
      <c r="AH1620" s="8"/>
      <c r="AI1620" s="20"/>
      <c r="AJ1620" s="20"/>
      <c r="AK1620" s="31"/>
      <c r="AL1620" s="31"/>
    </row>
    <row r="1621" spans="1:38" hidden="1" x14ac:dyDescent="0.25">
      <c r="A1621" s="9"/>
      <c r="B1621" s="7"/>
      <c r="C1621" s="7"/>
      <c r="D1621" s="7"/>
      <c r="E1621" s="7"/>
      <c r="F1621" s="7"/>
      <c r="G1621" s="7"/>
      <c r="H1621" s="7"/>
      <c r="I1621" s="7"/>
      <c r="J1621" s="20" t="e">
        <f>VLOOKUP(V1621,Table_to_BRG!A:D,3,FALSE)</f>
        <v>#N/A</v>
      </c>
      <c r="K1621" s="20" t="e">
        <f>VLOOKUP(V1621,Table_to_BRG!A:D,2,FALSE)</f>
        <v>#N/A</v>
      </c>
      <c r="L1621" s="20"/>
      <c r="M1621" s="20"/>
      <c r="N1621" s="9"/>
      <c r="P1621" s="20"/>
      <c r="Q1621" s="11"/>
      <c r="R1621" s="13"/>
      <c r="S1621" s="20"/>
      <c r="T1621" s="7"/>
      <c r="U1621" s="7"/>
      <c r="V1621" s="7"/>
      <c r="W1621" s="7"/>
      <c r="X1621" s="8"/>
      <c r="Y1621" s="7"/>
      <c r="Z1621" s="7"/>
      <c r="AA1621" s="11"/>
      <c r="AB1621" s="11"/>
      <c r="AC1621" s="11"/>
      <c r="AD1621" s="11"/>
      <c r="AH1621" s="8"/>
      <c r="AI1621" s="20"/>
      <c r="AJ1621" s="20"/>
      <c r="AK1621" s="31"/>
      <c r="AL1621" s="31"/>
    </row>
    <row r="1622" spans="1:38" hidden="1" x14ac:dyDescent="0.25">
      <c r="A1622" s="9"/>
      <c r="B1622" s="7"/>
      <c r="C1622" s="7"/>
      <c r="D1622" s="7"/>
      <c r="E1622" s="7"/>
      <c r="F1622" s="7"/>
      <c r="G1622" s="7"/>
      <c r="H1622" s="7"/>
      <c r="I1622" s="7"/>
      <c r="J1622" s="20" t="e">
        <f>VLOOKUP(V1622,Table_to_BRG!A:D,3,FALSE)</f>
        <v>#N/A</v>
      </c>
      <c r="K1622" s="20" t="e">
        <f>VLOOKUP(V1622,Table_to_BRG!A:D,2,FALSE)</f>
        <v>#N/A</v>
      </c>
      <c r="L1622" s="20"/>
      <c r="M1622" s="20"/>
      <c r="N1622" s="9"/>
      <c r="P1622" s="20"/>
      <c r="Q1622" s="11"/>
      <c r="R1622" s="13"/>
      <c r="S1622" s="20"/>
      <c r="T1622" s="7"/>
      <c r="U1622" s="7"/>
      <c r="V1622" s="7"/>
      <c r="W1622" s="7"/>
      <c r="X1622" s="8"/>
      <c r="Y1622" s="7"/>
      <c r="Z1622" s="7"/>
      <c r="AA1622" s="11"/>
      <c r="AB1622" s="11"/>
      <c r="AC1622" s="11"/>
      <c r="AD1622" s="11"/>
      <c r="AH1622" s="8"/>
      <c r="AI1622" s="20"/>
      <c r="AJ1622" s="20"/>
      <c r="AK1622" s="31"/>
      <c r="AL1622" s="31"/>
    </row>
    <row r="1624" spans="1:38" x14ac:dyDescent="0.25">
      <c r="Q1624" s="21"/>
      <c r="AA1624" s="21"/>
      <c r="AB1624" s="21"/>
      <c r="AC1624" s="21"/>
      <c r="AD1624" s="21"/>
    </row>
    <row r="1625" spans="1:38" x14ac:dyDescent="0.25">
      <c r="Q1625" s="21"/>
      <c r="AA1625" s="21"/>
      <c r="AB1625" s="21"/>
      <c r="AC1625" s="21"/>
      <c r="AD1625" s="21"/>
    </row>
    <row r="1626" spans="1:38" x14ac:dyDescent="0.25">
      <c r="Q1626" s="21"/>
      <c r="AA1626" s="21"/>
      <c r="AB1626" s="21"/>
      <c r="AC1626" s="21"/>
      <c r="AD1626" s="21"/>
    </row>
    <row r="1628" spans="1:38" x14ac:dyDescent="0.25">
      <c r="Q1628"/>
      <c r="AA1628"/>
      <c r="AB1628"/>
      <c r="AD1628"/>
    </row>
    <row r="1629" spans="1:38" x14ac:dyDescent="0.25">
      <c r="Q1629"/>
      <c r="AA1629"/>
      <c r="AB1629"/>
      <c r="AD1629"/>
    </row>
    <row r="1630" spans="1:38" x14ac:dyDescent="0.25">
      <c r="Q1630"/>
      <c r="AA1630"/>
      <c r="AB1630"/>
      <c r="AD1630"/>
    </row>
    <row r="1631" spans="1:38" x14ac:dyDescent="0.25">
      <c r="Q1631"/>
      <c r="AA1631"/>
      <c r="AB1631"/>
      <c r="AD1631"/>
    </row>
    <row r="1632" spans="1:38" x14ac:dyDescent="0.25">
      <c r="Q1632"/>
      <c r="AA1632"/>
      <c r="AB1632"/>
      <c r="AD1632"/>
    </row>
    <row r="1633" spans="17:30" x14ac:dyDescent="0.25">
      <c r="Q1633"/>
      <c r="AA1633"/>
      <c r="AB1633"/>
      <c r="AD1633"/>
    </row>
    <row r="1634" spans="17:30" x14ac:dyDescent="0.25">
      <c r="Q1634"/>
      <c r="AA1634"/>
      <c r="AB1634"/>
      <c r="AD1634"/>
    </row>
    <row r="1635" spans="17:30" x14ac:dyDescent="0.25">
      <c r="Q1635"/>
      <c r="AA1635"/>
      <c r="AB1635"/>
      <c r="AD1635"/>
    </row>
    <row r="1636" spans="17:30" x14ac:dyDescent="0.25">
      <c r="Q1636"/>
      <c r="AA1636"/>
      <c r="AB1636"/>
      <c r="AD1636"/>
    </row>
    <row r="1637" spans="17:30" x14ac:dyDescent="0.25">
      <c r="Q1637"/>
      <c r="AA1637"/>
      <c r="AB1637"/>
      <c r="AD1637"/>
    </row>
    <row r="1638" spans="17:30" x14ac:dyDescent="0.25">
      <c r="Q1638"/>
      <c r="AA1638"/>
      <c r="AB1638"/>
      <c r="AD1638"/>
    </row>
    <row r="1639" spans="17:30" x14ac:dyDescent="0.25">
      <c r="Q1639"/>
      <c r="AA1639"/>
      <c r="AB1639"/>
      <c r="AD1639"/>
    </row>
    <row r="1640" spans="17:30" x14ac:dyDescent="0.25">
      <c r="Q1640"/>
      <c r="AA1640"/>
      <c r="AB1640"/>
      <c r="AD1640"/>
    </row>
    <row r="1641" spans="17:30" x14ac:dyDescent="0.25">
      <c r="Q1641"/>
      <c r="AA1641"/>
      <c r="AB1641"/>
      <c r="AD1641"/>
    </row>
    <row r="1642" spans="17:30" x14ac:dyDescent="0.25">
      <c r="Q1642"/>
      <c r="AA1642"/>
      <c r="AB1642"/>
      <c r="AD1642"/>
    </row>
    <row r="1643" spans="17:30" x14ac:dyDescent="0.25">
      <c r="Q1643"/>
      <c r="AA1643"/>
      <c r="AB1643"/>
      <c r="AD1643"/>
    </row>
    <row r="1644" spans="17:30" x14ac:dyDescent="0.25">
      <c r="Q1644"/>
      <c r="AA1644"/>
      <c r="AB1644"/>
      <c r="AD1644"/>
    </row>
    <row r="1645" spans="17:30" x14ac:dyDescent="0.25">
      <c r="Q1645"/>
      <c r="AA1645"/>
      <c r="AB1645"/>
      <c r="AD1645"/>
    </row>
    <row r="1646" spans="17:30" x14ac:dyDescent="0.25">
      <c r="Q1646"/>
      <c r="AA1646"/>
      <c r="AB1646"/>
      <c r="AD1646"/>
    </row>
    <row r="1647" spans="17:30" x14ac:dyDescent="0.25">
      <c r="Q1647"/>
      <c r="AA1647"/>
      <c r="AB1647"/>
      <c r="AD1647"/>
    </row>
    <row r="1648" spans="17:30" x14ac:dyDescent="0.25">
      <c r="Q1648"/>
      <c r="AA1648"/>
      <c r="AB1648"/>
      <c r="AD1648"/>
    </row>
    <row r="1649" spans="17:30" x14ac:dyDescent="0.25">
      <c r="Q1649"/>
      <c r="AA1649"/>
      <c r="AB1649"/>
      <c r="AD1649"/>
    </row>
    <row r="1650" spans="17:30" x14ac:dyDescent="0.25">
      <c r="Q1650"/>
      <c r="AA1650"/>
      <c r="AB1650"/>
      <c r="AD1650"/>
    </row>
  </sheetData>
  <phoneticPr fontId="1" type="noConversion"/>
  <pageMargins left="0.7" right="0.7" top="0.75" bottom="0.75" header="0.3" footer="0.3"/>
  <pageSetup orientation="portrait" horizontalDpi="200" verticalDpi="20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35BEC-9248-4194-8D40-97FF74C1A4F0}">
  <dimension ref="A1:D36"/>
  <sheetViews>
    <sheetView workbookViewId="0">
      <selection activeCell="B2" sqref="B2"/>
    </sheetView>
  </sheetViews>
  <sheetFormatPr defaultRowHeight="15" x14ac:dyDescent="0.25"/>
  <cols>
    <col min="1" max="1" width="8.140625" bestFit="1" customWidth="1"/>
    <col min="2" max="2" width="46.140625" bestFit="1" customWidth="1"/>
    <col min="3" max="3" width="38.140625" bestFit="1" customWidth="1"/>
    <col min="4" max="4" width="15.140625" bestFit="1" customWidth="1"/>
  </cols>
  <sheetData>
    <row r="1" spans="1:4" s="44" customFormat="1" x14ac:dyDescent="0.25">
      <c r="A1" s="44" t="s">
        <v>6406</v>
      </c>
      <c r="B1" s="44" t="s">
        <v>6779</v>
      </c>
      <c r="C1" s="44" t="s">
        <v>6780</v>
      </c>
      <c r="D1" s="44" t="s">
        <v>6781</v>
      </c>
    </row>
    <row r="2" spans="1:4" s="44" customFormat="1" x14ac:dyDescent="0.25">
      <c r="A2" s="44" t="s">
        <v>6261</v>
      </c>
      <c r="B2" s="44" t="s">
        <v>3967</v>
      </c>
      <c r="C2" t="s">
        <v>6784</v>
      </c>
      <c r="D2" t="s">
        <v>6784</v>
      </c>
    </row>
    <row r="3" spans="1:4" x14ac:dyDescent="0.25">
      <c r="A3" t="s">
        <v>6760</v>
      </c>
      <c r="B3" t="s">
        <v>6837</v>
      </c>
      <c r="C3" t="s">
        <v>6784</v>
      </c>
      <c r="D3" t="s">
        <v>6784</v>
      </c>
    </row>
    <row r="4" spans="1:4" x14ac:dyDescent="0.25">
      <c r="A4" t="s">
        <v>2741</v>
      </c>
      <c r="B4" t="s">
        <v>6829</v>
      </c>
      <c r="C4" t="s">
        <v>6790</v>
      </c>
      <c r="D4" t="s">
        <v>6782</v>
      </c>
    </row>
    <row r="5" spans="1:4" x14ac:dyDescent="0.25">
      <c r="A5" t="s">
        <v>3327</v>
      </c>
      <c r="B5" t="s">
        <v>6791</v>
      </c>
      <c r="C5" t="s">
        <v>6791</v>
      </c>
      <c r="D5" t="s">
        <v>6782</v>
      </c>
    </row>
    <row r="6" spans="1:4" x14ac:dyDescent="0.25">
      <c r="A6" t="s">
        <v>2740</v>
      </c>
      <c r="B6" t="s">
        <v>1190</v>
      </c>
      <c r="C6" t="s">
        <v>6836</v>
      </c>
      <c r="D6" t="s">
        <v>6782</v>
      </c>
    </row>
    <row r="7" spans="1:4" x14ac:dyDescent="0.25">
      <c r="A7" t="s">
        <v>3328</v>
      </c>
      <c r="B7" t="s">
        <v>6838</v>
      </c>
      <c r="C7" t="s">
        <v>6792</v>
      </c>
      <c r="D7" t="s">
        <v>6782</v>
      </c>
    </row>
    <row r="8" spans="1:4" x14ac:dyDescent="0.25">
      <c r="A8" t="s">
        <v>3334</v>
      </c>
      <c r="B8" t="s">
        <v>2759</v>
      </c>
      <c r="C8" t="s">
        <v>6794</v>
      </c>
      <c r="D8" t="s">
        <v>6782</v>
      </c>
    </row>
    <row r="9" spans="1:4" x14ac:dyDescent="0.25">
      <c r="A9" t="s">
        <v>6343</v>
      </c>
      <c r="B9" t="s">
        <v>6787</v>
      </c>
      <c r="C9" t="s">
        <v>6717</v>
      </c>
      <c r="D9" t="s">
        <v>6782</v>
      </c>
    </row>
    <row r="10" spans="1:4" x14ac:dyDescent="0.25">
      <c r="A10" t="s">
        <v>3129</v>
      </c>
      <c r="B10" t="s">
        <v>6839</v>
      </c>
      <c r="C10" t="s">
        <v>6801</v>
      </c>
      <c r="D10" t="s">
        <v>6782</v>
      </c>
    </row>
    <row r="11" spans="1:4" x14ac:dyDescent="0.25">
      <c r="A11" t="s">
        <v>3198</v>
      </c>
      <c r="B11" t="s">
        <v>6840</v>
      </c>
      <c r="C11" t="s">
        <v>6800</v>
      </c>
      <c r="D11" t="s">
        <v>6782</v>
      </c>
    </row>
    <row r="12" spans="1:4" x14ac:dyDescent="0.25">
      <c r="A12" t="s">
        <v>2827</v>
      </c>
      <c r="B12" t="s">
        <v>6421</v>
      </c>
      <c r="C12" t="s">
        <v>6798</v>
      </c>
      <c r="D12" t="s">
        <v>6782</v>
      </c>
    </row>
    <row r="13" spans="1:4" x14ac:dyDescent="0.25">
      <c r="A13" t="s">
        <v>3001</v>
      </c>
      <c r="B13" t="s">
        <v>6841</v>
      </c>
      <c r="C13" t="s">
        <v>6802</v>
      </c>
      <c r="D13" t="s">
        <v>6782</v>
      </c>
    </row>
    <row r="14" spans="1:4" x14ac:dyDescent="0.25">
      <c r="A14" t="s">
        <v>3359</v>
      </c>
      <c r="B14" t="s">
        <v>6734</v>
      </c>
      <c r="C14" t="s">
        <v>6805</v>
      </c>
      <c r="D14" t="s">
        <v>6782</v>
      </c>
    </row>
    <row r="15" spans="1:4" x14ac:dyDescent="0.25">
      <c r="A15" t="s">
        <v>1527</v>
      </c>
      <c r="B15" t="s">
        <v>1265</v>
      </c>
      <c r="C15" t="s">
        <v>6793</v>
      </c>
      <c r="D15" t="s">
        <v>6712</v>
      </c>
    </row>
    <row r="16" spans="1:4" x14ac:dyDescent="0.25">
      <c r="A16" t="s">
        <v>1526</v>
      </c>
      <c r="B16" t="s">
        <v>6829</v>
      </c>
      <c r="C16" t="s">
        <v>6790</v>
      </c>
      <c r="D16" t="s">
        <v>6712</v>
      </c>
    </row>
    <row r="17" spans="1:4" x14ac:dyDescent="0.25">
      <c r="A17" t="s">
        <v>2460</v>
      </c>
      <c r="B17" t="s">
        <v>2759</v>
      </c>
      <c r="C17" t="s">
        <v>6796</v>
      </c>
      <c r="D17" t="s">
        <v>6712</v>
      </c>
    </row>
    <row r="18" spans="1:4" x14ac:dyDescent="0.25">
      <c r="A18" t="s">
        <v>2594</v>
      </c>
      <c r="B18" t="s">
        <v>6730</v>
      </c>
      <c r="C18" t="s">
        <v>6797</v>
      </c>
      <c r="D18" t="s">
        <v>6712</v>
      </c>
    </row>
    <row r="19" spans="1:4" x14ac:dyDescent="0.25">
      <c r="A19" t="s">
        <v>1528</v>
      </c>
      <c r="B19" t="s">
        <v>6830</v>
      </c>
      <c r="C19" t="s">
        <v>6803</v>
      </c>
      <c r="D19" t="s">
        <v>6712</v>
      </c>
    </row>
    <row r="20" spans="1:4" x14ac:dyDescent="0.25">
      <c r="A20" t="s">
        <v>6700</v>
      </c>
      <c r="B20" t="s">
        <v>6831</v>
      </c>
      <c r="C20" t="s">
        <v>6792</v>
      </c>
      <c r="D20" t="s">
        <v>6712</v>
      </c>
    </row>
    <row r="21" spans="1:4" x14ac:dyDescent="0.25">
      <c r="A21" t="s">
        <v>1525</v>
      </c>
      <c r="B21" t="s">
        <v>6832</v>
      </c>
      <c r="C21" t="s">
        <v>6790</v>
      </c>
      <c r="D21" t="s">
        <v>6712</v>
      </c>
    </row>
    <row r="22" spans="1:4" x14ac:dyDescent="0.25">
      <c r="A22" t="s">
        <v>1989</v>
      </c>
      <c r="B22" t="s">
        <v>1266</v>
      </c>
      <c r="C22" t="s">
        <v>6804</v>
      </c>
      <c r="D22" t="s">
        <v>6712</v>
      </c>
    </row>
    <row r="23" spans="1:4" x14ac:dyDescent="0.25">
      <c r="A23" t="s">
        <v>6676</v>
      </c>
      <c r="B23" t="s">
        <v>6788</v>
      </c>
      <c r="C23" t="s">
        <v>6789</v>
      </c>
      <c r="D23" t="s">
        <v>6712</v>
      </c>
    </row>
    <row r="24" spans="1:4" x14ac:dyDescent="0.25">
      <c r="A24" t="s">
        <v>6345</v>
      </c>
      <c r="B24" t="s">
        <v>6728</v>
      </c>
      <c r="C24" t="s">
        <v>6795</v>
      </c>
      <c r="D24" t="s">
        <v>6783</v>
      </c>
    </row>
    <row r="25" spans="1:4" x14ac:dyDescent="0.25">
      <c r="A25" t="s">
        <v>6432</v>
      </c>
      <c r="B25" t="s">
        <v>6785</v>
      </c>
      <c r="C25" t="s">
        <v>6795</v>
      </c>
      <c r="D25" t="s">
        <v>6786</v>
      </c>
    </row>
    <row r="26" spans="1:4" x14ac:dyDescent="0.25">
      <c r="A26" t="s">
        <v>3542</v>
      </c>
      <c r="B26" t="s">
        <v>6829</v>
      </c>
      <c r="C26" t="s">
        <v>6790</v>
      </c>
      <c r="D26" t="s">
        <v>6733</v>
      </c>
    </row>
    <row r="27" spans="1:4" x14ac:dyDescent="0.25">
      <c r="A27" t="s">
        <v>3574</v>
      </c>
      <c r="B27" t="s">
        <v>6421</v>
      </c>
      <c r="C27" t="s">
        <v>6798</v>
      </c>
      <c r="D27" t="s">
        <v>6733</v>
      </c>
    </row>
    <row r="28" spans="1:4" x14ac:dyDescent="0.25">
      <c r="A28" t="s">
        <v>3543</v>
      </c>
      <c r="B28" t="s">
        <v>1190</v>
      </c>
      <c r="C28" t="s">
        <v>6836</v>
      </c>
      <c r="D28" t="s">
        <v>6733</v>
      </c>
    </row>
    <row r="29" spans="1:4" x14ac:dyDescent="0.25">
      <c r="A29" t="s">
        <v>3817</v>
      </c>
      <c r="B29" t="s">
        <v>6835</v>
      </c>
      <c r="C29" t="s">
        <v>6799</v>
      </c>
      <c r="D29" t="s">
        <v>6733</v>
      </c>
    </row>
    <row r="30" spans="1:4" x14ac:dyDescent="0.25">
      <c r="A30" t="s">
        <v>3802</v>
      </c>
      <c r="B30" t="s">
        <v>6833</v>
      </c>
      <c r="C30" t="s">
        <v>6800</v>
      </c>
      <c r="D30" t="s">
        <v>6733</v>
      </c>
    </row>
    <row r="31" spans="1:4" x14ac:dyDescent="0.25">
      <c r="A31" t="s">
        <v>3818</v>
      </c>
      <c r="B31" t="s">
        <v>6834</v>
      </c>
      <c r="C31" t="s">
        <v>6799</v>
      </c>
      <c r="D31" t="s">
        <v>6733</v>
      </c>
    </row>
    <row r="32" spans="1:4" x14ac:dyDescent="0.25">
      <c r="A32" s="29" t="s">
        <v>7796</v>
      </c>
      <c r="B32" t="s">
        <v>7793</v>
      </c>
      <c r="C32" t="s">
        <v>7794</v>
      </c>
      <c r="D32" t="s">
        <v>6782</v>
      </c>
    </row>
    <row r="33" spans="1:4" x14ac:dyDescent="0.25">
      <c r="A33" t="s">
        <v>7740</v>
      </c>
      <c r="B33" t="s">
        <v>6730</v>
      </c>
      <c r="C33" t="s">
        <v>6797</v>
      </c>
      <c r="D33" t="s">
        <v>6712</v>
      </c>
    </row>
    <row r="34" spans="1:4" x14ac:dyDescent="0.25">
      <c r="A34" s="29" t="s">
        <v>7795</v>
      </c>
      <c r="B34" t="s">
        <v>7793</v>
      </c>
      <c r="C34" t="s">
        <v>7794</v>
      </c>
      <c r="D34" t="s">
        <v>6733</v>
      </c>
    </row>
    <row r="35" spans="1:4" x14ac:dyDescent="0.25">
      <c r="A35" t="s">
        <v>6886</v>
      </c>
      <c r="B35" t="s">
        <v>7797</v>
      </c>
      <c r="C35" t="s">
        <v>7798</v>
      </c>
      <c r="D35" t="s">
        <v>6712</v>
      </c>
    </row>
    <row r="36" spans="1:4" x14ac:dyDescent="0.25">
      <c r="A36" s="7" t="s">
        <v>6941</v>
      </c>
      <c r="B36" t="s">
        <v>7800</v>
      </c>
      <c r="C36" t="s">
        <v>7799</v>
      </c>
      <c r="D36" t="s">
        <v>6733</v>
      </c>
    </row>
  </sheetData>
  <autoFilter ref="A1:D31" xr:uid="{BE5261D2-8E8B-4370-922C-6CD299D05A2C}">
    <sortState xmlns:xlrd2="http://schemas.microsoft.com/office/spreadsheetml/2017/richdata2" ref="A2:D31">
      <sortCondition ref="D3:D31"/>
    </sortState>
  </autoFilter>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45EEC-A038-46B8-BD34-4A31EDE71A4D}">
  <dimension ref="B1:I1619"/>
  <sheetViews>
    <sheetView workbookViewId="0">
      <selection activeCell="I22" sqref="I22"/>
    </sheetView>
  </sheetViews>
  <sheetFormatPr defaultRowHeight="15" x14ac:dyDescent="0.25"/>
  <cols>
    <col min="2" max="5" width="8.7109375" style="12"/>
    <col min="7" max="8" width="16" customWidth="1"/>
    <col min="9" max="9" width="16.42578125" customWidth="1"/>
  </cols>
  <sheetData>
    <row r="1" spans="2:9" x14ac:dyDescent="0.25">
      <c r="G1" t="s">
        <v>6399</v>
      </c>
      <c r="H1" t="s">
        <v>6400</v>
      </c>
      <c r="I1" t="s">
        <v>6401</v>
      </c>
    </row>
    <row r="2" spans="2:9" x14ac:dyDescent="0.25">
      <c r="C2" t="s">
        <v>6548</v>
      </c>
      <c r="G2" s="35" t="s">
        <v>6394</v>
      </c>
      <c r="H2" s="35" t="s">
        <v>6395</v>
      </c>
      <c r="I2" s="34" t="s">
        <v>6704</v>
      </c>
    </row>
    <row r="3" spans="2:9" x14ac:dyDescent="0.25">
      <c r="B3" s="12" t="s">
        <v>6573</v>
      </c>
      <c r="C3" t="s">
        <v>6549</v>
      </c>
      <c r="G3" s="7" t="s">
        <v>6378</v>
      </c>
      <c r="H3" s="7"/>
      <c r="I3" s="7"/>
    </row>
    <row r="4" spans="2:9" x14ac:dyDescent="0.25">
      <c r="B4" s="12" t="s">
        <v>6576</v>
      </c>
      <c r="C4" t="s">
        <v>6550</v>
      </c>
      <c r="G4" s="7" t="s">
        <v>6361</v>
      </c>
      <c r="H4" s="7"/>
      <c r="I4" s="7"/>
    </row>
    <row r="5" spans="2:9" x14ac:dyDescent="0.25">
      <c r="B5" s="12" t="s">
        <v>6578</v>
      </c>
      <c r="C5" t="s">
        <v>6551</v>
      </c>
      <c r="G5" s="7" t="s">
        <v>6391</v>
      </c>
      <c r="H5" s="7"/>
      <c r="I5" s="7"/>
    </row>
    <row r="6" spans="2:9" x14ac:dyDescent="0.25">
      <c r="B6" s="12" t="s">
        <v>6579</v>
      </c>
      <c r="C6" t="s">
        <v>6552</v>
      </c>
      <c r="G6" s="7" t="s">
        <v>6361</v>
      </c>
      <c r="H6" s="7" t="s">
        <v>6363</v>
      </c>
      <c r="I6" s="7"/>
    </row>
    <row r="7" spans="2:9" x14ac:dyDescent="0.25">
      <c r="B7" s="12" t="s">
        <v>6574</v>
      </c>
      <c r="C7" t="s">
        <v>6553</v>
      </c>
      <c r="G7" s="7" t="s">
        <v>6361</v>
      </c>
      <c r="H7" s="7" t="s">
        <v>6650</v>
      </c>
      <c r="I7" s="7"/>
    </row>
    <row r="8" spans="2:9" x14ac:dyDescent="0.25">
      <c r="B8" s="12" t="s">
        <v>6580</v>
      </c>
      <c r="C8" t="s">
        <v>6554</v>
      </c>
      <c r="G8" s="7" t="s">
        <v>6642</v>
      </c>
      <c r="H8" s="7"/>
      <c r="I8" s="7" t="s">
        <v>6436</v>
      </c>
    </row>
    <row r="9" spans="2:9" x14ac:dyDescent="0.25">
      <c r="B9" s="12" t="s">
        <v>6577</v>
      </c>
      <c r="C9" t="s">
        <v>6555</v>
      </c>
      <c r="G9" s="7" t="s">
        <v>6379</v>
      </c>
      <c r="H9" s="7" t="s">
        <v>6380</v>
      </c>
      <c r="I9" s="7"/>
    </row>
    <row r="10" spans="2:9" x14ac:dyDescent="0.25">
      <c r="B10" s="12" t="s">
        <v>6581</v>
      </c>
      <c r="C10" t="s">
        <v>6556</v>
      </c>
      <c r="G10" s="7" t="s">
        <v>6358</v>
      </c>
      <c r="H10" s="7" t="s">
        <v>6649</v>
      </c>
      <c r="I10" s="7"/>
    </row>
    <row r="11" spans="2:9" x14ac:dyDescent="0.25">
      <c r="B11" s="12" t="s">
        <v>6582</v>
      </c>
      <c r="C11" t="s">
        <v>6557</v>
      </c>
      <c r="G11" s="7"/>
      <c r="H11" s="7"/>
      <c r="I11" s="7"/>
    </row>
    <row r="12" spans="2:9" x14ac:dyDescent="0.25">
      <c r="B12" s="12" t="s">
        <v>6583</v>
      </c>
      <c r="C12" t="s">
        <v>6558</v>
      </c>
      <c r="G12" s="28" t="s">
        <v>6361</v>
      </c>
      <c r="H12" s="28" t="s">
        <v>6363</v>
      </c>
      <c r="I12" s="28" t="s">
        <v>3971</v>
      </c>
    </row>
    <row r="13" spans="2:9" x14ac:dyDescent="0.25">
      <c r="B13" s="12" t="s">
        <v>6584</v>
      </c>
      <c r="C13" t="s">
        <v>6559</v>
      </c>
      <c r="G13" s="7" t="s">
        <v>6703</v>
      </c>
      <c r="H13" s="7" t="s">
        <v>6373</v>
      </c>
      <c r="I13" s="7"/>
    </row>
    <row r="14" spans="2:9" x14ac:dyDescent="0.25">
      <c r="C14" t="s">
        <v>6560</v>
      </c>
      <c r="G14" s="7" t="s">
        <v>6365</v>
      </c>
      <c r="H14" s="7" t="s">
        <v>6366</v>
      </c>
      <c r="I14" s="7" t="s">
        <v>3971</v>
      </c>
    </row>
    <row r="15" spans="2:9" x14ac:dyDescent="0.25">
      <c r="B15" s="12" t="s">
        <v>6585</v>
      </c>
      <c r="C15" t="s">
        <v>6561</v>
      </c>
      <c r="G15" s="7" t="s">
        <v>6365</v>
      </c>
      <c r="H15" s="7" t="s">
        <v>2759</v>
      </c>
      <c r="I15" s="7"/>
    </row>
    <row r="16" spans="2:9" x14ac:dyDescent="0.25">
      <c r="B16" s="12" t="s">
        <v>6575</v>
      </c>
      <c r="C16" t="s">
        <v>6562</v>
      </c>
      <c r="G16" s="7" t="s">
        <v>6379</v>
      </c>
      <c r="H16" s="7" t="s">
        <v>6380</v>
      </c>
      <c r="I16" s="7"/>
    </row>
    <row r="17" spans="2:9" x14ac:dyDescent="0.25">
      <c r="C17" t="s">
        <v>6563</v>
      </c>
      <c r="G17" s="7" t="s">
        <v>6703</v>
      </c>
      <c r="H17" s="7" t="s">
        <v>6374</v>
      </c>
      <c r="I17" s="7"/>
    </row>
    <row r="18" spans="2:9" x14ac:dyDescent="0.25">
      <c r="C18" t="s">
        <v>6564</v>
      </c>
      <c r="G18" s="7" t="s">
        <v>6379</v>
      </c>
      <c r="H18" s="7" t="s">
        <v>6380</v>
      </c>
      <c r="I18" s="7"/>
    </row>
    <row r="19" spans="2:9" x14ac:dyDescent="0.25">
      <c r="B19" s="12" t="s">
        <v>6586</v>
      </c>
      <c r="C19" t="s">
        <v>6565</v>
      </c>
      <c r="G19" s="7" t="s">
        <v>6358</v>
      </c>
      <c r="H19" s="7" t="s">
        <v>6383</v>
      </c>
      <c r="I19" s="7"/>
    </row>
    <row r="20" spans="2:9" x14ac:dyDescent="0.25">
      <c r="B20" s="12" t="s">
        <v>6587</v>
      </c>
      <c r="C20" t="s">
        <v>6566</v>
      </c>
      <c r="G20" s="7" t="s">
        <v>6361</v>
      </c>
      <c r="H20" s="7"/>
      <c r="I20" s="7"/>
    </row>
    <row r="21" spans="2:9" x14ac:dyDescent="0.25">
      <c r="B21" s="12" t="s">
        <v>6588</v>
      </c>
      <c r="C21" t="s">
        <v>6567</v>
      </c>
      <c r="G21" s="7" t="s">
        <v>6393</v>
      </c>
      <c r="H21" s="7"/>
      <c r="I21" s="7"/>
    </row>
    <row r="22" spans="2:9" x14ac:dyDescent="0.25">
      <c r="B22" s="12" t="s">
        <v>6590</v>
      </c>
      <c r="C22" t="s">
        <v>6568</v>
      </c>
      <c r="G22" s="7" t="s">
        <v>6361</v>
      </c>
      <c r="H22" s="7" t="s">
        <v>6363</v>
      </c>
      <c r="I22" s="7"/>
    </row>
    <row r="23" spans="2:9" x14ac:dyDescent="0.25">
      <c r="B23" s="12" t="s">
        <v>6591</v>
      </c>
      <c r="C23" t="s">
        <v>6569</v>
      </c>
      <c r="G23" s="7" t="s">
        <v>6365</v>
      </c>
      <c r="H23" s="7" t="s">
        <v>2759</v>
      </c>
      <c r="I23" s="7"/>
    </row>
    <row r="24" spans="2:9" x14ac:dyDescent="0.25">
      <c r="B24" s="12" t="s">
        <v>6589</v>
      </c>
      <c r="C24" t="s">
        <v>6570</v>
      </c>
      <c r="G24" s="7" t="s">
        <v>6365</v>
      </c>
      <c r="H24" s="7" t="s">
        <v>2759</v>
      </c>
      <c r="I24" s="7"/>
    </row>
    <row r="25" spans="2:9" x14ac:dyDescent="0.25">
      <c r="B25" s="12" t="s">
        <v>6592</v>
      </c>
      <c r="C25" t="s">
        <v>6571</v>
      </c>
      <c r="G25" s="7" t="s">
        <v>6371</v>
      </c>
      <c r="H25" s="7" t="s">
        <v>6372</v>
      </c>
      <c r="I25" s="7" t="s">
        <v>6101</v>
      </c>
    </row>
    <row r="26" spans="2:9" x14ac:dyDescent="0.25">
      <c r="C26" t="s">
        <v>6572</v>
      </c>
      <c r="G26" s="7" t="s">
        <v>6381</v>
      </c>
      <c r="H26" s="7"/>
      <c r="I26" s="7"/>
    </row>
    <row r="27" spans="2:9" x14ac:dyDescent="0.25">
      <c r="G27" s="7" t="s">
        <v>6687</v>
      </c>
      <c r="H27" s="7" t="s">
        <v>6686</v>
      </c>
      <c r="I27" s="7" t="s">
        <v>6371</v>
      </c>
    </row>
    <row r="28" spans="2:9" x14ac:dyDescent="0.25">
      <c r="G28" s="7" t="s">
        <v>6379</v>
      </c>
      <c r="H28" s="7" t="s">
        <v>6380</v>
      </c>
      <c r="I28" s="7"/>
    </row>
    <row r="29" spans="2:9" x14ac:dyDescent="0.25">
      <c r="G29" s="7" t="s">
        <v>6378</v>
      </c>
      <c r="H29" s="7"/>
      <c r="I29" s="7"/>
    </row>
    <row r="30" spans="2:9" x14ac:dyDescent="0.25">
      <c r="G30" s="7" t="s">
        <v>6361</v>
      </c>
      <c r="H30" s="7" t="s">
        <v>6360</v>
      </c>
      <c r="I30" s="7"/>
    </row>
    <row r="31" spans="2:9" x14ac:dyDescent="0.25">
      <c r="G31" s="7" t="s">
        <v>6365</v>
      </c>
      <c r="H31" s="7" t="s">
        <v>2759</v>
      </c>
      <c r="I31" s="7"/>
    </row>
    <row r="32" spans="2:9" x14ac:dyDescent="0.25">
      <c r="G32" s="7" t="s">
        <v>6640</v>
      </c>
      <c r="H32" s="7" t="s">
        <v>6640</v>
      </c>
      <c r="I32" s="7" t="s">
        <v>6640</v>
      </c>
    </row>
    <row r="33" spans="7:9" x14ac:dyDescent="0.25">
      <c r="G33" s="7" t="s">
        <v>6358</v>
      </c>
      <c r="H33" s="7" t="s">
        <v>6360</v>
      </c>
      <c r="I33" s="7"/>
    </row>
    <row r="34" spans="7:9" x14ac:dyDescent="0.25">
      <c r="G34" s="7" t="s">
        <v>6382</v>
      </c>
      <c r="H34" s="7"/>
      <c r="I34" s="7"/>
    </row>
    <row r="35" spans="7:9" x14ac:dyDescent="0.25">
      <c r="G35" s="7" t="s">
        <v>6377</v>
      </c>
      <c r="H35" s="7"/>
      <c r="I35" s="7"/>
    </row>
    <row r="36" spans="7:9" x14ac:dyDescent="0.25">
      <c r="G36" s="7" t="s">
        <v>6687</v>
      </c>
      <c r="H36" s="7"/>
      <c r="I36" s="7"/>
    </row>
    <row r="37" spans="7:9" x14ac:dyDescent="0.25">
      <c r="G37" s="15" t="s">
        <v>6361</v>
      </c>
      <c r="H37" s="15" t="s">
        <v>3969</v>
      </c>
      <c r="I37" s="15" t="s">
        <v>3969</v>
      </c>
    </row>
    <row r="38" spans="7:9" x14ac:dyDescent="0.25">
      <c r="G38" s="7" t="s">
        <v>6358</v>
      </c>
      <c r="H38" s="7" t="s">
        <v>6359</v>
      </c>
      <c r="I38" s="7" t="s">
        <v>6421</v>
      </c>
    </row>
    <row r="39" spans="7:9" x14ac:dyDescent="0.25">
      <c r="G39" s="7" t="s">
        <v>6644</v>
      </c>
      <c r="H39" s="7"/>
      <c r="I39" s="7"/>
    </row>
    <row r="40" spans="7:9" x14ac:dyDescent="0.25">
      <c r="G40" s="7" t="s">
        <v>6358</v>
      </c>
      <c r="H40" s="7" t="s">
        <v>6359</v>
      </c>
      <c r="I40" s="7"/>
    </row>
    <row r="41" spans="7:9" x14ac:dyDescent="0.25">
      <c r="G41" s="7" t="s">
        <v>6361</v>
      </c>
      <c r="H41" s="7" t="s">
        <v>6384</v>
      </c>
      <c r="I41" s="7"/>
    </row>
    <row r="42" spans="7:9" x14ac:dyDescent="0.25">
      <c r="G42" s="7" t="s">
        <v>6365</v>
      </c>
      <c r="H42" s="7" t="s">
        <v>2759</v>
      </c>
      <c r="I42" s="7"/>
    </row>
    <row r="43" spans="7:9" x14ac:dyDescent="0.25">
      <c r="G43" s="7" t="s">
        <v>6371</v>
      </c>
      <c r="H43" s="7" t="s">
        <v>6388</v>
      </c>
      <c r="I43" s="7"/>
    </row>
    <row r="44" spans="7:9" x14ac:dyDescent="0.25">
      <c r="G44" s="7" t="s">
        <v>6358</v>
      </c>
      <c r="H44" s="7" t="s">
        <v>6359</v>
      </c>
      <c r="I44" s="7" t="s">
        <v>3970</v>
      </c>
    </row>
    <row r="45" spans="7:9" x14ac:dyDescent="0.25">
      <c r="G45" s="7" t="s">
        <v>6687</v>
      </c>
      <c r="H45" s="7"/>
      <c r="I45" s="7"/>
    </row>
    <row r="46" spans="7:9" x14ac:dyDescent="0.25">
      <c r="G46" s="7" t="s">
        <v>6687</v>
      </c>
      <c r="H46" s="7" t="s">
        <v>6688</v>
      </c>
      <c r="I46" s="7"/>
    </row>
    <row r="47" spans="7:9" x14ac:dyDescent="0.25">
      <c r="G47" s="7" t="s">
        <v>6387</v>
      </c>
      <c r="H47" s="7" t="s">
        <v>6367</v>
      </c>
      <c r="I47" s="7"/>
    </row>
    <row r="48" spans="7:9" x14ac:dyDescent="0.25">
      <c r="G48" s="7" t="s">
        <v>6361</v>
      </c>
      <c r="H48" s="7" t="s">
        <v>3967</v>
      </c>
      <c r="I48" s="7" t="s">
        <v>3971</v>
      </c>
    </row>
    <row r="49" spans="7:9" x14ac:dyDescent="0.25">
      <c r="G49" s="7"/>
      <c r="H49" s="7"/>
      <c r="I49" s="7"/>
    </row>
    <row r="50" spans="7:9" x14ac:dyDescent="0.25">
      <c r="G50" s="7" t="s">
        <v>6370</v>
      </c>
      <c r="H50" s="7"/>
      <c r="I50" s="7"/>
    </row>
    <row r="51" spans="7:9" x14ac:dyDescent="0.25">
      <c r="G51" s="7" t="s">
        <v>6358</v>
      </c>
      <c r="H51" s="7" t="s">
        <v>6360</v>
      </c>
      <c r="I51" s="7"/>
    </row>
    <row r="52" spans="7:9" x14ac:dyDescent="0.25">
      <c r="G52" s="7" t="s">
        <v>6703</v>
      </c>
      <c r="H52" s="7" t="s">
        <v>6376</v>
      </c>
      <c r="I52" s="7"/>
    </row>
    <row r="53" spans="7:9" x14ac:dyDescent="0.25">
      <c r="G53" s="7" t="s">
        <v>6365</v>
      </c>
      <c r="H53" s="7" t="s">
        <v>2759</v>
      </c>
      <c r="I53" s="7"/>
    </row>
    <row r="54" spans="7:9" x14ac:dyDescent="0.25">
      <c r="G54" s="7" t="s">
        <v>6377</v>
      </c>
      <c r="H54" s="7"/>
      <c r="I54" s="7"/>
    </row>
    <row r="55" spans="7:9" x14ac:dyDescent="0.25">
      <c r="G55" s="7" t="s">
        <v>6361</v>
      </c>
      <c r="H55" s="7" t="s">
        <v>3967</v>
      </c>
      <c r="I55" s="7" t="s">
        <v>3967</v>
      </c>
    </row>
    <row r="56" spans="7:9" x14ac:dyDescent="0.25">
      <c r="G56" s="7" t="s">
        <v>6703</v>
      </c>
      <c r="H56" s="7" t="s">
        <v>6374</v>
      </c>
      <c r="I56" s="7"/>
    </row>
    <row r="57" spans="7:9" x14ac:dyDescent="0.25">
      <c r="G57" s="7" t="s">
        <v>6358</v>
      </c>
      <c r="H57" s="7" t="s">
        <v>6360</v>
      </c>
      <c r="I57" s="7"/>
    </row>
    <row r="58" spans="7:9" x14ac:dyDescent="0.25">
      <c r="G58" s="7" t="s">
        <v>6382</v>
      </c>
      <c r="H58" s="7"/>
      <c r="I58" s="7"/>
    </row>
    <row r="59" spans="7:9" x14ac:dyDescent="0.25">
      <c r="G59" s="7" t="s">
        <v>6361</v>
      </c>
      <c r="H59" s="7" t="s">
        <v>6360</v>
      </c>
      <c r="I59" s="7"/>
    </row>
    <row r="60" spans="7:9" x14ac:dyDescent="0.25">
      <c r="G60" s="7" t="s">
        <v>6361</v>
      </c>
      <c r="H60" s="7" t="s">
        <v>3967</v>
      </c>
      <c r="I60" s="7"/>
    </row>
    <row r="61" spans="7:9" x14ac:dyDescent="0.25">
      <c r="G61" s="7" t="s">
        <v>6381</v>
      </c>
      <c r="H61" s="7"/>
      <c r="I61" s="7"/>
    </row>
    <row r="62" spans="7:9" x14ac:dyDescent="0.25">
      <c r="G62" s="7" t="s">
        <v>6370</v>
      </c>
      <c r="H62" s="7"/>
      <c r="I62" s="7" t="s">
        <v>3967</v>
      </c>
    </row>
    <row r="63" spans="7:9" x14ac:dyDescent="0.25">
      <c r="G63" s="7" t="s">
        <v>6361</v>
      </c>
      <c r="H63" s="7" t="s">
        <v>3967</v>
      </c>
      <c r="I63" s="7" t="s">
        <v>3968</v>
      </c>
    </row>
    <row r="64" spans="7:9" x14ac:dyDescent="0.25">
      <c r="G64" s="7" t="s">
        <v>6382</v>
      </c>
      <c r="H64" s="7"/>
      <c r="I64" s="7"/>
    </row>
    <row r="65" spans="7:9" x14ac:dyDescent="0.25">
      <c r="G65" s="7" t="s">
        <v>6361</v>
      </c>
      <c r="H65" s="7" t="s">
        <v>6363</v>
      </c>
      <c r="I65" s="7" t="s">
        <v>3967</v>
      </c>
    </row>
    <row r="66" spans="7:9" x14ac:dyDescent="0.25">
      <c r="G66" s="7" t="s">
        <v>6358</v>
      </c>
      <c r="H66" s="7" t="s">
        <v>6386</v>
      </c>
      <c r="I66" s="7"/>
    </row>
    <row r="67" spans="7:9" x14ac:dyDescent="0.25">
      <c r="G67" s="7" t="s">
        <v>6358</v>
      </c>
      <c r="H67" s="7" t="s">
        <v>6386</v>
      </c>
      <c r="I67" s="7" t="s">
        <v>3971</v>
      </c>
    </row>
    <row r="68" spans="7:9" x14ac:dyDescent="0.25">
      <c r="G68" s="15" t="s">
        <v>6361</v>
      </c>
      <c r="H68" s="15" t="s">
        <v>3969</v>
      </c>
      <c r="I68" s="15" t="s">
        <v>3969</v>
      </c>
    </row>
    <row r="69" spans="7:9" x14ac:dyDescent="0.25">
      <c r="G69" s="7" t="s">
        <v>6361</v>
      </c>
      <c r="H69" s="7" t="s">
        <v>6360</v>
      </c>
      <c r="I69" s="7"/>
    </row>
    <row r="70" spans="7:9" x14ac:dyDescent="0.25">
      <c r="G70" s="7" t="s">
        <v>6370</v>
      </c>
      <c r="H70" s="7"/>
      <c r="I70" s="7"/>
    </row>
    <row r="71" spans="7:9" x14ac:dyDescent="0.25">
      <c r="G71" s="7" t="s">
        <v>6361</v>
      </c>
      <c r="H71" s="7" t="s">
        <v>6384</v>
      </c>
      <c r="I71" s="7"/>
    </row>
    <row r="72" spans="7:9" x14ac:dyDescent="0.25">
      <c r="G72" s="7" t="s">
        <v>6382</v>
      </c>
      <c r="H72" s="7"/>
      <c r="I72" s="7"/>
    </row>
    <row r="73" spans="7:9" x14ac:dyDescent="0.25">
      <c r="G73" s="7" t="s">
        <v>6361</v>
      </c>
      <c r="H73" s="7" t="s">
        <v>6360</v>
      </c>
      <c r="I73" s="7" t="s">
        <v>3970</v>
      </c>
    </row>
    <row r="74" spans="7:9" x14ac:dyDescent="0.25">
      <c r="G74" s="7" t="s">
        <v>6365</v>
      </c>
      <c r="H74" s="7" t="s">
        <v>6366</v>
      </c>
      <c r="I74" s="7" t="s">
        <v>3971</v>
      </c>
    </row>
    <row r="75" spans="7:9" x14ac:dyDescent="0.25">
      <c r="G75" s="7" t="s">
        <v>6358</v>
      </c>
      <c r="H75" s="7" t="s">
        <v>6360</v>
      </c>
      <c r="I75" s="7"/>
    </row>
    <row r="76" spans="7:9" x14ac:dyDescent="0.25">
      <c r="G76" s="7"/>
      <c r="H76" s="7"/>
      <c r="I76" s="7"/>
    </row>
    <row r="77" spans="7:9" x14ac:dyDescent="0.25">
      <c r="G77" s="7" t="s">
        <v>6387</v>
      </c>
      <c r="H77" s="7"/>
      <c r="I77" s="7"/>
    </row>
    <row r="78" spans="7:9" x14ac:dyDescent="0.25">
      <c r="G78" s="7" t="s">
        <v>6382</v>
      </c>
      <c r="H78" s="7"/>
      <c r="I78" s="7"/>
    </row>
    <row r="79" spans="7:9" x14ac:dyDescent="0.25">
      <c r="G79" s="7" t="s">
        <v>6390</v>
      </c>
      <c r="H79" s="7" t="s">
        <v>6380</v>
      </c>
      <c r="I79" s="7"/>
    </row>
    <row r="80" spans="7:9" x14ac:dyDescent="0.25">
      <c r="G80" s="7" t="s">
        <v>6385</v>
      </c>
      <c r="H80" s="7"/>
      <c r="I80" s="7"/>
    </row>
    <row r="81" spans="7:9" x14ac:dyDescent="0.25">
      <c r="G81" s="7" t="s">
        <v>6365</v>
      </c>
      <c r="H81" s="7" t="s">
        <v>2759</v>
      </c>
      <c r="I81" s="7"/>
    </row>
    <row r="82" spans="7:9" x14ac:dyDescent="0.25">
      <c r="G82" s="7" t="s">
        <v>6645</v>
      </c>
      <c r="H82" s="7" t="s">
        <v>6646</v>
      </c>
      <c r="I82" s="7"/>
    </row>
    <row r="83" spans="7:9" x14ac:dyDescent="0.25">
      <c r="G83" s="7" t="s">
        <v>6703</v>
      </c>
      <c r="H83" s="7" t="s">
        <v>6376</v>
      </c>
      <c r="I83" s="7"/>
    </row>
    <row r="84" spans="7:9" x14ac:dyDescent="0.25">
      <c r="G84" s="7" t="s">
        <v>6381</v>
      </c>
      <c r="H84" s="7"/>
      <c r="I84" s="7"/>
    </row>
    <row r="85" spans="7:9" x14ac:dyDescent="0.25">
      <c r="G85" s="7" t="s">
        <v>6653</v>
      </c>
      <c r="H85" s="7" t="s">
        <v>6364</v>
      </c>
      <c r="I85" s="7" t="s">
        <v>1214</v>
      </c>
    </row>
    <row r="86" spans="7:9" x14ac:dyDescent="0.25">
      <c r="G86" s="7" t="s">
        <v>6361</v>
      </c>
      <c r="H86" s="7" t="s">
        <v>6363</v>
      </c>
      <c r="I86" s="7" t="s">
        <v>3967</v>
      </c>
    </row>
    <row r="87" spans="7:9" x14ac:dyDescent="0.25">
      <c r="G87" s="7" t="s">
        <v>6365</v>
      </c>
      <c r="H87" s="7" t="s">
        <v>2759</v>
      </c>
      <c r="I87" s="7"/>
    </row>
    <row r="88" spans="7:9" x14ac:dyDescent="0.25">
      <c r="G88" s="7" t="s">
        <v>6382</v>
      </c>
      <c r="H88" s="7"/>
      <c r="I88" s="7"/>
    </row>
    <row r="89" spans="7:9" x14ac:dyDescent="0.25">
      <c r="G89" s="7" t="s">
        <v>6382</v>
      </c>
      <c r="H89" s="7"/>
      <c r="I89" s="7"/>
    </row>
    <row r="90" spans="7:9" x14ac:dyDescent="0.25">
      <c r="G90" s="7" t="s">
        <v>6358</v>
      </c>
      <c r="H90" s="7" t="s">
        <v>6386</v>
      </c>
      <c r="I90" s="7"/>
    </row>
    <row r="91" spans="7:9" x14ac:dyDescent="0.25">
      <c r="G91" s="7" t="s">
        <v>6703</v>
      </c>
      <c r="H91" s="7" t="s">
        <v>6375</v>
      </c>
      <c r="I91" s="7"/>
    </row>
    <row r="92" spans="7:9" x14ac:dyDescent="0.25">
      <c r="G92" s="15" t="s">
        <v>6361</v>
      </c>
      <c r="H92" s="15" t="s">
        <v>6362</v>
      </c>
      <c r="I92" s="15" t="s">
        <v>1403</v>
      </c>
    </row>
    <row r="93" spans="7:9" x14ac:dyDescent="0.25">
      <c r="G93" s="7" t="s">
        <v>6652</v>
      </c>
      <c r="H93" s="7" t="s">
        <v>6360</v>
      </c>
      <c r="I93" s="7" t="s">
        <v>3970</v>
      </c>
    </row>
    <row r="94" spans="7:9" x14ac:dyDescent="0.25">
      <c r="G94" s="7" t="s">
        <v>6387</v>
      </c>
      <c r="H94" s="7"/>
      <c r="I94" s="7"/>
    </row>
    <row r="95" spans="7:9" x14ac:dyDescent="0.25">
      <c r="G95" s="7" t="s">
        <v>6382</v>
      </c>
      <c r="H95" s="7"/>
      <c r="I95" s="7"/>
    </row>
    <row r="96" spans="7:9" x14ac:dyDescent="0.25">
      <c r="G96" s="7" t="s">
        <v>6365</v>
      </c>
      <c r="H96" s="7" t="s">
        <v>6366</v>
      </c>
      <c r="I96" s="7" t="s">
        <v>3971</v>
      </c>
    </row>
    <row r="97" spans="7:9" x14ac:dyDescent="0.25">
      <c r="G97" s="7" t="s">
        <v>6385</v>
      </c>
      <c r="H97" s="7"/>
      <c r="I97" s="7"/>
    </row>
    <row r="98" spans="7:9" x14ac:dyDescent="0.25">
      <c r="G98" s="7" t="s">
        <v>6651</v>
      </c>
      <c r="H98" s="7" t="s">
        <v>6359</v>
      </c>
      <c r="I98" s="7" t="s">
        <v>6421</v>
      </c>
    </row>
    <row r="99" spans="7:9" x14ac:dyDescent="0.25">
      <c r="G99" s="15" t="s">
        <v>6361</v>
      </c>
      <c r="H99" s="15" t="s">
        <v>3967</v>
      </c>
      <c r="I99" s="15" t="s">
        <v>3967</v>
      </c>
    </row>
    <row r="100" spans="7:9" x14ac:dyDescent="0.25">
      <c r="G100" s="7" t="s">
        <v>6365</v>
      </c>
      <c r="H100" s="7" t="s">
        <v>2759</v>
      </c>
      <c r="I100" s="7"/>
    </row>
    <row r="101" spans="7:9" x14ac:dyDescent="0.25">
      <c r="G101" s="7" t="s">
        <v>6370</v>
      </c>
      <c r="H101" s="7"/>
      <c r="I101" s="7"/>
    </row>
    <row r="102" spans="7:9" x14ac:dyDescent="0.25">
      <c r="G102" s="7" t="s">
        <v>6387</v>
      </c>
      <c r="H102" s="7"/>
      <c r="I102" s="7"/>
    </row>
    <row r="103" spans="7:9" x14ac:dyDescent="0.25">
      <c r="G103" s="7" t="s">
        <v>6365</v>
      </c>
      <c r="H103" s="7" t="s">
        <v>6366</v>
      </c>
      <c r="I103" s="7" t="s">
        <v>6436</v>
      </c>
    </row>
    <row r="104" spans="7:9" x14ac:dyDescent="0.25">
      <c r="G104" s="7" t="s">
        <v>6385</v>
      </c>
      <c r="H104" s="7"/>
      <c r="I104" s="7"/>
    </row>
    <row r="105" spans="7:9" x14ac:dyDescent="0.25">
      <c r="G105" s="7" t="s">
        <v>6687</v>
      </c>
      <c r="H105" s="7" t="s">
        <v>6688</v>
      </c>
      <c r="I105" s="7"/>
    </row>
    <row r="106" spans="7:9" x14ac:dyDescent="0.25">
      <c r="G106" s="7"/>
      <c r="H106" s="7"/>
      <c r="I106" s="7" t="s">
        <v>6436</v>
      </c>
    </row>
    <row r="107" spans="7:9" x14ac:dyDescent="0.25">
      <c r="G107" s="7" t="s">
        <v>6358</v>
      </c>
      <c r="H107" s="7" t="s">
        <v>6360</v>
      </c>
      <c r="I107" s="7" t="s">
        <v>3970</v>
      </c>
    </row>
    <row r="108" spans="7:9" x14ac:dyDescent="0.25">
      <c r="G108" s="7" t="s">
        <v>6361</v>
      </c>
      <c r="H108" s="7" t="s">
        <v>6362</v>
      </c>
      <c r="I108" s="7"/>
    </row>
    <row r="109" spans="7:9" x14ac:dyDescent="0.25">
      <c r="G109" s="7" t="s">
        <v>6387</v>
      </c>
      <c r="H109" s="7"/>
      <c r="I109" s="7"/>
    </row>
    <row r="110" spans="7:9" x14ac:dyDescent="0.25">
      <c r="G110" s="7" t="s">
        <v>6381</v>
      </c>
      <c r="H110" s="7"/>
      <c r="I110" s="7"/>
    </row>
    <row r="111" spans="7:9" x14ac:dyDescent="0.25">
      <c r="G111" s="7" t="s">
        <v>6361</v>
      </c>
      <c r="H111" s="7" t="s">
        <v>3967</v>
      </c>
      <c r="I111" s="7" t="s">
        <v>3967</v>
      </c>
    </row>
    <row r="112" spans="7:9" x14ac:dyDescent="0.25">
      <c r="G112" s="7" t="s">
        <v>6361</v>
      </c>
      <c r="H112" s="7" t="s">
        <v>3967</v>
      </c>
      <c r="I112" s="7" t="s">
        <v>3967</v>
      </c>
    </row>
    <row r="113" spans="7:9" x14ac:dyDescent="0.25">
      <c r="G113" s="7" t="s">
        <v>6387</v>
      </c>
      <c r="H113" s="7"/>
      <c r="I113" s="7"/>
    </row>
    <row r="114" spans="7:9" x14ac:dyDescent="0.25">
      <c r="G114" s="7" t="s">
        <v>6703</v>
      </c>
      <c r="H114" s="7" t="s">
        <v>6373</v>
      </c>
      <c r="I114" s="7"/>
    </row>
    <row r="115" spans="7:9" x14ac:dyDescent="0.25">
      <c r="G115" s="7" t="s">
        <v>6378</v>
      </c>
      <c r="H115" s="7"/>
      <c r="I115" s="7"/>
    </row>
    <row r="116" spans="7:9" x14ac:dyDescent="0.25">
      <c r="G116" s="7" t="s">
        <v>6687</v>
      </c>
      <c r="H116" s="7" t="s">
        <v>6686</v>
      </c>
      <c r="I116" s="7"/>
    </row>
    <row r="117" spans="7:9" x14ac:dyDescent="0.25">
      <c r="G117" s="7" t="s">
        <v>6365</v>
      </c>
      <c r="H117" s="7" t="s">
        <v>6366</v>
      </c>
      <c r="I117" s="7" t="s">
        <v>3971</v>
      </c>
    </row>
    <row r="118" spans="7:9" x14ac:dyDescent="0.25">
      <c r="G118" s="7" t="s">
        <v>6358</v>
      </c>
      <c r="H118" s="7" t="s">
        <v>6386</v>
      </c>
      <c r="I118" s="7"/>
    </row>
    <row r="119" spans="7:9" x14ac:dyDescent="0.25">
      <c r="G119" s="7" t="s">
        <v>6358</v>
      </c>
      <c r="H119" s="7" t="s">
        <v>6359</v>
      </c>
      <c r="I119" s="7" t="s">
        <v>6421</v>
      </c>
    </row>
    <row r="120" spans="7:9" x14ac:dyDescent="0.25">
      <c r="G120" s="7" t="s">
        <v>6361</v>
      </c>
      <c r="H120" s="7" t="s">
        <v>3969</v>
      </c>
      <c r="I120" s="7" t="s">
        <v>3969</v>
      </c>
    </row>
    <row r="121" spans="7:9" x14ac:dyDescent="0.25">
      <c r="G121" s="7" t="s">
        <v>6361</v>
      </c>
      <c r="H121" s="7" t="s">
        <v>6360</v>
      </c>
      <c r="I121" s="7"/>
    </row>
    <row r="122" spans="7:9" x14ac:dyDescent="0.25">
      <c r="G122" s="7" t="s">
        <v>6361</v>
      </c>
      <c r="H122" s="7" t="s">
        <v>6362</v>
      </c>
      <c r="I122" s="7"/>
    </row>
    <row r="123" spans="7:9" x14ac:dyDescent="0.25">
      <c r="G123" s="15" t="s">
        <v>6361</v>
      </c>
      <c r="H123" s="15" t="s">
        <v>3967</v>
      </c>
      <c r="I123" s="15" t="s">
        <v>3967</v>
      </c>
    </row>
    <row r="124" spans="7:9" x14ac:dyDescent="0.25">
      <c r="G124" s="7" t="s">
        <v>6358</v>
      </c>
      <c r="H124" s="7" t="s">
        <v>6360</v>
      </c>
      <c r="I124" s="7"/>
    </row>
    <row r="125" spans="7:9" x14ac:dyDescent="0.25">
      <c r="G125" s="7" t="s">
        <v>6385</v>
      </c>
      <c r="H125" s="7"/>
      <c r="I125" s="7"/>
    </row>
    <row r="126" spans="7:9" x14ac:dyDescent="0.25">
      <c r="G126" s="7" t="s">
        <v>6358</v>
      </c>
      <c r="H126" s="7" t="s">
        <v>6386</v>
      </c>
      <c r="I126" s="7"/>
    </row>
    <row r="127" spans="7:9" x14ac:dyDescent="0.25">
      <c r="G127" s="7" t="s">
        <v>6371</v>
      </c>
      <c r="H127" s="7" t="s">
        <v>6372</v>
      </c>
      <c r="I127" s="7"/>
    </row>
    <row r="128" spans="7:9" x14ac:dyDescent="0.25">
      <c r="G128" s="15" t="s">
        <v>6361</v>
      </c>
      <c r="H128" s="15" t="s">
        <v>3967</v>
      </c>
      <c r="I128" s="15" t="s">
        <v>3967</v>
      </c>
    </row>
    <row r="129" spans="7:9" x14ac:dyDescent="0.25">
      <c r="G129" s="15" t="s">
        <v>6361</v>
      </c>
      <c r="H129" s="15" t="s">
        <v>3967</v>
      </c>
      <c r="I129" s="15" t="s">
        <v>3967</v>
      </c>
    </row>
    <row r="130" spans="7:9" x14ac:dyDescent="0.25">
      <c r="G130" s="15"/>
      <c r="H130" s="15"/>
      <c r="I130" s="15" t="s">
        <v>3971</v>
      </c>
    </row>
    <row r="131" spans="7:9" x14ac:dyDescent="0.25">
      <c r="G131" s="7" t="s">
        <v>6361</v>
      </c>
      <c r="H131" s="7" t="s">
        <v>6362</v>
      </c>
      <c r="I131" s="7"/>
    </row>
    <row r="132" spans="7:9" x14ac:dyDescent="0.25">
      <c r="G132" s="7" t="s">
        <v>6379</v>
      </c>
      <c r="H132" s="7" t="s">
        <v>6380</v>
      </c>
      <c r="I132" s="7"/>
    </row>
    <row r="133" spans="7:9" x14ac:dyDescent="0.25">
      <c r="G133" s="7" t="s">
        <v>6361</v>
      </c>
      <c r="H133" s="7" t="s">
        <v>6384</v>
      </c>
      <c r="I133" s="7"/>
    </row>
    <row r="134" spans="7:9" x14ac:dyDescent="0.25">
      <c r="G134" s="7" t="s">
        <v>6358</v>
      </c>
      <c r="H134" s="7" t="s">
        <v>6386</v>
      </c>
      <c r="I134" s="7"/>
    </row>
    <row r="135" spans="7:9" x14ac:dyDescent="0.25">
      <c r="G135" s="7" t="s">
        <v>6358</v>
      </c>
      <c r="H135" s="7" t="s">
        <v>6383</v>
      </c>
      <c r="I135" s="7"/>
    </row>
    <row r="136" spans="7:9" x14ac:dyDescent="0.25">
      <c r="G136" s="7" t="s">
        <v>6385</v>
      </c>
      <c r="H136" s="7"/>
      <c r="I136" s="7"/>
    </row>
    <row r="137" spans="7:9" x14ac:dyDescent="0.25">
      <c r="G137" s="7" t="s">
        <v>6703</v>
      </c>
      <c r="H137" s="7" t="s">
        <v>6376</v>
      </c>
      <c r="I137" s="7"/>
    </row>
    <row r="138" spans="7:9" x14ac:dyDescent="0.25">
      <c r="G138" s="7" t="s">
        <v>6361</v>
      </c>
      <c r="H138" s="7" t="s">
        <v>6384</v>
      </c>
      <c r="I138" s="7"/>
    </row>
    <row r="139" spans="7:9" x14ac:dyDescent="0.25">
      <c r="G139" s="7" t="s">
        <v>6358</v>
      </c>
      <c r="H139" s="7" t="s">
        <v>6386</v>
      </c>
      <c r="I139" s="7"/>
    </row>
    <row r="140" spans="7:9" x14ac:dyDescent="0.25">
      <c r="G140" s="7" t="s">
        <v>6369</v>
      </c>
      <c r="H140" s="7"/>
      <c r="I140" s="7"/>
    </row>
    <row r="141" spans="7:9" x14ac:dyDescent="0.25">
      <c r="G141" s="7" t="s">
        <v>6365</v>
      </c>
      <c r="H141" s="7" t="s">
        <v>6368</v>
      </c>
      <c r="I141" s="7"/>
    </row>
    <row r="142" spans="7:9" x14ac:dyDescent="0.25">
      <c r="G142" s="7" t="s">
        <v>6358</v>
      </c>
      <c r="H142" s="7"/>
      <c r="I142" s="7"/>
    </row>
    <row r="143" spans="7:9" x14ac:dyDescent="0.25">
      <c r="G143" s="7" t="s">
        <v>6371</v>
      </c>
      <c r="H143" s="7" t="s">
        <v>6372</v>
      </c>
      <c r="I143" s="7"/>
    </row>
    <row r="144" spans="7:9" x14ac:dyDescent="0.25">
      <c r="G144" s="7" t="s">
        <v>6361</v>
      </c>
      <c r="H144" s="7" t="s">
        <v>3967</v>
      </c>
      <c r="I144" s="7"/>
    </row>
    <row r="145" spans="7:9" x14ac:dyDescent="0.25">
      <c r="G145" s="7" t="s">
        <v>6377</v>
      </c>
      <c r="H145" s="7"/>
      <c r="I145" s="7"/>
    </row>
    <row r="146" spans="7:9" x14ac:dyDescent="0.25">
      <c r="G146" s="7" t="s">
        <v>6703</v>
      </c>
      <c r="H146" s="7" t="s">
        <v>6376</v>
      </c>
      <c r="I146" s="7"/>
    </row>
    <row r="147" spans="7:9" x14ac:dyDescent="0.25">
      <c r="G147" s="7" t="s">
        <v>6358</v>
      </c>
      <c r="H147" s="7" t="s">
        <v>6641</v>
      </c>
      <c r="I147" s="7"/>
    </row>
    <row r="148" spans="7:9" x14ac:dyDescent="0.25">
      <c r="G148" s="7" t="s">
        <v>6361</v>
      </c>
      <c r="H148" s="7" t="s">
        <v>3967</v>
      </c>
      <c r="I148" s="7" t="s">
        <v>3967</v>
      </c>
    </row>
    <row r="149" spans="7:9" x14ac:dyDescent="0.25">
      <c r="G149" s="7" t="s">
        <v>6377</v>
      </c>
      <c r="H149" s="7" t="s">
        <v>6380</v>
      </c>
      <c r="I149" s="7"/>
    </row>
    <row r="150" spans="7:9" x14ac:dyDescent="0.25">
      <c r="G150" s="7" t="s">
        <v>6361</v>
      </c>
      <c r="H150" s="7" t="s">
        <v>3967</v>
      </c>
      <c r="I150" s="7" t="s">
        <v>3967</v>
      </c>
    </row>
    <row r="151" spans="7:9" x14ac:dyDescent="0.25">
      <c r="G151" s="7" t="s">
        <v>6361</v>
      </c>
      <c r="H151" s="7" t="s">
        <v>6362</v>
      </c>
      <c r="I151" s="7" t="s">
        <v>1403</v>
      </c>
    </row>
    <row r="152" spans="7:9" x14ac:dyDescent="0.25">
      <c r="G152" s="7" t="s">
        <v>6358</v>
      </c>
      <c r="H152" s="7" t="s">
        <v>6359</v>
      </c>
      <c r="I152" s="7"/>
    </row>
    <row r="153" spans="7:9" x14ac:dyDescent="0.25">
      <c r="G153" s="28" t="s">
        <v>6361</v>
      </c>
      <c r="H153" s="28" t="s">
        <v>6363</v>
      </c>
      <c r="I153" s="28"/>
    </row>
    <row r="154" spans="7:9" x14ac:dyDescent="0.25">
      <c r="G154" s="7" t="s">
        <v>6361</v>
      </c>
      <c r="H154" s="7" t="s">
        <v>3967</v>
      </c>
      <c r="I154" s="7"/>
    </row>
    <row r="155" spans="7:9" x14ac:dyDescent="0.25">
      <c r="G155" s="7" t="s">
        <v>6379</v>
      </c>
      <c r="H155" s="7" t="s">
        <v>6380</v>
      </c>
      <c r="I155" s="7"/>
    </row>
    <row r="156" spans="7:9" x14ac:dyDescent="0.25">
      <c r="G156" s="7" t="s">
        <v>6365</v>
      </c>
      <c r="H156" s="7" t="s">
        <v>2759</v>
      </c>
      <c r="I156" s="7"/>
    </row>
    <row r="157" spans="7:9" x14ac:dyDescent="0.25">
      <c r="G157" s="15" t="s">
        <v>6361</v>
      </c>
      <c r="H157" s="15" t="s">
        <v>3967</v>
      </c>
      <c r="I157" s="15" t="s">
        <v>3967</v>
      </c>
    </row>
    <row r="158" spans="7:9" x14ac:dyDescent="0.25">
      <c r="G158" s="7" t="s">
        <v>6703</v>
      </c>
      <c r="H158" s="7" t="s">
        <v>6375</v>
      </c>
      <c r="I158" s="7"/>
    </row>
    <row r="159" spans="7:9" x14ac:dyDescent="0.25">
      <c r="G159" s="7"/>
      <c r="H159" s="7"/>
      <c r="I159" s="7"/>
    </row>
    <row r="160" spans="7:9" x14ac:dyDescent="0.25">
      <c r="G160" s="7" t="s">
        <v>6361</v>
      </c>
      <c r="H160" s="7" t="s">
        <v>3967</v>
      </c>
      <c r="I160" s="7" t="s">
        <v>3967</v>
      </c>
    </row>
    <row r="161" spans="7:9" x14ac:dyDescent="0.25">
      <c r="G161" s="7" t="s">
        <v>6358</v>
      </c>
      <c r="H161" s="7" t="s">
        <v>6360</v>
      </c>
      <c r="I161" s="7"/>
    </row>
    <row r="162" spans="7:9" x14ac:dyDescent="0.25">
      <c r="G162" s="7" t="s">
        <v>6391</v>
      </c>
      <c r="H162" s="7"/>
      <c r="I162" s="7"/>
    </row>
    <row r="163" spans="7:9" x14ac:dyDescent="0.25">
      <c r="G163" s="7" t="s">
        <v>6371</v>
      </c>
      <c r="H163" s="7" t="s">
        <v>6372</v>
      </c>
      <c r="I163" s="7"/>
    </row>
    <row r="164" spans="7:9" x14ac:dyDescent="0.25">
      <c r="G164" s="7" t="s">
        <v>6377</v>
      </c>
      <c r="H164" s="7"/>
      <c r="I164" s="7"/>
    </row>
    <row r="165" spans="7:9" x14ac:dyDescent="0.25">
      <c r="G165" s="7" t="s">
        <v>6369</v>
      </c>
      <c r="H165" s="7"/>
      <c r="I165" s="7"/>
    </row>
    <row r="166" spans="7:9" x14ac:dyDescent="0.25">
      <c r="G166" s="7" t="s">
        <v>6361</v>
      </c>
      <c r="H166" s="7" t="s">
        <v>3967</v>
      </c>
      <c r="I166" s="7"/>
    </row>
    <row r="167" spans="7:9" x14ac:dyDescent="0.25">
      <c r="G167" s="7" t="s">
        <v>6361</v>
      </c>
      <c r="H167" s="7" t="s">
        <v>6363</v>
      </c>
      <c r="I167" s="7"/>
    </row>
    <row r="168" spans="7:9" x14ac:dyDescent="0.25">
      <c r="G168" s="7" t="s">
        <v>6361</v>
      </c>
      <c r="H168" s="7"/>
      <c r="I168" s="7"/>
    </row>
    <row r="169" spans="7:9" x14ac:dyDescent="0.25">
      <c r="G169" s="7" t="s">
        <v>6358</v>
      </c>
      <c r="H169" s="7" t="s">
        <v>6386</v>
      </c>
      <c r="I169" s="7"/>
    </row>
    <row r="170" spans="7:9" x14ac:dyDescent="0.25">
      <c r="G170" s="7" t="s">
        <v>6703</v>
      </c>
      <c r="H170" s="7" t="s">
        <v>6373</v>
      </c>
      <c r="I170" s="7"/>
    </row>
    <row r="171" spans="7:9" x14ac:dyDescent="0.25">
      <c r="G171" s="7" t="s">
        <v>6702</v>
      </c>
      <c r="H171" s="7"/>
      <c r="I171" s="7" t="s">
        <v>3971</v>
      </c>
    </row>
    <row r="172" spans="7:9" x14ac:dyDescent="0.25">
      <c r="G172" s="7" t="s">
        <v>6361</v>
      </c>
      <c r="H172" s="7" t="s">
        <v>3967</v>
      </c>
      <c r="I172" s="7" t="s">
        <v>3967</v>
      </c>
    </row>
    <row r="173" spans="7:9" x14ac:dyDescent="0.25">
      <c r="G173" s="7" t="s">
        <v>6358</v>
      </c>
      <c r="H173" s="7" t="s">
        <v>6383</v>
      </c>
      <c r="I173" s="7"/>
    </row>
    <row r="174" spans="7:9" x14ac:dyDescent="0.25">
      <c r="G174" s="7" t="s">
        <v>6385</v>
      </c>
      <c r="H174" s="7"/>
      <c r="I174" s="7"/>
    </row>
    <row r="175" spans="7:9" x14ac:dyDescent="0.25">
      <c r="G175" s="7" t="s">
        <v>6365</v>
      </c>
      <c r="H175" s="7" t="s">
        <v>2759</v>
      </c>
      <c r="I175" s="7"/>
    </row>
    <row r="176" spans="7:9" x14ac:dyDescent="0.25">
      <c r="G176" s="7" t="s">
        <v>6365</v>
      </c>
      <c r="H176" s="7" t="s">
        <v>6366</v>
      </c>
      <c r="I176" s="7" t="s">
        <v>6436</v>
      </c>
    </row>
    <row r="177" spans="7:9" x14ac:dyDescent="0.25">
      <c r="G177" s="7" t="s">
        <v>6361</v>
      </c>
      <c r="H177" s="7" t="s">
        <v>3967</v>
      </c>
      <c r="I177" s="7"/>
    </row>
    <row r="178" spans="7:9" x14ac:dyDescent="0.25">
      <c r="G178" s="7" t="s">
        <v>6361</v>
      </c>
      <c r="H178" s="7" t="s">
        <v>6363</v>
      </c>
      <c r="I178" s="7"/>
    </row>
    <row r="179" spans="7:9" x14ac:dyDescent="0.25">
      <c r="G179" s="7" t="s">
        <v>6365</v>
      </c>
      <c r="H179" s="7" t="s">
        <v>6366</v>
      </c>
      <c r="I179" s="7"/>
    </row>
    <row r="180" spans="7:9" x14ac:dyDescent="0.25">
      <c r="G180" s="7" t="s">
        <v>6385</v>
      </c>
      <c r="H180" s="7"/>
      <c r="I180" s="7"/>
    </row>
    <row r="181" spans="7:9" x14ac:dyDescent="0.25">
      <c r="G181" s="7" t="s">
        <v>6377</v>
      </c>
      <c r="H181" s="7"/>
      <c r="I181" s="7"/>
    </row>
    <row r="182" spans="7:9" x14ac:dyDescent="0.25">
      <c r="G182" s="7" t="s">
        <v>6377</v>
      </c>
      <c r="H182" s="7"/>
      <c r="I182" s="7"/>
    </row>
    <row r="183" spans="7:9" x14ac:dyDescent="0.25">
      <c r="G183" s="7" t="s">
        <v>6358</v>
      </c>
      <c r="H183" s="7" t="s">
        <v>6383</v>
      </c>
      <c r="I183" s="7"/>
    </row>
    <row r="184" spans="7:9" x14ac:dyDescent="0.25">
      <c r="G184" s="7" t="s">
        <v>6358</v>
      </c>
      <c r="H184" s="7" t="s">
        <v>6386</v>
      </c>
      <c r="I184" s="7"/>
    </row>
    <row r="185" spans="7:9" x14ac:dyDescent="0.25">
      <c r="G185" s="7" t="s">
        <v>6378</v>
      </c>
      <c r="H185" s="7"/>
      <c r="I185" s="7"/>
    </row>
    <row r="186" spans="7:9" x14ac:dyDescent="0.25">
      <c r="G186" s="7" t="s">
        <v>6385</v>
      </c>
      <c r="H186" s="7"/>
      <c r="I186" s="7"/>
    </row>
    <row r="187" spans="7:9" x14ac:dyDescent="0.25">
      <c r="G187" s="7" t="s">
        <v>6361</v>
      </c>
      <c r="H187" s="7" t="s">
        <v>6363</v>
      </c>
      <c r="I187" s="7"/>
    </row>
    <row r="188" spans="7:9" x14ac:dyDescent="0.25">
      <c r="G188" s="7" t="s">
        <v>6361</v>
      </c>
      <c r="H188" s="7" t="s">
        <v>6364</v>
      </c>
      <c r="I188" s="7"/>
    </row>
    <row r="189" spans="7:9" x14ac:dyDescent="0.25">
      <c r="G189" s="7" t="s">
        <v>6703</v>
      </c>
      <c r="H189" s="7" t="s">
        <v>6373</v>
      </c>
      <c r="I189" s="7"/>
    </row>
    <row r="190" spans="7:9" x14ac:dyDescent="0.25">
      <c r="G190" s="7" t="s">
        <v>6365</v>
      </c>
      <c r="H190" s="7" t="s">
        <v>2759</v>
      </c>
      <c r="I190" s="7"/>
    </row>
    <row r="191" spans="7:9" x14ac:dyDescent="0.25">
      <c r="G191" s="7" t="s">
        <v>6371</v>
      </c>
      <c r="H191" s="7" t="s">
        <v>6372</v>
      </c>
      <c r="I191" s="7"/>
    </row>
    <row r="192" spans="7:9" x14ac:dyDescent="0.25">
      <c r="G192" s="7" t="s">
        <v>6358</v>
      </c>
      <c r="H192" s="7" t="s">
        <v>6360</v>
      </c>
      <c r="I192" s="7"/>
    </row>
    <row r="193" spans="7:9" x14ac:dyDescent="0.25">
      <c r="G193" s="7" t="s">
        <v>6371</v>
      </c>
      <c r="H193" s="7" t="s">
        <v>6388</v>
      </c>
      <c r="I193" s="7"/>
    </row>
    <row r="194" spans="7:9" x14ac:dyDescent="0.25">
      <c r="G194" s="7" t="s">
        <v>6361</v>
      </c>
      <c r="H194" s="7" t="s">
        <v>6363</v>
      </c>
      <c r="I194" s="7"/>
    </row>
    <row r="195" spans="7:9" x14ac:dyDescent="0.25">
      <c r="G195" s="7" t="s">
        <v>6361</v>
      </c>
      <c r="H195" s="7" t="s">
        <v>6360</v>
      </c>
      <c r="I195" s="7" t="s">
        <v>3970</v>
      </c>
    </row>
    <row r="196" spans="7:9" x14ac:dyDescent="0.25">
      <c r="G196" s="28" t="s">
        <v>6361</v>
      </c>
      <c r="H196" s="28" t="s">
        <v>3967</v>
      </c>
      <c r="I196" s="28"/>
    </row>
    <row r="197" spans="7:9" x14ac:dyDescent="0.25">
      <c r="G197" s="7" t="s">
        <v>6377</v>
      </c>
      <c r="H197" s="7"/>
      <c r="I197" s="7"/>
    </row>
    <row r="198" spans="7:9" x14ac:dyDescent="0.25">
      <c r="G198" s="7" t="s">
        <v>6687</v>
      </c>
      <c r="H198" s="7" t="s">
        <v>6686</v>
      </c>
      <c r="I198" s="7"/>
    </row>
    <row r="199" spans="7:9" x14ac:dyDescent="0.25">
      <c r="G199" s="28" t="s">
        <v>6361</v>
      </c>
      <c r="H199" s="28" t="s">
        <v>6359</v>
      </c>
      <c r="I199" s="28" t="s">
        <v>6421</v>
      </c>
    </row>
    <row r="200" spans="7:9" x14ac:dyDescent="0.25">
      <c r="G200" s="7" t="s">
        <v>6361</v>
      </c>
      <c r="H200" s="7" t="s">
        <v>6363</v>
      </c>
      <c r="I200" s="7"/>
    </row>
    <row r="201" spans="7:9" x14ac:dyDescent="0.25">
      <c r="G201" s="7" t="s">
        <v>6385</v>
      </c>
      <c r="H201" s="7"/>
      <c r="I201" s="7"/>
    </row>
    <row r="202" spans="7:9" x14ac:dyDescent="0.25">
      <c r="G202" s="7" t="s">
        <v>6361</v>
      </c>
      <c r="H202" s="7" t="s">
        <v>6648</v>
      </c>
      <c r="I202" s="7" t="s">
        <v>6633</v>
      </c>
    </row>
    <row r="203" spans="7:9" x14ac:dyDescent="0.25">
      <c r="G203" s="7"/>
      <c r="H203" s="7"/>
      <c r="I203" s="7"/>
    </row>
    <row r="204" spans="7:9" x14ac:dyDescent="0.25">
      <c r="G204" s="7" t="s">
        <v>6361</v>
      </c>
      <c r="H204" s="7" t="s">
        <v>6363</v>
      </c>
      <c r="I204" s="7"/>
    </row>
    <row r="205" spans="7:9" x14ac:dyDescent="0.25">
      <c r="G205" s="7" t="s">
        <v>6358</v>
      </c>
      <c r="H205" s="7" t="s">
        <v>6383</v>
      </c>
      <c r="I205" s="7"/>
    </row>
    <row r="206" spans="7:9" x14ac:dyDescent="0.25">
      <c r="G206" s="7" t="s">
        <v>6377</v>
      </c>
      <c r="H206" s="7"/>
      <c r="I206" s="7"/>
    </row>
    <row r="207" spans="7:9" x14ac:dyDescent="0.25">
      <c r="G207" s="7" t="s">
        <v>6381</v>
      </c>
      <c r="H207" s="7" t="s">
        <v>6380</v>
      </c>
      <c r="I207" s="7"/>
    </row>
    <row r="208" spans="7:9" x14ac:dyDescent="0.25">
      <c r="G208" s="7" t="s">
        <v>6361</v>
      </c>
      <c r="H208" s="7" t="s">
        <v>3967</v>
      </c>
      <c r="I208" s="7" t="s">
        <v>6647</v>
      </c>
    </row>
    <row r="209" spans="7:9" x14ac:dyDescent="0.25">
      <c r="G209" s="7" t="s">
        <v>6382</v>
      </c>
      <c r="H209" s="7"/>
      <c r="I209" s="7"/>
    </row>
    <row r="210" spans="7:9" x14ac:dyDescent="0.25">
      <c r="G210" s="7" t="s">
        <v>6371</v>
      </c>
      <c r="H210" s="7" t="s">
        <v>6388</v>
      </c>
      <c r="I210" s="7"/>
    </row>
    <row r="211" spans="7:9" x14ac:dyDescent="0.25">
      <c r="G211" s="7" t="s">
        <v>6385</v>
      </c>
      <c r="H211" s="7"/>
      <c r="I211" s="7"/>
    </row>
    <row r="212" spans="7:9" x14ac:dyDescent="0.25">
      <c r="G212" s="15"/>
      <c r="H212" s="15"/>
      <c r="I212" s="15" t="s">
        <v>3971</v>
      </c>
    </row>
    <row r="213" spans="7:9" x14ac:dyDescent="0.25">
      <c r="G213" s="7" t="s">
        <v>6390</v>
      </c>
      <c r="H213" s="7"/>
      <c r="I213" s="7"/>
    </row>
    <row r="214" spans="7:9" x14ac:dyDescent="0.25">
      <c r="G214" s="7"/>
      <c r="H214" s="7"/>
      <c r="I214" s="7"/>
    </row>
    <row r="215" spans="7:9" x14ac:dyDescent="0.25">
      <c r="G215" s="7" t="s">
        <v>6369</v>
      </c>
      <c r="H215" s="7"/>
      <c r="I215" s="7"/>
    </row>
    <row r="216" spans="7:9" x14ac:dyDescent="0.25">
      <c r="G216" s="15" t="s">
        <v>6361</v>
      </c>
      <c r="H216" s="15" t="s">
        <v>3967</v>
      </c>
      <c r="I216" s="15" t="s">
        <v>3967</v>
      </c>
    </row>
    <row r="217" spans="7:9" x14ac:dyDescent="0.25">
      <c r="G217" s="15" t="s">
        <v>6361</v>
      </c>
      <c r="H217" s="15" t="s">
        <v>3969</v>
      </c>
      <c r="I217" s="15" t="s">
        <v>3967</v>
      </c>
    </row>
    <row r="218" spans="7:9" x14ac:dyDescent="0.25">
      <c r="G218" s="7" t="s">
        <v>6371</v>
      </c>
      <c r="H218" s="7" t="s">
        <v>6372</v>
      </c>
      <c r="I218" s="7"/>
    </row>
    <row r="219" spans="7:9" x14ac:dyDescent="0.25">
      <c r="G219" s="7"/>
      <c r="H219" s="7"/>
      <c r="I219" s="7" t="s">
        <v>6436</v>
      </c>
    </row>
    <row r="220" spans="7:9" x14ac:dyDescent="0.25">
      <c r="G220" s="7" t="s">
        <v>6377</v>
      </c>
      <c r="H220" s="7"/>
      <c r="I220" s="7"/>
    </row>
    <row r="221" spans="7:9" x14ac:dyDescent="0.25">
      <c r="G221" s="7" t="s">
        <v>6361</v>
      </c>
      <c r="H221" s="7" t="s">
        <v>6364</v>
      </c>
      <c r="I221" s="7"/>
    </row>
    <row r="222" spans="7:9" x14ac:dyDescent="0.25">
      <c r="G222" s="7" t="s">
        <v>6371</v>
      </c>
      <c r="H222" s="7" t="s">
        <v>6686</v>
      </c>
      <c r="I222" s="7"/>
    </row>
    <row r="223" spans="7:9" x14ac:dyDescent="0.25">
      <c r="G223" s="7" t="s">
        <v>6377</v>
      </c>
      <c r="H223" s="7"/>
      <c r="I223" s="7"/>
    </row>
    <row r="224" spans="7:9" x14ac:dyDescent="0.25">
      <c r="G224" s="7" t="s">
        <v>6703</v>
      </c>
      <c r="H224" s="7" t="s">
        <v>6376</v>
      </c>
      <c r="I224" s="7"/>
    </row>
    <row r="225" spans="7:9" x14ac:dyDescent="0.25">
      <c r="G225" s="7" t="s">
        <v>6361</v>
      </c>
      <c r="H225" s="7" t="s">
        <v>3967</v>
      </c>
      <c r="I225" s="7" t="s">
        <v>3967</v>
      </c>
    </row>
    <row r="226" spans="7:9" x14ac:dyDescent="0.25">
      <c r="G226" s="7" t="s">
        <v>6361</v>
      </c>
      <c r="H226" s="7" t="s">
        <v>6650</v>
      </c>
      <c r="I226" s="7"/>
    </row>
    <row r="227" spans="7:9" x14ac:dyDescent="0.25">
      <c r="G227" s="15" t="s">
        <v>6361</v>
      </c>
      <c r="H227" s="15" t="s">
        <v>6363</v>
      </c>
      <c r="I227" s="15" t="s">
        <v>1403</v>
      </c>
    </row>
    <row r="228" spans="7:9" x14ac:dyDescent="0.25">
      <c r="G228" s="7" t="s">
        <v>6643</v>
      </c>
      <c r="H228" s="7" t="s">
        <v>6274</v>
      </c>
      <c r="I228" s="7" t="s">
        <v>6633</v>
      </c>
    </row>
    <row r="229" spans="7:9" x14ac:dyDescent="0.25">
      <c r="G229" s="7" t="s">
        <v>6391</v>
      </c>
      <c r="H229" s="7"/>
      <c r="I229" s="7"/>
    </row>
    <row r="230" spans="7:9" x14ac:dyDescent="0.25">
      <c r="G230" s="7" t="s">
        <v>6361</v>
      </c>
      <c r="H230" s="7" t="s">
        <v>3967</v>
      </c>
      <c r="I230" s="7"/>
    </row>
    <row r="231" spans="7:9" x14ac:dyDescent="0.25">
      <c r="G231" s="7" t="s">
        <v>6365</v>
      </c>
      <c r="H231" s="7" t="s">
        <v>6368</v>
      </c>
      <c r="I231" s="7"/>
    </row>
    <row r="232" spans="7:9" x14ac:dyDescent="0.25">
      <c r="G232" s="7" t="s">
        <v>6377</v>
      </c>
      <c r="H232" s="7"/>
      <c r="I232" s="7"/>
    </row>
    <row r="233" spans="7:9" x14ac:dyDescent="0.25">
      <c r="G233" s="7" t="s">
        <v>6377</v>
      </c>
      <c r="H233" s="7"/>
      <c r="I233" s="7"/>
    </row>
    <row r="234" spans="7:9" x14ac:dyDescent="0.25">
      <c r="G234" s="7" t="s">
        <v>6358</v>
      </c>
      <c r="H234" s="7" t="s">
        <v>6360</v>
      </c>
      <c r="I234" s="7"/>
    </row>
    <row r="235" spans="7:9" x14ac:dyDescent="0.25">
      <c r="G235" s="7" t="s">
        <v>6640</v>
      </c>
      <c r="H235" s="7"/>
      <c r="I235" s="7"/>
    </row>
    <row r="236" spans="7:9" x14ac:dyDescent="0.25">
      <c r="G236" s="7" t="s">
        <v>6703</v>
      </c>
      <c r="H236" s="7" t="s">
        <v>6373</v>
      </c>
      <c r="I236" s="7"/>
    </row>
    <row r="237" spans="7:9" x14ac:dyDescent="0.25">
      <c r="G237" s="15" t="s">
        <v>6361</v>
      </c>
      <c r="H237" s="15" t="s">
        <v>3969</v>
      </c>
      <c r="I237" s="15" t="s">
        <v>3969</v>
      </c>
    </row>
    <row r="238" spans="7:9" x14ac:dyDescent="0.25">
      <c r="G238" s="7" t="s">
        <v>6358</v>
      </c>
      <c r="H238" s="7" t="s">
        <v>6383</v>
      </c>
      <c r="I238" s="7"/>
    </row>
    <row r="239" spans="7:9" x14ac:dyDescent="0.25">
      <c r="G239" s="7" t="s">
        <v>6365</v>
      </c>
      <c r="H239" s="7" t="s">
        <v>2759</v>
      </c>
      <c r="I239" s="7"/>
    </row>
    <row r="240" spans="7:9" x14ac:dyDescent="0.25">
      <c r="G240" s="7" t="s">
        <v>6385</v>
      </c>
      <c r="H240" s="7"/>
      <c r="I240" s="7"/>
    </row>
    <row r="241" spans="7:9" x14ac:dyDescent="0.25">
      <c r="G241" s="15"/>
      <c r="H241" s="15"/>
      <c r="I241" s="15" t="s">
        <v>3971</v>
      </c>
    </row>
    <row r="242" spans="7:9" x14ac:dyDescent="0.25">
      <c r="G242" s="7" t="s">
        <v>6361</v>
      </c>
      <c r="H242" s="7" t="s">
        <v>3967</v>
      </c>
      <c r="I242" s="7"/>
    </row>
    <row r="243" spans="7:9" x14ac:dyDescent="0.25">
      <c r="G243" s="7" t="s">
        <v>6365</v>
      </c>
      <c r="H243" s="7" t="s">
        <v>2759</v>
      </c>
      <c r="I243" s="7"/>
    </row>
    <row r="244" spans="7:9" x14ac:dyDescent="0.25">
      <c r="G244" s="7" t="s">
        <v>6387</v>
      </c>
      <c r="H244" s="7" t="s">
        <v>6367</v>
      </c>
      <c r="I244" s="7"/>
    </row>
    <row r="245" spans="7:9" x14ac:dyDescent="0.25">
      <c r="G245" s="7" t="s">
        <v>6703</v>
      </c>
      <c r="H245" s="7" t="s">
        <v>6373</v>
      </c>
      <c r="I245" s="7"/>
    </row>
    <row r="246" spans="7:9" x14ac:dyDescent="0.25">
      <c r="G246" s="7" t="s">
        <v>6361</v>
      </c>
      <c r="H246" s="7" t="s">
        <v>6363</v>
      </c>
      <c r="I246" s="7"/>
    </row>
    <row r="247" spans="7:9" x14ac:dyDescent="0.25">
      <c r="G247" s="7" t="s">
        <v>6361</v>
      </c>
      <c r="H247" s="7" t="s">
        <v>3967</v>
      </c>
      <c r="I247" s="7" t="s">
        <v>3968</v>
      </c>
    </row>
    <row r="248" spans="7:9" x14ac:dyDescent="0.25">
      <c r="G248" s="7" t="s">
        <v>6703</v>
      </c>
      <c r="H248" s="7" t="s">
        <v>6374</v>
      </c>
      <c r="I248" s="7"/>
    </row>
    <row r="249" spans="7:9" x14ac:dyDescent="0.25">
      <c r="G249" s="7" t="s">
        <v>6361</v>
      </c>
      <c r="H249" s="7" t="s">
        <v>3967</v>
      </c>
      <c r="I249" s="7"/>
    </row>
    <row r="250" spans="7:9" x14ac:dyDescent="0.25">
      <c r="G250" s="7" t="s">
        <v>6369</v>
      </c>
      <c r="H250" s="7"/>
      <c r="I250" s="7"/>
    </row>
    <row r="251" spans="7:9" x14ac:dyDescent="0.25">
      <c r="G251" s="7" t="s">
        <v>6361</v>
      </c>
      <c r="H251" s="7" t="s">
        <v>6362</v>
      </c>
      <c r="I251" s="7" t="s">
        <v>1403</v>
      </c>
    </row>
    <row r="252" spans="7:9" x14ac:dyDescent="0.25">
      <c r="G252" s="7" t="s">
        <v>6371</v>
      </c>
      <c r="H252" s="7" t="s">
        <v>6372</v>
      </c>
      <c r="I252" s="7"/>
    </row>
    <row r="253" spans="7:9" x14ac:dyDescent="0.25">
      <c r="G253" s="7" t="s">
        <v>6358</v>
      </c>
      <c r="H253" s="7" t="s">
        <v>6360</v>
      </c>
      <c r="I253" s="7"/>
    </row>
    <row r="254" spans="7:9" x14ac:dyDescent="0.25">
      <c r="G254" s="7" t="s">
        <v>6703</v>
      </c>
      <c r="H254" s="7" t="s">
        <v>6380</v>
      </c>
      <c r="I254" s="7"/>
    </row>
    <row r="255" spans="7:9" x14ac:dyDescent="0.25">
      <c r="G255" s="7" t="s">
        <v>6370</v>
      </c>
      <c r="H255" s="7"/>
      <c r="I255" s="7"/>
    </row>
    <row r="256" spans="7:9" x14ac:dyDescent="0.25">
      <c r="G256" s="7" t="s">
        <v>6644</v>
      </c>
      <c r="H256" s="7"/>
      <c r="I256" s="7"/>
    </row>
    <row r="257" spans="7:9" x14ac:dyDescent="0.25">
      <c r="G257" s="7" t="s">
        <v>6687</v>
      </c>
      <c r="H257" s="7" t="s">
        <v>6686</v>
      </c>
      <c r="I257" s="7"/>
    </row>
    <row r="258" spans="7:9" x14ac:dyDescent="0.25">
      <c r="G258" s="15" t="s">
        <v>6361</v>
      </c>
      <c r="H258" s="15" t="s">
        <v>3967</v>
      </c>
      <c r="I258" s="15" t="s">
        <v>3967</v>
      </c>
    </row>
    <row r="259" spans="7:9" x14ac:dyDescent="0.25">
      <c r="G259" s="15" t="s">
        <v>6361</v>
      </c>
      <c r="H259" s="15" t="s">
        <v>3969</v>
      </c>
      <c r="I259" s="15" t="s">
        <v>3967</v>
      </c>
    </row>
    <row r="260" spans="7:9" x14ac:dyDescent="0.25">
      <c r="G260" s="7" t="s">
        <v>6643</v>
      </c>
      <c r="H260" s="7"/>
      <c r="I260" s="7"/>
    </row>
    <row r="261" spans="7:9" x14ac:dyDescent="0.25">
      <c r="G261" s="7" t="s">
        <v>6703</v>
      </c>
      <c r="H261" s="7" t="s">
        <v>6375</v>
      </c>
      <c r="I261" s="7"/>
    </row>
    <row r="262" spans="7:9" x14ac:dyDescent="0.25">
      <c r="G262" s="7" t="s">
        <v>6361</v>
      </c>
      <c r="H262" s="7" t="s">
        <v>6364</v>
      </c>
      <c r="I262" s="7"/>
    </row>
    <row r="263" spans="7:9" x14ac:dyDescent="0.25">
      <c r="G263" s="7" t="s">
        <v>6361</v>
      </c>
      <c r="H263" s="7" t="s">
        <v>6360</v>
      </c>
      <c r="I263" s="7"/>
    </row>
    <row r="264" spans="7:9" x14ac:dyDescent="0.25">
      <c r="G264" s="15" t="s">
        <v>6361</v>
      </c>
      <c r="H264" s="15" t="s">
        <v>3969</v>
      </c>
      <c r="I264" s="15" t="s">
        <v>3967</v>
      </c>
    </row>
    <row r="265" spans="7:9" x14ac:dyDescent="0.25">
      <c r="G265" s="7" t="s">
        <v>6377</v>
      </c>
      <c r="H265" s="7"/>
      <c r="I265" s="7"/>
    </row>
    <row r="266" spans="7:9" x14ac:dyDescent="0.25">
      <c r="G266" s="7" t="s">
        <v>6361</v>
      </c>
      <c r="H266" s="7" t="s">
        <v>6362</v>
      </c>
      <c r="I266" s="7"/>
    </row>
    <row r="267" spans="7:9" x14ac:dyDescent="0.25">
      <c r="G267" s="15" t="s">
        <v>6361</v>
      </c>
      <c r="H267" s="15" t="s">
        <v>3967</v>
      </c>
      <c r="I267" s="15" t="s">
        <v>3967</v>
      </c>
    </row>
    <row r="268" spans="7:9" x14ac:dyDescent="0.25">
      <c r="G268" s="15" t="s">
        <v>6361</v>
      </c>
      <c r="H268" s="15" t="s">
        <v>3969</v>
      </c>
      <c r="I268" s="15" t="s">
        <v>3967</v>
      </c>
    </row>
    <row r="269" spans="7:9" x14ac:dyDescent="0.25">
      <c r="G269" s="15" t="s">
        <v>6361</v>
      </c>
      <c r="H269" s="15" t="s">
        <v>3967</v>
      </c>
      <c r="I269" s="15" t="s">
        <v>3967</v>
      </c>
    </row>
    <row r="270" spans="7:9" x14ac:dyDescent="0.25">
      <c r="G270" s="15" t="s">
        <v>6361</v>
      </c>
      <c r="H270" s="15" t="s">
        <v>3969</v>
      </c>
      <c r="I270" s="15" t="s">
        <v>3967</v>
      </c>
    </row>
    <row r="271" spans="7:9" x14ac:dyDescent="0.25">
      <c r="G271" s="7" t="s">
        <v>6361</v>
      </c>
      <c r="H271" s="7" t="s">
        <v>3967</v>
      </c>
      <c r="I271" s="7"/>
    </row>
    <row r="272" spans="7:9" x14ac:dyDescent="0.25">
      <c r="G272" s="7" t="s">
        <v>6385</v>
      </c>
      <c r="H272" s="7"/>
      <c r="I272" s="7"/>
    </row>
    <row r="273" spans="7:9" x14ac:dyDescent="0.25">
      <c r="G273" s="7" t="s">
        <v>6385</v>
      </c>
      <c r="H273" s="7"/>
      <c r="I273" s="7"/>
    </row>
    <row r="274" spans="7:9" x14ac:dyDescent="0.25">
      <c r="G274" s="7" t="s">
        <v>6361</v>
      </c>
      <c r="H274" s="7" t="s">
        <v>6362</v>
      </c>
      <c r="I274" s="7"/>
    </row>
    <row r="275" spans="7:9" x14ac:dyDescent="0.25">
      <c r="G275" s="7" t="s">
        <v>6651</v>
      </c>
      <c r="H275" s="7" t="s">
        <v>6359</v>
      </c>
      <c r="I275" s="7" t="s">
        <v>6421</v>
      </c>
    </row>
    <row r="276" spans="7:9" x14ac:dyDescent="0.25">
      <c r="G276" s="7" t="s">
        <v>6687</v>
      </c>
      <c r="H276" s="7" t="s">
        <v>6686</v>
      </c>
      <c r="I276" s="7"/>
    </row>
    <row r="277" spans="7:9" x14ac:dyDescent="0.25">
      <c r="G277" s="7" t="s">
        <v>6361</v>
      </c>
      <c r="H277" s="7" t="s">
        <v>3967</v>
      </c>
      <c r="I277" s="7"/>
    </row>
    <row r="278" spans="7:9" x14ac:dyDescent="0.25">
      <c r="G278" s="7" t="s">
        <v>6652</v>
      </c>
      <c r="H278" s="7" t="s">
        <v>6360</v>
      </c>
      <c r="I278" s="7" t="s">
        <v>3970</v>
      </c>
    </row>
    <row r="279" spans="7:9" x14ac:dyDescent="0.25">
      <c r="G279" s="7" t="s">
        <v>6361</v>
      </c>
      <c r="H279" s="7" t="s">
        <v>3967</v>
      </c>
      <c r="I279" s="7" t="s">
        <v>3967</v>
      </c>
    </row>
    <row r="280" spans="7:9" x14ac:dyDescent="0.25">
      <c r="G280" s="7" t="s">
        <v>6361</v>
      </c>
      <c r="H280" s="7" t="s">
        <v>6360</v>
      </c>
      <c r="I280" s="7" t="s">
        <v>3970</v>
      </c>
    </row>
    <row r="281" spans="7:9" x14ac:dyDescent="0.25">
      <c r="G281" s="7" t="s">
        <v>6361</v>
      </c>
      <c r="H281" s="7"/>
      <c r="I281" s="7"/>
    </row>
    <row r="282" spans="7:9" x14ac:dyDescent="0.25">
      <c r="G282" s="7" t="s">
        <v>6687</v>
      </c>
      <c r="H282" s="7" t="s">
        <v>6686</v>
      </c>
      <c r="I282" s="7"/>
    </row>
    <row r="283" spans="7:9" x14ac:dyDescent="0.25">
      <c r="G283" s="7" t="s">
        <v>6382</v>
      </c>
      <c r="H283" s="7"/>
      <c r="I283" s="7"/>
    </row>
    <row r="284" spans="7:9" x14ac:dyDescent="0.25">
      <c r="G284" s="7" t="s">
        <v>6703</v>
      </c>
      <c r="H284" s="7" t="s">
        <v>6376</v>
      </c>
      <c r="I284" s="7"/>
    </row>
    <row r="285" spans="7:9" x14ac:dyDescent="0.25">
      <c r="G285" s="7" t="s">
        <v>6652</v>
      </c>
      <c r="H285" s="7" t="s">
        <v>6360</v>
      </c>
      <c r="I285" s="7" t="s">
        <v>3970</v>
      </c>
    </row>
    <row r="286" spans="7:9" x14ac:dyDescent="0.25">
      <c r="G286" s="7" t="s">
        <v>6358</v>
      </c>
      <c r="H286" s="7" t="s">
        <v>6386</v>
      </c>
      <c r="I286" s="7"/>
    </row>
    <row r="287" spans="7:9" x14ac:dyDescent="0.25">
      <c r="G287" s="7" t="s">
        <v>6703</v>
      </c>
      <c r="H287" s="7" t="s">
        <v>6374</v>
      </c>
      <c r="I287" s="7"/>
    </row>
    <row r="288" spans="7:9" x14ac:dyDescent="0.25">
      <c r="G288" s="7" t="s">
        <v>6371</v>
      </c>
      <c r="H288" s="7" t="s">
        <v>6372</v>
      </c>
      <c r="I288" s="7"/>
    </row>
    <row r="289" spans="7:9" x14ac:dyDescent="0.25">
      <c r="G289" s="7"/>
      <c r="H289" s="7"/>
      <c r="I289" s="7"/>
    </row>
    <row r="290" spans="7:9" x14ac:dyDescent="0.25">
      <c r="G290" s="7" t="s">
        <v>6385</v>
      </c>
      <c r="H290" s="7"/>
      <c r="I290" s="7"/>
    </row>
    <row r="291" spans="7:9" x14ac:dyDescent="0.25">
      <c r="G291" s="7" t="s">
        <v>6361</v>
      </c>
      <c r="H291" s="7" t="s">
        <v>6364</v>
      </c>
      <c r="I291" s="7" t="s">
        <v>1214</v>
      </c>
    </row>
    <row r="292" spans="7:9" x14ac:dyDescent="0.25">
      <c r="G292" s="7" t="s">
        <v>6377</v>
      </c>
      <c r="H292" s="7"/>
      <c r="I292" s="7"/>
    </row>
    <row r="293" spans="7:9" x14ac:dyDescent="0.25">
      <c r="G293" s="7" t="s">
        <v>6379</v>
      </c>
      <c r="H293" s="7" t="s">
        <v>6380</v>
      </c>
      <c r="I293" s="7"/>
    </row>
    <row r="294" spans="7:9" x14ac:dyDescent="0.25">
      <c r="G294" s="7" t="s">
        <v>6358</v>
      </c>
      <c r="H294" s="7" t="s">
        <v>6383</v>
      </c>
      <c r="I294" s="7"/>
    </row>
    <row r="295" spans="7:9" x14ac:dyDescent="0.25">
      <c r="G295" s="7" t="s">
        <v>6361</v>
      </c>
      <c r="H295" s="7" t="s">
        <v>3967</v>
      </c>
      <c r="I295" s="7"/>
    </row>
    <row r="296" spans="7:9" x14ac:dyDescent="0.25">
      <c r="G296" s="7" t="s">
        <v>6358</v>
      </c>
      <c r="H296" s="7" t="s">
        <v>6359</v>
      </c>
      <c r="I296" s="7" t="s">
        <v>3970</v>
      </c>
    </row>
    <row r="297" spans="7:9" x14ac:dyDescent="0.25">
      <c r="G297" s="7" t="s">
        <v>6358</v>
      </c>
      <c r="H297" s="7" t="s">
        <v>6359</v>
      </c>
      <c r="I297" s="7" t="s">
        <v>6421</v>
      </c>
    </row>
    <row r="298" spans="7:9" x14ac:dyDescent="0.25">
      <c r="G298" s="15"/>
      <c r="H298" s="15"/>
      <c r="I298" s="15" t="s">
        <v>3971</v>
      </c>
    </row>
    <row r="299" spans="7:9" x14ac:dyDescent="0.25">
      <c r="G299" s="7" t="s">
        <v>6361</v>
      </c>
      <c r="H299" s="7" t="s">
        <v>6384</v>
      </c>
      <c r="I299" s="7"/>
    </row>
    <row r="300" spans="7:9" x14ac:dyDescent="0.25">
      <c r="G300" s="7" t="s">
        <v>6365</v>
      </c>
      <c r="H300" s="7" t="s">
        <v>2759</v>
      </c>
      <c r="I300" s="7"/>
    </row>
    <row r="301" spans="7:9" x14ac:dyDescent="0.25">
      <c r="G301" s="7" t="s">
        <v>6361</v>
      </c>
      <c r="H301" s="7" t="s">
        <v>6363</v>
      </c>
      <c r="I301" s="7"/>
    </row>
    <row r="302" spans="7:9" x14ac:dyDescent="0.25">
      <c r="G302" s="7" t="s">
        <v>6361</v>
      </c>
      <c r="H302" s="7" t="s">
        <v>3967</v>
      </c>
      <c r="I302" s="7"/>
    </row>
    <row r="303" spans="7:9" x14ac:dyDescent="0.25">
      <c r="G303" s="7" t="s">
        <v>6703</v>
      </c>
      <c r="H303" s="7" t="s">
        <v>6373</v>
      </c>
      <c r="I303" s="7"/>
    </row>
    <row r="304" spans="7:9" x14ac:dyDescent="0.25">
      <c r="G304" s="7" t="s">
        <v>6703</v>
      </c>
      <c r="H304" s="7" t="s">
        <v>6376</v>
      </c>
      <c r="I304" s="7"/>
    </row>
    <row r="305" spans="7:9" x14ac:dyDescent="0.25">
      <c r="G305" s="7" t="s">
        <v>6361</v>
      </c>
      <c r="H305" s="7" t="s">
        <v>3967</v>
      </c>
      <c r="I305" s="7"/>
    </row>
    <row r="306" spans="7:9" x14ac:dyDescent="0.25">
      <c r="G306" s="7" t="s">
        <v>6365</v>
      </c>
      <c r="H306" s="7" t="s">
        <v>6368</v>
      </c>
      <c r="I306" s="7"/>
    </row>
    <row r="307" spans="7:9" x14ac:dyDescent="0.25">
      <c r="G307" s="7" t="s">
        <v>6358</v>
      </c>
      <c r="H307" s="7" t="s">
        <v>6360</v>
      </c>
      <c r="I307" s="7" t="s">
        <v>3970</v>
      </c>
    </row>
    <row r="308" spans="7:9" x14ac:dyDescent="0.25">
      <c r="G308" s="7" t="s">
        <v>6361</v>
      </c>
      <c r="H308" s="7" t="s">
        <v>6366</v>
      </c>
      <c r="I308" s="7"/>
    </row>
    <row r="309" spans="7:9" x14ac:dyDescent="0.25">
      <c r="G309" s="7" t="s">
        <v>6365</v>
      </c>
      <c r="H309" s="7" t="s">
        <v>6366</v>
      </c>
      <c r="I309" s="7" t="s">
        <v>3971</v>
      </c>
    </row>
    <row r="310" spans="7:9" x14ac:dyDescent="0.25">
      <c r="G310" s="7" t="s">
        <v>6358</v>
      </c>
      <c r="H310" s="7" t="s">
        <v>6360</v>
      </c>
      <c r="I310" s="7"/>
    </row>
    <row r="311" spans="7:9" x14ac:dyDescent="0.25">
      <c r="G311" s="7" t="s">
        <v>6377</v>
      </c>
      <c r="H311" s="7"/>
      <c r="I311" s="7"/>
    </row>
    <row r="312" spans="7:9" x14ac:dyDescent="0.25">
      <c r="G312" s="7" t="s">
        <v>6365</v>
      </c>
      <c r="H312" s="7" t="s">
        <v>6368</v>
      </c>
      <c r="I312" s="7"/>
    </row>
    <row r="313" spans="7:9" x14ac:dyDescent="0.25">
      <c r="G313" s="7" t="s">
        <v>6392</v>
      </c>
      <c r="H313" s="7"/>
      <c r="I313" s="7"/>
    </row>
    <row r="314" spans="7:9" x14ac:dyDescent="0.25">
      <c r="G314" s="7" t="s">
        <v>6365</v>
      </c>
      <c r="H314" s="7" t="s">
        <v>2759</v>
      </c>
      <c r="I314" s="7"/>
    </row>
    <row r="315" spans="7:9" x14ac:dyDescent="0.25">
      <c r="G315" s="7"/>
      <c r="H315" s="7"/>
      <c r="I315" s="7"/>
    </row>
    <row r="316" spans="7:9" x14ac:dyDescent="0.25">
      <c r="G316" s="7" t="s">
        <v>6371</v>
      </c>
      <c r="H316" s="7" t="s">
        <v>6388</v>
      </c>
      <c r="I316" s="7"/>
    </row>
    <row r="317" spans="7:9" x14ac:dyDescent="0.25">
      <c r="G317" s="7" t="s">
        <v>6361</v>
      </c>
      <c r="H317" s="7" t="s">
        <v>6362</v>
      </c>
      <c r="I317" s="7"/>
    </row>
    <row r="318" spans="7:9" x14ac:dyDescent="0.25">
      <c r="G318" s="7" t="s">
        <v>6377</v>
      </c>
      <c r="H318" s="7"/>
      <c r="I318" s="7"/>
    </row>
    <row r="319" spans="7:9" x14ac:dyDescent="0.25">
      <c r="G319" s="7" t="s">
        <v>6377</v>
      </c>
      <c r="H319" s="7"/>
      <c r="I319" s="7"/>
    </row>
    <row r="320" spans="7:9" x14ac:dyDescent="0.25">
      <c r="G320" s="7" t="s">
        <v>6391</v>
      </c>
      <c r="H320" s="7"/>
      <c r="I320" s="7"/>
    </row>
    <row r="321" spans="7:9" x14ac:dyDescent="0.25">
      <c r="G321" s="7" t="s">
        <v>6703</v>
      </c>
      <c r="H321" s="7" t="s">
        <v>6376</v>
      </c>
      <c r="I321" s="7"/>
    </row>
    <row r="322" spans="7:9" x14ac:dyDescent="0.25">
      <c r="G322" s="7" t="s">
        <v>6361</v>
      </c>
      <c r="H322" s="7" t="s">
        <v>6362</v>
      </c>
      <c r="I322" s="7"/>
    </row>
    <row r="323" spans="7:9" x14ac:dyDescent="0.25">
      <c r="G323" s="7" t="s">
        <v>6382</v>
      </c>
      <c r="H323" s="7"/>
      <c r="I323" s="7"/>
    </row>
    <row r="324" spans="7:9" x14ac:dyDescent="0.25">
      <c r="G324" s="7" t="s">
        <v>6377</v>
      </c>
      <c r="H324" s="7"/>
      <c r="I324" s="7"/>
    </row>
    <row r="325" spans="7:9" x14ac:dyDescent="0.25">
      <c r="G325" s="28" t="s">
        <v>6361</v>
      </c>
      <c r="H325" s="28" t="s">
        <v>3967</v>
      </c>
      <c r="I325" s="28"/>
    </row>
    <row r="326" spans="7:9" x14ac:dyDescent="0.25">
      <c r="G326" s="7" t="s">
        <v>6382</v>
      </c>
      <c r="H326" s="7"/>
      <c r="I326" s="7"/>
    </row>
    <row r="327" spans="7:9" x14ac:dyDescent="0.25">
      <c r="G327" s="7" t="s">
        <v>6653</v>
      </c>
      <c r="H327" s="7" t="s">
        <v>6364</v>
      </c>
      <c r="I327" s="7" t="s">
        <v>1214</v>
      </c>
    </row>
    <row r="328" spans="7:9" x14ac:dyDescent="0.25">
      <c r="G328" s="7" t="s">
        <v>6358</v>
      </c>
      <c r="H328" s="7" t="s">
        <v>6360</v>
      </c>
      <c r="I328" s="7"/>
    </row>
    <row r="329" spans="7:9" x14ac:dyDescent="0.25">
      <c r="G329" s="7" t="s">
        <v>6361</v>
      </c>
      <c r="H329" s="7" t="s">
        <v>6363</v>
      </c>
      <c r="I329" s="7"/>
    </row>
    <row r="330" spans="7:9" x14ac:dyDescent="0.25">
      <c r="G330" s="7" t="s">
        <v>6377</v>
      </c>
      <c r="H330" s="7"/>
      <c r="I330" s="7"/>
    </row>
    <row r="331" spans="7:9" x14ac:dyDescent="0.25">
      <c r="G331" s="7" t="s">
        <v>6651</v>
      </c>
      <c r="H331" s="7" t="s">
        <v>6359</v>
      </c>
      <c r="I331" s="7" t="s">
        <v>6421</v>
      </c>
    </row>
    <row r="332" spans="7:9" x14ac:dyDescent="0.25">
      <c r="G332" s="7" t="s">
        <v>6361</v>
      </c>
      <c r="H332" s="7" t="s">
        <v>6362</v>
      </c>
      <c r="I332" s="7"/>
    </row>
    <row r="333" spans="7:9" x14ac:dyDescent="0.25">
      <c r="G333" s="7" t="s">
        <v>6358</v>
      </c>
      <c r="H333" s="7" t="s">
        <v>6360</v>
      </c>
      <c r="I333" s="7"/>
    </row>
    <row r="334" spans="7:9" x14ac:dyDescent="0.25">
      <c r="G334" s="7" t="s">
        <v>6358</v>
      </c>
      <c r="H334" s="7" t="s">
        <v>6359</v>
      </c>
      <c r="I334" s="7" t="s">
        <v>6421</v>
      </c>
    </row>
    <row r="335" spans="7:9" x14ac:dyDescent="0.25">
      <c r="G335" s="7" t="s">
        <v>6361</v>
      </c>
      <c r="H335" s="7" t="s">
        <v>6363</v>
      </c>
      <c r="I335" s="7" t="s">
        <v>3971</v>
      </c>
    </row>
    <row r="336" spans="7:9" x14ac:dyDescent="0.25">
      <c r="G336" s="7" t="s">
        <v>6361</v>
      </c>
      <c r="H336" s="7" t="s">
        <v>6363</v>
      </c>
      <c r="I336" s="7"/>
    </row>
    <row r="337" spans="7:9" x14ac:dyDescent="0.25">
      <c r="G337" s="7" t="s">
        <v>6703</v>
      </c>
      <c r="H337" s="7" t="s">
        <v>6373</v>
      </c>
      <c r="I337" s="7"/>
    </row>
    <row r="338" spans="7:9" x14ac:dyDescent="0.25">
      <c r="G338" s="7" t="s">
        <v>6358</v>
      </c>
      <c r="H338" s="7" t="s">
        <v>6359</v>
      </c>
      <c r="I338" s="7" t="s">
        <v>6421</v>
      </c>
    </row>
    <row r="339" spans="7:9" x14ac:dyDescent="0.25">
      <c r="G339" s="7" t="s">
        <v>6365</v>
      </c>
      <c r="H339" s="7" t="s">
        <v>6366</v>
      </c>
      <c r="I339" s="7" t="s">
        <v>6436</v>
      </c>
    </row>
    <row r="340" spans="7:9" x14ac:dyDescent="0.25">
      <c r="G340" s="7" t="s">
        <v>6389</v>
      </c>
      <c r="H340" s="7"/>
      <c r="I340" s="7"/>
    </row>
    <row r="341" spans="7:9" x14ac:dyDescent="0.25">
      <c r="G341" s="7" t="s">
        <v>6358</v>
      </c>
      <c r="H341" s="7" t="s">
        <v>6383</v>
      </c>
      <c r="I341" s="7"/>
    </row>
    <row r="342" spans="7:9" x14ac:dyDescent="0.25">
      <c r="G342" s="7" t="s">
        <v>6703</v>
      </c>
      <c r="H342" s="7" t="s">
        <v>6373</v>
      </c>
      <c r="I342" s="7"/>
    </row>
    <row r="343" spans="7:9" x14ac:dyDescent="0.25">
      <c r="G343" s="7" t="s">
        <v>6640</v>
      </c>
      <c r="H343" s="7"/>
      <c r="I343" s="7"/>
    </row>
    <row r="344" spans="7:9" x14ac:dyDescent="0.25">
      <c r="G344" s="7" t="s">
        <v>6385</v>
      </c>
      <c r="H344" s="7"/>
      <c r="I344" s="7"/>
    </row>
    <row r="345" spans="7:9" x14ac:dyDescent="0.25">
      <c r="G345" s="7" t="s">
        <v>6703</v>
      </c>
      <c r="H345" s="7" t="s">
        <v>6375</v>
      </c>
      <c r="I345" s="7"/>
    </row>
    <row r="346" spans="7:9" x14ac:dyDescent="0.25">
      <c r="G346" s="7" t="s">
        <v>6365</v>
      </c>
      <c r="H346" s="7" t="s">
        <v>2759</v>
      </c>
      <c r="I346" s="7"/>
    </row>
    <row r="347" spans="7:9" x14ac:dyDescent="0.25">
      <c r="G347" s="7" t="s">
        <v>6369</v>
      </c>
      <c r="H347" s="7"/>
      <c r="I347" s="7"/>
    </row>
    <row r="348" spans="7:9" x14ac:dyDescent="0.25">
      <c r="G348" s="7" t="s">
        <v>6365</v>
      </c>
      <c r="H348" s="7" t="s">
        <v>6366</v>
      </c>
      <c r="I348" s="7"/>
    </row>
    <row r="349" spans="7:9" x14ac:dyDescent="0.25">
      <c r="G349" s="7" t="s">
        <v>6358</v>
      </c>
      <c r="H349" s="7" t="s">
        <v>6360</v>
      </c>
      <c r="I349" s="7"/>
    </row>
    <row r="350" spans="7:9" x14ac:dyDescent="0.25">
      <c r="G350" s="7" t="s">
        <v>6361</v>
      </c>
      <c r="H350" s="7" t="s">
        <v>6363</v>
      </c>
      <c r="I350" s="7"/>
    </row>
    <row r="351" spans="7:9" x14ac:dyDescent="0.25">
      <c r="G351" s="7" t="s">
        <v>6361</v>
      </c>
      <c r="H351" s="7" t="s">
        <v>6362</v>
      </c>
      <c r="I351" s="7"/>
    </row>
    <row r="352" spans="7:9" x14ac:dyDescent="0.25">
      <c r="G352" s="7" t="s">
        <v>6703</v>
      </c>
      <c r="H352" s="7" t="s">
        <v>6375</v>
      </c>
      <c r="I352" s="7"/>
    </row>
    <row r="353" spans="7:9" x14ac:dyDescent="0.25">
      <c r="G353" s="7" t="s">
        <v>6361</v>
      </c>
      <c r="H353" s="7" t="s">
        <v>3967</v>
      </c>
      <c r="I353" s="7"/>
    </row>
    <row r="354" spans="7:9" x14ac:dyDescent="0.25">
      <c r="G354" s="7" t="s">
        <v>6703</v>
      </c>
      <c r="H354" s="7" t="s">
        <v>6374</v>
      </c>
      <c r="I354" s="7"/>
    </row>
    <row r="355" spans="7:9" x14ac:dyDescent="0.25">
      <c r="G355" s="7" t="s">
        <v>6369</v>
      </c>
      <c r="H355" s="7"/>
      <c r="I355" s="7"/>
    </row>
    <row r="356" spans="7:9" x14ac:dyDescent="0.25">
      <c r="G356" s="7" t="s">
        <v>6703</v>
      </c>
      <c r="H356" s="7" t="s">
        <v>6375</v>
      </c>
      <c r="I356" s="7"/>
    </row>
    <row r="357" spans="7:9" x14ac:dyDescent="0.25">
      <c r="G357" s="7" t="s">
        <v>6361</v>
      </c>
      <c r="H357" s="7" t="s">
        <v>3967</v>
      </c>
      <c r="I357" s="7"/>
    </row>
    <row r="358" spans="7:9" x14ac:dyDescent="0.25">
      <c r="G358" s="7" t="s">
        <v>6361</v>
      </c>
      <c r="H358" s="7" t="s">
        <v>6364</v>
      </c>
      <c r="I358" s="7"/>
    </row>
    <row r="359" spans="7:9" x14ac:dyDescent="0.25">
      <c r="G359" s="7" t="s">
        <v>6387</v>
      </c>
      <c r="H359" s="7"/>
      <c r="I359" s="7"/>
    </row>
    <row r="360" spans="7:9" x14ac:dyDescent="0.25">
      <c r="G360" s="7" t="s">
        <v>6370</v>
      </c>
      <c r="H360" s="7"/>
      <c r="I360" s="7"/>
    </row>
    <row r="361" spans="7:9" x14ac:dyDescent="0.25">
      <c r="G361" s="7" t="s">
        <v>6365</v>
      </c>
      <c r="H361" s="7" t="s">
        <v>2759</v>
      </c>
      <c r="I361" s="7"/>
    </row>
    <row r="362" spans="7:9" x14ac:dyDescent="0.25">
      <c r="G362" s="7" t="s">
        <v>6361</v>
      </c>
      <c r="H362" s="7" t="s">
        <v>6362</v>
      </c>
      <c r="I362" s="7"/>
    </row>
    <row r="363" spans="7:9" x14ac:dyDescent="0.25">
      <c r="G363" s="7" t="s">
        <v>6371</v>
      </c>
      <c r="H363" s="7" t="s">
        <v>6372</v>
      </c>
      <c r="I363" s="7"/>
    </row>
    <row r="364" spans="7:9" x14ac:dyDescent="0.25">
      <c r="G364" s="7" t="s">
        <v>6365</v>
      </c>
      <c r="H364" s="7" t="s">
        <v>6367</v>
      </c>
      <c r="I364" s="7"/>
    </row>
    <row r="365" spans="7:9" x14ac:dyDescent="0.25">
      <c r="G365" s="15" t="s">
        <v>6361</v>
      </c>
      <c r="H365" s="15" t="s">
        <v>3969</v>
      </c>
      <c r="I365" s="15" t="s">
        <v>3969</v>
      </c>
    </row>
    <row r="366" spans="7:9" x14ac:dyDescent="0.25">
      <c r="G366" s="7" t="s">
        <v>6378</v>
      </c>
      <c r="H366" s="7"/>
      <c r="I366" s="7"/>
    </row>
    <row r="367" spans="7:9" x14ac:dyDescent="0.25">
      <c r="G367" s="7" t="s">
        <v>6687</v>
      </c>
      <c r="H367" s="7" t="s">
        <v>6686</v>
      </c>
      <c r="I367" s="7" t="s">
        <v>6373</v>
      </c>
    </row>
    <row r="368" spans="7:9" x14ac:dyDescent="0.25">
      <c r="G368" s="7" t="s">
        <v>6361</v>
      </c>
      <c r="H368" s="7" t="s">
        <v>6362</v>
      </c>
      <c r="I368" s="7"/>
    </row>
    <row r="369" spans="7:9" x14ac:dyDescent="0.25">
      <c r="G369" s="7" t="s">
        <v>6365</v>
      </c>
      <c r="H369" s="7" t="s">
        <v>6367</v>
      </c>
      <c r="I369" s="7"/>
    </row>
    <row r="370" spans="7:9" x14ac:dyDescent="0.25">
      <c r="G370" s="7" t="s">
        <v>6644</v>
      </c>
      <c r="H370" s="7"/>
      <c r="I370" s="7"/>
    </row>
    <row r="371" spans="7:9" x14ac:dyDescent="0.25">
      <c r="G371" s="7" t="s">
        <v>6361</v>
      </c>
      <c r="H371" s="7" t="s">
        <v>6360</v>
      </c>
      <c r="I371" s="7"/>
    </row>
    <row r="372" spans="7:9" x14ac:dyDescent="0.25">
      <c r="G372" s="7" t="s">
        <v>6361</v>
      </c>
      <c r="H372" s="7" t="s">
        <v>3967</v>
      </c>
      <c r="I372" s="7" t="s">
        <v>3967</v>
      </c>
    </row>
    <row r="373" spans="7:9" x14ac:dyDescent="0.25">
      <c r="G373" s="7" t="s">
        <v>6361</v>
      </c>
      <c r="H373" s="7" t="s">
        <v>6362</v>
      </c>
      <c r="I373" s="7"/>
    </row>
    <row r="374" spans="7:9" x14ac:dyDescent="0.25">
      <c r="G374" s="7" t="s">
        <v>6358</v>
      </c>
      <c r="H374" s="7" t="s">
        <v>6360</v>
      </c>
      <c r="I374" s="7"/>
    </row>
    <row r="375" spans="7:9" x14ac:dyDescent="0.25">
      <c r="G375" s="7" t="s">
        <v>6361</v>
      </c>
      <c r="H375" s="7" t="s">
        <v>3967</v>
      </c>
      <c r="I375" s="7" t="s">
        <v>3967</v>
      </c>
    </row>
    <row r="376" spans="7:9" x14ac:dyDescent="0.25">
      <c r="G376" s="7" t="s">
        <v>6358</v>
      </c>
      <c r="H376" s="7" t="s">
        <v>6359</v>
      </c>
      <c r="I376" s="7" t="s">
        <v>6421</v>
      </c>
    </row>
    <row r="377" spans="7:9" x14ac:dyDescent="0.25">
      <c r="G377" s="7"/>
      <c r="H377" s="7"/>
      <c r="I377" s="7"/>
    </row>
    <row r="378" spans="7:9" x14ac:dyDescent="0.25">
      <c r="G378" s="7"/>
      <c r="H378" s="7"/>
      <c r="I378" s="7"/>
    </row>
    <row r="379" spans="7:9" x14ac:dyDescent="0.25">
      <c r="G379" s="7"/>
      <c r="H379" s="7"/>
      <c r="I379" s="7"/>
    </row>
    <row r="380" spans="7:9" x14ac:dyDescent="0.25">
      <c r="G380" s="7"/>
      <c r="H380" s="7"/>
      <c r="I380" s="7"/>
    </row>
    <row r="381" spans="7:9" x14ac:dyDescent="0.25">
      <c r="G381" s="7"/>
      <c r="H381" s="7"/>
      <c r="I381" s="7"/>
    </row>
    <row r="382" spans="7:9" x14ac:dyDescent="0.25">
      <c r="G382" s="7"/>
      <c r="H382" s="7"/>
      <c r="I382" s="7"/>
    </row>
    <row r="383" spans="7:9" x14ac:dyDescent="0.25">
      <c r="G383" s="7"/>
      <c r="H383" s="7"/>
      <c r="I383" s="7"/>
    </row>
    <row r="384" spans="7:9" x14ac:dyDescent="0.25">
      <c r="G384" s="7"/>
      <c r="H384" s="7"/>
      <c r="I384" s="7" t="s">
        <v>3971</v>
      </c>
    </row>
    <row r="385" spans="7:9" x14ac:dyDescent="0.25">
      <c r="G385" s="7"/>
      <c r="H385" s="7"/>
      <c r="I385" s="7"/>
    </row>
    <row r="386" spans="7:9" x14ac:dyDescent="0.25">
      <c r="G386" s="7"/>
      <c r="H386" s="7"/>
      <c r="I386" s="7"/>
    </row>
    <row r="387" spans="7:9" x14ac:dyDescent="0.25">
      <c r="G387" s="7"/>
      <c r="H387" s="7"/>
      <c r="I387" s="7"/>
    </row>
    <row r="388" spans="7:9" x14ac:dyDescent="0.25">
      <c r="G388" s="7"/>
      <c r="H388" s="7"/>
      <c r="I388" s="7"/>
    </row>
    <row r="389" spans="7:9" x14ac:dyDescent="0.25">
      <c r="G389" s="7"/>
      <c r="H389" s="7"/>
      <c r="I389" s="7"/>
    </row>
    <row r="390" spans="7:9" x14ac:dyDescent="0.25">
      <c r="G390" s="7"/>
      <c r="H390" s="7"/>
      <c r="I390" s="7"/>
    </row>
    <row r="391" spans="7:9" x14ac:dyDescent="0.25">
      <c r="G391" s="7"/>
      <c r="H391" s="7"/>
      <c r="I391" s="7"/>
    </row>
    <row r="392" spans="7:9" x14ac:dyDescent="0.25">
      <c r="G392" s="7"/>
      <c r="H392" s="7"/>
      <c r="I392" s="7"/>
    </row>
    <row r="393" spans="7:9" x14ac:dyDescent="0.25">
      <c r="G393" s="7"/>
      <c r="H393" s="7"/>
      <c r="I393" s="7"/>
    </row>
    <row r="394" spans="7:9" x14ac:dyDescent="0.25">
      <c r="G394" s="7"/>
      <c r="H394" s="7"/>
      <c r="I394" s="7"/>
    </row>
    <row r="395" spans="7:9" x14ac:dyDescent="0.25">
      <c r="G395" s="7"/>
      <c r="H395" s="7"/>
      <c r="I395" s="7"/>
    </row>
    <row r="396" spans="7:9" x14ac:dyDescent="0.25">
      <c r="G396" s="7"/>
      <c r="H396" s="7"/>
      <c r="I396" s="7"/>
    </row>
    <row r="397" spans="7:9" x14ac:dyDescent="0.25">
      <c r="G397" s="7"/>
      <c r="H397" s="7"/>
      <c r="I397" s="7"/>
    </row>
    <row r="398" spans="7:9" x14ac:dyDescent="0.25">
      <c r="G398" s="7"/>
      <c r="H398" s="7"/>
      <c r="I398" s="7"/>
    </row>
    <row r="399" spans="7:9" x14ac:dyDescent="0.25">
      <c r="G399" s="7"/>
      <c r="H399" s="7"/>
      <c r="I399" s="7"/>
    </row>
    <row r="400" spans="7:9" x14ac:dyDescent="0.25">
      <c r="G400" s="7"/>
      <c r="H400" s="7"/>
      <c r="I400" s="7"/>
    </row>
    <row r="401" spans="7:9" x14ac:dyDescent="0.25">
      <c r="G401" s="7"/>
      <c r="H401" s="7"/>
      <c r="I401" s="7"/>
    </row>
    <row r="402" spans="7:9" x14ac:dyDescent="0.25">
      <c r="G402" s="7"/>
      <c r="H402" s="7"/>
      <c r="I402" s="7"/>
    </row>
    <row r="403" spans="7:9" x14ac:dyDescent="0.25">
      <c r="G403" s="7"/>
      <c r="H403" s="7"/>
      <c r="I403" s="7"/>
    </row>
    <row r="404" spans="7:9" x14ac:dyDescent="0.25">
      <c r="G404" s="7"/>
      <c r="H404" s="7"/>
      <c r="I404" s="7"/>
    </row>
    <row r="405" spans="7:9" x14ac:dyDescent="0.25">
      <c r="G405" s="7"/>
      <c r="H405" s="7"/>
      <c r="I405" s="7"/>
    </row>
    <row r="406" spans="7:9" x14ac:dyDescent="0.25">
      <c r="G406" s="7"/>
      <c r="H406" s="7"/>
      <c r="I406" s="7"/>
    </row>
    <row r="407" spans="7:9" x14ac:dyDescent="0.25">
      <c r="G407" s="7"/>
      <c r="H407" s="7"/>
      <c r="I407" s="7"/>
    </row>
    <row r="408" spans="7:9" x14ac:dyDescent="0.25">
      <c r="G408" s="7"/>
      <c r="H408" s="7"/>
      <c r="I408" s="7"/>
    </row>
    <row r="409" spans="7:9" x14ac:dyDescent="0.25">
      <c r="G409" s="7"/>
      <c r="H409" s="7"/>
      <c r="I409" s="7"/>
    </row>
    <row r="410" spans="7:9" x14ac:dyDescent="0.25">
      <c r="G410" s="7"/>
      <c r="H410" s="7"/>
      <c r="I410" s="7"/>
    </row>
    <row r="411" spans="7:9" x14ac:dyDescent="0.25">
      <c r="G411" s="7"/>
      <c r="H411" s="7"/>
      <c r="I411" s="7"/>
    </row>
    <row r="412" spans="7:9" x14ac:dyDescent="0.25">
      <c r="G412" s="7"/>
      <c r="H412" s="7"/>
      <c r="I412" s="7"/>
    </row>
    <row r="413" spans="7:9" x14ac:dyDescent="0.25">
      <c r="G413" s="7"/>
      <c r="H413" s="7"/>
      <c r="I413" s="7"/>
    </row>
    <row r="414" spans="7:9" x14ac:dyDescent="0.25">
      <c r="G414" s="7"/>
      <c r="H414" s="7"/>
      <c r="I414" s="7"/>
    </row>
    <row r="415" spans="7:9" x14ac:dyDescent="0.25">
      <c r="G415" s="7"/>
      <c r="H415" s="7"/>
      <c r="I415" s="7"/>
    </row>
    <row r="416" spans="7:9" x14ac:dyDescent="0.25">
      <c r="G416" s="7"/>
      <c r="H416" s="7"/>
      <c r="I416" s="7"/>
    </row>
    <row r="417" spans="7:9" x14ac:dyDescent="0.25">
      <c r="G417" s="7"/>
      <c r="H417" s="7"/>
      <c r="I417" s="7"/>
    </row>
    <row r="418" spans="7:9" x14ac:dyDescent="0.25">
      <c r="G418" s="7"/>
      <c r="H418" s="7"/>
      <c r="I418" s="7"/>
    </row>
    <row r="419" spans="7:9" x14ac:dyDescent="0.25">
      <c r="G419" s="7"/>
      <c r="H419" s="7"/>
      <c r="I419" s="7"/>
    </row>
    <row r="420" spans="7:9" x14ac:dyDescent="0.25">
      <c r="G420" s="7"/>
      <c r="H420" s="7"/>
      <c r="I420" s="7"/>
    </row>
    <row r="421" spans="7:9" x14ac:dyDescent="0.25">
      <c r="G421" s="7"/>
      <c r="H421" s="7"/>
      <c r="I421" s="7"/>
    </row>
    <row r="422" spans="7:9" x14ac:dyDescent="0.25">
      <c r="G422" s="7"/>
      <c r="H422" s="7"/>
      <c r="I422" s="7"/>
    </row>
    <row r="423" spans="7:9" x14ac:dyDescent="0.25">
      <c r="G423" s="7"/>
      <c r="H423" s="7"/>
      <c r="I423" s="7"/>
    </row>
    <row r="424" spans="7:9" x14ac:dyDescent="0.25">
      <c r="G424" s="7"/>
      <c r="H424" s="7"/>
      <c r="I424" s="7"/>
    </row>
    <row r="425" spans="7:9" x14ac:dyDescent="0.25">
      <c r="G425" s="7"/>
      <c r="H425" s="7"/>
      <c r="I425" s="7"/>
    </row>
    <row r="426" spans="7:9" x14ac:dyDescent="0.25">
      <c r="G426" s="7"/>
      <c r="H426" s="7"/>
      <c r="I426" s="7"/>
    </row>
    <row r="427" spans="7:9" x14ac:dyDescent="0.25">
      <c r="G427" s="7"/>
      <c r="H427" s="7"/>
      <c r="I427" s="7"/>
    </row>
    <row r="428" spans="7:9" x14ac:dyDescent="0.25">
      <c r="G428" s="7"/>
      <c r="H428" s="7"/>
      <c r="I428" s="7" t="s">
        <v>3971</v>
      </c>
    </row>
    <row r="429" spans="7:9" x14ac:dyDescent="0.25">
      <c r="G429" s="7"/>
      <c r="H429" s="7"/>
      <c r="I429" s="7"/>
    </row>
    <row r="430" spans="7:9" x14ac:dyDescent="0.25">
      <c r="G430" s="7"/>
      <c r="H430" s="7"/>
      <c r="I430" s="7"/>
    </row>
    <row r="431" spans="7:9" x14ac:dyDescent="0.25">
      <c r="G431" s="7"/>
      <c r="H431" s="7"/>
      <c r="I431" s="7"/>
    </row>
    <row r="432" spans="7:9" x14ac:dyDescent="0.25">
      <c r="G432" s="7"/>
      <c r="H432" s="7"/>
      <c r="I432" s="7"/>
    </row>
    <row r="433" spans="7:9" x14ac:dyDescent="0.25">
      <c r="G433" s="7"/>
      <c r="H433" s="7"/>
      <c r="I433" s="7"/>
    </row>
    <row r="434" spans="7:9" x14ac:dyDescent="0.25">
      <c r="G434" s="7"/>
      <c r="H434" s="7"/>
      <c r="I434" s="7"/>
    </row>
    <row r="435" spans="7:9" x14ac:dyDescent="0.25">
      <c r="G435" s="7"/>
      <c r="H435" s="7"/>
      <c r="I435" s="7"/>
    </row>
    <row r="436" spans="7:9" x14ac:dyDescent="0.25">
      <c r="G436" s="7"/>
      <c r="H436" s="7"/>
      <c r="I436" s="7"/>
    </row>
    <row r="437" spans="7:9" x14ac:dyDescent="0.25">
      <c r="G437" s="7"/>
      <c r="H437" s="7"/>
      <c r="I437" s="7"/>
    </row>
    <row r="438" spans="7:9" x14ac:dyDescent="0.25">
      <c r="G438" s="7"/>
      <c r="H438" s="7"/>
      <c r="I438" s="7"/>
    </row>
    <row r="439" spans="7:9" x14ac:dyDescent="0.25">
      <c r="G439" s="7"/>
      <c r="H439" s="7"/>
      <c r="I439" s="7"/>
    </row>
    <row r="440" spans="7:9" x14ac:dyDescent="0.25">
      <c r="G440" s="7"/>
      <c r="H440" s="7"/>
      <c r="I440" s="7"/>
    </row>
    <row r="441" spans="7:9" x14ac:dyDescent="0.25">
      <c r="G441" s="7"/>
      <c r="H441" s="7"/>
      <c r="I441" s="7"/>
    </row>
    <row r="442" spans="7:9" x14ac:dyDescent="0.25">
      <c r="G442" s="7"/>
      <c r="H442" s="7"/>
      <c r="I442" s="7"/>
    </row>
    <row r="443" spans="7:9" x14ac:dyDescent="0.25">
      <c r="G443" s="7"/>
      <c r="H443" s="7"/>
      <c r="I443" s="7"/>
    </row>
    <row r="444" spans="7:9" x14ac:dyDescent="0.25">
      <c r="G444" s="7"/>
      <c r="H444" s="7"/>
      <c r="I444" s="7"/>
    </row>
    <row r="445" spans="7:9" x14ac:dyDescent="0.25">
      <c r="G445" s="7"/>
      <c r="H445" s="7"/>
      <c r="I445" s="7"/>
    </row>
    <row r="446" spans="7:9" x14ac:dyDescent="0.25">
      <c r="G446" s="7"/>
      <c r="H446" s="7"/>
      <c r="I446" s="7"/>
    </row>
    <row r="447" spans="7:9" x14ac:dyDescent="0.25">
      <c r="G447" s="7"/>
      <c r="H447" s="7"/>
      <c r="I447" s="7"/>
    </row>
    <row r="448" spans="7:9" x14ac:dyDescent="0.25">
      <c r="G448" s="7"/>
      <c r="H448" s="7"/>
      <c r="I448" s="7"/>
    </row>
    <row r="449" spans="7:9" x14ac:dyDescent="0.25">
      <c r="G449" s="7"/>
      <c r="H449" s="7"/>
      <c r="I449" s="7"/>
    </row>
    <row r="450" spans="7:9" x14ac:dyDescent="0.25">
      <c r="G450" s="7"/>
      <c r="H450" s="7"/>
      <c r="I450" s="7"/>
    </row>
    <row r="451" spans="7:9" x14ac:dyDescent="0.25">
      <c r="G451" s="7"/>
      <c r="H451" s="7"/>
      <c r="I451" s="7"/>
    </row>
    <row r="452" spans="7:9" x14ac:dyDescent="0.25">
      <c r="G452" s="7"/>
      <c r="H452" s="7"/>
      <c r="I452" s="7"/>
    </row>
    <row r="453" spans="7:9" x14ac:dyDescent="0.25">
      <c r="G453" s="7"/>
      <c r="H453" s="7"/>
      <c r="I453" s="7"/>
    </row>
    <row r="454" spans="7:9" x14ac:dyDescent="0.25">
      <c r="G454" s="7"/>
      <c r="H454" s="7"/>
      <c r="I454" s="7"/>
    </row>
    <row r="455" spans="7:9" x14ac:dyDescent="0.25">
      <c r="G455" s="7"/>
      <c r="H455" s="7"/>
      <c r="I455" s="7"/>
    </row>
    <row r="456" spans="7:9" x14ac:dyDescent="0.25">
      <c r="G456" s="7"/>
      <c r="H456" s="7"/>
      <c r="I456" s="7"/>
    </row>
    <row r="457" spans="7:9" x14ac:dyDescent="0.25">
      <c r="G457" s="7"/>
      <c r="H457" s="7"/>
      <c r="I457" s="7"/>
    </row>
    <row r="458" spans="7:9" x14ac:dyDescent="0.25">
      <c r="G458" s="7"/>
      <c r="H458" s="7"/>
      <c r="I458" s="7"/>
    </row>
    <row r="459" spans="7:9" x14ac:dyDescent="0.25">
      <c r="G459" s="7"/>
      <c r="H459" s="7"/>
      <c r="I459" s="7"/>
    </row>
    <row r="460" spans="7:9" x14ac:dyDescent="0.25">
      <c r="G460" s="7"/>
      <c r="H460" s="7"/>
      <c r="I460" s="7"/>
    </row>
    <row r="461" spans="7:9" x14ac:dyDescent="0.25">
      <c r="G461" s="7"/>
      <c r="H461" s="7"/>
      <c r="I461" s="7"/>
    </row>
    <row r="462" spans="7:9" x14ac:dyDescent="0.25">
      <c r="G462" s="7"/>
      <c r="H462" s="7"/>
      <c r="I462" s="7"/>
    </row>
    <row r="463" spans="7:9" x14ac:dyDescent="0.25">
      <c r="G463" s="7"/>
      <c r="H463" s="7"/>
      <c r="I463" s="7"/>
    </row>
    <row r="464" spans="7:9" x14ac:dyDescent="0.25">
      <c r="G464" s="7"/>
      <c r="H464" s="7"/>
      <c r="I464" s="7" t="s">
        <v>3971</v>
      </c>
    </row>
    <row r="465" spans="7:9" x14ac:dyDescent="0.25">
      <c r="G465" s="7"/>
      <c r="H465" s="7"/>
      <c r="I465" s="7"/>
    </row>
    <row r="466" spans="7:9" x14ac:dyDescent="0.25">
      <c r="G466" s="7"/>
      <c r="H466" s="7"/>
      <c r="I466" s="7"/>
    </row>
    <row r="467" spans="7:9" x14ac:dyDescent="0.25">
      <c r="G467" s="7"/>
      <c r="H467" s="7"/>
      <c r="I467" s="7"/>
    </row>
    <row r="468" spans="7:9" x14ac:dyDescent="0.25">
      <c r="G468" s="7"/>
      <c r="H468" s="7"/>
      <c r="I468" s="7"/>
    </row>
    <row r="469" spans="7:9" x14ac:dyDescent="0.25">
      <c r="G469" s="7"/>
      <c r="H469" s="7"/>
      <c r="I469" s="7"/>
    </row>
    <row r="470" spans="7:9" x14ac:dyDescent="0.25">
      <c r="G470" s="7"/>
      <c r="H470" s="7"/>
      <c r="I470" s="7"/>
    </row>
    <row r="471" spans="7:9" x14ac:dyDescent="0.25">
      <c r="G471" s="7"/>
      <c r="H471" s="7"/>
      <c r="I471" s="7"/>
    </row>
    <row r="472" spans="7:9" x14ac:dyDescent="0.25">
      <c r="G472" s="7"/>
      <c r="H472" s="7"/>
      <c r="I472" s="7"/>
    </row>
    <row r="473" spans="7:9" x14ac:dyDescent="0.25">
      <c r="G473" s="7"/>
      <c r="H473" s="7"/>
      <c r="I473" s="7"/>
    </row>
    <row r="474" spans="7:9" x14ac:dyDescent="0.25">
      <c r="G474" s="7"/>
      <c r="H474" s="7"/>
      <c r="I474" s="7"/>
    </row>
    <row r="475" spans="7:9" x14ac:dyDescent="0.25">
      <c r="G475" s="7"/>
      <c r="H475" s="7"/>
      <c r="I475" s="7"/>
    </row>
    <row r="476" spans="7:9" x14ac:dyDescent="0.25">
      <c r="G476" s="7"/>
      <c r="H476" s="7"/>
      <c r="I476" s="7"/>
    </row>
    <row r="477" spans="7:9" x14ac:dyDescent="0.25">
      <c r="G477" s="7"/>
      <c r="H477" s="7"/>
      <c r="I477" s="7"/>
    </row>
    <row r="478" spans="7:9" x14ac:dyDescent="0.25">
      <c r="G478" s="7"/>
      <c r="H478" s="7"/>
      <c r="I478" s="7"/>
    </row>
    <row r="479" spans="7:9" x14ac:dyDescent="0.25">
      <c r="G479" s="7"/>
      <c r="H479" s="7"/>
      <c r="I479" s="7"/>
    </row>
    <row r="480" spans="7:9" x14ac:dyDescent="0.25">
      <c r="G480" s="7"/>
      <c r="H480" s="7"/>
      <c r="I480" s="7"/>
    </row>
    <row r="481" spans="7:9" x14ac:dyDescent="0.25">
      <c r="G481" s="7"/>
      <c r="H481" s="7"/>
      <c r="I481" s="7"/>
    </row>
    <row r="482" spans="7:9" x14ac:dyDescent="0.25">
      <c r="G482" s="7"/>
      <c r="H482" s="7"/>
      <c r="I482" s="7"/>
    </row>
    <row r="483" spans="7:9" x14ac:dyDescent="0.25">
      <c r="G483" s="7"/>
      <c r="H483" s="7"/>
      <c r="I483" s="7"/>
    </row>
    <row r="484" spans="7:9" x14ac:dyDescent="0.25">
      <c r="G484" s="7"/>
      <c r="H484" s="7"/>
      <c r="I484" s="7"/>
    </row>
    <row r="485" spans="7:9" x14ac:dyDescent="0.25">
      <c r="G485" s="7"/>
      <c r="H485" s="7"/>
      <c r="I485" s="7"/>
    </row>
    <row r="486" spans="7:9" x14ac:dyDescent="0.25">
      <c r="G486" s="7"/>
      <c r="H486" s="7"/>
      <c r="I486" s="7" t="s">
        <v>3971</v>
      </c>
    </row>
    <row r="487" spans="7:9" x14ac:dyDescent="0.25">
      <c r="G487" s="7"/>
      <c r="H487" s="7"/>
      <c r="I487" s="7"/>
    </row>
    <row r="488" spans="7:9" x14ac:dyDescent="0.25">
      <c r="G488" s="7"/>
      <c r="H488" s="7"/>
      <c r="I488" s="7"/>
    </row>
    <row r="489" spans="7:9" x14ac:dyDescent="0.25">
      <c r="G489" s="7"/>
      <c r="H489" s="7"/>
      <c r="I489" s="7"/>
    </row>
    <row r="490" spans="7:9" x14ac:dyDescent="0.25">
      <c r="G490" s="7"/>
      <c r="H490" s="7"/>
      <c r="I490" s="7"/>
    </row>
    <row r="491" spans="7:9" x14ac:dyDescent="0.25">
      <c r="G491" s="7"/>
      <c r="H491" s="7"/>
      <c r="I491" s="7"/>
    </row>
    <row r="492" spans="7:9" x14ac:dyDescent="0.25">
      <c r="G492" s="7"/>
      <c r="H492" s="7"/>
      <c r="I492" s="7"/>
    </row>
    <row r="493" spans="7:9" x14ac:dyDescent="0.25">
      <c r="G493" s="7"/>
      <c r="H493" s="7"/>
      <c r="I493" s="7"/>
    </row>
    <row r="494" spans="7:9" x14ac:dyDescent="0.25">
      <c r="G494" s="7"/>
      <c r="H494" s="7"/>
      <c r="I494" s="7"/>
    </row>
    <row r="495" spans="7:9" x14ac:dyDescent="0.25">
      <c r="G495" s="7"/>
      <c r="H495" s="7"/>
      <c r="I495" s="7"/>
    </row>
    <row r="496" spans="7:9" x14ac:dyDescent="0.25">
      <c r="G496" s="7"/>
      <c r="H496" s="7"/>
      <c r="I496" s="7"/>
    </row>
    <row r="497" spans="7:9" x14ac:dyDescent="0.25">
      <c r="G497" s="7"/>
      <c r="H497" s="7"/>
      <c r="I497" s="7"/>
    </row>
    <row r="498" spans="7:9" x14ac:dyDescent="0.25">
      <c r="G498" s="7"/>
      <c r="H498" s="7"/>
      <c r="I498" s="7"/>
    </row>
    <row r="499" spans="7:9" x14ac:dyDescent="0.25">
      <c r="G499" s="7"/>
      <c r="H499" s="7"/>
      <c r="I499" s="7"/>
    </row>
    <row r="500" spans="7:9" x14ac:dyDescent="0.25">
      <c r="G500" s="7"/>
      <c r="H500" s="7"/>
      <c r="I500" s="7"/>
    </row>
    <row r="501" spans="7:9" x14ac:dyDescent="0.25">
      <c r="G501" s="7"/>
      <c r="H501" s="7"/>
      <c r="I501" s="7"/>
    </row>
    <row r="502" spans="7:9" x14ac:dyDescent="0.25">
      <c r="G502" s="7"/>
      <c r="H502" s="7"/>
      <c r="I502" s="7"/>
    </row>
    <row r="503" spans="7:9" x14ac:dyDescent="0.25">
      <c r="G503" s="7"/>
      <c r="H503" s="7"/>
      <c r="I503" s="7"/>
    </row>
    <row r="504" spans="7:9" x14ac:dyDescent="0.25">
      <c r="G504" s="7"/>
      <c r="H504" s="7"/>
      <c r="I504" s="7"/>
    </row>
    <row r="505" spans="7:9" x14ac:dyDescent="0.25">
      <c r="G505" s="7"/>
      <c r="H505" s="7"/>
      <c r="I505" s="7"/>
    </row>
    <row r="506" spans="7:9" x14ac:dyDescent="0.25">
      <c r="G506" s="7"/>
      <c r="H506" s="7"/>
      <c r="I506" s="7"/>
    </row>
    <row r="507" spans="7:9" x14ac:dyDescent="0.25">
      <c r="G507" s="7"/>
      <c r="H507" s="7"/>
      <c r="I507" s="7"/>
    </row>
    <row r="508" spans="7:9" x14ac:dyDescent="0.25">
      <c r="G508" s="7"/>
      <c r="H508" s="7"/>
      <c r="I508" s="7"/>
    </row>
    <row r="509" spans="7:9" x14ac:dyDescent="0.25">
      <c r="G509" s="7"/>
      <c r="H509" s="7"/>
      <c r="I509" s="7"/>
    </row>
    <row r="510" spans="7:9" x14ac:dyDescent="0.25">
      <c r="G510" s="7"/>
      <c r="H510" s="7"/>
      <c r="I510" s="7"/>
    </row>
    <row r="511" spans="7:9" x14ac:dyDescent="0.25">
      <c r="G511" s="7"/>
      <c r="H511" s="7"/>
      <c r="I511" s="7"/>
    </row>
    <row r="512" spans="7:9" x14ac:dyDescent="0.25">
      <c r="G512" s="7"/>
      <c r="H512" s="7"/>
      <c r="I512" s="7"/>
    </row>
    <row r="513" spans="7:9" x14ac:dyDescent="0.25">
      <c r="G513" s="7"/>
      <c r="H513" s="7"/>
      <c r="I513" s="7"/>
    </row>
    <row r="514" spans="7:9" x14ac:dyDescent="0.25">
      <c r="G514" s="7"/>
      <c r="H514" s="7"/>
      <c r="I514" s="7"/>
    </row>
    <row r="515" spans="7:9" x14ac:dyDescent="0.25">
      <c r="G515" s="7"/>
      <c r="H515" s="7"/>
      <c r="I515" s="7"/>
    </row>
    <row r="516" spans="7:9" x14ac:dyDescent="0.25">
      <c r="G516" s="7"/>
      <c r="H516" s="7"/>
      <c r="I516" s="7"/>
    </row>
    <row r="517" spans="7:9" x14ac:dyDescent="0.25">
      <c r="G517" s="7"/>
      <c r="H517" s="7"/>
      <c r="I517" s="7"/>
    </row>
    <row r="518" spans="7:9" x14ac:dyDescent="0.25">
      <c r="G518" s="7"/>
      <c r="H518" s="7"/>
      <c r="I518" s="7"/>
    </row>
    <row r="519" spans="7:9" x14ac:dyDescent="0.25">
      <c r="G519" s="7"/>
      <c r="H519" s="7"/>
      <c r="I519" s="7"/>
    </row>
    <row r="520" spans="7:9" x14ac:dyDescent="0.25">
      <c r="G520" s="7"/>
      <c r="H520" s="7"/>
      <c r="I520" s="7"/>
    </row>
    <row r="521" spans="7:9" x14ac:dyDescent="0.25">
      <c r="G521" s="7"/>
      <c r="H521" s="7"/>
      <c r="I521" s="7"/>
    </row>
    <row r="522" spans="7:9" x14ac:dyDescent="0.25">
      <c r="G522" s="7"/>
      <c r="H522" s="7"/>
      <c r="I522" s="7"/>
    </row>
    <row r="523" spans="7:9" x14ac:dyDescent="0.25">
      <c r="G523" s="7"/>
      <c r="H523" s="7"/>
      <c r="I523" s="7"/>
    </row>
    <row r="524" spans="7:9" x14ac:dyDescent="0.25">
      <c r="G524" s="7"/>
      <c r="H524" s="7"/>
      <c r="I524" s="7"/>
    </row>
    <row r="525" spans="7:9" x14ac:dyDescent="0.25">
      <c r="G525" s="7"/>
      <c r="H525" s="7"/>
      <c r="I525" s="7"/>
    </row>
    <row r="526" spans="7:9" x14ac:dyDescent="0.25">
      <c r="G526" s="7"/>
      <c r="H526" s="7"/>
      <c r="I526" s="7"/>
    </row>
    <row r="527" spans="7:9" x14ac:dyDescent="0.25">
      <c r="G527" s="7"/>
      <c r="H527" s="7"/>
      <c r="I527" s="7"/>
    </row>
    <row r="528" spans="7:9" x14ac:dyDescent="0.25">
      <c r="G528" s="7"/>
      <c r="H528" s="7"/>
      <c r="I528" s="7"/>
    </row>
    <row r="529" spans="7:9" x14ac:dyDescent="0.25">
      <c r="G529" s="7"/>
      <c r="H529" s="7"/>
      <c r="I529" s="7"/>
    </row>
    <row r="530" spans="7:9" x14ac:dyDescent="0.25">
      <c r="G530" s="7"/>
      <c r="H530" s="7"/>
      <c r="I530" s="7"/>
    </row>
    <row r="531" spans="7:9" x14ac:dyDescent="0.25">
      <c r="G531" s="7"/>
      <c r="H531" s="7"/>
      <c r="I531" s="7"/>
    </row>
    <row r="532" spans="7:9" x14ac:dyDescent="0.25">
      <c r="G532" s="7"/>
      <c r="H532" s="7"/>
      <c r="I532" s="7"/>
    </row>
    <row r="533" spans="7:9" x14ac:dyDescent="0.25">
      <c r="G533" s="7"/>
      <c r="H533" s="7"/>
      <c r="I533" s="7"/>
    </row>
    <row r="534" spans="7:9" x14ac:dyDescent="0.25">
      <c r="G534" s="7"/>
      <c r="H534" s="7"/>
      <c r="I534" s="7"/>
    </row>
    <row r="535" spans="7:9" x14ac:dyDescent="0.25">
      <c r="G535" s="7"/>
      <c r="H535" s="7"/>
      <c r="I535" s="7"/>
    </row>
    <row r="536" spans="7:9" x14ac:dyDescent="0.25">
      <c r="G536" s="7"/>
      <c r="H536" s="7"/>
      <c r="I536" s="7"/>
    </row>
    <row r="537" spans="7:9" x14ac:dyDescent="0.25">
      <c r="G537" s="7"/>
      <c r="H537" s="7"/>
      <c r="I537" s="7"/>
    </row>
    <row r="538" spans="7:9" x14ac:dyDescent="0.25">
      <c r="G538" s="7"/>
      <c r="H538" s="7"/>
      <c r="I538" s="7"/>
    </row>
    <row r="539" spans="7:9" x14ac:dyDescent="0.25">
      <c r="G539" s="7"/>
      <c r="H539" s="7"/>
      <c r="I539" s="7"/>
    </row>
    <row r="540" spans="7:9" x14ac:dyDescent="0.25">
      <c r="G540" s="7"/>
      <c r="H540" s="7"/>
      <c r="I540" s="7"/>
    </row>
    <row r="541" spans="7:9" x14ac:dyDescent="0.25">
      <c r="G541" s="7"/>
      <c r="H541" s="7"/>
      <c r="I541" s="7"/>
    </row>
    <row r="542" spans="7:9" x14ac:dyDescent="0.25">
      <c r="G542" s="7"/>
      <c r="H542" s="7"/>
      <c r="I542" s="7"/>
    </row>
    <row r="543" spans="7:9" x14ac:dyDescent="0.25">
      <c r="G543" s="7"/>
      <c r="H543" s="7"/>
      <c r="I543" s="7"/>
    </row>
    <row r="544" spans="7:9" x14ac:dyDescent="0.25">
      <c r="G544" s="7"/>
      <c r="H544" s="7"/>
      <c r="I544" s="7"/>
    </row>
    <row r="545" spans="7:9" x14ac:dyDescent="0.25">
      <c r="G545" s="7"/>
      <c r="H545" s="7"/>
      <c r="I545" s="7"/>
    </row>
    <row r="546" spans="7:9" x14ac:dyDescent="0.25">
      <c r="G546" s="7"/>
      <c r="H546" s="7"/>
      <c r="I546" s="7"/>
    </row>
    <row r="547" spans="7:9" x14ac:dyDescent="0.25">
      <c r="G547" s="7"/>
      <c r="H547" s="7"/>
      <c r="I547" s="7"/>
    </row>
    <row r="548" spans="7:9" x14ac:dyDescent="0.25">
      <c r="G548" s="7"/>
      <c r="H548" s="7"/>
      <c r="I548" s="7"/>
    </row>
    <row r="549" spans="7:9" x14ac:dyDescent="0.25">
      <c r="G549" s="7"/>
      <c r="H549" s="7"/>
      <c r="I549" s="7"/>
    </row>
    <row r="550" spans="7:9" x14ac:dyDescent="0.25">
      <c r="G550" s="7"/>
      <c r="H550" s="7"/>
      <c r="I550" s="7"/>
    </row>
    <row r="551" spans="7:9" x14ac:dyDescent="0.25">
      <c r="G551" s="7"/>
      <c r="H551" s="7"/>
      <c r="I551" s="7"/>
    </row>
    <row r="552" spans="7:9" x14ac:dyDescent="0.25">
      <c r="G552" s="7"/>
      <c r="H552" s="7"/>
      <c r="I552" s="7"/>
    </row>
    <row r="553" spans="7:9" x14ac:dyDescent="0.25">
      <c r="G553" s="7"/>
      <c r="H553" s="7"/>
      <c r="I553" s="7"/>
    </row>
    <row r="554" spans="7:9" x14ac:dyDescent="0.25">
      <c r="G554" s="7"/>
      <c r="H554" s="7"/>
      <c r="I554" s="7"/>
    </row>
    <row r="555" spans="7:9" x14ac:dyDescent="0.25">
      <c r="G555" s="7"/>
      <c r="H555" s="7"/>
      <c r="I555" s="7"/>
    </row>
    <row r="556" spans="7:9" x14ac:dyDescent="0.25">
      <c r="G556" s="7"/>
      <c r="H556" s="7"/>
      <c r="I556" s="7"/>
    </row>
    <row r="557" spans="7:9" x14ac:dyDescent="0.25">
      <c r="G557" s="7"/>
      <c r="H557" s="7"/>
      <c r="I557" s="7"/>
    </row>
    <row r="558" spans="7:9" x14ac:dyDescent="0.25">
      <c r="G558" s="7"/>
      <c r="H558" s="7"/>
      <c r="I558" s="7"/>
    </row>
    <row r="559" spans="7:9" x14ac:dyDescent="0.25">
      <c r="G559" s="7"/>
      <c r="H559" s="7"/>
      <c r="I559" s="7"/>
    </row>
    <row r="560" spans="7:9" x14ac:dyDescent="0.25">
      <c r="G560" s="7"/>
      <c r="H560" s="7"/>
      <c r="I560" s="7"/>
    </row>
    <row r="561" spans="7:9" x14ac:dyDescent="0.25">
      <c r="G561" s="7"/>
      <c r="H561" s="7"/>
      <c r="I561" s="7"/>
    </row>
    <row r="562" spans="7:9" x14ac:dyDescent="0.25">
      <c r="G562" s="7"/>
      <c r="H562" s="7"/>
      <c r="I562" s="7"/>
    </row>
    <row r="563" spans="7:9" x14ac:dyDescent="0.25">
      <c r="G563" s="7"/>
      <c r="H563" s="7"/>
      <c r="I563" s="7"/>
    </row>
    <row r="564" spans="7:9" x14ac:dyDescent="0.25">
      <c r="G564" s="7"/>
      <c r="H564" s="7"/>
      <c r="I564" s="7"/>
    </row>
    <row r="565" spans="7:9" x14ac:dyDescent="0.25">
      <c r="G565" s="7"/>
      <c r="H565" s="7"/>
      <c r="I565" s="7"/>
    </row>
    <row r="566" spans="7:9" x14ac:dyDescent="0.25">
      <c r="G566" s="7"/>
      <c r="H566" s="7"/>
      <c r="I566" s="7"/>
    </row>
    <row r="567" spans="7:9" x14ac:dyDescent="0.25">
      <c r="G567" s="7"/>
      <c r="H567" s="7"/>
      <c r="I567" s="7"/>
    </row>
    <row r="568" spans="7:9" x14ac:dyDescent="0.25">
      <c r="G568" s="7"/>
      <c r="H568" s="7"/>
      <c r="I568" s="7"/>
    </row>
    <row r="569" spans="7:9" x14ac:dyDescent="0.25">
      <c r="G569" s="7"/>
      <c r="H569" s="7"/>
      <c r="I569" s="7"/>
    </row>
    <row r="570" spans="7:9" x14ac:dyDescent="0.25">
      <c r="G570" s="7"/>
      <c r="H570" s="7"/>
      <c r="I570" s="7"/>
    </row>
    <row r="571" spans="7:9" x14ac:dyDescent="0.25">
      <c r="G571" s="7"/>
      <c r="H571" s="7"/>
      <c r="I571" s="7"/>
    </row>
    <row r="572" spans="7:9" x14ac:dyDescent="0.25">
      <c r="G572" s="7"/>
      <c r="H572" s="7"/>
      <c r="I572" s="7"/>
    </row>
    <row r="573" spans="7:9" x14ac:dyDescent="0.25">
      <c r="G573" s="7"/>
      <c r="H573" s="7"/>
      <c r="I573" s="7"/>
    </row>
    <row r="574" spans="7:9" x14ac:dyDescent="0.25">
      <c r="G574" s="7"/>
      <c r="H574" s="7"/>
      <c r="I574" s="7"/>
    </row>
    <row r="575" spans="7:9" x14ac:dyDescent="0.25">
      <c r="G575" s="7"/>
      <c r="H575" s="7"/>
      <c r="I575" s="7"/>
    </row>
    <row r="576" spans="7:9" x14ac:dyDescent="0.25">
      <c r="G576" s="7"/>
      <c r="H576" s="7"/>
      <c r="I576" s="7"/>
    </row>
    <row r="577" spans="7:9" x14ac:dyDescent="0.25">
      <c r="G577" s="7"/>
      <c r="H577" s="7"/>
      <c r="I577" s="7"/>
    </row>
    <row r="578" spans="7:9" x14ac:dyDescent="0.25">
      <c r="G578" s="7"/>
      <c r="H578" s="7"/>
      <c r="I578" s="7"/>
    </row>
    <row r="579" spans="7:9" x14ac:dyDescent="0.25">
      <c r="G579" s="7"/>
      <c r="H579" s="7"/>
      <c r="I579" s="7"/>
    </row>
    <row r="580" spans="7:9" x14ac:dyDescent="0.25">
      <c r="G580" s="7"/>
      <c r="H580" s="7"/>
      <c r="I580" s="7"/>
    </row>
    <row r="581" spans="7:9" x14ac:dyDescent="0.25">
      <c r="G581" s="7"/>
      <c r="H581" s="7"/>
      <c r="I581" s="7"/>
    </row>
    <row r="582" spans="7:9" x14ac:dyDescent="0.25">
      <c r="G582" s="7"/>
      <c r="H582" s="7"/>
      <c r="I582" s="7"/>
    </row>
    <row r="583" spans="7:9" x14ac:dyDescent="0.25">
      <c r="G583" s="7"/>
      <c r="H583" s="7"/>
      <c r="I583" s="7"/>
    </row>
    <row r="584" spans="7:9" x14ac:dyDescent="0.25">
      <c r="G584" s="7"/>
      <c r="H584" s="7"/>
      <c r="I584" s="7"/>
    </row>
    <row r="585" spans="7:9" x14ac:dyDescent="0.25">
      <c r="G585" s="7"/>
      <c r="H585" s="7"/>
      <c r="I585" s="7"/>
    </row>
    <row r="586" spans="7:9" x14ac:dyDescent="0.25">
      <c r="G586" s="7"/>
      <c r="H586" s="7"/>
      <c r="I586" s="7"/>
    </row>
    <row r="587" spans="7:9" x14ac:dyDescent="0.25">
      <c r="G587" s="7"/>
      <c r="H587" s="7"/>
      <c r="I587" s="7"/>
    </row>
    <row r="588" spans="7:9" x14ac:dyDescent="0.25">
      <c r="G588" s="7"/>
      <c r="H588" s="7"/>
      <c r="I588" s="7"/>
    </row>
    <row r="589" spans="7:9" x14ac:dyDescent="0.25">
      <c r="G589" s="7"/>
      <c r="H589" s="7"/>
      <c r="I589" s="7"/>
    </row>
    <row r="590" spans="7:9" x14ac:dyDescent="0.25">
      <c r="G590" s="7"/>
      <c r="H590" s="7"/>
      <c r="I590" s="7"/>
    </row>
    <row r="591" spans="7:9" x14ac:dyDescent="0.25">
      <c r="G591" s="7"/>
      <c r="H591" s="7"/>
      <c r="I591" s="7"/>
    </row>
    <row r="592" spans="7:9" x14ac:dyDescent="0.25">
      <c r="G592" s="7"/>
      <c r="H592" s="7"/>
      <c r="I592" s="7"/>
    </row>
    <row r="593" spans="7:9" x14ac:dyDescent="0.25">
      <c r="G593" s="7"/>
      <c r="H593" s="7"/>
      <c r="I593" s="7"/>
    </row>
    <row r="594" spans="7:9" x14ac:dyDescent="0.25">
      <c r="G594" s="7"/>
      <c r="H594" s="7"/>
      <c r="I594" s="7"/>
    </row>
    <row r="595" spans="7:9" x14ac:dyDescent="0.25">
      <c r="G595" s="7"/>
      <c r="H595" s="7"/>
      <c r="I595" s="7"/>
    </row>
    <row r="596" spans="7:9" x14ac:dyDescent="0.25">
      <c r="G596" s="7"/>
      <c r="H596" s="7"/>
      <c r="I596" s="7"/>
    </row>
    <row r="597" spans="7:9" x14ac:dyDescent="0.25">
      <c r="G597" s="7"/>
      <c r="H597" s="7"/>
      <c r="I597" s="7"/>
    </row>
    <row r="598" spans="7:9" x14ac:dyDescent="0.25">
      <c r="G598" s="7"/>
      <c r="H598" s="7"/>
      <c r="I598" s="7"/>
    </row>
    <row r="599" spans="7:9" x14ac:dyDescent="0.25">
      <c r="G599" s="7"/>
      <c r="H599" s="7"/>
      <c r="I599" s="7"/>
    </row>
    <row r="600" spans="7:9" x14ac:dyDescent="0.25">
      <c r="G600" s="7"/>
      <c r="H600" s="7"/>
      <c r="I600" s="7"/>
    </row>
    <row r="601" spans="7:9" x14ac:dyDescent="0.25">
      <c r="G601" s="7"/>
      <c r="H601" s="7"/>
      <c r="I601" s="7"/>
    </row>
    <row r="602" spans="7:9" x14ac:dyDescent="0.25">
      <c r="G602" s="7"/>
      <c r="H602" s="7"/>
      <c r="I602" s="7"/>
    </row>
    <row r="603" spans="7:9" x14ac:dyDescent="0.25">
      <c r="G603" s="7"/>
      <c r="H603" s="7"/>
      <c r="I603" s="7"/>
    </row>
    <row r="604" spans="7:9" x14ac:dyDescent="0.25">
      <c r="G604" s="7"/>
      <c r="H604" s="7"/>
      <c r="I604" s="7"/>
    </row>
    <row r="605" spans="7:9" x14ac:dyDescent="0.25">
      <c r="G605" s="7"/>
      <c r="H605" s="7"/>
      <c r="I605" s="7"/>
    </row>
    <row r="606" spans="7:9" x14ac:dyDescent="0.25">
      <c r="G606" s="7"/>
      <c r="H606" s="7"/>
      <c r="I606" s="7"/>
    </row>
    <row r="607" spans="7:9" x14ac:dyDescent="0.25">
      <c r="G607" s="7"/>
      <c r="H607" s="7"/>
      <c r="I607" s="7"/>
    </row>
    <row r="608" spans="7:9" x14ac:dyDescent="0.25">
      <c r="G608" s="7"/>
      <c r="H608" s="7"/>
      <c r="I608" s="7"/>
    </row>
    <row r="609" spans="7:9" x14ac:dyDescent="0.25">
      <c r="G609" s="7"/>
      <c r="H609" s="7"/>
      <c r="I609" s="7"/>
    </row>
    <row r="610" spans="7:9" x14ac:dyDescent="0.25">
      <c r="G610" s="7"/>
      <c r="H610" s="7"/>
      <c r="I610" s="7"/>
    </row>
    <row r="611" spans="7:9" x14ac:dyDescent="0.25">
      <c r="G611" s="7"/>
      <c r="H611" s="7"/>
      <c r="I611" s="7"/>
    </row>
    <row r="612" spans="7:9" x14ac:dyDescent="0.25">
      <c r="G612" s="7"/>
      <c r="H612" s="7"/>
      <c r="I612" s="7"/>
    </row>
    <row r="613" spans="7:9" x14ac:dyDescent="0.25">
      <c r="G613" s="7"/>
      <c r="H613" s="7"/>
      <c r="I613" s="7"/>
    </row>
    <row r="614" spans="7:9" x14ac:dyDescent="0.25">
      <c r="G614" s="7"/>
      <c r="H614" s="7"/>
      <c r="I614" s="7"/>
    </row>
    <row r="615" spans="7:9" x14ac:dyDescent="0.25">
      <c r="G615" s="7"/>
      <c r="H615" s="7"/>
      <c r="I615" s="7"/>
    </row>
    <row r="616" spans="7:9" x14ac:dyDescent="0.25">
      <c r="G616" s="7"/>
      <c r="H616" s="7"/>
      <c r="I616" s="7"/>
    </row>
    <row r="617" spans="7:9" x14ac:dyDescent="0.25">
      <c r="G617" s="7"/>
      <c r="H617" s="7"/>
      <c r="I617" s="7"/>
    </row>
    <row r="618" spans="7:9" x14ac:dyDescent="0.25">
      <c r="G618" s="7"/>
      <c r="H618" s="7"/>
      <c r="I618" s="7"/>
    </row>
    <row r="619" spans="7:9" x14ac:dyDescent="0.25">
      <c r="G619" s="7"/>
      <c r="H619" s="7"/>
      <c r="I619" s="7"/>
    </row>
    <row r="620" spans="7:9" x14ac:dyDescent="0.25">
      <c r="G620" s="7"/>
      <c r="H620" s="7"/>
      <c r="I620" s="7"/>
    </row>
    <row r="621" spans="7:9" x14ac:dyDescent="0.25">
      <c r="G621" s="7"/>
      <c r="H621" s="7"/>
      <c r="I621" s="7"/>
    </row>
    <row r="622" spans="7:9" x14ac:dyDescent="0.25">
      <c r="G622" s="7"/>
      <c r="H622" s="7"/>
      <c r="I622" s="7"/>
    </row>
    <row r="623" spans="7:9" x14ac:dyDescent="0.25">
      <c r="G623" s="7"/>
      <c r="H623" s="7"/>
      <c r="I623" s="7"/>
    </row>
    <row r="624" spans="7:9" x14ac:dyDescent="0.25">
      <c r="G624" s="7"/>
      <c r="H624" s="7"/>
      <c r="I624" s="7"/>
    </row>
    <row r="625" spans="7:9" x14ac:dyDescent="0.25">
      <c r="G625" s="7"/>
      <c r="H625" s="7"/>
      <c r="I625" s="7"/>
    </row>
    <row r="626" spans="7:9" x14ac:dyDescent="0.25">
      <c r="G626" s="7"/>
      <c r="H626" s="7"/>
      <c r="I626" s="7"/>
    </row>
    <row r="627" spans="7:9" x14ac:dyDescent="0.25">
      <c r="G627" s="7"/>
      <c r="H627" s="7"/>
      <c r="I627" s="7"/>
    </row>
    <row r="628" spans="7:9" x14ac:dyDescent="0.25">
      <c r="G628" s="7"/>
      <c r="H628" s="7"/>
      <c r="I628" s="7"/>
    </row>
    <row r="629" spans="7:9" x14ac:dyDescent="0.25">
      <c r="G629" s="7"/>
      <c r="H629" s="7"/>
      <c r="I629" s="7"/>
    </row>
    <row r="630" spans="7:9" x14ac:dyDescent="0.25">
      <c r="G630" s="7"/>
      <c r="H630" s="7"/>
      <c r="I630" s="7"/>
    </row>
    <row r="631" spans="7:9" x14ac:dyDescent="0.25">
      <c r="G631" s="7"/>
      <c r="H631" s="7"/>
      <c r="I631" s="7"/>
    </row>
    <row r="632" spans="7:9" x14ac:dyDescent="0.25">
      <c r="G632" s="7"/>
      <c r="H632" s="7"/>
      <c r="I632" s="7"/>
    </row>
    <row r="633" spans="7:9" x14ac:dyDescent="0.25">
      <c r="G633" s="7"/>
      <c r="H633" s="7"/>
      <c r="I633" s="7"/>
    </row>
    <row r="634" spans="7:9" x14ac:dyDescent="0.25">
      <c r="G634" s="7"/>
      <c r="H634" s="7"/>
      <c r="I634" s="7"/>
    </row>
    <row r="635" spans="7:9" x14ac:dyDescent="0.25">
      <c r="G635" s="7"/>
      <c r="H635" s="7"/>
      <c r="I635" s="7"/>
    </row>
    <row r="636" spans="7:9" x14ac:dyDescent="0.25">
      <c r="G636" s="7"/>
      <c r="H636" s="7"/>
      <c r="I636" s="7"/>
    </row>
    <row r="637" spans="7:9" x14ac:dyDescent="0.25">
      <c r="G637" s="7"/>
      <c r="H637" s="7"/>
      <c r="I637" s="7"/>
    </row>
    <row r="638" spans="7:9" x14ac:dyDescent="0.25">
      <c r="G638" s="7"/>
      <c r="H638" s="7"/>
      <c r="I638" s="7"/>
    </row>
    <row r="639" spans="7:9" x14ac:dyDescent="0.25">
      <c r="G639" s="7"/>
      <c r="H639" s="7"/>
      <c r="I639" s="7"/>
    </row>
    <row r="640" spans="7:9" x14ac:dyDescent="0.25">
      <c r="G640" s="7"/>
      <c r="H640" s="7"/>
      <c r="I640" s="7"/>
    </row>
    <row r="641" spans="7:9" x14ac:dyDescent="0.25">
      <c r="G641" s="7"/>
      <c r="H641" s="7"/>
      <c r="I641" s="7"/>
    </row>
    <row r="642" spans="7:9" x14ac:dyDescent="0.25">
      <c r="G642" s="7"/>
      <c r="H642" s="7"/>
      <c r="I642" s="7"/>
    </row>
    <row r="643" spans="7:9" x14ac:dyDescent="0.25">
      <c r="G643" s="7"/>
      <c r="H643" s="7"/>
      <c r="I643" s="7"/>
    </row>
    <row r="644" spans="7:9" x14ac:dyDescent="0.25">
      <c r="G644" s="7"/>
      <c r="H644" s="7"/>
      <c r="I644" s="7"/>
    </row>
    <row r="645" spans="7:9" x14ac:dyDescent="0.25">
      <c r="G645" s="7"/>
      <c r="H645" s="7"/>
      <c r="I645" s="7"/>
    </row>
    <row r="646" spans="7:9" x14ac:dyDescent="0.25">
      <c r="G646" s="7"/>
      <c r="H646" s="7"/>
      <c r="I646" s="7"/>
    </row>
    <row r="647" spans="7:9" x14ac:dyDescent="0.25">
      <c r="G647" s="7"/>
      <c r="H647" s="7"/>
      <c r="I647" s="7"/>
    </row>
    <row r="648" spans="7:9" x14ac:dyDescent="0.25">
      <c r="G648" s="7"/>
      <c r="H648" s="7"/>
      <c r="I648" s="7"/>
    </row>
    <row r="649" spans="7:9" x14ac:dyDescent="0.25">
      <c r="G649" s="7"/>
      <c r="H649" s="7"/>
      <c r="I649" s="7"/>
    </row>
    <row r="650" spans="7:9" x14ac:dyDescent="0.25">
      <c r="G650" s="7"/>
      <c r="H650" s="7"/>
      <c r="I650" s="7"/>
    </row>
    <row r="651" spans="7:9" x14ac:dyDescent="0.25">
      <c r="G651" s="7"/>
      <c r="H651" s="7"/>
      <c r="I651" s="7"/>
    </row>
    <row r="652" spans="7:9" x14ac:dyDescent="0.25">
      <c r="G652" s="7"/>
      <c r="H652" s="7"/>
      <c r="I652" s="7"/>
    </row>
    <row r="653" spans="7:9" x14ac:dyDescent="0.25">
      <c r="G653" s="7"/>
      <c r="H653" s="7"/>
      <c r="I653" s="7"/>
    </row>
    <row r="654" spans="7:9" x14ac:dyDescent="0.25">
      <c r="G654" s="7"/>
      <c r="H654" s="7"/>
      <c r="I654" s="7"/>
    </row>
    <row r="655" spans="7:9" x14ac:dyDescent="0.25">
      <c r="G655" s="7"/>
      <c r="H655" s="7"/>
      <c r="I655" s="7"/>
    </row>
    <row r="656" spans="7:9" x14ac:dyDescent="0.25">
      <c r="G656" s="7"/>
      <c r="H656" s="7"/>
      <c r="I656" s="7"/>
    </row>
    <row r="657" spans="7:9" x14ac:dyDescent="0.25">
      <c r="G657" s="7"/>
      <c r="H657" s="7"/>
      <c r="I657" s="7"/>
    </row>
    <row r="658" spans="7:9" x14ac:dyDescent="0.25">
      <c r="G658" s="7"/>
      <c r="H658" s="7"/>
      <c r="I658" s="7"/>
    </row>
    <row r="659" spans="7:9" x14ac:dyDescent="0.25">
      <c r="G659" s="7"/>
      <c r="H659" s="7"/>
      <c r="I659" s="7"/>
    </row>
    <row r="660" spans="7:9" x14ac:dyDescent="0.25">
      <c r="G660" s="7"/>
      <c r="H660" s="7"/>
      <c r="I660" s="7"/>
    </row>
    <row r="661" spans="7:9" x14ac:dyDescent="0.25">
      <c r="G661" s="7"/>
      <c r="H661" s="7"/>
      <c r="I661" s="7"/>
    </row>
    <row r="662" spans="7:9" x14ac:dyDescent="0.25">
      <c r="G662" s="7"/>
      <c r="H662" s="7"/>
      <c r="I662" s="7"/>
    </row>
    <row r="663" spans="7:9" x14ac:dyDescent="0.25">
      <c r="G663" s="7"/>
      <c r="H663" s="7"/>
      <c r="I663" s="7"/>
    </row>
    <row r="664" spans="7:9" x14ac:dyDescent="0.25">
      <c r="G664" s="7"/>
      <c r="H664" s="7"/>
      <c r="I664" s="7"/>
    </row>
    <row r="665" spans="7:9" x14ac:dyDescent="0.25">
      <c r="G665" s="7"/>
      <c r="H665" s="7"/>
      <c r="I665" s="7"/>
    </row>
    <row r="666" spans="7:9" x14ac:dyDescent="0.25">
      <c r="G666" s="7"/>
      <c r="H666" s="7"/>
      <c r="I666" s="7"/>
    </row>
    <row r="667" spans="7:9" x14ac:dyDescent="0.25">
      <c r="G667" s="7"/>
      <c r="H667" s="7"/>
      <c r="I667" s="7"/>
    </row>
    <row r="668" spans="7:9" x14ac:dyDescent="0.25">
      <c r="G668" s="7"/>
      <c r="H668" s="7"/>
      <c r="I668" s="7"/>
    </row>
    <row r="669" spans="7:9" x14ac:dyDescent="0.25">
      <c r="G669" s="7"/>
      <c r="H669" s="7"/>
      <c r="I669" s="7"/>
    </row>
    <row r="670" spans="7:9" x14ac:dyDescent="0.25">
      <c r="G670" s="7"/>
      <c r="H670" s="7"/>
      <c r="I670" s="7"/>
    </row>
    <row r="671" spans="7:9" x14ac:dyDescent="0.25">
      <c r="G671" s="7"/>
      <c r="H671" s="7"/>
      <c r="I671" s="7"/>
    </row>
    <row r="672" spans="7:9" x14ac:dyDescent="0.25">
      <c r="G672" s="7"/>
      <c r="H672" s="7"/>
      <c r="I672" s="7"/>
    </row>
    <row r="673" spans="7:9" x14ac:dyDescent="0.25">
      <c r="G673" s="7"/>
      <c r="H673" s="7"/>
      <c r="I673" s="7"/>
    </row>
    <row r="674" spans="7:9" x14ac:dyDescent="0.25">
      <c r="G674" s="7"/>
      <c r="H674" s="7"/>
      <c r="I674" s="7"/>
    </row>
    <row r="675" spans="7:9" x14ac:dyDescent="0.25">
      <c r="G675" s="7"/>
      <c r="H675" s="7"/>
      <c r="I675" s="7"/>
    </row>
    <row r="676" spans="7:9" x14ac:dyDescent="0.25">
      <c r="G676" s="7"/>
      <c r="H676" s="7"/>
      <c r="I676" s="7"/>
    </row>
    <row r="677" spans="7:9" x14ac:dyDescent="0.25">
      <c r="G677" s="7"/>
      <c r="H677" s="7"/>
      <c r="I677" s="7"/>
    </row>
    <row r="678" spans="7:9" x14ac:dyDescent="0.25">
      <c r="G678" s="7"/>
      <c r="H678" s="7"/>
      <c r="I678" s="7"/>
    </row>
    <row r="679" spans="7:9" x14ac:dyDescent="0.25">
      <c r="G679" s="7"/>
      <c r="H679" s="7"/>
      <c r="I679" s="7"/>
    </row>
    <row r="680" spans="7:9" x14ac:dyDescent="0.25">
      <c r="G680" s="7"/>
      <c r="H680" s="7"/>
      <c r="I680" s="7"/>
    </row>
    <row r="681" spans="7:9" x14ac:dyDescent="0.25">
      <c r="G681" s="7"/>
      <c r="H681" s="7"/>
      <c r="I681" s="7"/>
    </row>
    <row r="682" spans="7:9" x14ac:dyDescent="0.25">
      <c r="G682" s="7"/>
      <c r="H682" s="7"/>
      <c r="I682" s="7"/>
    </row>
    <row r="683" spans="7:9" x14ac:dyDescent="0.25">
      <c r="G683" s="7"/>
      <c r="H683" s="7"/>
      <c r="I683" s="7"/>
    </row>
    <row r="684" spans="7:9" x14ac:dyDescent="0.25">
      <c r="G684" s="7"/>
      <c r="H684" s="7"/>
      <c r="I684" s="7"/>
    </row>
    <row r="685" spans="7:9" x14ac:dyDescent="0.25">
      <c r="G685" s="7"/>
      <c r="H685" s="7"/>
      <c r="I685" s="7"/>
    </row>
    <row r="686" spans="7:9" x14ac:dyDescent="0.25">
      <c r="G686" s="7"/>
      <c r="H686" s="7"/>
      <c r="I686" s="7"/>
    </row>
    <row r="687" spans="7:9" x14ac:dyDescent="0.25">
      <c r="G687" s="7"/>
      <c r="H687" s="7"/>
      <c r="I687" s="7"/>
    </row>
    <row r="688" spans="7:9" x14ac:dyDescent="0.25">
      <c r="G688" s="7"/>
      <c r="H688" s="7"/>
      <c r="I688" s="7"/>
    </row>
    <row r="689" spans="7:9" x14ac:dyDescent="0.25">
      <c r="G689" s="7"/>
      <c r="H689" s="7"/>
      <c r="I689" s="7"/>
    </row>
    <row r="690" spans="7:9" x14ac:dyDescent="0.25">
      <c r="G690" s="7"/>
      <c r="H690" s="7"/>
      <c r="I690" s="7"/>
    </row>
    <row r="691" spans="7:9" x14ac:dyDescent="0.25">
      <c r="G691" s="7"/>
      <c r="H691" s="7"/>
      <c r="I691" s="7"/>
    </row>
    <row r="692" spans="7:9" x14ac:dyDescent="0.25">
      <c r="G692" s="7"/>
      <c r="H692" s="7"/>
      <c r="I692" s="7"/>
    </row>
    <row r="693" spans="7:9" x14ac:dyDescent="0.25">
      <c r="G693" s="7"/>
      <c r="H693" s="7"/>
      <c r="I693" s="7"/>
    </row>
    <row r="694" spans="7:9" x14ac:dyDescent="0.25">
      <c r="G694" s="7"/>
      <c r="H694" s="7"/>
      <c r="I694" s="7"/>
    </row>
    <row r="695" spans="7:9" x14ac:dyDescent="0.25">
      <c r="G695" s="7"/>
      <c r="H695" s="7"/>
      <c r="I695" s="7"/>
    </row>
    <row r="696" spans="7:9" x14ac:dyDescent="0.25">
      <c r="G696" s="7"/>
      <c r="H696" s="7"/>
      <c r="I696" s="7"/>
    </row>
    <row r="697" spans="7:9" x14ac:dyDescent="0.25">
      <c r="G697" s="7"/>
      <c r="H697" s="7"/>
      <c r="I697" s="7"/>
    </row>
    <row r="698" spans="7:9" x14ac:dyDescent="0.25">
      <c r="G698" s="7"/>
      <c r="H698" s="7"/>
      <c r="I698" s="7"/>
    </row>
    <row r="699" spans="7:9" x14ac:dyDescent="0.25">
      <c r="G699" s="7"/>
      <c r="H699" s="7"/>
      <c r="I699" s="7"/>
    </row>
    <row r="700" spans="7:9" x14ac:dyDescent="0.25">
      <c r="G700" s="7"/>
      <c r="H700" s="7"/>
      <c r="I700" s="7"/>
    </row>
    <row r="701" spans="7:9" x14ac:dyDescent="0.25">
      <c r="G701" s="7"/>
      <c r="H701" s="7"/>
      <c r="I701" s="7"/>
    </row>
    <row r="702" spans="7:9" x14ac:dyDescent="0.25">
      <c r="G702" s="7"/>
      <c r="H702" s="7"/>
      <c r="I702" s="7"/>
    </row>
    <row r="703" spans="7:9" x14ac:dyDescent="0.25">
      <c r="G703" s="7"/>
      <c r="H703" s="7"/>
      <c r="I703" s="7"/>
    </row>
    <row r="704" spans="7:9" x14ac:dyDescent="0.25">
      <c r="G704" s="7"/>
      <c r="H704" s="7"/>
      <c r="I704" s="7"/>
    </row>
    <row r="705" spans="7:9" x14ac:dyDescent="0.25">
      <c r="G705" s="7"/>
      <c r="H705" s="7"/>
      <c r="I705" s="7"/>
    </row>
    <row r="706" spans="7:9" x14ac:dyDescent="0.25">
      <c r="G706" s="7"/>
      <c r="H706" s="7"/>
      <c r="I706" s="7"/>
    </row>
    <row r="707" spans="7:9" x14ac:dyDescent="0.25">
      <c r="G707" s="7"/>
      <c r="H707" s="7"/>
      <c r="I707" s="7"/>
    </row>
    <row r="708" spans="7:9" x14ac:dyDescent="0.25">
      <c r="G708" s="7"/>
      <c r="H708" s="7"/>
      <c r="I708" s="7"/>
    </row>
    <row r="709" spans="7:9" x14ac:dyDescent="0.25">
      <c r="G709" s="7"/>
      <c r="H709" s="7"/>
      <c r="I709" s="7"/>
    </row>
    <row r="710" spans="7:9" x14ac:dyDescent="0.25">
      <c r="G710" s="7"/>
      <c r="H710" s="7"/>
      <c r="I710" s="7"/>
    </row>
    <row r="711" spans="7:9" x14ac:dyDescent="0.25">
      <c r="G711" s="7"/>
      <c r="H711" s="7"/>
      <c r="I711" s="7"/>
    </row>
    <row r="712" spans="7:9" x14ac:dyDescent="0.25">
      <c r="G712" s="7"/>
      <c r="H712" s="7"/>
      <c r="I712" s="7"/>
    </row>
    <row r="713" spans="7:9" x14ac:dyDescent="0.25">
      <c r="G713" s="7"/>
      <c r="H713" s="7"/>
      <c r="I713" s="7"/>
    </row>
    <row r="714" spans="7:9" x14ac:dyDescent="0.25">
      <c r="G714" s="7"/>
      <c r="H714" s="7"/>
      <c r="I714" s="7"/>
    </row>
    <row r="715" spans="7:9" x14ac:dyDescent="0.25">
      <c r="G715" s="7"/>
      <c r="H715" s="7"/>
      <c r="I715" s="7"/>
    </row>
    <row r="716" spans="7:9" x14ac:dyDescent="0.25">
      <c r="G716" s="7"/>
      <c r="H716" s="7"/>
      <c r="I716" s="7"/>
    </row>
    <row r="717" spans="7:9" x14ac:dyDescent="0.25">
      <c r="G717" s="7"/>
      <c r="H717" s="7"/>
      <c r="I717" s="7"/>
    </row>
    <row r="718" spans="7:9" x14ac:dyDescent="0.25">
      <c r="G718" s="7"/>
      <c r="H718" s="7"/>
      <c r="I718" s="7"/>
    </row>
    <row r="719" spans="7:9" x14ac:dyDescent="0.25">
      <c r="G719" s="7"/>
      <c r="H719" s="7"/>
      <c r="I719" s="7"/>
    </row>
    <row r="720" spans="7:9" x14ac:dyDescent="0.25">
      <c r="G720" s="7"/>
      <c r="H720" s="7"/>
      <c r="I720" s="7"/>
    </row>
    <row r="721" spans="7:9" x14ac:dyDescent="0.25">
      <c r="G721" s="7"/>
      <c r="H721" s="7"/>
      <c r="I721" s="7"/>
    </row>
    <row r="722" spans="7:9" x14ac:dyDescent="0.25">
      <c r="G722" s="7"/>
      <c r="H722" s="7"/>
      <c r="I722" s="7"/>
    </row>
    <row r="723" spans="7:9" x14ac:dyDescent="0.25">
      <c r="G723" s="7"/>
      <c r="H723" s="7"/>
      <c r="I723" s="7"/>
    </row>
    <row r="724" spans="7:9" x14ac:dyDescent="0.25">
      <c r="G724" s="7"/>
      <c r="H724" s="7"/>
      <c r="I724" s="7"/>
    </row>
    <row r="725" spans="7:9" x14ac:dyDescent="0.25">
      <c r="G725" s="7"/>
      <c r="H725" s="7"/>
      <c r="I725" s="7"/>
    </row>
    <row r="726" spans="7:9" x14ac:dyDescent="0.25">
      <c r="G726" s="7"/>
      <c r="H726" s="7"/>
      <c r="I726" s="7"/>
    </row>
    <row r="727" spans="7:9" x14ac:dyDescent="0.25">
      <c r="G727" s="7"/>
      <c r="H727" s="7"/>
      <c r="I727" s="7"/>
    </row>
    <row r="728" spans="7:9" x14ac:dyDescent="0.25">
      <c r="G728" s="7"/>
      <c r="H728" s="7"/>
      <c r="I728" s="7"/>
    </row>
    <row r="729" spans="7:9" x14ac:dyDescent="0.25">
      <c r="G729" s="7"/>
      <c r="H729" s="7"/>
      <c r="I729" s="7"/>
    </row>
    <row r="730" spans="7:9" x14ac:dyDescent="0.25">
      <c r="G730" s="7"/>
      <c r="H730" s="7"/>
      <c r="I730" s="7"/>
    </row>
    <row r="731" spans="7:9" x14ac:dyDescent="0.25">
      <c r="G731" s="7"/>
      <c r="H731" s="7"/>
      <c r="I731" s="7"/>
    </row>
    <row r="732" spans="7:9" x14ac:dyDescent="0.25">
      <c r="G732" s="7"/>
      <c r="H732" s="7"/>
      <c r="I732" s="7"/>
    </row>
    <row r="733" spans="7:9" x14ac:dyDescent="0.25">
      <c r="G733" s="7"/>
      <c r="H733" s="7"/>
      <c r="I733" s="7"/>
    </row>
    <row r="734" spans="7:9" x14ac:dyDescent="0.25">
      <c r="G734" s="7"/>
      <c r="H734" s="7"/>
      <c r="I734" s="7"/>
    </row>
    <row r="735" spans="7:9" x14ac:dyDescent="0.25">
      <c r="G735" s="7"/>
      <c r="H735" s="7"/>
      <c r="I735" s="7"/>
    </row>
    <row r="736" spans="7:9" x14ac:dyDescent="0.25">
      <c r="G736" s="7"/>
      <c r="H736" s="7"/>
      <c r="I736" s="7"/>
    </row>
    <row r="737" spans="7:9" x14ac:dyDescent="0.25">
      <c r="G737" s="7"/>
      <c r="H737" s="7"/>
      <c r="I737" s="7"/>
    </row>
    <row r="738" spans="7:9" x14ac:dyDescent="0.25">
      <c r="G738" s="7"/>
      <c r="H738" s="7"/>
      <c r="I738" s="7"/>
    </row>
    <row r="739" spans="7:9" x14ac:dyDescent="0.25">
      <c r="G739" s="7"/>
      <c r="H739" s="7"/>
      <c r="I739" s="7"/>
    </row>
    <row r="740" spans="7:9" x14ac:dyDescent="0.25">
      <c r="G740" s="7"/>
      <c r="H740" s="7"/>
      <c r="I740" s="7"/>
    </row>
    <row r="741" spans="7:9" x14ac:dyDescent="0.25">
      <c r="G741" s="7"/>
      <c r="H741" s="7"/>
      <c r="I741" s="7"/>
    </row>
    <row r="742" spans="7:9" x14ac:dyDescent="0.25">
      <c r="G742" s="7"/>
      <c r="H742" s="7"/>
      <c r="I742" s="7"/>
    </row>
    <row r="743" spans="7:9" x14ac:dyDescent="0.25">
      <c r="G743" s="7"/>
      <c r="H743" s="7"/>
      <c r="I743" s="7"/>
    </row>
    <row r="744" spans="7:9" x14ac:dyDescent="0.25">
      <c r="G744" s="7"/>
      <c r="H744" s="7"/>
      <c r="I744" s="7"/>
    </row>
    <row r="745" spans="7:9" x14ac:dyDescent="0.25">
      <c r="G745" s="7"/>
      <c r="H745" s="7"/>
      <c r="I745" s="7"/>
    </row>
    <row r="746" spans="7:9" x14ac:dyDescent="0.25">
      <c r="G746" s="7"/>
      <c r="H746" s="7"/>
      <c r="I746" s="7"/>
    </row>
    <row r="747" spans="7:9" x14ac:dyDescent="0.25">
      <c r="G747" s="7"/>
      <c r="H747" s="7"/>
      <c r="I747" s="7"/>
    </row>
    <row r="748" spans="7:9" x14ac:dyDescent="0.25">
      <c r="G748" s="7"/>
      <c r="H748" s="7"/>
      <c r="I748" s="7"/>
    </row>
    <row r="749" spans="7:9" x14ac:dyDescent="0.25">
      <c r="G749" s="7"/>
      <c r="H749" s="7"/>
      <c r="I749" s="7"/>
    </row>
    <row r="750" spans="7:9" x14ac:dyDescent="0.25">
      <c r="G750" s="7"/>
      <c r="H750" s="7"/>
      <c r="I750" s="7"/>
    </row>
    <row r="751" spans="7:9" x14ac:dyDescent="0.25">
      <c r="G751" s="7"/>
      <c r="H751" s="7"/>
      <c r="I751" s="7"/>
    </row>
    <row r="752" spans="7:9" x14ac:dyDescent="0.25">
      <c r="G752" s="7"/>
      <c r="H752" s="7"/>
      <c r="I752" s="7"/>
    </row>
    <row r="753" spans="7:9" x14ac:dyDescent="0.25">
      <c r="G753" s="7"/>
      <c r="H753" s="7"/>
      <c r="I753" s="7"/>
    </row>
    <row r="754" spans="7:9" x14ac:dyDescent="0.25">
      <c r="G754" s="7"/>
      <c r="H754" s="7"/>
      <c r="I754" s="7"/>
    </row>
    <row r="755" spans="7:9" x14ac:dyDescent="0.25">
      <c r="G755" s="7"/>
      <c r="H755" s="7"/>
      <c r="I755" s="7"/>
    </row>
    <row r="756" spans="7:9" x14ac:dyDescent="0.25">
      <c r="G756" s="7"/>
      <c r="H756" s="7"/>
      <c r="I756" s="7"/>
    </row>
    <row r="757" spans="7:9" x14ac:dyDescent="0.25">
      <c r="G757" s="7"/>
      <c r="H757" s="7"/>
      <c r="I757" s="7"/>
    </row>
    <row r="758" spans="7:9" x14ac:dyDescent="0.25">
      <c r="G758" s="7"/>
      <c r="H758" s="7"/>
      <c r="I758" s="7"/>
    </row>
    <row r="759" spans="7:9" x14ac:dyDescent="0.25">
      <c r="G759" s="7"/>
      <c r="H759" s="7"/>
      <c r="I759" s="7"/>
    </row>
    <row r="760" spans="7:9" x14ac:dyDescent="0.25">
      <c r="G760" s="7"/>
      <c r="H760" s="7"/>
      <c r="I760" s="7"/>
    </row>
    <row r="761" spans="7:9" x14ac:dyDescent="0.25">
      <c r="G761" s="7"/>
      <c r="H761" s="7"/>
      <c r="I761" s="7"/>
    </row>
    <row r="762" spans="7:9" x14ac:dyDescent="0.25">
      <c r="G762" s="7"/>
      <c r="H762" s="7"/>
      <c r="I762" s="7"/>
    </row>
    <row r="763" spans="7:9" x14ac:dyDescent="0.25">
      <c r="G763" s="7"/>
      <c r="H763" s="7"/>
      <c r="I763" s="7"/>
    </row>
    <row r="764" spans="7:9" x14ac:dyDescent="0.25">
      <c r="G764" s="7"/>
      <c r="H764" s="7"/>
      <c r="I764" s="7"/>
    </row>
    <row r="765" spans="7:9" x14ac:dyDescent="0.25">
      <c r="G765" s="7"/>
      <c r="H765" s="7"/>
      <c r="I765" s="7"/>
    </row>
    <row r="766" spans="7:9" x14ac:dyDescent="0.25">
      <c r="G766" s="7"/>
      <c r="H766" s="7"/>
      <c r="I766" s="7"/>
    </row>
    <row r="767" spans="7:9" x14ac:dyDescent="0.25">
      <c r="G767" s="7"/>
      <c r="H767" s="7"/>
      <c r="I767" s="7"/>
    </row>
    <row r="768" spans="7:9" x14ac:dyDescent="0.25">
      <c r="G768" s="7"/>
      <c r="H768" s="7"/>
      <c r="I768" s="7"/>
    </row>
    <row r="769" spans="7:9" x14ac:dyDescent="0.25">
      <c r="G769" s="7"/>
      <c r="H769" s="7"/>
      <c r="I769" s="7"/>
    </row>
    <row r="770" spans="7:9" x14ac:dyDescent="0.25">
      <c r="G770" s="7"/>
      <c r="H770" s="7"/>
      <c r="I770" s="7"/>
    </row>
    <row r="771" spans="7:9" x14ac:dyDescent="0.25">
      <c r="G771" s="7"/>
      <c r="H771" s="7"/>
      <c r="I771" s="7"/>
    </row>
    <row r="772" spans="7:9" x14ac:dyDescent="0.25">
      <c r="G772" s="7"/>
      <c r="H772" s="7"/>
      <c r="I772" s="7"/>
    </row>
    <row r="773" spans="7:9" x14ac:dyDescent="0.25">
      <c r="G773" s="7"/>
      <c r="H773" s="7"/>
      <c r="I773" s="7"/>
    </row>
    <row r="774" spans="7:9" x14ac:dyDescent="0.25">
      <c r="G774" s="7"/>
      <c r="H774" s="7"/>
      <c r="I774" s="7"/>
    </row>
    <row r="775" spans="7:9" x14ac:dyDescent="0.25">
      <c r="G775" s="7"/>
      <c r="H775" s="7"/>
      <c r="I775" s="7"/>
    </row>
    <row r="776" spans="7:9" x14ac:dyDescent="0.25">
      <c r="G776" s="7"/>
      <c r="H776" s="7"/>
      <c r="I776" s="7"/>
    </row>
    <row r="777" spans="7:9" x14ac:dyDescent="0.25">
      <c r="G777" s="7"/>
      <c r="H777" s="7"/>
      <c r="I777" s="7"/>
    </row>
    <row r="778" spans="7:9" x14ac:dyDescent="0.25">
      <c r="G778" s="7"/>
      <c r="H778" s="7"/>
      <c r="I778" s="7"/>
    </row>
    <row r="779" spans="7:9" x14ac:dyDescent="0.25">
      <c r="G779" s="7"/>
      <c r="H779" s="7"/>
      <c r="I779" s="7"/>
    </row>
    <row r="780" spans="7:9" x14ac:dyDescent="0.25">
      <c r="G780" s="7"/>
      <c r="H780" s="7"/>
      <c r="I780" s="7"/>
    </row>
    <row r="781" spans="7:9" x14ac:dyDescent="0.25">
      <c r="G781" s="7"/>
      <c r="H781" s="7"/>
      <c r="I781" s="7"/>
    </row>
    <row r="782" spans="7:9" x14ac:dyDescent="0.25">
      <c r="G782" s="7"/>
      <c r="H782" s="7"/>
      <c r="I782" s="7"/>
    </row>
    <row r="783" spans="7:9" x14ac:dyDescent="0.25">
      <c r="G783" s="7"/>
      <c r="H783" s="7"/>
      <c r="I783" s="7"/>
    </row>
    <row r="784" spans="7:9" x14ac:dyDescent="0.25">
      <c r="G784" s="7"/>
      <c r="H784" s="7"/>
      <c r="I784" s="7"/>
    </row>
    <row r="785" spans="7:9" x14ac:dyDescent="0.25">
      <c r="G785" s="7"/>
      <c r="H785" s="7"/>
      <c r="I785" s="7"/>
    </row>
    <row r="786" spans="7:9" x14ac:dyDescent="0.25">
      <c r="G786" s="7"/>
      <c r="H786" s="7"/>
      <c r="I786" s="7"/>
    </row>
    <row r="787" spans="7:9" x14ac:dyDescent="0.25">
      <c r="G787" s="7"/>
      <c r="H787" s="7"/>
      <c r="I787" s="7"/>
    </row>
    <row r="788" spans="7:9" x14ac:dyDescent="0.25">
      <c r="G788" s="7"/>
      <c r="H788" s="7"/>
      <c r="I788" s="7"/>
    </row>
    <row r="789" spans="7:9" x14ac:dyDescent="0.25">
      <c r="G789" s="7"/>
      <c r="H789" s="7"/>
      <c r="I789" s="7"/>
    </row>
    <row r="790" spans="7:9" x14ac:dyDescent="0.25">
      <c r="G790" s="7"/>
      <c r="H790" s="7"/>
      <c r="I790" s="7"/>
    </row>
    <row r="791" spans="7:9" x14ac:dyDescent="0.25">
      <c r="G791" s="7"/>
      <c r="H791" s="7"/>
      <c r="I791" s="7"/>
    </row>
    <row r="792" spans="7:9" x14ac:dyDescent="0.25">
      <c r="G792" s="7"/>
      <c r="H792" s="7"/>
      <c r="I792" s="7"/>
    </row>
    <row r="793" spans="7:9" x14ac:dyDescent="0.25">
      <c r="G793" s="7"/>
      <c r="H793" s="7"/>
      <c r="I793" s="7"/>
    </row>
    <row r="794" spans="7:9" x14ac:dyDescent="0.25">
      <c r="G794" s="7"/>
      <c r="H794" s="7"/>
      <c r="I794" s="7"/>
    </row>
    <row r="795" spans="7:9" x14ac:dyDescent="0.25">
      <c r="G795" s="7"/>
      <c r="H795" s="7"/>
      <c r="I795" s="7"/>
    </row>
    <row r="796" spans="7:9" x14ac:dyDescent="0.25">
      <c r="G796" s="7"/>
      <c r="H796" s="7"/>
      <c r="I796" s="7"/>
    </row>
    <row r="797" spans="7:9" x14ac:dyDescent="0.25">
      <c r="G797" s="7"/>
      <c r="H797" s="7"/>
      <c r="I797" s="7"/>
    </row>
    <row r="798" spans="7:9" x14ac:dyDescent="0.25">
      <c r="G798" s="7"/>
      <c r="H798" s="7"/>
      <c r="I798" s="7"/>
    </row>
    <row r="799" spans="7:9" x14ac:dyDescent="0.25">
      <c r="G799" s="7"/>
      <c r="H799" s="7"/>
      <c r="I799" s="7"/>
    </row>
    <row r="800" spans="7:9" x14ac:dyDescent="0.25">
      <c r="G800" s="7"/>
      <c r="H800" s="7"/>
      <c r="I800" s="7"/>
    </row>
    <row r="801" spans="7:9" x14ac:dyDescent="0.25">
      <c r="G801" s="7"/>
      <c r="H801" s="7"/>
      <c r="I801" s="7"/>
    </row>
    <row r="802" spans="7:9" x14ac:dyDescent="0.25">
      <c r="G802" s="7"/>
      <c r="H802" s="7"/>
      <c r="I802" s="7"/>
    </row>
    <row r="803" spans="7:9" x14ac:dyDescent="0.25">
      <c r="G803" s="7"/>
      <c r="H803" s="7"/>
      <c r="I803" s="7"/>
    </row>
    <row r="804" spans="7:9" x14ac:dyDescent="0.25">
      <c r="G804" s="7"/>
      <c r="H804" s="7"/>
      <c r="I804" s="7"/>
    </row>
    <row r="805" spans="7:9" x14ac:dyDescent="0.25">
      <c r="G805" s="7"/>
      <c r="H805" s="7"/>
      <c r="I805" s="7"/>
    </row>
    <row r="806" spans="7:9" x14ac:dyDescent="0.25">
      <c r="G806" s="7"/>
      <c r="H806" s="7"/>
      <c r="I806" s="7"/>
    </row>
    <row r="807" spans="7:9" x14ac:dyDescent="0.25">
      <c r="G807" s="7"/>
      <c r="H807" s="7"/>
      <c r="I807" s="7"/>
    </row>
    <row r="808" spans="7:9" x14ac:dyDescent="0.25">
      <c r="G808" s="7"/>
      <c r="H808" s="7"/>
      <c r="I808" s="7"/>
    </row>
    <row r="809" spans="7:9" x14ac:dyDescent="0.25">
      <c r="G809" s="7"/>
      <c r="H809" s="7"/>
      <c r="I809" s="7"/>
    </row>
    <row r="810" spans="7:9" x14ac:dyDescent="0.25">
      <c r="G810" s="7"/>
      <c r="H810" s="7"/>
      <c r="I810" s="7"/>
    </row>
    <row r="811" spans="7:9" x14ac:dyDescent="0.25">
      <c r="G811" s="7"/>
      <c r="H811" s="7"/>
      <c r="I811" s="7"/>
    </row>
    <row r="812" spans="7:9" x14ac:dyDescent="0.25">
      <c r="G812" s="7"/>
      <c r="H812" s="7"/>
      <c r="I812" s="7"/>
    </row>
    <row r="813" spans="7:9" x14ac:dyDescent="0.25">
      <c r="G813" s="7"/>
      <c r="H813" s="7"/>
      <c r="I813" s="7"/>
    </row>
    <row r="814" spans="7:9" x14ac:dyDescent="0.25">
      <c r="G814" s="7"/>
      <c r="H814" s="7"/>
      <c r="I814" s="7"/>
    </row>
    <row r="815" spans="7:9" x14ac:dyDescent="0.25">
      <c r="G815" s="7"/>
      <c r="H815" s="7"/>
      <c r="I815" s="7"/>
    </row>
    <row r="816" spans="7:9" x14ac:dyDescent="0.25">
      <c r="G816" s="7"/>
      <c r="H816" s="7"/>
      <c r="I816" s="7"/>
    </row>
    <row r="817" spans="7:9" x14ac:dyDescent="0.25">
      <c r="G817" s="7"/>
      <c r="H817" s="7"/>
      <c r="I817" s="7"/>
    </row>
    <row r="818" spans="7:9" x14ac:dyDescent="0.25">
      <c r="G818" s="7"/>
      <c r="H818" s="7"/>
      <c r="I818" s="7"/>
    </row>
    <row r="819" spans="7:9" x14ac:dyDescent="0.25">
      <c r="G819" s="7"/>
      <c r="H819" s="7"/>
      <c r="I819" s="7"/>
    </row>
    <row r="820" spans="7:9" x14ac:dyDescent="0.25">
      <c r="G820" s="7"/>
      <c r="H820" s="7"/>
      <c r="I820" s="7"/>
    </row>
    <row r="821" spans="7:9" x14ac:dyDescent="0.25">
      <c r="G821" s="7"/>
      <c r="H821" s="7"/>
      <c r="I821" s="7"/>
    </row>
    <row r="822" spans="7:9" x14ac:dyDescent="0.25">
      <c r="G822" s="7"/>
      <c r="H822" s="7"/>
      <c r="I822" s="7"/>
    </row>
    <row r="823" spans="7:9" x14ac:dyDescent="0.25">
      <c r="G823" s="7"/>
      <c r="H823" s="7"/>
      <c r="I823" s="7"/>
    </row>
    <row r="824" spans="7:9" x14ac:dyDescent="0.25">
      <c r="G824" s="7"/>
      <c r="H824" s="7"/>
      <c r="I824" s="7"/>
    </row>
    <row r="825" spans="7:9" x14ac:dyDescent="0.25">
      <c r="G825" s="7"/>
      <c r="H825" s="7"/>
      <c r="I825" s="7"/>
    </row>
    <row r="826" spans="7:9" x14ac:dyDescent="0.25">
      <c r="G826" s="7"/>
      <c r="H826" s="7"/>
      <c r="I826" s="7"/>
    </row>
    <row r="827" spans="7:9" x14ac:dyDescent="0.25">
      <c r="G827" s="7"/>
      <c r="H827" s="7"/>
      <c r="I827" s="7"/>
    </row>
    <row r="828" spans="7:9" x14ac:dyDescent="0.25">
      <c r="G828" s="7"/>
      <c r="H828" s="7"/>
      <c r="I828" s="7" t="s">
        <v>3971</v>
      </c>
    </row>
    <row r="829" spans="7:9" x14ac:dyDescent="0.25">
      <c r="G829" s="7"/>
      <c r="H829" s="7"/>
      <c r="I829" s="7"/>
    </row>
    <row r="830" spans="7:9" x14ac:dyDescent="0.25">
      <c r="G830" s="7"/>
      <c r="H830" s="7"/>
      <c r="I830" s="7"/>
    </row>
    <row r="831" spans="7:9" x14ac:dyDescent="0.25">
      <c r="G831" s="7"/>
      <c r="H831" s="7"/>
      <c r="I831" s="7"/>
    </row>
    <row r="832" spans="7:9" x14ac:dyDescent="0.25">
      <c r="G832" s="7"/>
      <c r="H832" s="7"/>
      <c r="I832" s="7"/>
    </row>
    <row r="833" spans="7:9" x14ac:dyDescent="0.25">
      <c r="G833" s="7"/>
      <c r="H833" s="7"/>
      <c r="I833" s="7"/>
    </row>
    <row r="834" spans="7:9" x14ac:dyDescent="0.25">
      <c r="G834" s="7"/>
      <c r="H834" s="7"/>
      <c r="I834" s="7"/>
    </row>
    <row r="835" spans="7:9" x14ac:dyDescent="0.25">
      <c r="G835" s="7"/>
      <c r="H835" s="7"/>
      <c r="I835" s="7"/>
    </row>
    <row r="836" spans="7:9" x14ac:dyDescent="0.25">
      <c r="G836" s="7"/>
      <c r="H836" s="7"/>
      <c r="I836" s="7"/>
    </row>
    <row r="837" spans="7:9" x14ac:dyDescent="0.25">
      <c r="G837" s="7"/>
      <c r="H837" s="7"/>
      <c r="I837" s="7"/>
    </row>
    <row r="838" spans="7:9" x14ac:dyDescent="0.25">
      <c r="G838" s="7"/>
      <c r="H838" s="7"/>
      <c r="I838" s="7"/>
    </row>
    <row r="839" spans="7:9" x14ac:dyDescent="0.25">
      <c r="G839" s="7"/>
      <c r="H839" s="7"/>
      <c r="I839" s="7"/>
    </row>
    <row r="840" spans="7:9" x14ac:dyDescent="0.25">
      <c r="G840" s="7"/>
      <c r="H840" s="7"/>
      <c r="I840" s="7"/>
    </row>
    <row r="841" spans="7:9" x14ac:dyDescent="0.25">
      <c r="G841" s="7"/>
      <c r="H841" s="7"/>
      <c r="I841" s="7"/>
    </row>
    <row r="842" spans="7:9" x14ac:dyDescent="0.25">
      <c r="G842" s="7"/>
      <c r="H842" s="7"/>
      <c r="I842" s="7"/>
    </row>
    <row r="843" spans="7:9" x14ac:dyDescent="0.25">
      <c r="G843" s="7"/>
      <c r="H843" s="7"/>
      <c r="I843" s="7"/>
    </row>
    <row r="844" spans="7:9" x14ac:dyDescent="0.25">
      <c r="G844" s="7"/>
      <c r="H844" s="7"/>
      <c r="I844" s="7"/>
    </row>
    <row r="845" spans="7:9" x14ac:dyDescent="0.25">
      <c r="G845" s="7"/>
      <c r="H845" s="7"/>
      <c r="I845" s="7"/>
    </row>
    <row r="846" spans="7:9" x14ac:dyDescent="0.25">
      <c r="G846" s="7"/>
      <c r="H846" s="7"/>
      <c r="I846" s="7"/>
    </row>
    <row r="847" spans="7:9" x14ac:dyDescent="0.25">
      <c r="G847" s="7"/>
      <c r="H847" s="7"/>
      <c r="I847" s="7"/>
    </row>
    <row r="848" spans="7:9" x14ac:dyDescent="0.25">
      <c r="G848" s="7"/>
      <c r="H848" s="7"/>
      <c r="I848" s="7"/>
    </row>
    <row r="849" spans="7:9" x14ac:dyDescent="0.25">
      <c r="G849" s="7"/>
      <c r="H849" s="7"/>
      <c r="I849" s="7"/>
    </row>
    <row r="850" spans="7:9" x14ac:dyDescent="0.25">
      <c r="G850" s="7"/>
      <c r="H850" s="7"/>
      <c r="I850" s="7"/>
    </row>
    <row r="851" spans="7:9" x14ac:dyDescent="0.25">
      <c r="G851" s="7"/>
      <c r="H851" s="7"/>
      <c r="I851" s="7"/>
    </row>
    <row r="852" spans="7:9" x14ac:dyDescent="0.25">
      <c r="G852" s="7"/>
      <c r="H852" s="7"/>
      <c r="I852" s="7"/>
    </row>
    <row r="853" spans="7:9" x14ac:dyDescent="0.25">
      <c r="G853" s="7"/>
      <c r="H853" s="7"/>
      <c r="I853" s="7"/>
    </row>
    <row r="854" spans="7:9" x14ac:dyDescent="0.25">
      <c r="G854" s="7"/>
      <c r="H854" s="7"/>
      <c r="I854" s="7"/>
    </row>
    <row r="855" spans="7:9" x14ac:dyDescent="0.25">
      <c r="G855" s="7"/>
      <c r="H855" s="7"/>
      <c r="I855" s="7"/>
    </row>
    <row r="856" spans="7:9" x14ac:dyDescent="0.25">
      <c r="G856" s="7"/>
      <c r="H856" s="7"/>
      <c r="I856" s="7"/>
    </row>
    <row r="857" spans="7:9" x14ac:dyDescent="0.25">
      <c r="G857" s="7"/>
      <c r="H857" s="7"/>
      <c r="I857" s="7"/>
    </row>
    <row r="858" spans="7:9" x14ac:dyDescent="0.25">
      <c r="G858" s="7"/>
      <c r="H858" s="7"/>
      <c r="I858" s="7"/>
    </row>
    <row r="859" spans="7:9" x14ac:dyDescent="0.25">
      <c r="G859" s="7"/>
      <c r="H859" s="7"/>
      <c r="I859" s="7"/>
    </row>
    <row r="860" spans="7:9" x14ac:dyDescent="0.25">
      <c r="G860" s="7"/>
      <c r="H860" s="7"/>
      <c r="I860" s="7"/>
    </row>
    <row r="861" spans="7:9" x14ac:dyDescent="0.25">
      <c r="G861" s="7"/>
      <c r="H861" s="7"/>
      <c r="I861" s="7"/>
    </row>
    <row r="862" spans="7:9" x14ac:dyDescent="0.25">
      <c r="G862" s="7"/>
      <c r="H862" s="7"/>
      <c r="I862" s="7"/>
    </row>
    <row r="863" spans="7:9" x14ac:dyDescent="0.25">
      <c r="G863" s="7"/>
      <c r="H863" s="7"/>
      <c r="I863" s="7"/>
    </row>
    <row r="864" spans="7:9" x14ac:dyDescent="0.25">
      <c r="G864" s="7"/>
      <c r="H864" s="7"/>
      <c r="I864" s="7"/>
    </row>
    <row r="865" spans="7:9" x14ac:dyDescent="0.25">
      <c r="G865" s="7"/>
      <c r="H865" s="7"/>
      <c r="I865" s="7"/>
    </row>
    <row r="866" spans="7:9" x14ac:dyDescent="0.25">
      <c r="G866" s="7"/>
      <c r="H866" s="7"/>
      <c r="I866" s="7"/>
    </row>
    <row r="867" spans="7:9" x14ac:dyDescent="0.25">
      <c r="G867" s="7"/>
      <c r="H867" s="7"/>
      <c r="I867" s="7"/>
    </row>
    <row r="868" spans="7:9" x14ac:dyDescent="0.25">
      <c r="G868" s="7"/>
      <c r="H868" s="7"/>
      <c r="I868" s="7"/>
    </row>
    <row r="869" spans="7:9" x14ac:dyDescent="0.25">
      <c r="G869" s="7"/>
      <c r="H869" s="7"/>
      <c r="I869" s="7"/>
    </row>
    <row r="870" spans="7:9" x14ac:dyDescent="0.25">
      <c r="G870" s="7"/>
      <c r="H870" s="7"/>
      <c r="I870" s="7"/>
    </row>
    <row r="871" spans="7:9" x14ac:dyDescent="0.25">
      <c r="G871" s="7"/>
      <c r="H871" s="7"/>
      <c r="I871" s="7"/>
    </row>
    <row r="872" spans="7:9" x14ac:dyDescent="0.25">
      <c r="G872" s="7"/>
      <c r="H872" s="7"/>
      <c r="I872" s="7"/>
    </row>
    <row r="873" spans="7:9" x14ac:dyDescent="0.25">
      <c r="G873" s="7"/>
      <c r="H873" s="7"/>
      <c r="I873" s="7"/>
    </row>
    <row r="874" spans="7:9" x14ac:dyDescent="0.25">
      <c r="G874" s="7"/>
      <c r="H874" s="7"/>
      <c r="I874" s="7"/>
    </row>
    <row r="875" spans="7:9" x14ac:dyDescent="0.25">
      <c r="G875" s="7"/>
      <c r="H875" s="7"/>
      <c r="I875" s="7"/>
    </row>
    <row r="876" spans="7:9" x14ac:dyDescent="0.25">
      <c r="G876" s="7"/>
      <c r="H876" s="7"/>
      <c r="I876" s="7"/>
    </row>
    <row r="877" spans="7:9" x14ac:dyDescent="0.25">
      <c r="G877" s="7"/>
      <c r="H877" s="7"/>
      <c r="I877" s="7"/>
    </row>
    <row r="878" spans="7:9" x14ac:dyDescent="0.25">
      <c r="G878" s="7"/>
      <c r="H878" s="7"/>
      <c r="I878" s="7"/>
    </row>
    <row r="879" spans="7:9" x14ac:dyDescent="0.25">
      <c r="G879" s="7"/>
      <c r="H879" s="7"/>
      <c r="I879" s="7"/>
    </row>
    <row r="880" spans="7:9" x14ac:dyDescent="0.25">
      <c r="G880" s="7"/>
      <c r="H880" s="7"/>
      <c r="I880" s="7"/>
    </row>
    <row r="881" spans="7:9" x14ac:dyDescent="0.25">
      <c r="G881" s="7"/>
      <c r="H881" s="7"/>
      <c r="I881" s="7"/>
    </row>
    <row r="882" spans="7:9" x14ac:dyDescent="0.25">
      <c r="G882" s="7"/>
      <c r="H882" s="7"/>
      <c r="I882" s="7"/>
    </row>
    <row r="883" spans="7:9" x14ac:dyDescent="0.25">
      <c r="G883" s="7"/>
      <c r="H883" s="7"/>
      <c r="I883" s="7"/>
    </row>
    <row r="884" spans="7:9" x14ac:dyDescent="0.25">
      <c r="G884" s="7"/>
      <c r="H884" s="7"/>
      <c r="I884" s="7"/>
    </row>
    <row r="885" spans="7:9" x14ac:dyDescent="0.25">
      <c r="G885" s="7"/>
      <c r="H885" s="7"/>
      <c r="I885" s="7"/>
    </row>
    <row r="886" spans="7:9" x14ac:dyDescent="0.25">
      <c r="G886" s="7"/>
      <c r="H886" s="7"/>
      <c r="I886" s="7"/>
    </row>
    <row r="887" spans="7:9" x14ac:dyDescent="0.25">
      <c r="G887" s="7"/>
      <c r="H887" s="7"/>
      <c r="I887" s="7"/>
    </row>
    <row r="888" spans="7:9" x14ac:dyDescent="0.25">
      <c r="G888" s="7"/>
      <c r="H888" s="7"/>
      <c r="I888" s="7"/>
    </row>
    <row r="889" spans="7:9" x14ac:dyDescent="0.25">
      <c r="G889" s="7"/>
      <c r="H889" s="7"/>
      <c r="I889" s="7" t="s">
        <v>3971</v>
      </c>
    </row>
    <row r="890" spans="7:9" x14ac:dyDescent="0.25">
      <c r="G890" s="7"/>
      <c r="H890" s="7"/>
      <c r="I890" s="7"/>
    </row>
    <row r="891" spans="7:9" x14ac:dyDescent="0.25">
      <c r="G891" s="7"/>
      <c r="H891" s="7"/>
      <c r="I891" s="7"/>
    </row>
    <row r="892" spans="7:9" x14ac:dyDescent="0.25">
      <c r="G892" s="7"/>
      <c r="H892" s="7"/>
      <c r="I892" s="7"/>
    </row>
    <row r="893" spans="7:9" x14ac:dyDescent="0.25">
      <c r="G893" s="7"/>
      <c r="H893" s="7"/>
      <c r="I893" s="7"/>
    </row>
    <row r="894" spans="7:9" x14ac:dyDescent="0.25">
      <c r="G894" s="7"/>
      <c r="H894" s="7"/>
      <c r="I894" s="7"/>
    </row>
    <row r="895" spans="7:9" x14ac:dyDescent="0.25">
      <c r="G895" s="7"/>
      <c r="H895" s="7"/>
      <c r="I895" s="7"/>
    </row>
    <row r="896" spans="7:9" x14ac:dyDescent="0.25">
      <c r="G896" s="7"/>
      <c r="H896" s="7"/>
      <c r="I896" s="7"/>
    </row>
    <row r="897" spans="7:9" x14ac:dyDescent="0.25">
      <c r="G897" s="7"/>
      <c r="H897" s="7"/>
      <c r="I897" s="7"/>
    </row>
    <row r="898" spans="7:9" x14ac:dyDescent="0.25">
      <c r="G898" s="7"/>
      <c r="H898" s="7"/>
      <c r="I898" s="7"/>
    </row>
    <row r="899" spans="7:9" x14ac:dyDescent="0.25">
      <c r="G899" s="7"/>
      <c r="H899" s="7"/>
      <c r="I899" s="7"/>
    </row>
    <row r="900" spans="7:9" x14ac:dyDescent="0.25">
      <c r="G900" s="7"/>
      <c r="H900" s="7"/>
      <c r="I900" s="7"/>
    </row>
    <row r="901" spans="7:9" x14ac:dyDescent="0.25">
      <c r="G901" s="7"/>
      <c r="H901" s="7"/>
      <c r="I901" s="7"/>
    </row>
    <row r="902" spans="7:9" x14ac:dyDescent="0.25">
      <c r="G902" s="7"/>
      <c r="H902" s="7"/>
      <c r="I902" s="7"/>
    </row>
    <row r="903" spans="7:9" x14ac:dyDescent="0.25">
      <c r="G903" s="7"/>
      <c r="H903" s="7"/>
      <c r="I903" s="7"/>
    </row>
    <row r="904" spans="7:9" x14ac:dyDescent="0.25">
      <c r="G904" s="7"/>
      <c r="H904" s="7"/>
      <c r="I904" s="7"/>
    </row>
    <row r="905" spans="7:9" x14ac:dyDescent="0.25">
      <c r="G905" s="7"/>
      <c r="H905" s="7"/>
      <c r="I905" s="7"/>
    </row>
    <row r="906" spans="7:9" x14ac:dyDescent="0.25">
      <c r="G906" s="7"/>
      <c r="H906" s="7"/>
      <c r="I906" s="7"/>
    </row>
    <row r="907" spans="7:9" x14ac:dyDescent="0.25">
      <c r="G907" s="7"/>
      <c r="H907" s="7"/>
      <c r="I907" s="7"/>
    </row>
    <row r="908" spans="7:9" x14ac:dyDescent="0.25">
      <c r="G908" s="7"/>
      <c r="H908" s="7"/>
      <c r="I908" s="7"/>
    </row>
    <row r="909" spans="7:9" x14ac:dyDescent="0.25">
      <c r="G909" s="7"/>
      <c r="H909" s="7"/>
      <c r="I909" s="7"/>
    </row>
    <row r="910" spans="7:9" x14ac:dyDescent="0.25">
      <c r="G910" s="7" t="s">
        <v>6361</v>
      </c>
      <c r="H910" s="7" t="s">
        <v>3967</v>
      </c>
      <c r="I910" s="7" t="s">
        <v>6107</v>
      </c>
    </row>
    <row r="911" spans="7:9" x14ac:dyDescent="0.25">
      <c r="G911" s="7" t="s">
        <v>6361</v>
      </c>
      <c r="H911" s="7" t="s">
        <v>3967</v>
      </c>
      <c r="I911" s="7" t="s">
        <v>6107</v>
      </c>
    </row>
    <row r="912" spans="7:9" x14ac:dyDescent="0.25">
      <c r="G912" s="7" t="s">
        <v>6361</v>
      </c>
      <c r="H912" s="7" t="s">
        <v>3967</v>
      </c>
      <c r="I912" s="7" t="s">
        <v>6107</v>
      </c>
    </row>
    <row r="913" spans="7:9" x14ac:dyDescent="0.25">
      <c r="G913" s="7" t="s">
        <v>6361</v>
      </c>
      <c r="H913" s="7" t="s">
        <v>3967</v>
      </c>
      <c r="I913" s="7" t="s">
        <v>6107</v>
      </c>
    </row>
    <row r="914" spans="7:9" x14ac:dyDescent="0.25">
      <c r="G914" s="7" t="s">
        <v>6361</v>
      </c>
      <c r="H914" s="7" t="s">
        <v>3967</v>
      </c>
      <c r="I914" s="7" t="s">
        <v>6107</v>
      </c>
    </row>
    <row r="915" spans="7:9" x14ac:dyDescent="0.25">
      <c r="G915" s="7" t="s">
        <v>6361</v>
      </c>
      <c r="H915" s="7" t="s">
        <v>2981</v>
      </c>
      <c r="I915" s="7" t="s">
        <v>6124</v>
      </c>
    </row>
    <row r="916" spans="7:9" x14ac:dyDescent="0.25">
      <c r="G916" s="7" t="s">
        <v>6361</v>
      </c>
      <c r="H916" s="7" t="s">
        <v>2981</v>
      </c>
      <c r="I916" s="7" t="s">
        <v>6124</v>
      </c>
    </row>
    <row r="917" spans="7:9" x14ac:dyDescent="0.25">
      <c r="G917" s="7" t="s">
        <v>6361</v>
      </c>
      <c r="H917" s="7" t="s">
        <v>2981</v>
      </c>
      <c r="I917" s="7" t="s">
        <v>6124</v>
      </c>
    </row>
    <row r="918" spans="7:9" x14ac:dyDescent="0.25">
      <c r="G918" s="7" t="s">
        <v>6361</v>
      </c>
      <c r="H918" s="7" t="s">
        <v>2981</v>
      </c>
      <c r="I918" s="7" t="s">
        <v>6124</v>
      </c>
    </row>
    <row r="919" spans="7:9" x14ac:dyDescent="0.25">
      <c r="G919" s="7" t="s">
        <v>6361</v>
      </c>
      <c r="H919" s="7" t="s">
        <v>2981</v>
      </c>
      <c r="I919" s="7" t="s">
        <v>6124</v>
      </c>
    </row>
    <row r="920" spans="7:9" x14ac:dyDescent="0.25">
      <c r="G920" s="7" t="s">
        <v>6361</v>
      </c>
      <c r="H920" s="7" t="s">
        <v>6107</v>
      </c>
      <c r="I920" s="7" t="s">
        <v>1395</v>
      </c>
    </row>
    <row r="921" spans="7:9" x14ac:dyDescent="0.25">
      <c r="G921" s="7" t="s">
        <v>6361</v>
      </c>
      <c r="H921" s="7" t="s">
        <v>6107</v>
      </c>
      <c r="I921" s="7" t="s">
        <v>1395</v>
      </c>
    </row>
    <row r="922" spans="7:9" x14ac:dyDescent="0.25">
      <c r="G922" s="7" t="s">
        <v>6361</v>
      </c>
      <c r="H922" s="7" t="s">
        <v>2981</v>
      </c>
      <c r="I922" s="7" t="s">
        <v>6124</v>
      </c>
    </row>
    <row r="923" spans="7:9" x14ac:dyDescent="0.25">
      <c r="G923" s="7" t="s">
        <v>6361</v>
      </c>
      <c r="H923" s="7" t="s">
        <v>2981</v>
      </c>
      <c r="I923" s="7" t="s">
        <v>6124</v>
      </c>
    </row>
    <row r="924" spans="7:9" x14ac:dyDescent="0.25">
      <c r="G924" s="7" t="s">
        <v>6361</v>
      </c>
      <c r="H924" s="7" t="s">
        <v>2981</v>
      </c>
      <c r="I924" s="7" t="s">
        <v>6124</v>
      </c>
    </row>
    <row r="925" spans="7:9" x14ac:dyDescent="0.25">
      <c r="G925" s="7" t="s">
        <v>6361</v>
      </c>
      <c r="H925" s="7" t="s">
        <v>2981</v>
      </c>
      <c r="I925" s="7" t="s">
        <v>6124</v>
      </c>
    </row>
    <row r="926" spans="7:9" x14ac:dyDescent="0.25">
      <c r="G926" s="7" t="s">
        <v>6361</v>
      </c>
      <c r="H926" s="7" t="s">
        <v>2981</v>
      </c>
      <c r="I926" s="7" t="s">
        <v>6124</v>
      </c>
    </row>
    <row r="927" spans="7:9" x14ac:dyDescent="0.25">
      <c r="G927" s="7" t="s">
        <v>6361</v>
      </c>
      <c r="H927" s="7" t="s">
        <v>6638</v>
      </c>
      <c r="I927" s="7" t="s">
        <v>6124</v>
      </c>
    </row>
    <row r="928" spans="7:9" x14ac:dyDescent="0.25">
      <c r="G928" s="7" t="s">
        <v>6361</v>
      </c>
      <c r="H928" s="7" t="s">
        <v>2981</v>
      </c>
      <c r="I928" s="7" t="s">
        <v>3967</v>
      </c>
    </row>
    <row r="929" spans="7:9" x14ac:dyDescent="0.25">
      <c r="G929" s="7" t="s">
        <v>6361</v>
      </c>
      <c r="H929" s="7" t="s">
        <v>1454</v>
      </c>
      <c r="I929" s="7" t="s">
        <v>1454</v>
      </c>
    </row>
    <row r="930" spans="7:9" x14ac:dyDescent="0.25">
      <c r="G930" s="7" t="s">
        <v>6361</v>
      </c>
      <c r="H930" s="7" t="s">
        <v>1454</v>
      </c>
      <c r="I930" s="7" t="s">
        <v>1454</v>
      </c>
    </row>
    <row r="931" spans="7:9" x14ac:dyDescent="0.25">
      <c r="G931" s="7" t="s">
        <v>6361</v>
      </c>
      <c r="H931" s="7" t="s">
        <v>1454</v>
      </c>
      <c r="I931" s="7" t="s">
        <v>1454</v>
      </c>
    </row>
    <row r="932" spans="7:9" x14ac:dyDescent="0.25">
      <c r="G932" s="7" t="s">
        <v>6361</v>
      </c>
      <c r="H932" s="7" t="s">
        <v>1454</v>
      </c>
      <c r="I932" s="7" t="s">
        <v>1454</v>
      </c>
    </row>
    <row r="933" spans="7:9" x14ac:dyDescent="0.25">
      <c r="G933" s="7" t="s">
        <v>6361</v>
      </c>
      <c r="H933" s="7" t="s">
        <v>1454</v>
      </c>
      <c r="I933" s="7" t="s">
        <v>1454</v>
      </c>
    </row>
    <row r="934" spans="7:9" x14ac:dyDescent="0.25">
      <c r="G934" s="7" t="s">
        <v>6361</v>
      </c>
      <c r="H934" s="7" t="s">
        <v>1454</v>
      </c>
      <c r="I934" s="7" t="s">
        <v>1454</v>
      </c>
    </row>
    <row r="935" spans="7:9" x14ac:dyDescent="0.25">
      <c r="G935" s="7" t="s">
        <v>6361</v>
      </c>
      <c r="H935" s="7" t="s">
        <v>1454</v>
      </c>
      <c r="I935" s="7" t="s">
        <v>1454</v>
      </c>
    </row>
    <row r="936" spans="7:9" x14ac:dyDescent="0.25">
      <c r="G936" s="7" t="s">
        <v>6361</v>
      </c>
      <c r="H936" s="7" t="s">
        <v>1454</v>
      </c>
      <c r="I936" s="7" t="s">
        <v>1454</v>
      </c>
    </row>
    <row r="937" spans="7:9" x14ac:dyDescent="0.25">
      <c r="G937" s="7" t="s">
        <v>6361</v>
      </c>
      <c r="H937" s="7" t="s">
        <v>1454</v>
      </c>
      <c r="I937" s="7" t="s">
        <v>1454</v>
      </c>
    </row>
    <row r="938" spans="7:9" x14ac:dyDescent="0.25">
      <c r="G938" s="7" t="s">
        <v>6361</v>
      </c>
      <c r="H938" s="7" t="s">
        <v>6107</v>
      </c>
      <c r="I938" s="7" t="s">
        <v>1203</v>
      </c>
    </row>
    <row r="939" spans="7:9" x14ac:dyDescent="0.25">
      <c r="G939" s="7" t="s">
        <v>6361</v>
      </c>
      <c r="H939" s="7" t="s">
        <v>6107</v>
      </c>
      <c r="I939" s="7" t="s">
        <v>1203</v>
      </c>
    </row>
    <row r="940" spans="7:9" x14ac:dyDescent="0.25">
      <c r="G940" s="7" t="s">
        <v>6361</v>
      </c>
      <c r="H940" s="7" t="s">
        <v>6107</v>
      </c>
      <c r="I940" s="7" t="s">
        <v>1203</v>
      </c>
    </row>
    <row r="941" spans="7:9" x14ac:dyDescent="0.25">
      <c r="G941" s="7" t="s">
        <v>6361</v>
      </c>
      <c r="H941" s="7" t="s">
        <v>6107</v>
      </c>
      <c r="I941" s="7" t="s">
        <v>1203</v>
      </c>
    </row>
    <row r="942" spans="7:9" x14ac:dyDescent="0.25">
      <c r="G942" s="15" t="s">
        <v>6361</v>
      </c>
      <c r="H942" s="15" t="s">
        <v>6107</v>
      </c>
      <c r="I942" s="15" t="s">
        <v>6635</v>
      </c>
    </row>
    <row r="943" spans="7:9" x14ac:dyDescent="0.25">
      <c r="G943" s="15" t="s">
        <v>6361</v>
      </c>
      <c r="H943" s="15" t="s">
        <v>6107</v>
      </c>
      <c r="I943" s="15" t="s">
        <v>6635</v>
      </c>
    </row>
    <row r="944" spans="7:9" x14ac:dyDescent="0.25">
      <c r="G944" s="15" t="s">
        <v>6361</v>
      </c>
      <c r="H944" s="15" t="s">
        <v>6107</v>
      </c>
      <c r="I944" s="15" t="s">
        <v>6635</v>
      </c>
    </row>
    <row r="945" spans="7:9" x14ac:dyDescent="0.25">
      <c r="G945" s="15" t="s">
        <v>6361</v>
      </c>
      <c r="H945" s="15" t="s">
        <v>6107</v>
      </c>
      <c r="I945" s="15" t="s">
        <v>6635</v>
      </c>
    </row>
    <row r="946" spans="7:9" x14ac:dyDescent="0.25">
      <c r="G946" s="15" t="s">
        <v>6361</v>
      </c>
      <c r="H946" s="15" t="s">
        <v>6107</v>
      </c>
      <c r="I946" s="15" t="s">
        <v>6635</v>
      </c>
    </row>
    <row r="947" spans="7:9" x14ac:dyDescent="0.25">
      <c r="G947" s="15" t="s">
        <v>6361</v>
      </c>
      <c r="H947" s="15" t="s">
        <v>6107</v>
      </c>
      <c r="I947" s="15" t="s">
        <v>6635</v>
      </c>
    </row>
    <row r="948" spans="7:9" x14ac:dyDescent="0.25">
      <c r="G948" s="15" t="s">
        <v>6361</v>
      </c>
      <c r="H948" s="15" t="s">
        <v>6107</v>
      </c>
      <c r="I948" s="15" t="s">
        <v>6635</v>
      </c>
    </row>
    <row r="949" spans="7:9" x14ac:dyDescent="0.25">
      <c r="G949" s="15" t="s">
        <v>6361</v>
      </c>
      <c r="H949" s="15" t="s">
        <v>6107</v>
      </c>
      <c r="I949" s="15" t="s">
        <v>6635</v>
      </c>
    </row>
    <row r="950" spans="7:9" x14ac:dyDescent="0.25">
      <c r="G950" s="15" t="s">
        <v>6361</v>
      </c>
      <c r="H950" s="15" t="s">
        <v>6107</v>
      </c>
      <c r="I950" s="15" t="s">
        <v>6635</v>
      </c>
    </row>
    <row r="951" spans="7:9" x14ac:dyDescent="0.25">
      <c r="G951" s="15" t="s">
        <v>6361</v>
      </c>
      <c r="H951" s="15" t="s">
        <v>6107</v>
      </c>
      <c r="I951" s="15" t="s">
        <v>6635</v>
      </c>
    </row>
    <row r="952" spans="7:9" x14ac:dyDescent="0.25">
      <c r="G952" s="15" t="s">
        <v>6361</v>
      </c>
      <c r="H952" s="15" t="s">
        <v>6107</v>
      </c>
      <c r="I952" s="15" t="s">
        <v>6635</v>
      </c>
    </row>
    <row r="953" spans="7:9" x14ac:dyDescent="0.25">
      <c r="G953" s="15" t="s">
        <v>6361</v>
      </c>
      <c r="H953" s="15" t="s">
        <v>6107</v>
      </c>
      <c r="I953" s="15" t="s">
        <v>6635</v>
      </c>
    </row>
    <row r="954" spans="7:9" x14ac:dyDescent="0.25">
      <c r="G954" s="15" t="s">
        <v>6361</v>
      </c>
      <c r="H954" s="15" t="s">
        <v>6107</v>
      </c>
      <c r="I954" s="15" t="s">
        <v>6635</v>
      </c>
    </row>
    <row r="955" spans="7:9" x14ac:dyDescent="0.25">
      <c r="G955" s="15" t="s">
        <v>6361</v>
      </c>
      <c r="H955" s="15" t="s">
        <v>6107</v>
      </c>
      <c r="I955" s="15" t="s">
        <v>6635</v>
      </c>
    </row>
    <row r="956" spans="7:9" x14ac:dyDescent="0.25">
      <c r="G956" s="7" t="s">
        <v>6361</v>
      </c>
      <c r="H956" s="7" t="s">
        <v>6107</v>
      </c>
      <c r="I956" s="7" t="s">
        <v>6635</v>
      </c>
    </row>
    <row r="957" spans="7:9" x14ac:dyDescent="0.25">
      <c r="G957" s="7" t="s">
        <v>6361</v>
      </c>
      <c r="H957" s="7" t="s">
        <v>6107</v>
      </c>
      <c r="I957" s="7" t="s">
        <v>6635</v>
      </c>
    </row>
    <row r="958" spans="7:9" x14ac:dyDescent="0.25">
      <c r="G958" s="7" t="s">
        <v>6361</v>
      </c>
      <c r="H958" s="7" t="s">
        <v>6107</v>
      </c>
      <c r="I958" s="7" t="s">
        <v>6635</v>
      </c>
    </row>
    <row r="959" spans="7:9" x14ac:dyDescent="0.25">
      <c r="G959" s="7" t="s">
        <v>6361</v>
      </c>
      <c r="H959" s="7" t="s">
        <v>6107</v>
      </c>
      <c r="I959" s="7" t="s">
        <v>6635</v>
      </c>
    </row>
    <row r="960" spans="7:9" x14ac:dyDescent="0.25">
      <c r="G960" s="7" t="s">
        <v>6361</v>
      </c>
      <c r="H960" s="7" t="s">
        <v>6107</v>
      </c>
      <c r="I960" s="7" t="s">
        <v>2932</v>
      </c>
    </row>
    <row r="961" spans="7:9" x14ac:dyDescent="0.25">
      <c r="G961" s="7" t="s">
        <v>6361</v>
      </c>
      <c r="H961" s="7" t="s">
        <v>6107</v>
      </c>
      <c r="I961" s="7" t="s">
        <v>2932</v>
      </c>
    </row>
    <row r="962" spans="7:9" x14ac:dyDescent="0.25">
      <c r="G962" s="7" t="s">
        <v>6361</v>
      </c>
      <c r="H962" s="7" t="s">
        <v>6107</v>
      </c>
      <c r="I962" s="7" t="s">
        <v>6637</v>
      </c>
    </row>
    <row r="963" spans="7:9" x14ac:dyDescent="0.25">
      <c r="G963" s="7" t="s">
        <v>6361</v>
      </c>
      <c r="H963" s="7" t="s">
        <v>6107</v>
      </c>
      <c r="I963" s="7" t="s">
        <v>6636</v>
      </c>
    </row>
    <row r="964" spans="7:9" x14ac:dyDescent="0.25">
      <c r="G964" s="7" t="s">
        <v>6361</v>
      </c>
      <c r="H964" s="7" t="s">
        <v>2981</v>
      </c>
      <c r="I964" s="7" t="s">
        <v>6124</v>
      </c>
    </row>
    <row r="965" spans="7:9" x14ac:dyDescent="0.25">
      <c r="G965" s="7" t="s">
        <v>6361</v>
      </c>
      <c r="H965" s="7" t="s">
        <v>2981</v>
      </c>
      <c r="I965" s="7" t="s">
        <v>3967</v>
      </c>
    </row>
    <row r="966" spans="7:9" x14ac:dyDescent="0.25">
      <c r="G966" s="7" t="s">
        <v>6361</v>
      </c>
      <c r="H966" s="7" t="s">
        <v>2981</v>
      </c>
      <c r="I966" s="7" t="s">
        <v>3967</v>
      </c>
    </row>
    <row r="967" spans="7:9" x14ac:dyDescent="0.25">
      <c r="G967" s="7" t="s">
        <v>6361</v>
      </c>
      <c r="H967" s="7" t="s">
        <v>6274</v>
      </c>
      <c r="I967" s="7" t="s">
        <v>6633</v>
      </c>
    </row>
    <row r="968" spans="7:9" x14ac:dyDescent="0.25">
      <c r="G968" s="7" t="s">
        <v>6361</v>
      </c>
      <c r="H968" s="7" t="s">
        <v>6274</v>
      </c>
      <c r="I968" s="7" t="s">
        <v>6633</v>
      </c>
    </row>
    <row r="969" spans="7:9" x14ac:dyDescent="0.25">
      <c r="G969" s="7" t="s">
        <v>6361</v>
      </c>
      <c r="H969" s="7" t="s">
        <v>6274</v>
      </c>
      <c r="I969" s="7" t="s">
        <v>6633</v>
      </c>
    </row>
    <row r="970" spans="7:9" x14ac:dyDescent="0.25">
      <c r="G970" s="7" t="s">
        <v>6361</v>
      </c>
      <c r="H970" s="15" t="s">
        <v>6274</v>
      </c>
      <c r="I970" s="15" t="s">
        <v>6633</v>
      </c>
    </row>
    <row r="971" spans="7:9" x14ac:dyDescent="0.25">
      <c r="G971" s="7" t="s">
        <v>6361</v>
      </c>
      <c r="H971" s="15" t="s">
        <v>6274</v>
      </c>
      <c r="I971" s="15" t="s">
        <v>6633</v>
      </c>
    </row>
    <row r="972" spans="7:9" x14ac:dyDescent="0.25">
      <c r="G972" s="7" t="s">
        <v>6361</v>
      </c>
      <c r="H972" s="15" t="s">
        <v>6274</v>
      </c>
      <c r="I972" s="15" t="s">
        <v>6633</v>
      </c>
    </row>
    <row r="973" spans="7:9" x14ac:dyDescent="0.25">
      <c r="G973" s="7" t="s">
        <v>6361</v>
      </c>
      <c r="H973" s="15" t="s">
        <v>6274</v>
      </c>
      <c r="I973" s="15" t="s">
        <v>6633</v>
      </c>
    </row>
    <row r="974" spans="7:9" x14ac:dyDescent="0.25">
      <c r="G974" s="7" t="s">
        <v>6361</v>
      </c>
      <c r="H974" s="15" t="s">
        <v>6274</v>
      </c>
      <c r="I974" s="15" t="s">
        <v>6633</v>
      </c>
    </row>
    <row r="975" spans="7:9" x14ac:dyDescent="0.25">
      <c r="G975" s="7" t="s">
        <v>6361</v>
      </c>
      <c r="H975" s="15" t="s">
        <v>6274</v>
      </c>
      <c r="I975" s="15" t="s">
        <v>6633</v>
      </c>
    </row>
    <row r="976" spans="7:9" x14ac:dyDescent="0.25">
      <c r="G976" s="7" t="s">
        <v>6361</v>
      </c>
      <c r="H976" s="15" t="s">
        <v>6274</v>
      </c>
      <c r="I976" s="15" t="s">
        <v>6633</v>
      </c>
    </row>
    <row r="977" spans="7:9" x14ac:dyDescent="0.25">
      <c r="G977" s="7" t="s">
        <v>6361</v>
      </c>
      <c r="H977" s="15" t="s">
        <v>6274</v>
      </c>
      <c r="I977" s="15" t="s">
        <v>6633</v>
      </c>
    </row>
    <row r="978" spans="7:9" x14ac:dyDescent="0.25">
      <c r="G978" s="7" t="s">
        <v>6361</v>
      </c>
      <c r="H978" s="15" t="s">
        <v>6274</v>
      </c>
      <c r="I978" s="15" t="s">
        <v>6633</v>
      </c>
    </row>
    <row r="979" spans="7:9" x14ac:dyDescent="0.25">
      <c r="G979" s="7" t="s">
        <v>6361</v>
      </c>
      <c r="H979" s="15" t="s">
        <v>6274</v>
      </c>
      <c r="I979" s="15" t="s">
        <v>6633</v>
      </c>
    </row>
    <row r="980" spans="7:9" x14ac:dyDescent="0.25">
      <c r="G980" s="7" t="s">
        <v>6361</v>
      </c>
      <c r="H980" s="15" t="s">
        <v>6274</v>
      </c>
      <c r="I980" s="15" t="s">
        <v>6633</v>
      </c>
    </row>
    <row r="981" spans="7:9" x14ac:dyDescent="0.25">
      <c r="G981" s="7" t="s">
        <v>6361</v>
      </c>
      <c r="H981" s="15" t="s">
        <v>6274</v>
      </c>
      <c r="I981" s="15" t="s">
        <v>6633</v>
      </c>
    </row>
    <row r="982" spans="7:9" x14ac:dyDescent="0.25">
      <c r="G982" s="7" t="s">
        <v>6361</v>
      </c>
      <c r="H982" s="15" t="s">
        <v>6274</v>
      </c>
      <c r="I982" s="15" t="s">
        <v>6633</v>
      </c>
    </row>
    <row r="983" spans="7:9" x14ac:dyDescent="0.25">
      <c r="G983" s="7" t="s">
        <v>6361</v>
      </c>
      <c r="H983" s="15" t="s">
        <v>6274</v>
      </c>
      <c r="I983" s="15" t="s">
        <v>6633</v>
      </c>
    </row>
    <row r="984" spans="7:9" x14ac:dyDescent="0.25">
      <c r="G984" s="7" t="s">
        <v>6361</v>
      </c>
      <c r="H984" s="15" t="s">
        <v>6274</v>
      </c>
      <c r="I984" s="15" t="s">
        <v>6633</v>
      </c>
    </row>
    <row r="985" spans="7:9" x14ac:dyDescent="0.25">
      <c r="G985" s="7" t="s">
        <v>6361</v>
      </c>
      <c r="H985" s="15" t="s">
        <v>6274</v>
      </c>
      <c r="I985" s="15" t="s">
        <v>6633</v>
      </c>
    </row>
    <row r="986" spans="7:9" x14ac:dyDescent="0.25">
      <c r="G986" s="7" t="s">
        <v>6361</v>
      </c>
      <c r="H986" s="15" t="s">
        <v>6274</v>
      </c>
      <c r="I986" s="15" t="s">
        <v>6633</v>
      </c>
    </row>
    <row r="987" spans="7:9" x14ac:dyDescent="0.25">
      <c r="G987" s="7" t="s">
        <v>6361</v>
      </c>
      <c r="H987" s="15" t="s">
        <v>6274</v>
      </c>
      <c r="I987" s="15" t="s">
        <v>6633</v>
      </c>
    </row>
    <row r="988" spans="7:9" x14ac:dyDescent="0.25">
      <c r="G988" s="7" t="s">
        <v>6361</v>
      </c>
      <c r="H988" s="15" t="s">
        <v>6274</v>
      </c>
      <c r="I988" s="15" t="s">
        <v>6633</v>
      </c>
    </row>
    <row r="989" spans="7:9" x14ac:dyDescent="0.25">
      <c r="G989" s="7" t="s">
        <v>6361</v>
      </c>
      <c r="H989" s="15" t="s">
        <v>6274</v>
      </c>
      <c r="I989" s="15" t="s">
        <v>6633</v>
      </c>
    </row>
    <row r="990" spans="7:9" x14ac:dyDescent="0.25">
      <c r="G990" s="7" t="s">
        <v>6361</v>
      </c>
      <c r="H990" s="15" t="s">
        <v>6274</v>
      </c>
      <c r="I990" s="15" t="s">
        <v>6633</v>
      </c>
    </row>
    <row r="991" spans="7:9" x14ac:dyDescent="0.25">
      <c r="G991" s="7" t="s">
        <v>6361</v>
      </c>
      <c r="H991" s="15" t="s">
        <v>6274</v>
      </c>
      <c r="I991" s="15" t="s">
        <v>6633</v>
      </c>
    </row>
    <row r="992" spans="7:9" x14ac:dyDescent="0.25">
      <c r="G992" s="7" t="s">
        <v>6361</v>
      </c>
      <c r="H992" s="15" t="s">
        <v>6274</v>
      </c>
      <c r="I992" s="15" t="s">
        <v>6633</v>
      </c>
    </row>
    <row r="993" spans="7:9" x14ac:dyDescent="0.25">
      <c r="G993" s="15" t="s">
        <v>6361</v>
      </c>
      <c r="H993" s="15" t="s">
        <v>6274</v>
      </c>
      <c r="I993" s="15" t="s">
        <v>6634</v>
      </c>
    </row>
    <row r="994" spans="7:9" x14ac:dyDescent="0.25">
      <c r="G994" s="7"/>
      <c r="H994" s="7"/>
      <c r="I994" s="7" t="s">
        <v>6332</v>
      </c>
    </row>
    <row r="995" spans="7:9" x14ac:dyDescent="0.25">
      <c r="G995" s="7" t="s">
        <v>6361</v>
      </c>
      <c r="H995" s="7" t="s">
        <v>6107</v>
      </c>
      <c r="I995" s="7" t="s">
        <v>6635</v>
      </c>
    </row>
    <row r="996" spans="7:9" x14ac:dyDescent="0.25">
      <c r="G996" s="7" t="s">
        <v>6361</v>
      </c>
      <c r="H996" s="7" t="s">
        <v>6107</v>
      </c>
      <c r="I996" s="7" t="s">
        <v>6635</v>
      </c>
    </row>
    <row r="997" spans="7:9" x14ac:dyDescent="0.25">
      <c r="G997" s="7" t="s">
        <v>6361</v>
      </c>
      <c r="H997" s="7" t="s">
        <v>6107</v>
      </c>
      <c r="I997" s="7" t="s">
        <v>6635</v>
      </c>
    </row>
    <row r="998" spans="7:9" x14ac:dyDescent="0.25">
      <c r="G998" s="7" t="s">
        <v>6361</v>
      </c>
      <c r="H998" s="7" t="s">
        <v>6107</v>
      </c>
      <c r="I998" s="7" t="s">
        <v>6635</v>
      </c>
    </row>
    <row r="999" spans="7:9" x14ac:dyDescent="0.25">
      <c r="G999" s="7" t="s">
        <v>6361</v>
      </c>
      <c r="H999" s="7" t="s">
        <v>6274</v>
      </c>
      <c r="I999" s="7" t="s">
        <v>6633</v>
      </c>
    </row>
    <row r="1000" spans="7:9" x14ac:dyDescent="0.25">
      <c r="G1000" s="7" t="s">
        <v>6361</v>
      </c>
      <c r="H1000" s="7" t="s">
        <v>6274</v>
      </c>
      <c r="I1000" s="7" t="s">
        <v>6633</v>
      </c>
    </row>
    <row r="1001" spans="7:9" x14ac:dyDescent="0.25">
      <c r="G1001" s="7" t="s">
        <v>6361</v>
      </c>
      <c r="H1001" s="7" t="s">
        <v>6364</v>
      </c>
      <c r="I1001" s="7"/>
    </row>
    <row r="1002" spans="7:9" x14ac:dyDescent="0.25">
      <c r="G1002" s="7" t="s">
        <v>6358</v>
      </c>
      <c r="H1002" s="7" t="s">
        <v>6359</v>
      </c>
      <c r="I1002" s="7" t="s">
        <v>6421</v>
      </c>
    </row>
    <row r="1003" spans="7:9" x14ac:dyDescent="0.25">
      <c r="G1003" s="7" t="s">
        <v>6358</v>
      </c>
      <c r="H1003" s="7" t="s">
        <v>6359</v>
      </c>
      <c r="I1003" s="7" t="s">
        <v>6421</v>
      </c>
    </row>
    <row r="1004" spans="7:9" x14ac:dyDescent="0.25">
      <c r="G1004" s="7" t="s">
        <v>6361</v>
      </c>
      <c r="H1004" s="7" t="s">
        <v>3969</v>
      </c>
      <c r="I1004" s="7" t="s">
        <v>3969</v>
      </c>
    </row>
    <row r="1005" spans="7:9" x14ac:dyDescent="0.25">
      <c r="G1005" s="7" t="s">
        <v>6361</v>
      </c>
      <c r="H1005" s="7" t="s">
        <v>3969</v>
      </c>
      <c r="I1005" s="7" t="s">
        <v>3969</v>
      </c>
    </row>
    <row r="1006" spans="7:9" x14ac:dyDescent="0.25">
      <c r="G1006" s="7" t="s">
        <v>6361</v>
      </c>
      <c r="H1006" s="7" t="s">
        <v>3969</v>
      </c>
      <c r="I1006" s="7" t="s">
        <v>3969</v>
      </c>
    </row>
    <row r="1007" spans="7:9" x14ac:dyDescent="0.25">
      <c r="G1007" s="7"/>
      <c r="H1007" s="7"/>
      <c r="I1007" s="7"/>
    </row>
    <row r="1008" spans="7:9" x14ac:dyDescent="0.25">
      <c r="G1008" s="7" t="s">
        <v>6361</v>
      </c>
      <c r="H1008" s="7" t="s">
        <v>6274</v>
      </c>
      <c r="I1008" s="7" t="s">
        <v>6634</v>
      </c>
    </row>
    <row r="1009" spans="7:9" x14ac:dyDescent="0.25">
      <c r="G1009" s="7" t="s">
        <v>6361</v>
      </c>
      <c r="H1009" s="7" t="s">
        <v>6274</v>
      </c>
      <c r="I1009" s="7" t="s">
        <v>6634</v>
      </c>
    </row>
    <row r="1010" spans="7:9" x14ac:dyDescent="0.25">
      <c r="G1010" s="7" t="s">
        <v>6361</v>
      </c>
      <c r="H1010" s="7" t="s">
        <v>6274</v>
      </c>
      <c r="I1010" s="7" t="s">
        <v>6634</v>
      </c>
    </row>
    <row r="1011" spans="7:9" x14ac:dyDescent="0.25">
      <c r="G1011" s="7" t="s">
        <v>6361</v>
      </c>
      <c r="H1011" s="7" t="s">
        <v>6274</v>
      </c>
      <c r="I1011" s="7" t="s">
        <v>6634</v>
      </c>
    </row>
    <row r="1012" spans="7:9" x14ac:dyDescent="0.25">
      <c r="G1012" s="7"/>
      <c r="H1012" s="7"/>
      <c r="I1012" s="7"/>
    </row>
    <row r="1013" spans="7:9" x14ac:dyDescent="0.25">
      <c r="G1013" s="7"/>
      <c r="H1013" s="7"/>
      <c r="I1013" s="7"/>
    </row>
    <row r="1014" spans="7:9" x14ac:dyDescent="0.25">
      <c r="G1014" s="7"/>
      <c r="H1014" s="7"/>
      <c r="I1014" s="7"/>
    </row>
    <row r="1015" spans="7:9" x14ac:dyDescent="0.25">
      <c r="G1015" s="7"/>
      <c r="H1015" s="7"/>
      <c r="I1015" s="7"/>
    </row>
    <row r="1016" spans="7:9" x14ac:dyDescent="0.25">
      <c r="G1016" s="7"/>
      <c r="H1016" s="7"/>
      <c r="I1016" s="7"/>
    </row>
    <row r="1017" spans="7:9" x14ac:dyDescent="0.25">
      <c r="G1017" s="7"/>
      <c r="H1017" s="7"/>
      <c r="I1017" s="7"/>
    </row>
    <row r="1018" spans="7:9" x14ac:dyDescent="0.25">
      <c r="G1018" s="7"/>
      <c r="H1018" s="7"/>
      <c r="I1018" s="7"/>
    </row>
    <row r="1019" spans="7:9" x14ac:dyDescent="0.25">
      <c r="G1019" s="7"/>
      <c r="H1019" s="7"/>
      <c r="I1019" s="7"/>
    </row>
    <row r="1020" spans="7:9" x14ac:dyDescent="0.25">
      <c r="G1020" s="7"/>
      <c r="H1020" s="7"/>
      <c r="I1020" s="7"/>
    </row>
    <row r="1021" spans="7:9" x14ac:dyDescent="0.25">
      <c r="G1021" s="7"/>
      <c r="H1021" s="7"/>
      <c r="I1021" s="7"/>
    </row>
    <row r="1022" spans="7:9" x14ac:dyDescent="0.25">
      <c r="G1022" s="7"/>
      <c r="H1022" s="7"/>
      <c r="I1022" s="7"/>
    </row>
    <row r="1023" spans="7:9" x14ac:dyDescent="0.25">
      <c r="G1023" s="7"/>
      <c r="H1023" s="7"/>
      <c r="I1023" s="7"/>
    </row>
    <row r="1024" spans="7:9" x14ac:dyDescent="0.25">
      <c r="G1024" s="7"/>
      <c r="H1024" s="7"/>
      <c r="I1024" s="7"/>
    </row>
    <row r="1025" spans="7:9" x14ac:dyDescent="0.25">
      <c r="G1025" s="7"/>
      <c r="H1025" s="7"/>
      <c r="I1025" s="7"/>
    </row>
    <row r="1026" spans="7:9" x14ac:dyDescent="0.25">
      <c r="G1026" s="7"/>
      <c r="H1026" s="7"/>
      <c r="I1026" s="7"/>
    </row>
    <row r="1027" spans="7:9" x14ac:dyDescent="0.25">
      <c r="G1027" s="7"/>
      <c r="H1027" s="7"/>
      <c r="I1027" s="7"/>
    </row>
    <row r="1028" spans="7:9" x14ac:dyDescent="0.25">
      <c r="G1028" s="7"/>
      <c r="H1028" s="7"/>
      <c r="I1028" s="7"/>
    </row>
    <row r="1029" spans="7:9" x14ac:dyDescent="0.25">
      <c r="G1029" s="7"/>
      <c r="H1029" s="7"/>
      <c r="I1029" s="7"/>
    </row>
    <row r="1030" spans="7:9" x14ac:dyDescent="0.25">
      <c r="G1030" s="7"/>
      <c r="H1030" s="7"/>
      <c r="I1030" s="7"/>
    </row>
    <row r="1031" spans="7:9" x14ac:dyDescent="0.25">
      <c r="G1031" s="7"/>
      <c r="H1031" s="7"/>
      <c r="I1031" s="7"/>
    </row>
    <row r="1032" spans="7:9" x14ac:dyDescent="0.25">
      <c r="G1032" s="7"/>
      <c r="H1032" s="7"/>
      <c r="I1032" s="7"/>
    </row>
    <row r="1033" spans="7:9" x14ac:dyDescent="0.25">
      <c r="G1033" s="7"/>
      <c r="H1033" s="7"/>
      <c r="I1033" s="7"/>
    </row>
    <row r="1034" spans="7:9" x14ac:dyDescent="0.25">
      <c r="G1034" s="7"/>
      <c r="H1034" s="7"/>
      <c r="I1034" s="7"/>
    </row>
    <row r="1035" spans="7:9" x14ac:dyDescent="0.25">
      <c r="G1035" s="7"/>
      <c r="H1035" s="7"/>
      <c r="I1035" s="7"/>
    </row>
    <row r="1036" spans="7:9" x14ac:dyDescent="0.25">
      <c r="G1036" s="7"/>
      <c r="H1036" s="7"/>
      <c r="I1036" s="7"/>
    </row>
    <row r="1037" spans="7:9" x14ac:dyDescent="0.25">
      <c r="G1037" s="7"/>
      <c r="H1037" s="7"/>
      <c r="I1037" s="7"/>
    </row>
    <row r="1038" spans="7:9" x14ac:dyDescent="0.25">
      <c r="G1038" s="7"/>
      <c r="H1038" s="7"/>
      <c r="I1038" s="7"/>
    </row>
    <row r="1039" spans="7:9" x14ac:dyDescent="0.25">
      <c r="G1039" s="7"/>
      <c r="H1039" s="7"/>
      <c r="I1039" s="7"/>
    </row>
    <row r="1040" spans="7:9" x14ac:dyDescent="0.25">
      <c r="G1040" s="7"/>
      <c r="H1040" s="7"/>
      <c r="I1040" s="7"/>
    </row>
    <row r="1041" spans="7:9" x14ac:dyDescent="0.25">
      <c r="G1041" s="7"/>
      <c r="H1041" s="7"/>
      <c r="I1041" s="7"/>
    </row>
    <row r="1042" spans="7:9" x14ac:dyDescent="0.25">
      <c r="G1042" s="7"/>
      <c r="H1042" s="7"/>
      <c r="I1042" s="7"/>
    </row>
    <row r="1043" spans="7:9" x14ac:dyDescent="0.25">
      <c r="G1043" s="7"/>
      <c r="H1043" s="7"/>
      <c r="I1043" s="7"/>
    </row>
    <row r="1044" spans="7:9" x14ac:dyDescent="0.25">
      <c r="G1044" s="7"/>
      <c r="H1044" s="7"/>
      <c r="I1044" s="7"/>
    </row>
    <row r="1045" spans="7:9" x14ac:dyDescent="0.25">
      <c r="G1045" s="7"/>
      <c r="H1045" s="7"/>
      <c r="I1045" s="7"/>
    </row>
    <row r="1046" spans="7:9" x14ac:dyDescent="0.25">
      <c r="G1046" s="7"/>
      <c r="H1046" s="7"/>
      <c r="I1046" s="7"/>
    </row>
    <row r="1047" spans="7:9" x14ac:dyDescent="0.25">
      <c r="G1047" s="7"/>
      <c r="H1047" s="7"/>
      <c r="I1047" s="7"/>
    </row>
    <row r="1048" spans="7:9" x14ac:dyDescent="0.25">
      <c r="G1048" s="7"/>
      <c r="H1048" s="7"/>
      <c r="I1048" s="7"/>
    </row>
    <row r="1049" spans="7:9" x14ac:dyDescent="0.25">
      <c r="G1049" s="7"/>
      <c r="H1049" s="7"/>
      <c r="I1049" s="7"/>
    </row>
    <row r="1050" spans="7:9" x14ac:dyDescent="0.25">
      <c r="G1050" s="7"/>
      <c r="H1050" s="7"/>
      <c r="I1050" s="7"/>
    </row>
    <row r="1051" spans="7:9" x14ac:dyDescent="0.25">
      <c r="G1051" s="7"/>
      <c r="H1051" s="7"/>
      <c r="I1051" s="7"/>
    </row>
    <row r="1052" spans="7:9" x14ac:dyDescent="0.25">
      <c r="G1052" s="7"/>
      <c r="H1052" s="7"/>
      <c r="I1052" s="7"/>
    </row>
    <row r="1053" spans="7:9" x14ac:dyDescent="0.25">
      <c r="G1053" s="7"/>
      <c r="H1053" s="7"/>
      <c r="I1053" s="7"/>
    </row>
    <row r="1054" spans="7:9" x14ac:dyDescent="0.25">
      <c r="G1054" s="7"/>
      <c r="H1054" s="7"/>
      <c r="I1054" s="7"/>
    </row>
    <row r="1055" spans="7:9" x14ac:dyDescent="0.25">
      <c r="G1055" s="7"/>
      <c r="H1055" s="7"/>
      <c r="I1055" s="7"/>
    </row>
    <row r="1056" spans="7:9" x14ac:dyDescent="0.25">
      <c r="G1056" s="7"/>
      <c r="H1056" s="7"/>
      <c r="I1056" s="7"/>
    </row>
    <row r="1057" spans="7:9" x14ac:dyDescent="0.25">
      <c r="G1057" s="7"/>
      <c r="H1057" s="7"/>
      <c r="I1057" s="7"/>
    </row>
    <row r="1058" spans="7:9" x14ac:dyDescent="0.25">
      <c r="G1058" s="7"/>
      <c r="H1058" s="7"/>
      <c r="I1058" s="7"/>
    </row>
    <row r="1059" spans="7:9" x14ac:dyDescent="0.25">
      <c r="G1059" s="7"/>
      <c r="H1059" s="7"/>
      <c r="I1059" s="7"/>
    </row>
    <row r="1060" spans="7:9" x14ac:dyDescent="0.25">
      <c r="G1060" s="7"/>
      <c r="H1060" s="7"/>
      <c r="I1060" s="7"/>
    </row>
    <row r="1061" spans="7:9" x14ac:dyDescent="0.25">
      <c r="G1061" s="7"/>
      <c r="H1061" s="7"/>
      <c r="I1061" s="7"/>
    </row>
    <row r="1062" spans="7:9" x14ac:dyDescent="0.25">
      <c r="G1062" s="7"/>
      <c r="H1062" s="7"/>
      <c r="I1062" s="7"/>
    </row>
    <row r="1063" spans="7:9" x14ac:dyDescent="0.25">
      <c r="G1063" s="7"/>
      <c r="H1063" s="7"/>
      <c r="I1063" s="7"/>
    </row>
    <row r="1064" spans="7:9" x14ac:dyDescent="0.25">
      <c r="G1064" s="7"/>
      <c r="H1064" s="7"/>
      <c r="I1064" s="7"/>
    </row>
    <row r="1065" spans="7:9" x14ac:dyDescent="0.25">
      <c r="G1065" s="7"/>
      <c r="H1065" s="7"/>
      <c r="I1065" s="7"/>
    </row>
    <row r="1066" spans="7:9" x14ac:dyDescent="0.25">
      <c r="G1066" s="7"/>
      <c r="H1066" s="7"/>
      <c r="I1066" s="7"/>
    </row>
    <row r="1067" spans="7:9" x14ac:dyDescent="0.25">
      <c r="G1067" s="7"/>
      <c r="H1067" s="7"/>
      <c r="I1067" s="7"/>
    </row>
    <row r="1068" spans="7:9" x14ac:dyDescent="0.25">
      <c r="G1068" s="7"/>
      <c r="H1068" s="7"/>
      <c r="I1068" s="7"/>
    </row>
    <row r="1069" spans="7:9" x14ac:dyDescent="0.25">
      <c r="G1069" s="7"/>
      <c r="H1069" s="7"/>
      <c r="I1069" s="7"/>
    </row>
    <row r="1070" spans="7:9" x14ac:dyDescent="0.25">
      <c r="G1070" s="7"/>
      <c r="H1070" s="7"/>
      <c r="I1070" s="7"/>
    </row>
    <row r="1071" spans="7:9" x14ac:dyDescent="0.25">
      <c r="G1071" s="7"/>
      <c r="H1071" s="7"/>
      <c r="I1071" s="7"/>
    </row>
    <row r="1072" spans="7:9" x14ac:dyDescent="0.25">
      <c r="G1072" s="7"/>
      <c r="H1072" s="7"/>
      <c r="I1072" s="7"/>
    </row>
    <row r="1073" spans="7:9" x14ac:dyDescent="0.25">
      <c r="G1073" s="7"/>
      <c r="H1073" s="7"/>
      <c r="I1073" s="7"/>
    </row>
    <row r="1074" spans="7:9" x14ac:dyDescent="0.25">
      <c r="G1074" s="7"/>
      <c r="H1074" s="7"/>
      <c r="I1074" s="7"/>
    </row>
    <row r="1075" spans="7:9" x14ac:dyDescent="0.25">
      <c r="G1075" s="7"/>
      <c r="H1075" s="7"/>
      <c r="I1075" s="7"/>
    </row>
    <row r="1076" spans="7:9" x14ac:dyDescent="0.25">
      <c r="G1076" s="7"/>
      <c r="H1076" s="7"/>
      <c r="I1076" s="7"/>
    </row>
    <row r="1077" spans="7:9" x14ac:dyDescent="0.25">
      <c r="G1077" s="7"/>
      <c r="H1077" s="7"/>
      <c r="I1077" s="7"/>
    </row>
    <row r="1078" spans="7:9" x14ac:dyDescent="0.25">
      <c r="G1078" s="7"/>
      <c r="H1078" s="7"/>
      <c r="I1078" s="7"/>
    </row>
    <row r="1079" spans="7:9" x14ac:dyDescent="0.25">
      <c r="G1079" s="7"/>
      <c r="H1079" s="7"/>
      <c r="I1079" s="7"/>
    </row>
    <row r="1080" spans="7:9" x14ac:dyDescent="0.25">
      <c r="G1080" s="7"/>
      <c r="H1080" s="7"/>
      <c r="I1080" s="7"/>
    </row>
    <row r="1081" spans="7:9" x14ac:dyDescent="0.25">
      <c r="G1081" s="7"/>
      <c r="H1081" s="7"/>
      <c r="I1081" s="7"/>
    </row>
    <row r="1082" spans="7:9" x14ac:dyDescent="0.25">
      <c r="G1082" s="7"/>
      <c r="H1082" s="7"/>
      <c r="I1082" s="7"/>
    </row>
    <row r="1083" spans="7:9" x14ac:dyDescent="0.25">
      <c r="G1083" s="7"/>
      <c r="H1083" s="7"/>
      <c r="I1083" s="7"/>
    </row>
    <row r="1084" spans="7:9" x14ac:dyDescent="0.25">
      <c r="G1084" s="7"/>
      <c r="H1084" s="7"/>
      <c r="I1084" s="7"/>
    </row>
    <row r="1085" spans="7:9" x14ac:dyDescent="0.25">
      <c r="G1085" s="7"/>
      <c r="H1085" s="7"/>
      <c r="I1085" s="7"/>
    </row>
    <row r="1086" spans="7:9" x14ac:dyDescent="0.25">
      <c r="G1086" s="7"/>
      <c r="H1086" s="7"/>
      <c r="I1086" s="7"/>
    </row>
    <row r="1087" spans="7:9" x14ac:dyDescent="0.25">
      <c r="G1087" s="7"/>
      <c r="H1087" s="7"/>
      <c r="I1087" s="7"/>
    </row>
    <row r="1088" spans="7:9" x14ac:dyDescent="0.25">
      <c r="G1088" s="7"/>
      <c r="H1088" s="7"/>
      <c r="I1088" s="7"/>
    </row>
    <row r="1089" spans="7:9" x14ac:dyDescent="0.25">
      <c r="G1089" s="7"/>
      <c r="H1089" s="7"/>
      <c r="I1089" s="7"/>
    </row>
    <row r="1090" spans="7:9" x14ac:dyDescent="0.25">
      <c r="G1090" s="7"/>
      <c r="H1090" s="7"/>
      <c r="I1090" s="7"/>
    </row>
    <row r="1091" spans="7:9" x14ac:dyDescent="0.25">
      <c r="G1091" s="7"/>
      <c r="H1091" s="7"/>
      <c r="I1091" s="7"/>
    </row>
    <row r="1092" spans="7:9" x14ac:dyDescent="0.25">
      <c r="G1092" s="7"/>
      <c r="H1092" s="7"/>
      <c r="I1092" s="7"/>
    </row>
    <row r="1093" spans="7:9" x14ac:dyDescent="0.25">
      <c r="G1093" s="7"/>
      <c r="H1093" s="7"/>
      <c r="I1093" s="7"/>
    </row>
    <row r="1094" spans="7:9" x14ac:dyDescent="0.25">
      <c r="G1094" s="7"/>
      <c r="H1094" s="7"/>
      <c r="I1094" s="7"/>
    </row>
    <row r="1095" spans="7:9" x14ac:dyDescent="0.25">
      <c r="G1095" s="7"/>
      <c r="H1095" s="7"/>
      <c r="I1095" s="7"/>
    </row>
    <row r="1096" spans="7:9" x14ac:dyDescent="0.25">
      <c r="G1096" s="7"/>
      <c r="H1096" s="7"/>
      <c r="I1096" s="7"/>
    </row>
    <row r="1097" spans="7:9" x14ac:dyDescent="0.25">
      <c r="G1097" s="7"/>
      <c r="H1097" s="7"/>
      <c r="I1097" s="7"/>
    </row>
    <row r="1098" spans="7:9" x14ac:dyDescent="0.25">
      <c r="G1098" s="7"/>
      <c r="H1098" s="7"/>
      <c r="I1098" s="7"/>
    </row>
    <row r="1099" spans="7:9" x14ac:dyDescent="0.25">
      <c r="G1099" s="7"/>
      <c r="H1099" s="7"/>
      <c r="I1099" s="7"/>
    </row>
    <row r="1100" spans="7:9" x14ac:dyDescent="0.25">
      <c r="G1100" s="7"/>
      <c r="H1100" s="7"/>
      <c r="I1100" s="7"/>
    </row>
    <row r="1101" spans="7:9" x14ac:dyDescent="0.25">
      <c r="G1101" s="7"/>
      <c r="H1101" s="7"/>
      <c r="I1101" s="7"/>
    </row>
    <row r="1102" spans="7:9" x14ac:dyDescent="0.25">
      <c r="G1102" s="7"/>
      <c r="H1102" s="7"/>
      <c r="I1102" s="7"/>
    </row>
    <row r="1103" spans="7:9" x14ac:dyDescent="0.25">
      <c r="G1103" s="7"/>
      <c r="H1103" s="7"/>
      <c r="I1103" s="7"/>
    </row>
    <row r="1104" spans="7:9" x14ac:dyDescent="0.25">
      <c r="G1104" s="7"/>
      <c r="H1104" s="7"/>
      <c r="I1104" s="7"/>
    </row>
    <row r="1105" spans="7:9" x14ac:dyDescent="0.25">
      <c r="G1105" s="7"/>
      <c r="H1105" s="7"/>
      <c r="I1105" s="7"/>
    </row>
    <row r="1106" spans="7:9" x14ac:dyDescent="0.25">
      <c r="G1106" s="7"/>
      <c r="H1106" s="7"/>
      <c r="I1106" s="7"/>
    </row>
    <row r="1107" spans="7:9" x14ac:dyDescent="0.25">
      <c r="G1107" s="7"/>
      <c r="H1107" s="7"/>
      <c r="I1107" s="7"/>
    </row>
    <row r="1108" spans="7:9" x14ac:dyDescent="0.25">
      <c r="G1108" s="7"/>
      <c r="H1108" s="7"/>
      <c r="I1108" s="7"/>
    </row>
    <row r="1109" spans="7:9" x14ac:dyDescent="0.25">
      <c r="G1109" s="7"/>
      <c r="H1109" s="7"/>
      <c r="I1109" s="7"/>
    </row>
    <row r="1110" spans="7:9" x14ac:dyDescent="0.25">
      <c r="G1110" s="7"/>
      <c r="H1110" s="7"/>
      <c r="I1110" s="7"/>
    </row>
    <row r="1111" spans="7:9" x14ac:dyDescent="0.25">
      <c r="G1111" s="7"/>
      <c r="H1111" s="7"/>
      <c r="I1111" s="7"/>
    </row>
    <row r="1112" spans="7:9" x14ac:dyDescent="0.25">
      <c r="G1112" s="7"/>
      <c r="H1112" s="7"/>
      <c r="I1112" s="7"/>
    </row>
    <row r="1113" spans="7:9" x14ac:dyDescent="0.25">
      <c r="G1113" s="7"/>
      <c r="H1113" s="7"/>
      <c r="I1113" s="7"/>
    </row>
    <row r="1114" spans="7:9" x14ac:dyDescent="0.25">
      <c r="G1114" s="7"/>
      <c r="H1114" s="7"/>
      <c r="I1114" s="7"/>
    </row>
    <row r="1115" spans="7:9" x14ac:dyDescent="0.25">
      <c r="G1115" s="7"/>
      <c r="H1115" s="7"/>
      <c r="I1115" s="7"/>
    </row>
    <row r="1116" spans="7:9" x14ac:dyDescent="0.25">
      <c r="G1116" s="7"/>
      <c r="H1116" s="7"/>
      <c r="I1116" s="7"/>
    </row>
    <row r="1117" spans="7:9" x14ac:dyDescent="0.25">
      <c r="G1117" s="7"/>
      <c r="H1117" s="7"/>
      <c r="I1117" s="7"/>
    </row>
    <row r="1118" spans="7:9" x14ac:dyDescent="0.25">
      <c r="G1118" s="7"/>
      <c r="H1118" s="7"/>
      <c r="I1118" s="7"/>
    </row>
    <row r="1119" spans="7:9" x14ac:dyDescent="0.25">
      <c r="G1119" s="7"/>
      <c r="H1119" s="7"/>
      <c r="I1119" s="7"/>
    </row>
    <row r="1120" spans="7:9" x14ac:dyDescent="0.25">
      <c r="G1120" s="7"/>
      <c r="H1120" s="7"/>
      <c r="I1120" s="7"/>
    </row>
    <row r="1121" spans="7:9" x14ac:dyDescent="0.25">
      <c r="G1121" s="7"/>
      <c r="H1121" s="7"/>
      <c r="I1121" s="7"/>
    </row>
    <row r="1122" spans="7:9" x14ac:dyDescent="0.25">
      <c r="G1122" s="7"/>
      <c r="H1122" s="7"/>
      <c r="I1122" s="7"/>
    </row>
    <row r="1123" spans="7:9" x14ac:dyDescent="0.25">
      <c r="G1123" s="7"/>
      <c r="H1123" s="7"/>
      <c r="I1123" s="7"/>
    </row>
    <row r="1124" spans="7:9" x14ac:dyDescent="0.25">
      <c r="G1124" s="7"/>
      <c r="H1124" s="7"/>
      <c r="I1124" s="7"/>
    </row>
    <row r="1125" spans="7:9" x14ac:dyDescent="0.25">
      <c r="G1125" s="7"/>
      <c r="H1125" s="7"/>
      <c r="I1125" s="7"/>
    </row>
    <row r="1126" spans="7:9" x14ac:dyDescent="0.25">
      <c r="G1126" s="7"/>
      <c r="H1126" s="7"/>
      <c r="I1126" s="7"/>
    </row>
    <row r="1127" spans="7:9" x14ac:dyDescent="0.25">
      <c r="G1127" s="7"/>
      <c r="H1127" s="7"/>
      <c r="I1127" s="7"/>
    </row>
    <row r="1128" spans="7:9" x14ac:dyDescent="0.25">
      <c r="G1128" s="7"/>
      <c r="H1128" s="7"/>
      <c r="I1128" s="7"/>
    </row>
    <row r="1129" spans="7:9" x14ac:dyDescent="0.25">
      <c r="G1129" s="7"/>
      <c r="H1129" s="7"/>
      <c r="I1129" s="7"/>
    </row>
    <row r="1130" spans="7:9" x14ac:dyDescent="0.25">
      <c r="G1130" s="7"/>
      <c r="H1130" s="7"/>
      <c r="I1130" s="7"/>
    </row>
    <row r="1131" spans="7:9" x14ac:dyDescent="0.25">
      <c r="G1131" s="7"/>
      <c r="H1131" s="7"/>
      <c r="I1131" s="7"/>
    </row>
    <row r="1132" spans="7:9" x14ac:dyDescent="0.25">
      <c r="G1132" s="7"/>
      <c r="H1132" s="7"/>
      <c r="I1132" s="7"/>
    </row>
    <row r="1133" spans="7:9" x14ac:dyDescent="0.25">
      <c r="G1133" s="7"/>
      <c r="H1133" s="7"/>
      <c r="I1133" s="7"/>
    </row>
    <row r="1134" spans="7:9" x14ac:dyDescent="0.25">
      <c r="G1134" s="7"/>
      <c r="H1134" s="7"/>
      <c r="I1134" s="7"/>
    </row>
    <row r="1135" spans="7:9" x14ac:dyDescent="0.25">
      <c r="G1135" s="7"/>
      <c r="H1135" s="7"/>
      <c r="I1135" s="7"/>
    </row>
    <row r="1136" spans="7:9" x14ac:dyDescent="0.25">
      <c r="G1136" s="7"/>
      <c r="H1136" s="7"/>
      <c r="I1136" s="7"/>
    </row>
    <row r="1137" spans="7:9" x14ac:dyDescent="0.25">
      <c r="G1137" s="7"/>
      <c r="H1137" s="7"/>
      <c r="I1137" s="7"/>
    </row>
    <row r="1138" spans="7:9" x14ac:dyDescent="0.25">
      <c r="G1138" s="7"/>
      <c r="H1138" s="7"/>
      <c r="I1138" s="7"/>
    </row>
    <row r="1139" spans="7:9" x14ac:dyDescent="0.25">
      <c r="G1139" s="7"/>
      <c r="H1139" s="7"/>
      <c r="I1139" s="7"/>
    </row>
    <row r="1140" spans="7:9" x14ac:dyDescent="0.25">
      <c r="G1140" s="7"/>
      <c r="H1140" s="7"/>
      <c r="I1140" s="7"/>
    </row>
    <row r="1141" spans="7:9" x14ac:dyDescent="0.25">
      <c r="G1141" s="7"/>
      <c r="H1141" s="7"/>
      <c r="I1141" s="7"/>
    </row>
    <row r="1142" spans="7:9" x14ac:dyDescent="0.25">
      <c r="G1142" s="7"/>
      <c r="H1142" s="7"/>
      <c r="I1142" s="7"/>
    </row>
    <row r="1143" spans="7:9" x14ac:dyDescent="0.25">
      <c r="G1143" s="7"/>
      <c r="H1143" s="7"/>
      <c r="I1143" s="7"/>
    </row>
    <row r="1144" spans="7:9" x14ac:dyDescent="0.25">
      <c r="G1144" s="7"/>
      <c r="H1144" s="7"/>
      <c r="I1144" s="7"/>
    </row>
    <row r="1145" spans="7:9" x14ac:dyDescent="0.25">
      <c r="G1145" s="7"/>
      <c r="H1145" s="7"/>
      <c r="I1145" s="7"/>
    </row>
    <row r="1146" spans="7:9" x14ac:dyDescent="0.25">
      <c r="G1146" s="7"/>
      <c r="H1146" s="7"/>
      <c r="I1146" s="7"/>
    </row>
    <row r="1147" spans="7:9" x14ac:dyDescent="0.25">
      <c r="G1147" s="7"/>
      <c r="H1147" s="7"/>
      <c r="I1147" s="7"/>
    </row>
    <row r="1148" spans="7:9" x14ac:dyDescent="0.25">
      <c r="G1148" s="7"/>
      <c r="H1148" s="7"/>
      <c r="I1148" s="7"/>
    </row>
    <row r="1149" spans="7:9" x14ac:dyDescent="0.25">
      <c r="G1149" s="7"/>
      <c r="H1149" s="7"/>
      <c r="I1149" s="7"/>
    </row>
    <row r="1150" spans="7:9" x14ac:dyDescent="0.25">
      <c r="G1150" s="7"/>
      <c r="H1150" s="7"/>
      <c r="I1150" s="7"/>
    </row>
    <row r="1151" spans="7:9" x14ac:dyDescent="0.25">
      <c r="G1151" s="7"/>
      <c r="H1151" s="7"/>
      <c r="I1151" s="7"/>
    </row>
    <row r="1152" spans="7:9" x14ac:dyDescent="0.25">
      <c r="G1152" s="7"/>
      <c r="H1152" s="7"/>
      <c r="I1152" s="7"/>
    </row>
    <row r="1153" spans="7:9" x14ac:dyDescent="0.25">
      <c r="G1153" s="7"/>
      <c r="H1153" s="7"/>
      <c r="I1153" s="7"/>
    </row>
    <row r="1154" spans="7:9" x14ac:dyDescent="0.25">
      <c r="G1154" s="7"/>
      <c r="H1154" s="7"/>
      <c r="I1154" s="7"/>
    </row>
    <row r="1155" spans="7:9" x14ac:dyDescent="0.25">
      <c r="G1155" s="7"/>
      <c r="H1155" s="7"/>
      <c r="I1155" s="7"/>
    </row>
    <row r="1156" spans="7:9" x14ac:dyDescent="0.25">
      <c r="G1156" s="7"/>
      <c r="H1156" s="7"/>
      <c r="I1156" s="7"/>
    </row>
    <row r="1157" spans="7:9" x14ac:dyDescent="0.25">
      <c r="G1157" s="7"/>
      <c r="H1157" s="7"/>
      <c r="I1157" s="7"/>
    </row>
    <row r="1158" spans="7:9" x14ac:dyDescent="0.25">
      <c r="G1158" s="7"/>
      <c r="H1158" s="7"/>
      <c r="I1158" s="7"/>
    </row>
    <row r="1159" spans="7:9" x14ac:dyDescent="0.25">
      <c r="G1159" s="7"/>
      <c r="H1159" s="7"/>
      <c r="I1159" s="7"/>
    </row>
    <row r="1160" spans="7:9" x14ac:dyDescent="0.25">
      <c r="G1160" s="7"/>
      <c r="H1160" s="7"/>
      <c r="I1160" s="7"/>
    </row>
    <row r="1161" spans="7:9" x14ac:dyDescent="0.25">
      <c r="G1161" s="7"/>
      <c r="H1161" s="7"/>
      <c r="I1161" s="7"/>
    </row>
    <row r="1162" spans="7:9" x14ac:dyDescent="0.25">
      <c r="G1162" s="7"/>
      <c r="H1162" s="7"/>
      <c r="I1162" s="7"/>
    </row>
    <row r="1163" spans="7:9" x14ac:dyDescent="0.25">
      <c r="G1163" s="7"/>
      <c r="H1163" s="7"/>
      <c r="I1163" s="7"/>
    </row>
    <row r="1164" spans="7:9" x14ac:dyDescent="0.25">
      <c r="G1164" s="7"/>
      <c r="H1164" s="7"/>
      <c r="I1164" s="7"/>
    </row>
    <row r="1165" spans="7:9" x14ac:dyDescent="0.25">
      <c r="G1165" s="7"/>
      <c r="H1165" s="7"/>
      <c r="I1165" s="7"/>
    </row>
    <row r="1166" spans="7:9" x14ac:dyDescent="0.25">
      <c r="G1166" s="7"/>
      <c r="H1166" s="7"/>
      <c r="I1166" s="7"/>
    </row>
    <row r="1167" spans="7:9" x14ac:dyDescent="0.25">
      <c r="G1167" s="7"/>
      <c r="H1167" s="7"/>
      <c r="I1167" s="7"/>
    </row>
    <row r="1168" spans="7:9" x14ac:dyDescent="0.25">
      <c r="G1168" s="7"/>
      <c r="H1168" s="7"/>
      <c r="I1168" s="7"/>
    </row>
    <row r="1169" spans="7:9" x14ac:dyDescent="0.25">
      <c r="G1169" s="7"/>
      <c r="H1169" s="7"/>
      <c r="I1169" s="7"/>
    </row>
    <row r="1170" spans="7:9" x14ac:dyDescent="0.25">
      <c r="G1170" s="7"/>
      <c r="H1170" s="7"/>
      <c r="I1170" s="7"/>
    </row>
    <row r="1171" spans="7:9" x14ac:dyDescent="0.25">
      <c r="G1171" s="7"/>
      <c r="H1171" s="7"/>
      <c r="I1171" s="7"/>
    </row>
    <row r="1172" spans="7:9" x14ac:dyDescent="0.25">
      <c r="G1172" s="7"/>
      <c r="H1172" s="7"/>
      <c r="I1172" s="7"/>
    </row>
    <row r="1173" spans="7:9" x14ac:dyDescent="0.25">
      <c r="G1173" s="7"/>
      <c r="H1173" s="7"/>
      <c r="I1173" s="7"/>
    </row>
    <row r="1174" spans="7:9" x14ac:dyDescent="0.25">
      <c r="G1174" s="7"/>
      <c r="H1174" s="7"/>
      <c r="I1174" s="7"/>
    </row>
    <row r="1175" spans="7:9" x14ac:dyDescent="0.25">
      <c r="G1175" s="7"/>
      <c r="H1175" s="7"/>
      <c r="I1175" s="7"/>
    </row>
    <row r="1176" spans="7:9" x14ac:dyDescent="0.25">
      <c r="G1176" s="7"/>
      <c r="H1176" s="7"/>
      <c r="I1176" s="7"/>
    </row>
    <row r="1177" spans="7:9" x14ac:dyDescent="0.25">
      <c r="G1177" s="7"/>
      <c r="H1177" s="7"/>
      <c r="I1177" s="7"/>
    </row>
    <row r="1178" spans="7:9" x14ac:dyDescent="0.25">
      <c r="G1178" s="7"/>
      <c r="H1178" s="7"/>
      <c r="I1178" s="7"/>
    </row>
    <row r="1179" spans="7:9" x14ac:dyDescent="0.25">
      <c r="G1179" s="7"/>
      <c r="H1179" s="7"/>
      <c r="I1179" s="7"/>
    </row>
    <row r="1180" spans="7:9" x14ac:dyDescent="0.25">
      <c r="G1180" s="7"/>
      <c r="H1180" s="7"/>
      <c r="I1180" s="7"/>
    </row>
    <row r="1181" spans="7:9" x14ac:dyDescent="0.25">
      <c r="G1181" s="7"/>
      <c r="H1181" s="7"/>
      <c r="I1181" s="7"/>
    </row>
    <row r="1182" spans="7:9" x14ac:dyDescent="0.25">
      <c r="G1182" s="7"/>
      <c r="H1182" s="7"/>
      <c r="I1182" s="7"/>
    </row>
    <row r="1183" spans="7:9" x14ac:dyDescent="0.25">
      <c r="G1183" s="7"/>
      <c r="H1183" s="7"/>
      <c r="I1183" s="7"/>
    </row>
    <row r="1184" spans="7:9" x14ac:dyDescent="0.25">
      <c r="G1184" s="7"/>
      <c r="H1184" s="7"/>
      <c r="I1184" s="7"/>
    </row>
    <row r="1185" spans="7:9" x14ac:dyDescent="0.25">
      <c r="G1185" s="7"/>
      <c r="H1185" s="7"/>
      <c r="I1185" s="7"/>
    </row>
    <row r="1186" spans="7:9" x14ac:dyDescent="0.25">
      <c r="G1186" s="7"/>
      <c r="H1186" s="7"/>
      <c r="I1186" s="7"/>
    </row>
    <row r="1187" spans="7:9" x14ac:dyDescent="0.25">
      <c r="G1187" s="7"/>
      <c r="H1187" s="7"/>
      <c r="I1187" s="7"/>
    </row>
    <row r="1188" spans="7:9" x14ac:dyDescent="0.25">
      <c r="G1188" s="7"/>
      <c r="H1188" s="7"/>
      <c r="I1188" s="7"/>
    </row>
    <row r="1189" spans="7:9" x14ac:dyDescent="0.25">
      <c r="G1189" s="7"/>
      <c r="H1189" s="7"/>
      <c r="I1189" s="7"/>
    </row>
    <row r="1190" spans="7:9" x14ac:dyDescent="0.25">
      <c r="G1190" s="7"/>
      <c r="H1190" s="7"/>
      <c r="I1190" s="7"/>
    </row>
    <row r="1191" spans="7:9" x14ac:dyDescent="0.25">
      <c r="G1191" s="7"/>
      <c r="H1191" s="7"/>
      <c r="I1191" s="7"/>
    </row>
    <row r="1192" spans="7:9" x14ac:dyDescent="0.25">
      <c r="G1192" s="7"/>
      <c r="H1192" s="7"/>
      <c r="I1192" s="7"/>
    </row>
    <row r="1193" spans="7:9" x14ac:dyDescent="0.25">
      <c r="G1193" s="7"/>
      <c r="H1193" s="7"/>
      <c r="I1193" s="7"/>
    </row>
    <row r="1194" spans="7:9" x14ac:dyDescent="0.25">
      <c r="G1194" s="7"/>
      <c r="H1194" s="7"/>
      <c r="I1194" s="7"/>
    </row>
    <row r="1195" spans="7:9" x14ac:dyDescent="0.25">
      <c r="G1195" s="7"/>
      <c r="H1195" s="7"/>
      <c r="I1195" s="7"/>
    </row>
    <row r="1196" spans="7:9" x14ac:dyDescent="0.25">
      <c r="G1196" s="7"/>
      <c r="H1196" s="7"/>
      <c r="I1196" s="7"/>
    </row>
    <row r="1197" spans="7:9" x14ac:dyDescent="0.25">
      <c r="G1197" s="7"/>
      <c r="H1197" s="7"/>
      <c r="I1197" s="7"/>
    </row>
    <row r="1198" spans="7:9" x14ac:dyDescent="0.25">
      <c r="G1198" s="7"/>
      <c r="H1198" s="7"/>
      <c r="I1198" s="7"/>
    </row>
    <row r="1199" spans="7:9" x14ac:dyDescent="0.25">
      <c r="G1199" s="7"/>
      <c r="H1199" s="7"/>
      <c r="I1199" s="7"/>
    </row>
    <row r="1200" spans="7:9" x14ac:dyDescent="0.25">
      <c r="G1200" s="7"/>
      <c r="H1200" s="7"/>
      <c r="I1200" s="7"/>
    </row>
    <row r="1201" spans="7:9" x14ac:dyDescent="0.25">
      <c r="G1201" s="7"/>
      <c r="H1201" s="7"/>
      <c r="I1201" s="7"/>
    </row>
    <row r="1202" spans="7:9" x14ac:dyDescent="0.25">
      <c r="G1202" s="7"/>
      <c r="H1202" s="7"/>
      <c r="I1202" s="7"/>
    </row>
    <row r="1203" spans="7:9" x14ac:dyDescent="0.25">
      <c r="G1203" s="7"/>
      <c r="H1203" s="7"/>
      <c r="I1203" s="7"/>
    </row>
    <row r="1204" spans="7:9" x14ac:dyDescent="0.25">
      <c r="G1204" s="7"/>
      <c r="H1204" s="7"/>
      <c r="I1204" s="7"/>
    </row>
    <row r="1205" spans="7:9" x14ac:dyDescent="0.25">
      <c r="G1205" s="7"/>
      <c r="H1205" s="7"/>
      <c r="I1205" s="7"/>
    </row>
    <row r="1206" spans="7:9" x14ac:dyDescent="0.25">
      <c r="G1206" s="7"/>
      <c r="H1206" s="7"/>
      <c r="I1206" s="7"/>
    </row>
    <row r="1207" spans="7:9" x14ac:dyDescent="0.25">
      <c r="G1207" s="7"/>
      <c r="H1207" s="7"/>
      <c r="I1207" s="7"/>
    </row>
    <row r="1208" spans="7:9" x14ac:dyDescent="0.25">
      <c r="G1208" s="7"/>
      <c r="H1208" s="7"/>
      <c r="I1208" s="7"/>
    </row>
    <row r="1209" spans="7:9" x14ac:dyDescent="0.25">
      <c r="G1209" s="7"/>
      <c r="H1209" s="7"/>
      <c r="I1209" s="7"/>
    </row>
    <row r="1210" spans="7:9" x14ac:dyDescent="0.25">
      <c r="G1210" s="7"/>
      <c r="H1210" s="7"/>
      <c r="I1210" s="7"/>
    </row>
    <row r="1211" spans="7:9" x14ac:dyDescent="0.25">
      <c r="G1211" s="7"/>
      <c r="H1211" s="7"/>
      <c r="I1211" s="7"/>
    </row>
    <row r="1212" spans="7:9" x14ac:dyDescent="0.25">
      <c r="G1212" s="7"/>
      <c r="H1212" s="7"/>
      <c r="I1212" s="7"/>
    </row>
    <row r="1213" spans="7:9" x14ac:dyDescent="0.25">
      <c r="G1213" s="7"/>
      <c r="H1213" s="7"/>
      <c r="I1213" s="7"/>
    </row>
    <row r="1214" spans="7:9" x14ac:dyDescent="0.25">
      <c r="G1214" s="7"/>
      <c r="H1214" s="7"/>
      <c r="I1214" s="7"/>
    </row>
    <row r="1215" spans="7:9" x14ac:dyDescent="0.25">
      <c r="G1215" s="7"/>
      <c r="H1215" s="7"/>
      <c r="I1215" s="7"/>
    </row>
    <row r="1216" spans="7:9" x14ac:dyDescent="0.25">
      <c r="G1216" s="7"/>
      <c r="H1216" s="7"/>
      <c r="I1216" s="7"/>
    </row>
    <row r="1217" spans="7:9" x14ac:dyDescent="0.25">
      <c r="G1217" s="7"/>
      <c r="H1217" s="7"/>
      <c r="I1217" s="7"/>
    </row>
    <row r="1218" spans="7:9" x14ac:dyDescent="0.25">
      <c r="G1218" s="7"/>
      <c r="H1218" s="7"/>
      <c r="I1218" s="7"/>
    </row>
    <row r="1219" spans="7:9" x14ac:dyDescent="0.25">
      <c r="G1219" s="7"/>
      <c r="H1219" s="7"/>
      <c r="I1219" s="7"/>
    </row>
    <row r="1220" spans="7:9" x14ac:dyDescent="0.25">
      <c r="G1220" s="7"/>
      <c r="H1220" s="7"/>
      <c r="I1220" s="7"/>
    </row>
    <row r="1221" spans="7:9" x14ac:dyDescent="0.25">
      <c r="G1221" s="7"/>
      <c r="H1221" s="7"/>
      <c r="I1221" s="7"/>
    </row>
    <row r="1222" spans="7:9" x14ac:dyDescent="0.25">
      <c r="G1222" s="7"/>
      <c r="H1222" s="7"/>
      <c r="I1222" s="7"/>
    </row>
    <row r="1223" spans="7:9" x14ac:dyDescent="0.25">
      <c r="G1223" s="7"/>
      <c r="H1223" s="7"/>
      <c r="I1223" s="7"/>
    </row>
    <row r="1224" spans="7:9" x14ac:dyDescent="0.25">
      <c r="G1224" s="7"/>
      <c r="H1224" s="7"/>
      <c r="I1224" s="7"/>
    </row>
    <row r="1225" spans="7:9" x14ac:dyDescent="0.25">
      <c r="G1225" s="7"/>
      <c r="H1225" s="7"/>
      <c r="I1225" s="7"/>
    </row>
    <row r="1226" spans="7:9" x14ac:dyDescent="0.25">
      <c r="G1226" s="7"/>
      <c r="H1226" s="7"/>
      <c r="I1226" s="7"/>
    </row>
    <row r="1227" spans="7:9" x14ac:dyDescent="0.25">
      <c r="G1227" s="7"/>
      <c r="H1227" s="7"/>
      <c r="I1227" s="7"/>
    </row>
    <row r="1228" spans="7:9" x14ac:dyDescent="0.25">
      <c r="G1228" s="7"/>
      <c r="H1228" s="7"/>
      <c r="I1228" s="7"/>
    </row>
    <row r="1229" spans="7:9" x14ac:dyDescent="0.25">
      <c r="G1229" s="7"/>
      <c r="H1229" s="7"/>
      <c r="I1229" s="7"/>
    </row>
    <row r="1230" spans="7:9" x14ac:dyDescent="0.25">
      <c r="G1230" s="7"/>
      <c r="H1230" s="7"/>
      <c r="I1230" s="7"/>
    </row>
    <row r="1231" spans="7:9" x14ac:dyDescent="0.25">
      <c r="G1231" s="7"/>
      <c r="H1231" s="7"/>
      <c r="I1231" s="7"/>
    </row>
    <row r="1232" spans="7:9" x14ac:dyDescent="0.25">
      <c r="G1232" s="7"/>
      <c r="H1232" s="7"/>
      <c r="I1232" s="7"/>
    </row>
    <row r="1233" spans="7:9" x14ac:dyDescent="0.25">
      <c r="G1233" s="7"/>
      <c r="H1233" s="7"/>
      <c r="I1233" s="7"/>
    </row>
    <row r="1234" spans="7:9" x14ac:dyDescent="0.25">
      <c r="G1234" s="7"/>
      <c r="H1234" s="7"/>
      <c r="I1234" s="7"/>
    </row>
    <row r="1235" spans="7:9" x14ac:dyDescent="0.25">
      <c r="G1235" s="7"/>
      <c r="H1235" s="7"/>
      <c r="I1235" s="7"/>
    </row>
    <row r="1236" spans="7:9" x14ac:dyDescent="0.25">
      <c r="G1236" s="7"/>
      <c r="H1236" s="7"/>
      <c r="I1236" s="7"/>
    </row>
    <row r="1237" spans="7:9" x14ac:dyDescent="0.25">
      <c r="G1237" s="7"/>
      <c r="H1237" s="7"/>
      <c r="I1237" s="7"/>
    </row>
    <row r="1238" spans="7:9" x14ac:dyDescent="0.25">
      <c r="G1238" s="7"/>
      <c r="H1238" s="7"/>
      <c r="I1238" s="7"/>
    </row>
    <row r="1239" spans="7:9" x14ac:dyDescent="0.25">
      <c r="G1239" s="7"/>
      <c r="H1239" s="7"/>
      <c r="I1239" s="7"/>
    </row>
    <row r="1240" spans="7:9" x14ac:dyDescent="0.25">
      <c r="G1240" s="7"/>
      <c r="H1240" s="7"/>
      <c r="I1240" s="7"/>
    </row>
    <row r="1241" spans="7:9" x14ac:dyDescent="0.25">
      <c r="G1241" s="7"/>
      <c r="H1241" s="7"/>
      <c r="I1241" s="7"/>
    </row>
    <row r="1242" spans="7:9" x14ac:dyDescent="0.25">
      <c r="G1242" s="7"/>
      <c r="H1242" s="7"/>
      <c r="I1242" s="7"/>
    </row>
    <row r="1243" spans="7:9" x14ac:dyDescent="0.25">
      <c r="G1243" s="7"/>
      <c r="H1243" s="7"/>
      <c r="I1243" s="7"/>
    </row>
    <row r="1244" spans="7:9" x14ac:dyDescent="0.25">
      <c r="G1244" s="7"/>
      <c r="H1244" s="7"/>
      <c r="I1244" s="7"/>
    </row>
    <row r="1245" spans="7:9" x14ac:dyDescent="0.25">
      <c r="G1245" s="7"/>
      <c r="H1245" s="7"/>
      <c r="I1245" s="7"/>
    </row>
    <row r="1246" spans="7:9" x14ac:dyDescent="0.25">
      <c r="G1246" s="7"/>
      <c r="H1246" s="7"/>
      <c r="I1246" s="7"/>
    </row>
    <row r="1247" spans="7:9" x14ac:dyDescent="0.25">
      <c r="G1247" s="7"/>
      <c r="H1247" s="7"/>
      <c r="I1247" s="7"/>
    </row>
    <row r="1248" spans="7:9" x14ac:dyDescent="0.25">
      <c r="G1248" s="7"/>
      <c r="H1248" s="7"/>
      <c r="I1248" s="7"/>
    </row>
    <row r="1249" spans="7:9" x14ac:dyDescent="0.25">
      <c r="G1249" s="7"/>
      <c r="H1249" s="7"/>
      <c r="I1249" s="7"/>
    </row>
    <row r="1250" spans="7:9" x14ac:dyDescent="0.25">
      <c r="G1250" s="7"/>
      <c r="H1250" s="7"/>
      <c r="I1250" s="7"/>
    </row>
    <row r="1251" spans="7:9" x14ac:dyDescent="0.25">
      <c r="G1251" s="7"/>
      <c r="H1251" s="7"/>
      <c r="I1251" s="7"/>
    </row>
    <row r="1252" spans="7:9" x14ac:dyDescent="0.25">
      <c r="G1252" s="7"/>
      <c r="H1252" s="7"/>
      <c r="I1252" s="7"/>
    </row>
    <row r="1253" spans="7:9" x14ac:dyDescent="0.25">
      <c r="G1253" s="7"/>
      <c r="H1253" s="7"/>
      <c r="I1253" s="7"/>
    </row>
    <row r="1254" spans="7:9" x14ac:dyDescent="0.25">
      <c r="G1254" s="7"/>
      <c r="H1254" s="7"/>
      <c r="I1254" s="7"/>
    </row>
    <row r="1255" spans="7:9" x14ac:dyDescent="0.25">
      <c r="G1255" s="7"/>
      <c r="H1255" s="7"/>
      <c r="I1255" s="7"/>
    </row>
    <row r="1256" spans="7:9" x14ac:dyDescent="0.25">
      <c r="G1256" s="7"/>
      <c r="H1256" s="7"/>
      <c r="I1256" s="7"/>
    </row>
    <row r="1257" spans="7:9" x14ac:dyDescent="0.25">
      <c r="G1257" s="7"/>
      <c r="H1257" s="7"/>
      <c r="I1257" s="7"/>
    </row>
    <row r="1258" spans="7:9" x14ac:dyDescent="0.25">
      <c r="G1258" s="7"/>
      <c r="H1258" s="7"/>
      <c r="I1258" s="7"/>
    </row>
    <row r="1259" spans="7:9" x14ac:dyDescent="0.25">
      <c r="G1259" s="7"/>
      <c r="H1259" s="7"/>
      <c r="I1259" s="7"/>
    </row>
    <row r="1260" spans="7:9" x14ac:dyDescent="0.25">
      <c r="G1260" s="7"/>
      <c r="H1260" s="7"/>
      <c r="I1260" s="7"/>
    </row>
    <row r="1261" spans="7:9" x14ac:dyDescent="0.25">
      <c r="G1261" s="7"/>
      <c r="H1261" s="7"/>
      <c r="I1261" s="7"/>
    </row>
    <row r="1262" spans="7:9" x14ac:dyDescent="0.25">
      <c r="G1262" s="7"/>
      <c r="H1262" s="7"/>
      <c r="I1262" s="7"/>
    </row>
    <row r="1263" spans="7:9" x14ac:dyDescent="0.25">
      <c r="G1263" s="7"/>
      <c r="H1263" s="7"/>
      <c r="I1263" s="7"/>
    </row>
    <row r="1264" spans="7:9" x14ac:dyDescent="0.25">
      <c r="G1264" s="7"/>
      <c r="H1264" s="7"/>
      <c r="I1264" s="7"/>
    </row>
    <row r="1265" spans="7:9" x14ac:dyDescent="0.25">
      <c r="G1265" s="7"/>
      <c r="H1265" s="7"/>
      <c r="I1265" s="7"/>
    </row>
    <row r="1266" spans="7:9" x14ac:dyDescent="0.25">
      <c r="G1266" s="7"/>
      <c r="H1266" s="7"/>
      <c r="I1266" s="7"/>
    </row>
    <row r="1267" spans="7:9" x14ac:dyDescent="0.25">
      <c r="G1267" s="7"/>
      <c r="H1267" s="7"/>
      <c r="I1267" s="7"/>
    </row>
    <row r="1268" spans="7:9" x14ac:dyDescent="0.25">
      <c r="G1268" s="7"/>
      <c r="H1268" s="7"/>
      <c r="I1268" s="7"/>
    </row>
    <row r="1269" spans="7:9" x14ac:dyDescent="0.25">
      <c r="G1269" s="7"/>
      <c r="H1269" s="7"/>
      <c r="I1269" s="7"/>
    </row>
    <row r="1270" spans="7:9" x14ac:dyDescent="0.25">
      <c r="G1270" s="7"/>
      <c r="H1270" s="7"/>
      <c r="I1270" s="7"/>
    </row>
    <row r="1271" spans="7:9" x14ac:dyDescent="0.25">
      <c r="G1271" s="7"/>
      <c r="H1271" s="7"/>
      <c r="I1271" s="7"/>
    </row>
    <row r="1272" spans="7:9" x14ac:dyDescent="0.25">
      <c r="G1272" s="7"/>
      <c r="H1272" s="7"/>
      <c r="I1272" s="7"/>
    </row>
    <row r="1273" spans="7:9" x14ac:dyDescent="0.25">
      <c r="G1273" s="7"/>
      <c r="H1273" s="7"/>
      <c r="I1273" s="7"/>
    </row>
    <row r="1274" spans="7:9" x14ac:dyDescent="0.25">
      <c r="G1274" s="7"/>
      <c r="H1274" s="7"/>
      <c r="I1274" s="7"/>
    </row>
    <row r="1275" spans="7:9" x14ac:dyDescent="0.25">
      <c r="G1275" s="7"/>
      <c r="H1275" s="7"/>
      <c r="I1275" s="7"/>
    </row>
    <row r="1276" spans="7:9" x14ac:dyDescent="0.25">
      <c r="G1276" s="7"/>
      <c r="H1276" s="7"/>
      <c r="I1276" s="7"/>
    </row>
    <row r="1277" spans="7:9" x14ac:dyDescent="0.25">
      <c r="G1277" s="7"/>
      <c r="H1277" s="7"/>
      <c r="I1277" s="7"/>
    </row>
    <row r="1278" spans="7:9" x14ac:dyDescent="0.25">
      <c r="G1278" s="7"/>
      <c r="H1278" s="7"/>
      <c r="I1278" s="7"/>
    </row>
    <row r="1279" spans="7:9" x14ac:dyDescent="0.25">
      <c r="G1279" s="7"/>
      <c r="H1279" s="7"/>
      <c r="I1279" s="7"/>
    </row>
    <row r="1280" spans="7:9" x14ac:dyDescent="0.25">
      <c r="G1280" s="7"/>
      <c r="H1280" s="7"/>
      <c r="I1280" s="7"/>
    </row>
    <row r="1281" spans="7:9" x14ac:dyDescent="0.25">
      <c r="G1281" s="7"/>
      <c r="H1281" s="7"/>
      <c r="I1281" s="7"/>
    </row>
    <row r="1282" spans="7:9" x14ac:dyDescent="0.25">
      <c r="G1282" s="7"/>
      <c r="H1282" s="7"/>
      <c r="I1282" s="7"/>
    </row>
    <row r="1283" spans="7:9" x14ac:dyDescent="0.25">
      <c r="G1283" s="7"/>
      <c r="H1283" s="7"/>
      <c r="I1283" s="7"/>
    </row>
    <row r="1284" spans="7:9" x14ac:dyDescent="0.25">
      <c r="G1284" s="7"/>
      <c r="H1284" s="7"/>
      <c r="I1284" s="7"/>
    </row>
    <row r="1285" spans="7:9" x14ac:dyDescent="0.25">
      <c r="G1285" s="7"/>
      <c r="H1285" s="7"/>
      <c r="I1285" s="7"/>
    </row>
    <row r="1286" spans="7:9" x14ac:dyDescent="0.25">
      <c r="G1286" s="7"/>
      <c r="H1286" s="7"/>
      <c r="I1286" s="7"/>
    </row>
    <row r="1287" spans="7:9" x14ac:dyDescent="0.25">
      <c r="G1287" s="7"/>
      <c r="H1287" s="7"/>
      <c r="I1287" s="7"/>
    </row>
    <row r="1288" spans="7:9" x14ac:dyDescent="0.25">
      <c r="G1288" s="7"/>
      <c r="H1288" s="7"/>
      <c r="I1288" s="7"/>
    </row>
    <row r="1289" spans="7:9" x14ac:dyDescent="0.25">
      <c r="G1289" s="7"/>
      <c r="H1289" s="7"/>
      <c r="I1289" s="7"/>
    </row>
    <row r="1290" spans="7:9" x14ac:dyDescent="0.25">
      <c r="G1290" s="7"/>
      <c r="H1290" s="7"/>
      <c r="I1290" s="7"/>
    </row>
    <row r="1291" spans="7:9" x14ac:dyDescent="0.25">
      <c r="G1291" s="7"/>
      <c r="H1291" s="7"/>
      <c r="I1291" s="7"/>
    </row>
    <row r="1292" spans="7:9" x14ac:dyDescent="0.25">
      <c r="G1292" s="7"/>
      <c r="H1292" s="7"/>
      <c r="I1292" s="7"/>
    </row>
    <row r="1293" spans="7:9" x14ac:dyDescent="0.25">
      <c r="G1293" s="7"/>
      <c r="H1293" s="7"/>
      <c r="I1293" s="7"/>
    </row>
    <row r="1294" spans="7:9" x14ac:dyDescent="0.25">
      <c r="G1294" s="7"/>
      <c r="H1294" s="7"/>
      <c r="I1294" s="7"/>
    </row>
    <row r="1295" spans="7:9" x14ac:dyDescent="0.25">
      <c r="G1295" s="7"/>
      <c r="H1295" s="7"/>
      <c r="I1295" s="7"/>
    </row>
    <row r="1296" spans="7:9" x14ac:dyDescent="0.25">
      <c r="G1296" s="7"/>
      <c r="H1296" s="7"/>
      <c r="I1296" s="7"/>
    </row>
    <row r="1297" spans="7:9" x14ac:dyDescent="0.25">
      <c r="G1297" s="7"/>
      <c r="H1297" s="7"/>
      <c r="I1297" s="7"/>
    </row>
    <row r="1298" spans="7:9" x14ac:dyDescent="0.25">
      <c r="G1298" s="7"/>
      <c r="H1298" s="7"/>
      <c r="I1298" s="7"/>
    </row>
    <row r="1299" spans="7:9" x14ac:dyDescent="0.25">
      <c r="G1299" s="7"/>
      <c r="H1299" s="7"/>
      <c r="I1299" s="7"/>
    </row>
    <row r="1300" spans="7:9" x14ac:dyDescent="0.25">
      <c r="G1300" s="7"/>
      <c r="H1300" s="7"/>
      <c r="I1300" s="7"/>
    </row>
    <row r="1301" spans="7:9" x14ac:dyDescent="0.25">
      <c r="G1301" s="7"/>
      <c r="H1301" s="7"/>
      <c r="I1301" s="7"/>
    </row>
    <row r="1302" spans="7:9" x14ac:dyDescent="0.25">
      <c r="G1302" s="7"/>
      <c r="H1302" s="7"/>
      <c r="I1302" s="7"/>
    </row>
    <row r="1303" spans="7:9" x14ac:dyDescent="0.25">
      <c r="G1303" s="7"/>
      <c r="H1303" s="7"/>
      <c r="I1303" s="7"/>
    </row>
    <row r="1304" spans="7:9" x14ac:dyDescent="0.25">
      <c r="G1304" s="7"/>
      <c r="H1304" s="7"/>
      <c r="I1304" s="7"/>
    </row>
    <row r="1305" spans="7:9" x14ac:dyDescent="0.25">
      <c r="G1305" s="7"/>
      <c r="H1305" s="7"/>
      <c r="I1305" s="7"/>
    </row>
    <row r="1306" spans="7:9" x14ac:dyDescent="0.25">
      <c r="G1306" s="7"/>
      <c r="H1306" s="7"/>
      <c r="I1306" s="7"/>
    </row>
    <row r="1307" spans="7:9" x14ac:dyDescent="0.25">
      <c r="G1307" s="7"/>
      <c r="H1307" s="7"/>
      <c r="I1307" s="7"/>
    </row>
    <row r="1308" spans="7:9" x14ac:dyDescent="0.25">
      <c r="G1308" s="7"/>
      <c r="H1308" s="7"/>
      <c r="I1308" s="7"/>
    </row>
    <row r="1309" spans="7:9" x14ac:dyDescent="0.25">
      <c r="G1309" s="7"/>
      <c r="H1309" s="7"/>
      <c r="I1309" s="7"/>
    </row>
    <row r="1310" spans="7:9" x14ac:dyDescent="0.25">
      <c r="G1310" s="7"/>
      <c r="H1310" s="7"/>
      <c r="I1310" s="7"/>
    </row>
    <row r="1311" spans="7:9" x14ac:dyDescent="0.25">
      <c r="G1311" s="7"/>
      <c r="H1311" s="7"/>
      <c r="I1311" s="7"/>
    </row>
    <row r="1312" spans="7:9" x14ac:dyDescent="0.25">
      <c r="G1312" s="7"/>
      <c r="H1312" s="7"/>
      <c r="I1312" s="7"/>
    </row>
    <row r="1313" spans="7:9" x14ac:dyDescent="0.25">
      <c r="G1313" s="7"/>
      <c r="H1313" s="7"/>
      <c r="I1313" s="7"/>
    </row>
    <row r="1314" spans="7:9" x14ac:dyDescent="0.25">
      <c r="G1314" s="7"/>
      <c r="H1314" s="7"/>
      <c r="I1314" s="7"/>
    </row>
    <row r="1315" spans="7:9" x14ac:dyDescent="0.25">
      <c r="G1315" s="7"/>
      <c r="H1315" s="7"/>
      <c r="I1315" s="7"/>
    </row>
    <row r="1316" spans="7:9" x14ac:dyDescent="0.25">
      <c r="G1316" s="7"/>
      <c r="H1316" s="7"/>
      <c r="I1316" s="7"/>
    </row>
    <row r="1317" spans="7:9" x14ac:dyDescent="0.25">
      <c r="G1317" s="7"/>
      <c r="H1317" s="7"/>
      <c r="I1317" s="7"/>
    </row>
    <row r="1318" spans="7:9" x14ac:dyDescent="0.25">
      <c r="G1318" s="7"/>
      <c r="H1318" s="7"/>
      <c r="I1318" s="7"/>
    </row>
    <row r="1319" spans="7:9" x14ac:dyDescent="0.25">
      <c r="G1319" s="7"/>
      <c r="H1319" s="7"/>
      <c r="I1319" s="7"/>
    </row>
    <row r="1320" spans="7:9" x14ac:dyDescent="0.25">
      <c r="G1320" s="7"/>
      <c r="H1320" s="7"/>
      <c r="I1320" s="7"/>
    </row>
    <row r="1321" spans="7:9" x14ac:dyDescent="0.25">
      <c r="G1321" s="7"/>
      <c r="H1321" s="7"/>
      <c r="I1321" s="7"/>
    </row>
    <row r="1322" spans="7:9" x14ac:dyDescent="0.25">
      <c r="G1322" s="7"/>
      <c r="H1322" s="7"/>
      <c r="I1322" s="7"/>
    </row>
    <row r="1323" spans="7:9" x14ac:dyDescent="0.25">
      <c r="G1323" s="7"/>
      <c r="H1323" s="7"/>
      <c r="I1323" s="7"/>
    </row>
    <row r="1324" spans="7:9" x14ac:dyDescent="0.25">
      <c r="G1324" s="7"/>
      <c r="H1324" s="7"/>
      <c r="I1324" s="7"/>
    </row>
    <row r="1325" spans="7:9" x14ac:dyDescent="0.25">
      <c r="G1325" s="7"/>
      <c r="H1325" s="7"/>
      <c r="I1325" s="7"/>
    </row>
    <row r="1326" spans="7:9" x14ac:dyDescent="0.25">
      <c r="G1326" s="7"/>
      <c r="H1326" s="7"/>
      <c r="I1326" s="7"/>
    </row>
    <row r="1327" spans="7:9" x14ac:dyDescent="0.25">
      <c r="G1327" s="7"/>
      <c r="H1327" s="7"/>
      <c r="I1327" s="7"/>
    </row>
    <row r="1328" spans="7:9" x14ac:dyDescent="0.25">
      <c r="G1328" s="7"/>
      <c r="H1328" s="7"/>
      <c r="I1328" s="7"/>
    </row>
    <row r="1329" spans="7:9" x14ac:dyDescent="0.25">
      <c r="G1329" s="7"/>
      <c r="H1329" s="7"/>
      <c r="I1329" s="7"/>
    </row>
    <row r="1330" spans="7:9" x14ac:dyDescent="0.25">
      <c r="G1330" s="7"/>
      <c r="H1330" s="7"/>
      <c r="I1330" s="7"/>
    </row>
    <row r="1331" spans="7:9" x14ac:dyDescent="0.25">
      <c r="G1331" s="7"/>
      <c r="H1331" s="7"/>
      <c r="I1331" s="7"/>
    </row>
    <row r="1332" spans="7:9" x14ac:dyDescent="0.25">
      <c r="G1332" s="7"/>
      <c r="H1332" s="7"/>
      <c r="I1332" s="7"/>
    </row>
    <row r="1333" spans="7:9" x14ac:dyDescent="0.25">
      <c r="G1333" s="7"/>
      <c r="H1333" s="7"/>
      <c r="I1333" s="7"/>
    </row>
    <row r="1334" spans="7:9" x14ac:dyDescent="0.25">
      <c r="G1334" s="7"/>
      <c r="H1334" s="7"/>
      <c r="I1334" s="7"/>
    </row>
    <row r="1335" spans="7:9" x14ac:dyDescent="0.25">
      <c r="G1335" s="7"/>
      <c r="H1335" s="7"/>
      <c r="I1335" s="7"/>
    </row>
    <row r="1336" spans="7:9" x14ac:dyDescent="0.25">
      <c r="G1336" s="7"/>
      <c r="H1336" s="7"/>
      <c r="I1336" s="7"/>
    </row>
    <row r="1337" spans="7:9" x14ac:dyDescent="0.25">
      <c r="G1337" s="7"/>
      <c r="H1337" s="7"/>
      <c r="I1337" s="7"/>
    </row>
    <row r="1338" spans="7:9" x14ac:dyDescent="0.25">
      <c r="G1338" s="7"/>
      <c r="H1338" s="7"/>
      <c r="I1338" s="7"/>
    </row>
    <row r="1339" spans="7:9" x14ac:dyDescent="0.25">
      <c r="G1339" s="7"/>
      <c r="H1339" s="7"/>
      <c r="I1339" s="7"/>
    </row>
    <row r="1340" spans="7:9" x14ac:dyDescent="0.25">
      <c r="G1340" s="7"/>
      <c r="H1340" s="7"/>
      <c r="I1340" s="7"/>
    </row>
    <row r="1341" spans="7:9" x14ac:dyDescent="0.25">
      <c r="G1341" s="7"/>
      <c r="H1341" s="7"/>
      <c r="I1341" s="7"/>
    </row>
    <row r="1342" spans="7:9" x14ac:dyDescent="0.25">
      <c r="G1342" s="7"/>
      <c r="H1342" s="7"/>
      <c r="I1342" s="7"/>
    </row>
    <row r="1343" spans="7:9" x14ac:dyDescent="0.25">
      <c r="G1343" s="7"/>
      <c r="H1343" s="7"/>
      <c r="I1343" s="7"/>
    </row>
    <row r="1344" spans="7:9" x14ac:dyDescent="0.25">
      <c r="G1344" s="7"/>
      <c r="H1344" s="7"/>
      <c r="I1344" s="7"/>
    </row>
    <row r="1345" spans="7:9" x14ac:dyDescent="0.25">
      <c r="G1345" s="7"/>
      <c r="H1345" s="7"/>
      <c r="I1345" s="7"/>
    </row>
    <row r="1346" spans="7:9" x14ac:dyDescent="0.25">
      <c r="G1346" s="7"/>
      <c r="H1346" s="7"/>
      <c r="I1346" s="7"/>
    </row>
    <row r="1347" spans="7:9" x14ac:dyDescent="0.25">
      <c r="G1347" s="7"/>
      <c r="H1347" s="7"/>
      <c r="I1347" s="7"/>
    </row>
    <row r="1348" spans="7:9" x14ac:dyDescent="0.25">
      <c r="G1348" s="7"/>
      <c r="H1348" s="7"/>
      <c r="I1348" s="7"/>
    </row>
    <row r="1349" spans="7:9" x14ac:dyDescent="0.25">
      <c r="G1349" s="7"/>
      <c r="H1349" s="7"/>
      <c r="I1349" s="7"/>
    </row>
    <row r="1350" spans="7:9" x14ac:dyDescent="0.25">
      <c r="G1350" s="7"/>
      <c r="H1350" s="7"/>
      <c r="I1350" s="7"/>
    </row>
    <row r="1351" spans="7:9" x14ac:dyDescent="0.25">
      <c r="G1351" s="7"/>
      <c r="H1351" s="7"/>
      <c r="I1351" s="7"/>
    </row>
    <row r="1352" spans="7:9" x14ac:dyDescent="0.25">
      <c r="G1352" s="7"/>
      <c r="H1352" s="7"/>
      <c r="I1352" s="7"/>
    </row>
    <row r="1353" spans="7:9" x14ac:dyDescent="0.25">
      <c r="G1353" s="7"/>
      <c r="H1353" s="7"/>
      <c r="I1353" s="7"/>
    </row>
    <row r="1354" spans="7:9" x14ac:dyDescent="0.25">
      <c r="G1354" s="7"/>
      <c r="H1354" s="7"/>
      <c r="I1354" s="7"/>
    </row>
    <row r="1355" spans="7:9" x14ac:dyDescent="0.25">
      <c r="G1355" s="7"/>
      <c r="H1355" s="7"/>
      <c r="I1355" s="7"/>
    </row>
    <row r="1356" spans="7:9" x14ac:dyDescent="0.25">
      <c r="G1356" s="7"/>
      <c r="H1356" s="7"/>
      <c r="I1356" s="7"/>
    </row>
    <row r="1357" spans="7:9" x14ac:dyDescent="0.25">
      <c r="G1357" s="7"/>
      <c r="H1357" s="7"/>
      <c r="I1357" s="7"/>
    </row>
    <row r="1358" spans="7:9" x14ac:dyDescent="0.25">
      <c r="G1358" s="7"/>
      <c r="H1358" s="7"/>
      <c r="I1358" s="7"/>
    </row>
    <row r="1359" spans="7:9" x14ac:dyDescent="0.25">
      <c r="G1359" s="7"/>
      <c r="H1359" s="7"/>
      <c r="I1359" s="7"/>
    </row>
    <row r="1360" spans="7:9" x14ac:dyDescent="0.25">
      <c r="G1360" s="7"/>
      <c r="H1360" s="7"/>
      <c r="I1360" s="7"/>
    </row>
    <row r="1361" spans="7:9" x14ac:dyDescent="0.25">
      <c r="G1361" s="7"/>
      <c r="H1361" s="7"/>
      <c r="I1361" s="7"/>
    </row>
    <row r="1362" spans="7:9" x14ac:dyDescent="0.25">
      <c r="G1362" s="7"/>
      <c r="H1362" s="7"/>
      <c r="I1362" s="7"/>
    </row>
    <row r="1363" spans="7:9" x14ac:dyDescent="0.25">
      <c r="G1363" s="7"/>
      <c r="H1363" s="7"/>
      <c r="I1363" s="7"/>
    </row>
    <row r="1364" spans="7:9" x14ac:dyDescent="0.25">
      <c r="G1364" s="7"/>
      <c r="H1364" s="7"/>
      <c r="I1364" s="7"/>
    </row>
    <row r="1365" spans="7:9" x14ac:dyDescent="0.25">
      <c r="G1365" s="7"/>
      <c r="H1365" s="7"/>
      <c r="I1365" s="7"/>
    </row>
    <row r="1366" spans="7:9" x14ac:dyDescent="0.25">
      <c r="G1366" s="7"/>
      <c r="H1366" s="7"/>
      <c r="I1366" s="7"/>
    </row>
    <row r="1367" spans="7:9" x14ac:dyDescent="0.25">
      <c r="G1367" s="7"/>
      <c r="H1367" s="7"/>
      <c r="I1367" s="7"/>
    </row>
    <row r="1368" spans="7:9" x14ac:dyDescent="0.25">
      <c r="G1368" s="7"/>
      <c r="H1368" s="7"/>
      <c r="I1368" s="7"/>
    </row>
    <row r="1369" spans="7:9" x14ac:dyDescent="0.25">
      <c r="G1369" s="7"/>
      <c r="H1369" s="7"/>
      <c r="I1369" s="7"/>
    </row>
    <row r="1370" spans="7:9" x14ac:dyDescent="0.25">
      <c r="G1370" s="7"/>
      <c r="H1370" s="7"/>
      <c r="I1370" s="7"/>
    </row>
    <row r="1371" spans="7:9" x14ac:dyDescent="0.25">
      <c r="G1371" s="7"/>
      <c r="H1371" s="7"/>
      <c r="I1371" s="7"/>
    </row>
    <row r="1372" spans="7:9" x14ac:dyDescent="0.25">
      <c r="G1372" s="7"/>
      <c r="H1372" s="7"/>
      <c r="I1372" s="7"/>
    </row>
    <row r="1373" spans="7:9" x14ac:dyDescent="0.25">
      <c r="G1373" s="7"/>
      <c r="H1373" s="7"/>
      <c r="I1373" s="7"/>
    </row>
    <row r="1374" spans="7:9" x14ac:dyDescent="0.25">
      <c r="G1374" s="7"/>
      <c r="H1374" s="7"/>
      <c r="I1374" s="7"/>
    </row>
    <row r="1375" spans="7:9" x14ac:dyDescent="0.25">
      <c r="G1375" s="7"/>
      <c r="H1375" s="7"/>
      <c r="I1375" s="7"/>
    </row>
    <row r="1376" spans="7:9" x14ac:dyDescent="0.25">
      <c r="G1376" s="7"/>
      <c r="H1376" s="7"/>
      <c r="I1376" s="7"/>
    </row>
    <row r="1377" spans="7:9" x14ac:dyDescent="0.25">
      <c r="G1377" s="7"/>
      <c r="H1377" s="7"/>
      <c r="I1377" s="7"/>
    </row>
    <row r="1378" spans="7:9" x14ac:dyDescent="0.25">
      <c r="G1378" s="7"/>
      <c r="H1378" s="7"/>
      <c r="I1378" s="7"/>
    </row>
    <row r="1379" spans="7:9" x14ac:dyDescent="0.25">
      <c r="G1379" s="7"/>
      <c r="H1379" s="7"/>
      <c r="I1379" s="7"/>
    </row>
    <row r="1380" spans="7:9" x14ac:dyDescent="0.25">
      <c r="G1380" s="7"/>
      <c r="H1380" s="7"/>
      <c r="I1380" s="7"/>
    </row>
    <row r="1381" spans="7:9" x14ac:dyDescent="0.25">
      <c r="G1381" s="7"/>
      <c r="H1381" s="7"/>
      <c r="I1381" s="7"/>
    </row>
    <row r="1382" spans="7:9" x14ac:dyDescent="0.25">
      <c r="G1382" s="7"/>
      <c r="H1382" s="7"/>
      <c r="I1382" s="7"/>
    </row>
    <row r="1383" spans="7:9" x14ac:dyDescent="0.25">
      <c r="G1383" s="7"/>
      <c r="H1383" s="7"/>
      <c r="I1383" s="7"/>
    </row>
    <row r="1384" spans="7:9" x14ac:dyDescent="0.25">
      <c r="G1384" s="7"/>
      <c r="H1384" s="7"/>
      <c r="I1384" s="7"/>
    </row>
    <row r="1385" spans="7:9" x14ac:dyDescent="0.25">
      <c r="G1385" s="7"/>
      <c r="H1385" s="7"/>
      <c r="I1385" s="7"/>
    </row>
    <row r="1386" spans="7:9" x14ac:dyDescent="0.25">
      <c r="G1386" s="7"/>
      <c r="H1386" s="7"/>
      <c r="I1386" s="7"/>
    </row>
    <row r="1387" spans="7:9" x14ac:dyDescent="0.25">
      <c r="G1387" s="7"/>
      <c r="H1387" s="7"/>
      <c r="I1387" s="7"/>
    </row>
    <row r="1388" spans="7:9" x14ac:dyDescent="0.25">
      <c r="G1388" s="7"/>
      <c r="H1388" s="7"/>
      <c r="I1388" s="7"/>
    </row>
    <row r="1389" spans="7:9" x14ac:dyDescent="0.25">
      <c r="G1389" s="7"/>
      <c r="H1389" s="7"/>
      <c r="I1389" s="7"/>
    </row>
    <row r="1390" spans="7:9" x14ac:dyDescent="0.25">
      <c r="G1390" s="7"/>
      <c r="H1390" s="7"/>
      <c r="I1390" s="7"/>
    </row>
    <row r="1391" spans="7:9" x14ac:dyDescent="0.25">
      <c r="G1391" s="7"/>
      <c r="H1391" s="7"/>
      <c r="I1391" s="7"/>
    </row>
    <row r="1392" spans="7:9" x14ac:dyDescent="0.25">
      <c r="G1392" s="7"/>
      <c r="H1392" s="7"/>
      <c r="I1392" s="7"/>
    </row>
    <row r="1393" spans="7:9" x14ac:dyDescent="0.25">
      <c r="G1393" s="7"/>
      <c r="H1393" s="7"/>
      <c r="I1393" s="7"/>
    </row>
    <row r="1394" spans="7:9" x14ac:dyDescent="0.25">
      <c r="G1394" s="7"/>
      <c r="H1394" s="7"/>
      <c r="I1394" s="7"/>
    </row>
    <row r="1395" spans="7:9" x14ac:dyDescent="0.25">
      <c r="G1395" s="7"/>
      <c r="H1395" s="7"/>
      <c r="I1395" s="7"/>
    </row>
    <row r="1396" spans="7:9" x14ac:dyDescent="0.25">
      <c r="G1396" s="7"/>
      <c r="H1396" s="7"/>
      <c r="I1396" s="7"/>
    </row>
    <row r="1397" spans="7:9" x14ac:dyDescent="0.25">
      <c r="G1397" s="7"/>
      <c r="H1397" s="7"/>
      <c r="I1397" s="7"/>
    </row>
    <row r="1398" spans="7:9" x14ac:dyDescent="0.25">
      <c r="G1398" s="7"/>
      <c r="H1398" s="7"/>
      <c r="I1398" s="7"/>
    </row>
    <row r="1399" spans="7:9" x14ac:dyDescent="0.25">
      <c r="G1399" s="7"/>
      <c r="H1399" s="7"/>
      <c r="I1399" s="7"/>
    </row>
    <row r="1400" spans="7:9" x14ac:dyDescent="0.25">
      <c r="G1400" s="7"/>
      <c r="H1400" s="7"/>
      <c r="I1400" s="7"/>
    </row>
    <row r="1401" spans="7:9" x14ac:dyDescent="0.25">
      <c r="G1401" s="7"/>
      <c r="H1401" s="7"/>
      <c r="I1401" s="7"/>
    </row>
    <row r="1402" spans="7:9" x14ac:dyDescent="0.25">
      <c r="G1402" s="7"/>
      <c r="H1402" s="7"/>
      <c r="I1402" s="7"/>
    </row>
    <row r="1403" spans="7:9" x14ac:dyDescent="0.25">
      <c r="G1403" s="7"/>
      <c r="H1403" s="7"/>
      <c r="I1403" s="7"/>
    </row>
    <row r="1404" spans="7:9" x14ac:dyDescent="0.25">
      <c r="G1404" s="7"/>
      <c r="H1404" s="7"/>
      <c r="I1404" s="7"/>
    </row>
    <row r="1405" spans="7:9" x14ac:dyDescent="0.25">
      <c r="G1405" s="7"/>
      <c r="H1405" s="7"/>
      <c r="I1405" s="7"/>
    </row>
    <row r="1406" spans="7:9" x14ac:dyDescent="0.25">
      <c r="G1406" s="7"/>
      <c r="H1406" s="7"/>
      <c r="I1406" s="7"/>
    </row>
    <row r="1407" spans="7:9" x14ac:dyDescent="0.25">
      <c r="G1407" s="7"/>
      <c r="H1407" s="7"/>
      <c r="I1407" s="7"/>
    </row>
    <row r="1408" spans="7:9" x14ac:dyDescent="0.25">
      <c r="G1408" s="7"/>
      <c r="H1408" s="7"/>
      <c r="I1408" s="7"/>
    </row>
    <row r="1409" spans="7:9" x14ac:dyDescent="0.25">
      <c r="G1409" s="7"/>
      <c r="H1409" s="7"/>
      <c r="I1409" s="7"/>
    </row>
    <row r="1410" spans="7:9" x14ac:dyDescent="0.25">
      <c r="G1410" s="7"/>
      <c r="H1410" s="7"/>
      <c r="I1410" s="7"/>
    </row>
    <row r="1411" spans="7:9" x14ac:dyDescent="0.25">
      <c r="G1411" s="7"/>
      <c r="H1411" s="7"/>
      <c r="I1411" s="7"/>
    </row>
    <row r="1412" spans="7:9" x14ac:dyDescent="0.25">
      <c r="G1412" s="7"/>
      <c r="H1412" s="7"/>
      <c r="I1412" s="7"/>
    </row>
    <row r="1413" spans="7:9" x14ac:dyDescent="0.25">
      <c r="G1413" s="7"/>
      <c r="H1413" s="7"/>
      <c r="I1413" s="7"/>
    </row>
    <row r="1414" spans="7:9" x14ac:dyDescent="0.25">
      <c r="G1414" s="7"/>
      <c r="H1414" s="7"/>
      <c r="I1414" s="7"/>
    </row>
    <row r="1415" spans="7:9" x14ac:dyDescent="0.25">
      <c r="G1415" s="7"/>
      <c r="H1415" s="7"/>
      <c r="I1415" s="7"/>
    </row>
    <row r="1416" spans="7:9" x14ac:dyDescent="0.25">
      <c r="G1416" s="7"/>
      <c r="H1416" s="7"/>
      <c r="I1416" s="7"/>
    </row>
    <row r="1417" spans="7:9" x14ac:dyDescent="0.25">
      <c r="G1417" s="7"/>
      <c r="H1417" s="7"/>
      <c r="I1417" s="7"/>
    </row>
    <row r="1418" spans="7:9" x14ac:dyDescent="0.25">
      <c r="G1418" s="7"/>
      <c r="H1418" s="7"/>
      <c r="I1418" s="7"/>
    </row>
    <row r="1419" spans="7:9" x14ac:dyDescent="0.25">
      <c r="G1419" s="7"/>
      <c r="H1419" s="7"/>
      <c r="I1419" s="7"/>
    </row>
    <row r="1420" spans="7:9" x14ac:dyDescent="0.25">
      <c r="G1420" s="7"/>
      <c r="H1420" s="7"/>
      <c r="I1420" s="7"/>
    </row>
    <row r="1421" spans="7:9" x14ac:dyDescent="0.25">
      <c r="G1421" s="7"/>
      <c r="H1421" s="7"/>
      <c r="I1421" s="7"/>
    </row>
    <row r="1422" spans="7:9" x14ac:dyDescent="0.25">
      <c r="G1422" s="7"/>
      <c r="H1422" s="7"/>
      <c r="I1422" s="7"/>
    </row>
    <row r="1423" spans="7:9" x14ac:dyDescent="0.25">
      <c r="G1423" s="7"/>
      <c r="H1423" s="7"/>
      <c r="I1423" s="7"/>
    </row>
    <row r="1424" spans="7:9" x14ac:dyDescent="0.25">
      <c r="G1424" s="7"/>
      <c r="H1424" s="7"/>
      <c r="I1424" s="7"/>
    </row>
    <row r="1425" spans="7:9" x14ac:dyDescent="0.25">
      <c r="G1425" s="7"/>
      <c r="H1425" s="7"/>
      <c r="I1425" s="7"/>
    </row>
    <row r="1426" spans="7:9" x14ac:dyDescent="0.25">
      <c r="G1426" s="7"/>
      <c r="H1426" s="7"/>
      <c r="I1426" s="7"/>
    </row>
    <row r="1427" spans="7:9" x14ac:dyDescent="0.25">
      <c r="G1427" s="7"/>
      <c r="H1427" s="7"/>
      <c r="I1427" s="7"/>
    </row>
    <row r="1428" spans="7:9" x14ac:dyDescent="0.25">
      <c r="G1428" s="7"/>
      <c r="H1428" s="7"/>
      <c r="I1428" s="7"/>
    </row>
    <row r="1429" spans="7:9" x14ac:dyDescent="0.25">
      <c r="G1429" s="7"/>
      <c r="H1429" s="7"/>
      <c r="I1429" s="7"/>
    </row>
    <row r="1430" spans="7:9" x14ac:dyDescent="0.25">
      <c r="G1430" s="7"/>
      <c r="H1430" s="7"/>
      <c r="I1430" s="7"/>
    </row>
    <row r="1431" spans="7:9" x14ac:dyDescent="0.25">
      <c r="G1431" s="7"/>
      <c r="H1431" s="7"/>
      <c r="I1431" s="7"/>
    </row>
    <row r="1432" spans="7:9" x14ac:dyDescent="0.25">
      <c r="G1432" s="7"/>
      <c r="H1432" s="7"/>
      <c r="I1432" s="7"/>
    </row>
    <row r="1433" spans="7:9" x14ac:dyDescent="0.25">
      <c r="G1433" s="7"/>
      <c r="H1433" s="7"/>
      <c r="I1433" s="7"/>
    </row>
    <row r="1434" spans="7:9" x14ac:dyDescent="0.25">
      <c r="G1434" s="7"/>
      <c r="H1434" s="7"/>
      <c r="I1434" s="7"/>
    </row>
    <row r="1435" spans="7:9" x14ac:dyDescent="0.25">
      <c r="G1435" s="7"/>
      <c r="H1435" s="7"/>
      <c r="I1435" s="7"/>
    </row>
    <row r="1436" spans="7:9" x14ac:dyDescent="0.25">
      <c r="G1436" s="7"/>
      <c r="H1436" s="7"/>
      <c r="I1436" s="7"/>
    </row>
    <row r="1437" spans="7:9" x14ac:dyDescent="0.25">
      <c r="G1437" s="7"/>
      <c r="H1437" s="7"/>
      <c r="I1437" s="7"/>
    </row>
    <row r="1438" spans="7:9" x14ac:dyDescent="0.25">
      <c r="G1438" s="7"/>
      <c r="H1438" s="7"/>
      <c r="I1438" s="7"/>
    </row>
    <row r="1439" spans="7:9" x14ac:dyDescent="0.25">
      <c r="G1439" s="7"/>
      <c r="H1439" s="7"/>
      <c r="I1439" s="7"/>
    </row>
    <row r="1440" spans="7:9" x14ac:dyDescent="0.25">
      <c r="G1440" s="7"/>
      <c r="H1440" s="7"/>
      <c r="I1440" s="7"/>
    </row>
    <row r="1441" spans="7:9" x14ac:dyDescent="0.25">
      <c r="G1441" s="7"/>
      <c r="H1441" s="7"/>
      <c r="I1441" s="7"/>
    </row>
    <row r="1442" spans="7:9" x14ac:dyDescent="0.25">
      <c r="G1442" s="7"/>
      <c r="H1442" s="7"/>
      <c r="I1442" s="7"/>
    </row>
    <row r="1443" spans="7:9" x14ac:dyDescent="0.25">
      <c r="G1443" s="7"/>
      <c r="H1443" s="7"/>
      <c r="I1443" s="7"/>
    </row>
    <row r="1444" spans="7:9" x14ac:dyDescent="0.25">
      <c r="G1444" s="7"/>
      <c r="H1444" s="7"/>
      <c r="I1444" s="7"/>
    </row>
    <row r="1445" spans="7:9" x14ac:dyDescent="0.25">
      <c r="G1445" s="7"/>
      <c r="H1445" s="7"/>
      <c r="I1445" s="7"/>
    </row>
    <row r="1446" spans="7:9" x14ac:dyDescent="0.25">
      <c r="G1446" s="7"/>
      <c r="H1446" s="7"/>
      <c r="I1446" s="7"/>
    </row>
    <row r="1447" spans="7:9" x14ac:dyDescent="0.25">
      <c r="G1447" s="7"/>
      <c r="H1447" s="7"/>
      <c r="I1447" s="7"/>
    </row>
    <row r="1448" spans="7:9" x14ac:dyDescent="0.25">
      <c r="G1448" s="7"/>
      <c r="H1448" s="7"/>
      <c r="I1448" s="7"/>
    </row>
    <row r="1449" spans="7:9" x14ac:dyDescent="0.25">
      <c r="G1449" s="7"/>
      <c r="H1449" s="7"/>
      <c r="I1449" s="7"/>
    </row>
    <row r="1450" spans="7:9" x14ac:dyDescent="0.25">
      <c r="G1450" s="7"/>
      <c r="H1450" s="7"/>
      <c r="I1450" s="7"/>
    </row>
    <row r="1451" spans="7:9" x14ac:dyDescent="0.25">
      <c r="G1451" s="7"/>
      <c r="H1451" s="7"/>
      <c r="I1451" s="7"/>
    </row>
    <row r="1452" spans="7:9" x14ac:dyDescent="0.25">
      <c r="G1452" s="7"/>
      <c r="H1452" s="7"/>
      <c r="I1452" s="7"/>
    </row>
    <row r="1453" spans="7:9" x14ac:dyDescent="0.25">
      <c r="G1453" s="7"/>
      <c r="H1453" s="7"/>
      <c r="I1453" s="7"/>
    </row>
    <row r="1454" spans="7:9" x14ac:dyDescent="0.25">
      <c r="G1454" s="7"/>
      <c r="H1454" s="7"/>
      <c r="I1454" s="7"/>
    </row>
    <row r="1455" spans="7:9" x14ac:dyDescent="0.25">
      <c r="G1455" s="7"/>
      <c r="H1455" s="7"/>
      <c r="I1455" s="7"/>
    </row>
    <row r="1456" spans="7:9" x14ac:dyDescent="0.25">
      <c r="G1456" s="7"/>
      <c r="H1456" s="7"/>
      <c r="I1456" s="7"/>
    </row>
    <row r="1457" spans="7:9" x14ac:dyDescent="0.25">
      <c r="G1457" s="7"/>
      <c r="H1457" s="7"/>
      <c r="I1457" s="7"/>
    </row>
    <row r="1458" spans="7:9" x14ac:dyDescent="0.25">
      <c r="G1458" s="7"/>
      <c r="H1458" s="7"/>
      <c r="I1458" s="7"/>
    </row>
    <row r="1459" spans="7:9" x14ac:dyDescent="0.25">
      <c r="G1459" s="7"/>
      <c r="H1459" s="7"/>
      <c r="I1459" s="7"/>
    </row>
    <row r="1460" spans="7:9" x14ac:dyDescent="0.25">
      <c r="G1460" s="7"/>
      <c r="H1460" s="7"/>
      <c r="I1460" s="7"/>
    </row>
    <row r="1461" spans="7:9" x14ac:dyDescent="0.25">
      <c r="G1461" s="7"/>
      <c r="H1461" s="7"/>
      <c r="I1461" s="7"/>
    </row>
    <row r="1462" spans="7:9" x14ac:dyDescent="0.25">
      <c r="G1462" s="7"/>
      <c r="H1462" s="7"/>
      <c r="I1462" s="7"/>
    </row>
    <row r="1463" spans="7:9" x14ac:dyDescent="0.25">
      <c r="G1463" s="7"/>
      <c r="H1463" s="7"/>
      <c r="I1463" s="7"/>
    </row>
    <row r="1464" spans="7:9" x14ac:dyDescent="0.25">
      <c r="G1464" s="7"/>
      <c r="H1464" s="7"/>
      <c r="I1464" s="7"/>
    </row>
    <row r="1465" spans="7:9" x14ac:dyDescent="0.25">
      <c r="G1465" s="7"/>
      <c r="H1465" s="7"/>
      <c r="I1465" s="7"/>
    </row>
    <row r="1466" spans="7:9" x14ac:dyDescent="0.25">
      <c r="G1466" s="7"/>
      <c r="H1466" s="7"/>
      <c r="I1466" s="7"/>
    </row>
    <row r="1467" spans="7:9" x14ac:dyDescent="0.25">
      <c r="G1467" s="7"/>
      <c r="H1467" s="7"/>
      <c r="I1467" s="7"/>
    </row>
    <row r="1468" spans="7:9" x14ac:dyDescent="0.25">
      <c r="G1468" s="7"/>
      <c r="H1468" s="7"/>
      <c r="I1468" s="7"/>
    </row>
    <row r="1469" spans="7:9" x14ac:dyDescent="0.25">
      <c r="G1469" s="7"/>
      <c r="H1469" s="7"/>
      <c r="I1469" s="7"/>
    </row>
    <row r="1470" spans="7:9" x14ac:dyDescent="0.25">
      <c r="G1470" s="7"/>
      <c r="H1470" s="7"/>
      <c r="I1470" s="7"/>
    </row>
    <row r="1471" spans="7:9" x14ac:dyDescent="0.25">
      <c r="G1471" s="7"/>
      <c r="H1471" s="7"/>
      <c r="I1471" s="7"/>
    </row>
    <row r="1472" spans="7:9" x14ac:dyDescent="0.25">
      <c r="G1472" s="7"/>
      <c r="H1472" s="7"/>
      <c r="I1472" s="7"/>
    </row>
    <row r="1473" spans="7:9" x14ac:dyDescent="0.25">
      <c r="G1473" s="7"/>
      <c r="H1473" s="7"/>
      <c r="I1473" s="7"/>
    </row>
    <row r="1474" spans="7:9" x14ac:dyDescent="0.25">
      <c r="G1474" s="7"/>
      <c r="H1474" s="7"/>
      <c r="I1474" s="7"/>
    </row>
    <row r="1475" spans="7:9" x14ac:dyDescent="0.25">
      <c r="G1475" s="7"/>
      <c r="H1475" s="7"/>
      <c r="I1475" s="7"/>
    </row>
    <row r="1476" spans="7:9" x14ac:dyDescent="0.25">
      <c r="G1476" s="7"/>
      <c r="H1476" s="7"/>
      <c r="I1476" s="7"/>
    </row>
    <row r="1477" spans="7:9" x14ac:dyDescent="0.25">
      <c r="G1477" s="7"/>
      <c r="H1477" s="7"/>
      <c r="I1477" s="7"/>
    </row>
    <row r="1478" spans="7:9" x14ac:dyDescent="0.25">
      <c r="G1478" s="7"/>
      <c r="H1478" s="7"/>
      <c r="I1478" s="7"/>
    </row>
    <row r="1479" spans="7:9" x14ac:dyDescent="0.25">
      <c r="G1479" s="7"/>
      <c r="H1479" s="7"/>
      <c r="I1479" s="7"/>
    </row>
    <row r="1480" spans="7:9" x14ac:dyDescent="0.25">
      <c r="G1480" s="7"/>
      <c r="H1480" s="7"/>
      <c r="I1480" s="7"/>
    </row>
    <row r="1481" spans="7:9" x14ac:dyDescent="0.25">
      <c r="G1481" s="7"/>
      <c r="H1481" s="7"/>
      <c r="I1481" s="7"/>
    </row>
    <row r="1482" spans="7:9" x14ac:dyDescent="0.25">
      <c r="G1482" s="7"/>
      <c r="H1482" s="7"/>
      <c r="I1482" s="7"/>
    </row>
    <row r="1483" spans="7:9" x14ac:dyDescent="0.25">
      <c r="G1483" s="7"/>
      <c r="H1483" s="7"/>
      <c r="I1483" s="7"/>
    </row>
    <row r="1484" spans="7:9" x14ac:dyDescent="0.25">
      <c r="G1484" s="7"/>
      <c r="H1484" s="7"/>
      <c r="I1484" s="7"/>
    </row>
    <row r="1485" spans="7:9" x14ac:dyDescent="0.25">
      <c r="G1485" s="7"/>
      <c r="H1485" s="7"/>
      <c r="I1485" s="7"/>
    </row>
    <row r="1486" spans="7:9" x14ac:dyDescent="0.25">
      <c r="G1486" s="7"/>
      <c r="H1486" s="7"/>
      <c r="I1486" s="7"/>
    </row>
    <row r="1487" spans="7:9" x14ac:dyDescent="0.25">
      <c r="G1487" s="7"/>
      <c r="H1487" s="7"/>
      <c r="I1487" s="7"/>
    </row>
    <row r="1488" spans="7:9" x14ac:dyDescent="0.25">
      <c r="G1488" s="7"/>
      <c r="H1488" s="7"/>
      <c r="I1488" s="7"/>
    </row>
    <row r="1489" spans="7:9" x14ac:dyDescent="0.25">
      <c r="G1489" s="7"/>
      <c r="H1489" s="7"/>
      <c r="I1489" s="7"/>
    </row>
    <row r="1490" spans="7:9" x14ac:dyDescent="0.25">
      <c r="G1490" s="7"/>
      <c r="H1490" s="7"/>
      <c r="I1490" s="7"/>
    </row>
    <row r="1491" spans="7:9" x14ac:dyDescent="0.25">
      <c r="G1491" s="7"/>
      <c r="H1491" s="7"/>
      <c r="I1491" s="7"/>
    </row>
    <row r="1492" spans="7:9" x14ac:dyDescent="0.25">
      <c r="G1492" s="7"/>
      <c r="H1492" s="7"/>
      <c r="I1492" s="7"/>
    </row>
    <row r="1493" spans="7:9" x14ac:dyDescent="0.25">
      <c r="G1493" s="7"/>
      <c r="H1493" s="7"/>
      <c r="I1493" s="7"/>
    </row>
    <row r="1494" spans="7:9" x14ac:dyDescent="0.25">
      <c r="G1494" s="7"/>
      <c r="H1494" s="7"/>
      <c r="I1494" s="7"/>
    </row>
    <row r="1495" spans="7:9" x14ac:dyDescent="0.25">
      <c r="G1495" s="7"/>
      <c r="H1495" s="7"/>
      <c r="I1495" s="7"/>
    </row>
    <row r="1496" spans="7:9" x14ac:dyDescent="0.25">
      <c r="G1496" s="7"/>
      <c r="H1496" s="7"/>
      <c r="I1496" s="7"/>
    </row>
    <row r="1497" spans="7:9" x14ac:dyDescent="0.25">
      <c r="G1497" s="7"/>
      <c r="H1497" s="7"/>
      <c r="I1497" s="7"/>
    </row>
    <row r="1498" spans="7:9" x14ac:dyDescent="0.25">
      <c r="G1498" s="7"/>
      <c r="H1498" s="7"/>
      <c r="I1498" s="7"/>
    </row>
    <row r="1499" spans="7:9" x14ac:dyDescent="0.25">
      <c r="G1499" s="7"/>
      <c r="H1499" s="7"/>
      <c r="I1499" s="7"/>
    </row>
    <row r="1500" spans="7:9" x14ac:dyDescent="0.25">
      <c r="G1500" s="7"/>
      <c r="H1500" s="7"/>
      <c r="I1500" s="7"/>
    </row>
    <row r="1501" spans="7:9" x14ac:dyDescent="0.25">
      <c r="G1501" s="7"/>
      <c r="H1501" s="7"/>
      <c r="I1501" s="7"/>
    </row>
    <row r="1502" spans="7:9" x14ac:dyDescent="0.25">
      <c r="G1502" s="7"/>
      <c r="H1502" s="7"/>
      <c r="I1502" s="7"/>
    </row>
    <row r="1503" spans="7:9" x14ac:dyDescent="0.25">
      <c r="G1503" s="7"/>
      <c r="H1503" s="7"/>
      <c r="I1503" s="7"/>
    </row>
    <row r="1504" spans="7:9" x14ac:dyDescent="0.25">
      <c r="G1504" s="7"/>
      <c r="H1504" s="7"/>
      <c r="I1504" s="7"/>
    </row>
    <row r="1505" spans="7:9" x14ac:dyDescent="0.25">
      <c r="G1505" s="7"/>
      <c r="H1505" s="7"/>
      <c r="I1505" s="7"/>
    </row>
    <row r="1506" spans="7:9" x14ac:dyDescent="0.25">
      <c r="G1506" s="7"/>
      <c r="H1506" s="7"/>
      <c r="I1506" s="7"/>
    </row>
    <row r="1507" spans="7:9" x14ac:dyDescent="0.25">
      <c r="G1507" s="7"/>
      <c r="H1507" s="7"/>
      <c r="I1507" s="7"/>
    </row>
    <row r="1508" spans="7:9" x14ac:dyDescent="0.25">
      <c r="G1508" s="7"/>
      <c r="H1508" s="7"/>
      <c r="I1508" s="7"/>
    </row>
    <row r="1509" spans="7:9" x14ac:dyDescent="0.25">
      <c r="G1509" s="7"/>
      <c r="H1509" s="7"/>
      <c r="I1509" s="7"/>
    </row>
    <row r="1510" spans="7:9" x14ac:dyDescent="0.25">
      <c r="G1510" s="7"/>
      <c r="H1510" s="7"/>
      <c r="I1510" s="7"/>
    </row>
    <row r="1511" spans="7:9" x14ac:dyDescent="0.25">
      <c r="G1511" s="7"/>
      <c r="H1511" s="7"/>
      <c r="I1511" s="7"/>
    </row>
    <row r="1512" spans="7:9" x14ac:dyDescent="0.25">
      <c r="G1512" s="7"/>
      <c r="H1512" s="7"/>
      <c r="I1512" s="7"/>
    </row>
    <row r="1513" spans="7:9" x14ac:dyDescent="0.25">
      <c r="G1513" s="7"/>
      <c r="H1513" s="7"/>
      <c r="I1513" s="7"/>
    </row>
    <row r="1514" spans="7:9" x14ac:dyDescent="0.25">
      <c r="G1514" s="7"/>
      <c r="H1514" s="7"/>
      <c r="I1514" s="7"/>
    </row>
    <row r="1515" spans="7:9" x14ac:dyDescent="0.25">
      <c r="G1515" s="7"/>
      <c r="H1515" s="7"/>
      <c r="I1515" s="7"/>
    </row>
    <row r="1516" spans="7:9" x14ac:dyDescent="0.25">
      <c r="G1516" s="7"/>
      <c r="H1516" s="7"/>
      <c r="I1516" s="7"/>
    </row>
    <row r="1517" spans="7:9" x14ac:dyDescent="0.25">
      <c r="G1517" s="7"/>
      <c r="H1517" s="7"/>
      <c r="I1517" s="7"/>
    </row>
    <row r="1518" spans="7:9" x14ac:dyDescent="0.25">
      <c r="G1518" s="7"/>
      <c r="H1518" s="7"/>
      <c r="I1518" s="7"/>
    </row>
    <row r="1519" spans="7:9" x14ac:dyDescent="0.25">
      <c r="G1519" s="7"/>
      <c r="H1519" s="7"/>
      <c r="I1519" s="7"/>
    </row>
    <row r="1520" spans="7:9" x14ac:dyDescent="0.25">
      <c r="G1520" s="7"/>
      <c r="H1520" s="7"/>
      <c r="I1520" s="7"/>
    </row>
    <row r="1521" spans="7:9" x14ac:dyDescent="0.25">
      <c r="G1521" s="7"/>
      <c r="H1521" s="7"/>
      <c r="I1521" s="7"/>
    </row>
    <row r="1522" spans="7:9" x14ac:dyDescent="0.25">
      <c r="G1522" s="7"/>
      <c r="H1522" s="7"/>
      <c r="I1522" s="7"/>
    </row>
    <row r="1523" spans="7:9" x14ac:dyDescent="0.25">
      <c r="G1523" s="7"/>
      <c r="H1523" s="7"/>
      <c r="I1523" s="7"/>
    </row>
    <row r="1524" spans="7:9" x14ac:dyDescent="0.25">
      <c r="G1524" s="7"/>
      <c r="H1524" s="7"/>
      <c r="I1524" s="7"/>
    </row>
    <row r="1525" spans="7:9" x14ac:dyDescent="0.25">
      <c r="G1525" s="7"/>
      <c r="H1525" s="7"/>
      <c r="I1525" s="7"/>
    </row>
    <row r="1526" spans="7:9" x14ac:dyDescent="0.25">
      <c r="G1526" s="7"/>
      <c r="H1526" s="7"/>
      <c r="I1526" s="7"/>
    </row>
    <row r="1527" spans="7:9" x14ac:dyDescent="0.25">
      <c r="G1527" s="7"/>
      <c r="H1527" s="7"/>
      <c r="I1527" s="7"/>
    </row>
    <row r="1528" spans="7:9" x14ac:dyDescent="0.25">
      <c r="G1528" s="7"/>
      <c r="H1528" s="7"/>
      <c r="I1528" s="7"/>
    </row>
    <row r="1529" spans="7:9" x14ac:dyDescent="0.25">
      <c r="G1529" s="7"/>
      <c r="H1529" s="7"/>
      <c r="I1529" s="7"/>
    </row>
    <row r="1530" spans="7:9" x14ac:dyDescent="0.25">
      <c r="G1530" s="7"/>
      <c r="H1530" s="7"/>
      <c r="I1530" s="7"/>
    </row>
    <row r="1531" spans="7:9" x14ac:dyDescent="0.25">
      <c r="G1531" s="7"/>
      <c r="H1531" s="7"/>
      <c r="I1531" s="7"/>
    </row>
    <row r="1532" spans="7:9" x14ac:dyDescent="0.25">
      <c r="G1532" s="7"/>
      <c r="H1532" s="7"/>
      <c r="I1532" s="7"/>
    </row>
    <row r="1533" spans="7:9" x14ac:dyDescent="0.25">
      <c r="G1533" s="7"/>
      <c r="H1533" s="7"/>
      <c r="I1533" s="7"/>
    </row>
    <row r="1534" spans="7:9" x14ac:dyDescent="0.25">
      <c r="G1534" s="7"/>
      <c r="H1534" s="7"/>
      <c r="I1534" s="7"/>
    </row>
    <row r="1535" spans="7:9" x14ac:dyDescent="0.25">
      <c r="G1535" s="7"/>
      <c r="H1535" s="7"/>
      <c r="I1535" s="7"/>
    </row>
    <row r="1536" spans="7:9" x14ac:dyDescent="0.25">
      <c r="G1536" s="7"/>
      <c r="H1536" s="7"/>
      <c r="I1536" s="7"/>
    </row>
    <row r="1537" spans="7:9" x14ac:dyDescent="0.25">
      <c r="G1537" s="7"/>
      <c r="H1537" s="7"/>
      <c r="I1537" s="7"/>
    </row>
    <row r="1538" spans="7:9" x14ac:dyDescent="0.25">
      <c r="G1538" s="7"/>
      <c r="H1538" s="7"/>
      <c r="I1538" s="7"/>
    </row>
    <row r="1539" spans="7:9" x14ac:dyDescent="0.25">
      <c r="G1539" s="7"/>
      <c r="H1539" s="7"/>
      <c r="I1539" s="7"/>
    </row>
    <row r="1540" spans="7:9" x14ac:dyDescent="0.25">
      <c r="G1540" s="7"/>
      <c r="H1540" s="7"/>
      <c r="I1540" s="7"/>
    </row>
    <row r="1541" spans="7:9" x14ac:dyDescent="0.25">
      <c r="G1541" s="7"/>
      <c r="H1541" s="7"/>
      <c r="I1541" s="7"/>
    </row>
    <row r="1542" spans="7:9" x14ac:dyDescent="0.25">
      <c r="G1542" s="7"/>
      <c r="H1542" s="7"/>
      <c r="I1542" s="7"/>
    </row>
    <row r="1543" spans="7:9" x14ac:dyDescent="0.25">
      <c r="G1543" s="7"/>
      <c r="H1543" s="7"/>
      <c r="I1543" s="7"/>
    </row>
    <row r="1544" spans="7:9" x14ac:dyDescent="0.25">
      <c r="G1544" s="7"/>
      <c r="H1544" s="7"/>
      <c r="I1544" s="7"/>
    </row>
    <row r="1545" spans="7:9" x14ac:dyDescent="0.25">
      <c r="G1545" s="7"/>
      <c r="H1545" s="7"/>
      <c r="I1545" s="7"/>
    </row>
    <row r="1546" spans="7:9" x14ac:dyDescent="0.25">
      <c r="G1546" s="7"/>
      <c r="H1546" s="7"/>
      <c r="I1546" s="7"/>
    </row>
    <row r="1547" spans="7:9" x14ac:dyDescent="0.25">
      <c r="G1547" s="7"/>
      <c r="H1547" s="7"/>
      <c r="I1547" s="7"/>
    </row>
    <row r="1548" spans="7:9" x14ac:dyDescent="0.25">
      <c r="G1548" s="7"/>
      <c r="H1548" s="7"/>
      <c r="I1548" s="7"/>
    </row>
    <row r="1549" spans="7:9" x14ac:dyDescent="0.25">
      <c r="G1549" s="7"/>
      <c r="H1549" s="7"/>
      <c r="I1549" s="7"/>
    </row>
    <row r="1550" spans="7:9" x14ac:dyDescent="0.25">
      <c r="G1550" s="7"/>
      <c r="H1550" s="7"/>
      <c r="I1550" s="7"/>
    </row>
    <row r="1551" spans="7:9" x14ac:dyDescent="0.25">
      <c r="G1551" s="7"/>
      <c r="H1551" s="7"/>
      <c r="I1551" s="7"/>
    </row>
    <row r="1552" spans="7:9" x14ac:dyDescent="0.25">
      <c r="G1552" s="7"/>
      <c r="H1552" s="7"/>
      <c r="I1552" s="7"/>
    </row>
    <row r="1553" spans="7:9" x14ac:dyDescent="0.25">
      <c r="G1553" s="7"/>
      <c r="H1553" s="7"/>
      <c r="I1553" s="7"/>
    </row>
    <row r="1554" spans="7:9" x14ac:dyDescent="0.25">
      <c r="G1554" s="7"/>
      <c r="H1554" s="7"/>
      <c r="I1554" s="7"/>
    </row>
    <row r="1555" spans="7:9" x14ac:dyDescent="0.25">
      <c r="G1555" s="7"/>
      <c r="H1555" s="7"/>
      <c r="I1555" s="7"/>
    </row>
    <row r="1556" spans="7:9" x14ac:dyDescent="0.25">
      <c r="G1556" s="7"/>
      <c r="H1556" s="7"/>
      <c r="I1556" s="7"/>
    </row>
    <row r="1557" spans="7:9" x14ac:dyDescent="0.25">
      <c r="G1557" s="7"/>
      <c r="H1557" s="7"/>
      <c r="I1557" s="7"/>
    </row>
    <row r="1558" spans="7:9" x14ac:dyDescent="0.25">
      <c r="G1558" s="7"/>
      <c r="H1558" s="7"/>
      <c r="I1558" s="7"/>
    </row>
    <row r="1559" spans="7:9" x14ac:dyDescent="0.25">
      <c r="G1559" s="7"/>
      <c r="H1559" s="7"/>
      <c r="I1559" s="7"/>
    </row>
    <row r="1560" spans="7:9" x14ac:dyDescent="0.25">
      <c r="G1560" s="7"/>
      <c r="H1560" s="7"/>
      <c r="I1560" s="7"/>
    </row>
    <row r="1561" spans="7:9" x14ac:dyDescent="0.25">
      <c r="G1561" s="7"/>
      <c r="H1561" s="7"/>
      <c r="I1561" s="7"/>
    </row>
    <row r="1562" spans="7:9" x14ac:dyDescent="0.25">
      <c r="G1562" s="7"/>
      <c r="H1562" s="7"/>
      <c r="I1562" s="7"/>
    </row>
    <row r="1563" spans="7:9" x14ac:dyDescent="0.25">
      <c r="G1563" s="7"/>
      <c r="H1563" s="7"/>
      <c r="I1563" s="7"/>
    </row>
    <row r="1564" spans="7:9" x14ac:dyDescent="0.25">
      <c r="G1564" s="7"/>
      <c r="H1564" s="7"/>
      <c r="I1564" s="7"/>
    </row>
    <row r="1565" spans="7:9" x14ac:dyDescent="0.25">
      <c r="G1565" s="7"/>
      <c r="H1565" s="7"/>
      <c r="I1565" s="7"/>
    </row>
    <row r="1566" spans="7:9" x14ac:dyDescent="0.25">
      <c r="G1566" s="7"/>
      <c r="H1566" s="7"/>
      <c r="I1566" s="7"/>
    </row>
    <row r="1567" spans="7:9" x14ac:dyDescent="0.25">
      <c r="G1567" s="7"/>
      <c r="H1567" s="7"/>
      <c r="I1567" s="7"/>
    </row>
    <row r="1568" spans="7:9" x14ac:dyDescent="0.25">
      <c r="G1568" s="7"/>
      <c r="H1568" s="7"/>
      <c r="I1568" s="7"/>
    </row>
    <row r="1569" spans="7:9" x14ac:dyDescent="0.25">
      <c r="G1569" s="7"/>
      <c r="H1569" s="7"/>
      <c r="I1569" s="7"/>
    </row>
    <row r="1570" spans="7:9" x14ac:dyDescent="0.25">
      <c r="G1570" s="7"/>
      <c r="H1570" s="7"/>
      <c r="I1570" s="7"/>
    </row>
    <row r="1571" spans="7:9" x14ac:dyDescent="0.25">
      <c r="G1571" s="7"/>
      <c r="H1571" s="7"/>
      <c r="I1571" s="7"/>
    </row>
    <row r="1572" spans="7:9" x14ac:dyDescent="0.25">
      <c r="G1572" s="7"/>
      <c r="H1572" s="7"/>
      <c r="I1572" s="7"/>
    </row>
    <row r="1573" spans="7:9" x14ac:dyDescent="0.25">
      <c r="G1573" s="7"/>
      <c r="H1573" s="7"/>
      <c r="I1573" s="7"/>
    </row>
    <row r="1574" spans="7:9" x14ac:dyDescent="0.25">
      <c r="G1574" s="7"/>
      <c r="H1574" s="7"/>
      <c r="I1574" s="7"/>
    </row>
    <row r="1575" spans="7:9" x14ac:dyDescent="0.25">
      <c r="G1575" s="7"/>
      <c r="H1575" s="7"/>
      <c r="I1575" s="7"/>
    </row>
    <row r="1576" spans="7:9" x14ac:dyDescent="0.25">
      <c r="G1576" s="7"/>
      <c r="H1576" s="7"/>
      <c r="I1576" s="7"/>
    </row>
    <row r="1577" spans="7:9" x14ac:dyDescent="0.25">
      <c r="G1577" s="7"/>
      <c r="H1577" s="7"/>
      <c r="I1577" s="7"/>
    </row>
    <row r="1578" spans="7:9" x14ac:dyDescent="0.25">
      <c r="G1578" s="7"/>
      <c r="H1578" s="7"/>
      <c r="I1578" s="7"/>
    </row>
    <row r="1579" spans="7:9" x14ac:dyDescent="0.25">
      <c r="G1579" s="7"/>
      <c r="H1579" s="7"/>
      <c r="I1579" s="7"/>
    </row>
    <row r="1580" spans="7:9" x14ac:dyDescent="0.25">
      <c r="G1580" s="7"/>
      <c r="H1580" s="7"/>
      <c r="I1580" s="7"/>
    </row>
    <row r="1581" spans="7:9" x14ac:dyDescent="0.25">
      <c r="G1581" s="7"/>
      <c r="H1581" s="7"/>
      <c r="I1581" s="7"/>
    </row>
    <row r="1582" spans="7:9" x14ac:dyDescent="0.25">
      <c r="G1582" s="7"/>
      <c r="H1582" s="7"/>
      <c r="I1582" s="7"/>
    </row>
    <row r="1583" spans="7:9" x14ac:dyDescent="0.25">
      <c r="G1583" s="7"/>
      <c r="H1583" s="7"/>
      <c r="I1583" s="7"/>
    </row>
    <row r="1584" spans="7:9" x14ac:dyDescent="0.25">
      <c r="G1584" s="7"/>
      <c r="H1584" s="7"/>
      <c r="I1584" s="7"/>
    </row>
    <row r="1585" spans="7:9" x14ac:dyDescent="0.25">
      <c r="G1585" s="7"/>
      <c r="H1585" s="7"/>
      <c r="I1585" s="7"/>
    </row>
    <row r="1586" spans="7:9" x14ac:dyDescent="0.25">
      <c r="G1586" s="7"/>
      <c r="H1586" s="7"/>
      <c r="I1586" s="7"/>
    </row>
    <row r="1587" spans="7:9" x14ac:dyDescent="0.25">
      <c r="G1587" s="7"/>
      <c r="H1587" s="7"/>
      <c r="I1587" s="7"/>
    </row>
    <row r="1588" spans="7:9" x14ac:dyDescent="0.25">
      <c r="G1588" s="7"/>
      <c r="H1588" s="7"/>
      <c r="I1588" s="7"/>
    </row>
    <row r="1589" spans="7:9" x14ac:dyDescent="0.25">
      <c r="G1589" s="7"/>
      <c r="H1589" s="7"/>
      <c r="I1589" s="7"/>
    </row>
    <row r="1590" spans="7:9" x14ac:dyDescent="0.25">
      <c r="G1590" s="7"/>
      <c r="H1590" s="7"/>
      <c r="I1590" s="7"/>
    </row>
    <row r="1591" spans="7:9" x14ac:dyDescent="0.25">
      <c r="G1591" s="7"/>
      <c r="H1591" s="7"/>
      <c r="I1591" s="7"/>
    </row>
    <row r="1592" spans="7:9" x14ac:dyDescent="0.25">
      <c r="G1592" s="7"/>
      <c r="H1592" s="7"/>
      <c r="I1592" s="7"/>
    </row>
    <row r="1593" spans="7:9" x14ac:dyDescent="0.25">
      <c r="G1593" s="7"/>
      <c r="H1593" s="7"/>
      <c r="I1593" s="7"/>
    </row>
    <row r="1594" spans="7:9" x14ac:dyDescent="0.25">
      <c r="G1594" s="7"/>
      <c r="H1594" s="7"/>
      <c r="I1594" s="7"/>
    </row>
    <row r="1595" spans="7:9" x14ac:dyDescent="0.25">
      <c r="G1595" s="7"/>
      <c r="H1595" s="7"/>
      <c r="I1595" s="7"/>
    </row>
    <row r="1596" spans="7:9" x14ac:dyDescent="0.25">
      <c r="G1596" s="7"/>
      <c r="H1596" s="7"/>
      <c r="I1596" s="7"/>
    </row>
    <row r="1597" spans="7:9" x14ac:dyDescent="0.25">
      <c r="G1597" s="7"/>
      <c r="H1597" s="7"/>
      <c r="I1597" s="7"/>
    </row>
    <row r="1598" spans="7:9" x14ac:dyDescent="0.25">
      <c r="G1598" s="7"/>
      <c r="H1598" s="7"/>
      <c r="I1598" s="7"/>
    </row>
    <row r="1599" spans="7:9" x14ac:dyDescent="0.25">
      <c r="G1599" s="7"/>
      <c r="H1599" s="7"/>
      <c r="I1599" s="7"/>
    </row>
    <row r="1600" spans="7:9" x14ac:dyDescent="0.25">
      <c r="G1600" s="7"/>
      <c r="H1600" s="7"/>
      <c r="I1600" s="7"/>
    </row>
    <row r="1601" spans="7:9" x14ac:dyDescent="0.25">
      <c r="G1601" s="7"/>
      <c r="H1601" s="7"/>
      <c r="I1601" s="7"/>
    </row>
    <row r="1602" spans="7:9" x14ac:dyDescent="0.25">
      <c r="G1602" s="7"/>
      <c r="H1602" s="7"/>
      <c r="I1602" s="7"/>
    </row>
    <row r="1603" spans="7:9" x14ac:dyDescent="0.25">
      <c r="G1603" s="7"/>
      <c r="H1603" s="7"/>
      <c r="I1603" s="7"/>
    </row>
    <row r="1604" spans="7:9" x14ac:dyDescent="0.25">
      <c r="G1604" s="7"/>
      <c r="H1604" s="7"/>
      <c r="I1604" s="7"/>
    </row>
    <row r="1605" spans="7:9" x14ac:dyDescent="0.25">
      <c r="G1605" s="7"/>
      <c r="H1605" s="7"/>
      <c r="I1605" s="7"/>
    </row>
    <row r="1606" spans="7:9" x14ac:dyDescent="0.25">
      <c r="G1606" s="7"/>
      <c r="H1606" s="7"/>
      <c r="I1606" s="7"/>
    </row>
    <row r="1607" spans="7:9" x14ac:dyDescent="0.25">
      <c r="G1607" s="7"/>
      <c r="H1607" s="7"/>
      <c r="I1607" s="7"/>
    </row>
    <row r="1608" spans="7:9" x14ac:dyDescent="0.25">
      <c r="G1608" s="7"/>
      <c r="H1608" s="7"/>
      <c r="I1608" s="7"/>
    </row>
    <row r="1609" spans="7:9" x14ac:dyDescent="0.25">
      <c r="G1609" s="7"/>
      <c r="H1609" s="7"/>
      <c r="I1609" s="7"/>
    </row>
    <row r="1610" spans="7:9" x14ac:dyDescent="0.25">
      <c r="G1610" s="7"/>
      <c r="H1610" s="7"/>
      <c r="I1610" s="7"/>
    </row>
    <row r="1611" spans="7:9" x14ac:dyDescent="0.25">
      <c r="G1611" s="7"/>
      <c r="H1611" s="7"/>
      <c r="I1611" s="7"/>
    </row>
    <row r="1612" spans="7:9" x14ac:dyDescent="0.25">
      <c r="G1612" s="7"/>
      <c r="H1612" s="7"/>
      <c r="I1612" s="7"/>
    </row>
    <row r="1613" spans="7:9" x14ac:dyDescent="0.25">
      <c r="G1613" s="7"/>
      <c r="H1613" s="7"/>
      <c r="I1613" s="7"/>
    </row>
    <row r="1614" spans="7:9" x14ac:dyDescent="0.25">
      <c r="G1614" s="7"/>
      <c r="H1614" s="7"/>
      <c r="I1614" s="7"/>
    </row>
    <row r="1615" spans="7:9" x14ac:dyDescent="0.25">
      <c r="G1615" s="7"/>
      <c r="H1615" s="7"/>
      <c r="I1615" s="7"/>
    </row>
    <row r="1616" spans="7:9" x14ac:dyDescent="0.25">
      <c r="G1616" s="7"/>
      <c r="H1616" s="7"/>
      <c r="I1616" s="7"/>
    </row>
    <row r="1617" spans="7:9" x14ac:dyDescent="0.25">
      <c r="G1617" s="7"/>
      <c r="H1617" s="7"/>
      <c r="I1617" s="7"/>
    </row>
    <row r="1618" spans="7:9" x14ac:dyDescent="0.25">
      <c r="G1618" s="7"/>
      <c r="H1618" s="7"/>
      <c r="I1618" s="7"/>
    </row>
    <row r="1619" spans="7:9" x14ac:dyDescent="0.25">
      <c r="G1619" s="7"/>
      <c r="H1619" s="7"/>
      <c r="I1619" s="7"/>
    </row>
  </sheetData>
  <pageMargins left="0.7" right="0.7" top="0.75" bottom="0.75" header="0.3" footer="0.3"/>
  <pageSetup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8A33D48777B4A4EB32AEF6C5225857D" ma:contentTypeVersion="6" ma:contentTypeDescription="Create a new document." ma:contentTypeScope="" ma:versionID="bf96ddd63f90b737d602f7bfc9200384">
  <xsd:schema xmlns:xsd="http://www.w3.org/2001/XMLSchema" xmlns:xs="http://www.w3.org/2001/XMLSchema" xmlns:p="http://schemas.microsoft.com/office/2006/metadata/properties" xmlns:ns2="6a18943b-f889-4c07-90a2-bdbfa3f5288a" xmlns:ns3="ba64f4d4-3a9a-4f5c-9b74-203a21f1fdaf" targetNamespace="http://schemas.microsoft.com/office/2006/metadata/properties" ma:root="true" ma:fieldsID="34a35fc959df13f6e13764b18aa114d2" ns2:_="" ns3:_="">
    <xsd:import namespace="6a18943b-f889-4c07-90a2-bdbfa3f5288a"/>
    <xsd:import namespace="ba64f4d4-3a9a-4f5c-9b74-203a21f1fda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18943b-f889-4c07-90a2-bdbfa3f528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64f4d4-3a9a-4f5c-9b74-203a21f1fda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5BB4BC-77A7-4472-B8BF-943732C7927A}">
  <ds:schemaRefs>
    <ds:schemaRef ds:uri="http://schemas.microsoft.com/sharepoint/v3/contenttype/forms"/>
  </ds:schemaRefs>
</ds:datastoreItem>
</file>

<file path=customXml/itemProps2.xml><?xml version="1.0" encoding="utf-8"?>
<ds:datastoreItem xmlns:ds="http://schemas.openxmlformats.org/officeDocument/2006/customXml" ds:itemID="{A422A129-6D70-4C23-A0EA-4B964D13F551}">
  <ds:schemaRefs>
    <ds:schemaRef ds:uri="ba64f4d4-3a9a-4f5c-9b74-203a21f1fdaf"/>
    <ds:schemaRef ds:uri="6a18943b-f889-4c07-90a2-bdbfa3f5288a"/>
    <ds:schemaRef ds:uri="http://schemas.microsoft.com/office/infopath/2007/PartnerControls"/>
    <ds:schemaRef ds:uri="http://schemas.microsoft.com/office/2006/metadata/properties"/>
    <ds:schemaRef ds:uri="http://purl.org/dc/terms/"/>
    <ds:schemaRef ds:uri="http://schemas.microsoft.com/office/2006/documentManagement/types"/>
    <ds:schemaRef ds:uri="http://purl.org/dc/elements/1.1/"/>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DABB00DE-347F-48F7-9EB5-0F620115E2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18943b-f889-4c07-90a2-bdbfa3f5288a"/>
    <ds:schemaRef ds:uri="ba64f4d4-3a9a-4f5c-9b74-203a21f1fd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IS_Rules</vt:lpstr>
      <vt:lpstr>IS_Binding_Rule_to_Views</vt:lpstr>
      <vt:lpstr>IS_Views</vt:lpstr>
      <vt:lpstr>Consolidated</vt:lpstr>
      <vt:lpstr>Table_to_BRG</vt:lpstr>
      <vt:lpstr>Sheet1</vt:lpstr>
    </vt:vector>
  </TitlesOfParts>
  <Company>Accenture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Amer, Mahmud</dc:creator>
  <cp:lastModifiedBy>Ali, Luqman</cp:lastModifiedBy>
  <dcterms:created xsi:type="dcterms:W3CDTF">2014-11-13T16:55:50Z</dcterms:created>
  <dcterms:modified xsi:type="dcterms:W3CDTF">2026-06-26T09:14:34Z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0x01010038A33D48777B4A4EB32AEF6C5225857D</vt:lpwstr>
  </property>
</Properties>
</file>